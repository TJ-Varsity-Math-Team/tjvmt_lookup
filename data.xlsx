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uke Rankings (no proof)" sheetId="1" r:id="rId4"/>
    <sheet state="visible" name="Duke Rankings (proof)" sheetId="2" r:id="rId5"/>
    <sheet state="visible" name="Duke 1" sheetId="3" r:id="rId6"/>
    <sheet state="visible" name="Duke 2" sheetId="4" r:id="rId7"/>
    <sheet state="visible" name="Duke 3" sheetId="5" r:id="rId8"/>
    <sheet state="visible" name="Duke 4" sheetId="6" r:id="rId9"/>
    <sheet state="visible" name="Proof" sheetId="7" r:id="rId10"/>
    <sheet state="visible" name="HMMT 1" sheetId="8" r:id="rId11"/>
    <sheet state="visible" name="PUMaC Rankings" sheetId="9" r:id="rId12"/>
    <sheet state="visible" name="HMMT Rankings" sheetId="10" r:id="rId13"/>
    <sheet state="visible" name="HMMT 1 Real" sheetId="11" r:id="rId14"/>
    <sheet state="visible" name="HMMT 2 Real" sheetId="12" r:id="rId15"/>
    <sheet state="visible" name="HMMTPUMaC Combo" sheetId="13" r:id="rId16"/>
    <sheet state="visible" name="HMMTPUMaC Geo" sheetId="14" r:id="rId17"/>
    <sheet state="visible" name="HMMTPUMaC Algebra" sheetId="15" r:id="rId18"/>
    <sheet state="visible" name="HMMTPUMaC NT" sheetId="16" r:id="rId19"/>
    <sheet state="visible" name="clown emoji" sheetId="17" r:id="rId20"/>
    <sheet state="visible" name="ignore--duke4" sheetId="18" r:id="rId21"/>
    <sheet state="visible" name="Roster" sheetId="19" r:id="rId22"/>
    <sheet state="visible" name="hash" sheetId="20" r:id="rId23"/>
    <sheet state="visible" name="ignore" sheetId="21" r:id="rId24"/>
  </sheets>
  <definedNames>
    <definedName hidden="1" localSheetId="0" name="_xlnm._FilterDatabase">'Duke Rankings (no proof)'!$A$1:$H$1000</definedName>
    <definedName hidden="1" localSheetId="1" name="_xlnm._FilterDatabase">'Duke Rankings (proof)'!$A$1:$H$998</definedName>
    <definedName hidden="1" localSheetId="8" name="_xlnm._FilterDatabase">'PUMaC Rankings'!$A$1:$Z$1001</definedName>
    <definedName hidden="1" localSheetId="9" name="_xlnm._FilterDatabase">'HMMT Rankings'!$A$1:$Z$1001</definedName>
    <definedName hidden="1" localSheetId="10" name="_xlnm._FilterDatabase">'HMMT 1 Real'!$A$1:$J$1000</definedName>
    <definedName hidden="1" localSheetId="11" name="_xlnm._FilterDatabase">'HMMT 2 Real'!$A$1:$J$1000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4">
      <text>
        <t xml:space="preserve">OW
TD</t>
      </text>
    </comment>
    <comment authorId="0" ref="F4">
      <text>
        <t xml:space="preserve">ES - something seems wrong but i think im just paranoid
SY - Calvin said I got a 7 soooo</t>
      </text>
    </comment>
    <comment authorId="0" ref="G4">
      <text>
        <t xml:space="preserve">CW, I propose a 1+2
For part a, the pigeonhole argument works if we do P(x)*10^(very large)+(10^large-1)-Q(x). I'm not sure if this counts as nontrivial progress, but it does make the 999...9 idea easier to see
For part b, there are 2 errors. The first is that negative coefficients mess up the argument, but you can just set Q(x)=P(x+k) for k sufficiently large. The second is that I don't really understand what S(P(10^(b*(n+1)/n)+10^b)) is supposed to be greater than. It is true that it is greater than S(P(10^b)) though.</t>
      </text>
    </comment>
    <comment authorId="0" ref="H4">
      <text>
        <t xml:space="preserve">CW
AH</t>
      </text>
    </comment>
    <comment authorId="0" ref="I4">
      <text>
        <t xml:space="preserve">CW
AH</t>
      </text>
    </comment>
    <comment authorId="0" ref="J4">
      <text>
        <t xml:space="preserve">CW
PD</t>
      </text>
    </comment>
    <comment authorId="0" ref="E6">
      <text>
        <t xml:space="preserve">OW
ES</t>
      </text>
    </comment>
    <comment authorId="0" ref="F6">
      <text>
        <t xml:space="preserve">SY - Got a + b + c = -1, ab + bc + ca = 0
ES</t>
      </text>
    </comment>
    <comment authorId="0" ref="J6">
      <text>
        <t xml:space="preserve">CW, answer and construction is like sufficiently implied that I am fine with it I think
I don't believe the proof method can work/be repaired because you are trying to add edges to a non-bipartite graph to make a bipartite graph, which is not possible</t>
      </text>
    </comment>
    <comment authorId="0" ref="E7">
      <text>
        <t xml:space="preserve">OW
TD</t>
      </text>
    </comment>
    <comment authorId="0" ref="F7">
      <text>
        <t xml:space="preserve">ES - forgot to consider a=b (could've easily derived from work tho so idk)
SY - Agree</t>
      </text>
    </comment>
    <comment authorId="0" ref="G7">
      <text>
        <t xml:space="preserve">CW</t>
      </text>
    </comment>
    <comment authorId="0" ref="H7">
      <text>
        <t xml:space="preserve">CW
AH</t>
      </text>
    </comment>
    <comment authorId="0" ref="E8">
      <text>
        <t xml:space="preserve">OW
TD</t>
      </text>
    </comment>
    <comment authorId="0" ref="F8">
      <text>
        <t xml:space="preserve">ES - why is the stuff so faint? but ans is right and rubric checks out
SY - The solution skips some steps, but its still correct</t>
      </text>
    </comment>
    <comment authorId="0" ref="J8">
      <text>
        <t xml:space="preserve">CW
PD</t>
      </text>
    </comment>
    <comment authorId="0" ref="F9">
      <text>
        <t xml:space="preserve">SY
ES</t>
      </text>
    </comment>
    <comment authorId="0" ref="J9">
      <text>
        <t xml:space="preserve">CW
PD</t>
      </text>
    </comment>
    <comment authorId="0" ref="E11">
      <text>
        <t xml:space="preserve">ow (-1 for no AEXY cyclic explanation)
ES</t>
      </text>
    </comment>
    <comment authorId="0" ref="F11">
      <text>
        <t xml:space="preserve">ES - forgot to consider a=b - gave a 5
CW - rubric was updated - give a 6
SY - 7 - 1 -&gt; 6</t>
      </text>
    </comment>
    <comment authorId="0" ref="H11">
      <text>
        <t xml:space="preserve">CW
AH</t>
      </text>
    </comment>
    <comment authorId="0" ref="E12">
      <text>
        <t xml:space="preserve">OW
PY
TD
</t>
      </text>
    </comment>
    <comment authorId="0" ref="F12">
      <text>
        <t xml:space="preserve">ES - found a^3+a^2=b^3+b^2
SY </t>
      </text>
    </comment>
    <comment authorId="0" ref="G12">
      <text>
        <t xml:space="preserve">CW</t>
      </text>
    </comment>
    <comment authorId="0" ref="H12">
      <text>
        <t xml:space="preserve">CW
AH</t>
      </text>
    </comment>
    <comment authorId="0" ref="I12">
      <text>
        <t xml:space="preserve">CW
AH</t>
      </text>
    </comment>
    <comment authorId="0" ref="E13">
      <text>
        <t xml:space="preserve">OW
ES</t>
      </text>
    </comment>
    <comment authorId="0" ref="F13">
      <text>
        <t xml:space="preserve">SY
ES
CW - having the wrong answer/miscalculation is a -1, the really questionable construction and a general "not understanding what is going on" (unsure if the construction was even supposed to be implied since a different answer was then written on the next page) is probably worth another dock
Page 10 ~ 12, "Long Paper pdf"
Technically solution is correct, -1 for wrong answer, potential -1 for incorrect "Case 1" or potential -1 for incorrect calculations on the last page(missing term ab)
</t>
      </text>
    </comment>
    <comment authorId="0" ref="E14">
      <text>
        <t xml:space="preserve">paul yoo
ow
TD</t>
      </text>
    </comment>
    <comment authorId="0" ref="F14">
      <text>
        <t xml:space="preserve">ES - found a+b+c=-1, idk if there should be a point
SY - He got a + b - c = -1, so no. Also you need to get a + b + c = -1 AND ab + bc + ca = 0.</t>
      </text>
    </comment>
    <comment authorId="0" ref="E15">
      <text>
        <t xml:space="preserve">ow
ES</t>
      </text>
    </comment>
    <comment authorId="0" ref="F15">
      <text>
        <t xml:space="preserve">SY - Lost 1 point due to claiming a, b, c are roots
ES
CW</t>
      </text>
    </comment>
    <comment authorId="0" ref="G15">
      <text>
        <t xml:space="preserve">CW</t>
      </text>
    </comment>
    <comment authorId="0" ref="E16">
      <text>
        <t xml:space="preserve">paul
ow
TD</t>
      </text>
    </comment>
    <comment authorId="0" ref="F16">
      <text>
        <t xml:space="preserve">ES
SY - Wrong Conclusion</t>
      </text>
    </comment>
    <comment authorId="0" ref="H16">
      <text>
        <t xml:space="preserve">CW</t>
      </text>
    </comment>
    <comment authorId="0" ref="I16">
      <text>
        <t xml:space="preserve">AH</t>
      </text>
    </comment>
    <comment authorId="0" ref="F17">
      <text>
        <t xml:space="preserve">ES
SY - Wrong conclusion</t>
      </text>
    </comment>
    <comment authorId="0" ref="F18">
      <text>
        <t xml:space="preserve">ES - abc=0
SY</t>
      </text>
    </comment>
    <comment authorId="0" ref="G18">
      <text>
        <t xml:space="preserve">CW</t>
      </text>
    </comment>
    <comment authorId="0" ref="J18">
      <text>
        <t xml:space="preserve">CW
PD</t>
      </text>
    </comment>
    <comment authorId="0" ref="E19">
      <text>
        <t xml:space="preserve">OW
ES</t>
      </text>
    </comment>
    <comment authorId="0" ref="F19">
      <text>
        <t xml:space="preserve">ES - got a^3+a^2=b^3+b^2=c^3+c^2
SY</t>
      </text>
    </comment>
    <comment authorId="0" ref="H19">
      <text>
        <t xml:space="preserve">CW
AH</t>
      </text>
    </comment>
    <comment authorId="0" ref="E20">
      <text>
        <t xml:space="preserve">ow
ES</t>
      </text>
    </comment>
    <comment authorId="0" ref="F20">
      <text>
        <t xml:space="preserve">ES - no significant progress. Used divisors (interesting, but doesn't matter for reals)
SY - You could argue this is a 1, but I think it's more on the 0 side.
CW - yeah i dont think the point of the partial applies here</t>
      </text>
    </comment>
    <comment authorId="0" ref="F21">
      <text>
        <t xml:space="preserve">SY - Considered case of abc = 0, nothing else
ES
CW</t>
      </text>
    </comment>
    <comment authorId="0" ref="G21">
      <text>
        <t xml:space="preserve">CW</t>
      </text>
    </comment>
    <comment authorId="0" ref="H21">
      <text>
        <t xml:space="preserve">CW
AH</t>
      </text>
    </comment>
    <comment authorId="0" ref="E22">
      <text>
        <t xml:space="preserve">ow (-1 for no AEXY cyclic explanation)
ES</t>
      </text>
    </comment>
    <comment authorId="0" ref="F22">
      <text>
        <t xml:space="preserve">SY - discussed with Calvin
ES - Found a, b, c roots of polynomial
CW - the inequality attempt does not work because AM-GM does not hold for all reals</t>
      </text>
    </comment>
    <comment authorId="0" ref="E23">
      <text>
        <t xml:space="preserve">OW
ES</t>
      </text>
    </comment>
    <comment authorId="0" ref="F23">
      <text>
        <t xml:space="preserve">SY - Claimed a^3 + a^2 = ...
ES - Missing 2nd page????
CW - probably not missing second page, "therefor" is cut off so probably ran out of time</t>
      </text>
    </comment>
    <comment authorId="0" ref="E24">
      <text>
        <t xml:space="preserve">ow
TD
ES</t>
      </text>
    </comment>
    <comment authorId="0" ref="F24">
      <text>
        <t xml:space="preserve">ES - did what I did at the beginning, doesn't fit rubric (could argue for 1 point) - gave a 0
CW - 1 I think? from the new rubric
SY - 1 Yes, definitely one. All cases where a + b + c = -1, ab + bc + ca = 0 are not true have been cleared. Only case left is when those two are true</t>
      </text>
    </comment>
    <comment authorId="0" ref="E25">
      <text>
        <t xml:space="preserve">paul yoo
ow
TD
</t>
      </text>
    </comment>
    <comment authorId="0" ref="F25">
      <text>
        <t xml:space="preserve">SY - No Significant Progress
ES</t>
      </text>
    </comment>
    <comment authorId="0" ref="G25">
      <text>
        <t xml:space="preserve">CW</t>
      </text>
    </comment>
    <comment authorId="0" ref="F27">
      <text>
        <t xml:space="preserve">ES
SY - rip</t>
      </text>
    </comment>
    <comment authorId="0" ref="J27">
      <text>
        <t xml:space="preserve">CW
PD</t>
      </text>
    </comment>
    <comment authorId="0" ref="E28">
      <text>
        <t xml:space="preserve">OW
PY
TD</t>
      </text>
    </comment>
    <comment authorId="0" ref="F28">
      <text>
        <t xml:space="preserve">ES - found a^3+a^2=b^3+b^2
SY</t>
      </text>
    </comment>
    <comment authorId="0" ref="E30">
      <text>
        <t xml:space="preserve">ow
TD</t>
      </text>
    </comment>
    <comment authorId="0" ref="F30">
      <text>
        <t xml:space="preserve">ES
SY</t>
      </text>
    </comment>
    <comment authorId="0" ref="G30">
      <text>
        <t xml:space="preserve">CW</t>
      </text>
    </comment>
    <comment authorId="0" ref="H30">
      <text>
        <t xml:space="preserve">CW
AH</t>
      </text>
    </comment>
    <comment authorId="0" ref="I30">
      <text>
        <t xml:space="preserve">CW
AH</t>
      </text>
    </comment>
    <comment authorId="0" ref="J30">
      <text>
        <t xml:space="preserve">CW
PD</t>
      </text>
    </comment>
    <comment authorId="0" ref="F31">
      <text>
        <t xml:space="preserve">ES - Found a^3+a^2=c^3+c^2
SY
</t>
      </text>
    </comment>
    <comment authorId="0" ref="E32">
      <text>
        <t xml:space="preserve">ow
ES</t>
      </text>
    </comment>
    <comment authorId="0" ref="F32">
      <text>
        <t xml:space="preserve">ES - a^3+a^2=b^3+b^2=c^3+c^2
SY - Agree</t>
      </text>
    </comment>
    <comment authorId="0" ref="G32">
      <text>
        <t xml:space="preserve">CW</t>
      </text>
    </comment>
    <comment authorId="0" ref="H32">
      <text>
        <t xml:space="preserve">CW
AH</t>
      </text>
    </comment>
    <comment authorId="0" ref="I32">
      <text>
        <t xml:space="preserve">CW
AH</t>
      </text>
    </comment>
    <comment authorId="0" ref="J32">
      <text>
        <t xml:space="preserve">CW
PD</t>
      </text>
    </comment>
    <comment authorId="0" ref="E34">
      <text>
        <t xml:space="preserve">ow
ES</t>
      </text>
    </comment>
    <comment authorId="0" ref="F34">
      <text>
        <t xml:space="preserve">SY - Work shown, completely wrong
ES - experimented, but no significant true results
CW
</t>
      </text>
    </comment>
    <comment authorId="0" ref="G34">
      <text>
        <t xml:space="preserve">CW</t>
      </text>
    </comment>
    <comment authorId="0" ref="H34">
      <text>
        <t xml:space="preserve">AH, zero progress
CW</t>
      </text>
    </comment>
    <comment authorId="0" ref="I34">
      <text>
        <t xml:space="preserve">CW
AH</t>
      </text>
    </comment>
    <comment authorId="0" ref="J34">
      <text>
        <t xml:space="preserve">CW
PD</t>
      </text>
    </comment>
    <comment authorId="0" ref="E35">
      <text>
        <t xml:space="preserve">paul 
ow
TD</t>
      </text>
    </comment>
    <comment authorId="0" ref="F35">
      <text>
        <t xml:space="preserve">ES
SY - Wrong Logic</t>
      </text>
    </comment>
    <comment authorId="0" ref="E36">
      <text>
        <t xml:space="preserve">paul
ow
TD</t>
      </text>
    </comment>
    <comment authorId="0" ref="F36">
      <text>
        <t xml:space="preserve">ES
SY - Wrong Logic</t>
      </text>
    </comment>
    <comment authorId="0" ref="G36">
      <text>
        <t xml:space="preserve">CW</t>
      </text>
    </comment>
    <comment authorId="0" ref="I36">
      <text>
        <t xml:space="preserve">CW</t>
      </text>
    </comment>
    <comment authorId="0" ref="J36">
      <text>
        <t xml:space="preserve">CW
PD</t>
      </text>
    </comment>
    <comment authorId="0" ref="E37">
      <text>
        <t xml:space="preserve">ow
ES</t>
      </text>
    </comment>
    <comment authorId="0" ref="F37">
      <text>
        <t xml:space="preserve">SY
1 point for answer
1 point for noting a^3 + a^2 = ...
ES
CW</t>
      </text>
    </comment>
    <comment authorId="0" ref="G37">
      <text>
        <t xml:space="preserve">CW</t>
      </text>
    </comment>
    <comment authorId="0" ref="E38">
      <text>
        <t xml:space="preserve">ow
ES</t>
      </text>
    </comment>
    <comment authorId="0" ref="F38">
      <text>
        <t xml:space="preserve">ES
SY</t>
      </text>
    </comment>
    <comment authorId="0" ref="I38">
      <text>
        <t xml:space="preserve">CW</t>
      </text>
    </comment>
    <comment authorId="0" ref="F41">
      <text>
        <t xml:space="preserve">ES
SY - I don't think proving a + b + c = -1 doesn't get points</t>
      </text>
    </comment>
    <comment authorId="0" ref="J41">
      <text>
        <t xml:space="preserve">CW, answer + construction only
PD
</t>
      </text>
    </comment>
    <comment authorId="0" ref="E42">
      <text>
        <t xml:space="preserve">paul
OW
TD</t>
      </text>
    </comment>
    <comment authorId="0" ref="F42">
      <text>
        <t xml:space="preserve">ES
SY</t>
      </text>
    </comment>
    <comment authorId="0" ref="I42">
      <text>
        <t xml:space="preserve">CW
ok so hear me out
the solution is very close to getting the s_i idea from the (-1)-(0), (0)-(0), (-1)-(-1)
pigeonhole is also explicitly stated and used in the right way (if it were applied to the s_i)
AH
I agree, this solution is basically everything but the phrase "prefix sum"</t>
      </text>
    </comment>
    <comment authorId="0" ref="F43">
      <text>
        <t xml:space="preserve">ES
SY</t>
      </text>
    </comment>
    <comment authorId="0" ref="G43">
      <text>
        <t xml:space="preserve">CW</t>
      </text>
    </comment>
    <comment authorId="0" ref="H43">
      <text>
        <t xml:space="preserve">CW
AH</t>
      </text>
    </comment>
    <comment authorId="0" ref="I43">
      <text>
        <t xml:space="preserve">CW
AH</t>
      </text>
    </comment>
    <comment authorId="0" ref="J43">
      <text>
        <t xml:space="preserve">CW
PD</t>
      </text>
    </comment>
    <comment authorId="0" ref="E44">
      <text>
        <t xml:space="preserve">ow
ES</t>
      </text>
    </comment>
    <comment authorId="0" ref="F44">
      <text>
        <t xml:space="preserve">ES - got abc=0, tried to prove nothing else works. Got a+b+c=1, but everything else is messy. The whole proof is messy too (can't follow) - assigned a 0
CW - proved a+b+c=-1 and ab+bc+ca=0 conditional on a != c, then considered polynomial... feels quite good - assigned a 1
SY - Agree with CW, 1 for getting two vietas</t>
      </text>
    </comment>
    <comment authorId="0" ref="G44">
      <text>
        <t xml:space="preserve">CW</t>
      </text>
    </comment>
    <comment authorId="0" ref="I44">
      <text>
        <t xml:space="preserve">CW
AH</t>
      </text>
    </comment>
    <comment authorId="0" ref="J44">
      <text>
        <t xml:space="preserve">CW
PD</t>
      </text>
    </comment>
    <comment authorId="0" ref="E45">
      <text>
        <t xml:space="preserve">ow
py
TD</t>
      </text>
    </comment>
    <comment authorId="0" ref="F45">
      <text>
        <t xml:space="preserve">ES
SY</t>
      </text>
    </comment>
    <comment authorId="0" ref="F46">
      <text>
        <t xml:space="preserve">ES - made some progress, but logic went wrong after 1/3 of the page
SY</t>
      </text>
    </comment>
    <comment authorId="0" ref="F47">
      <text>
        <t xml:space="preserve">SY - Progress, but does not fit rubric. Although could argue for 1 point for considering polynomial.
ES - Same
CW - This is very close to a 1. I think dividing by abc without justification is enough to push it over the edge for me</t>
      </text>
    </comment>
    <comment authorId="0" ref="F48">
      <text>
        <t xml:space="preserve">ES - bad scan, probably 0-1 based on what I can see
CW - 0 i think (didnt prove anything second degree, also divided by a-b)
SY - 1? She got the two vieta equations correct (Page 27 of 80)
SY, ES Check #2, awarded one point</t>
      </text>
    </comment>
    <comment authorId="0" ref="I48">
      <text>
        <t xml:space="preserve">CW
AH</t>
      </text>
    </comment>
    <comment authorId="0" ref="E49">
      <text>
        <t xml:space="preserve">paul
ow (agree with -1 for insufficient explanation of AEXY cyclic)
TD (ok fine)</t>
      </text>
    </comment>
    <comment authorId="0" ref="F49">
      <text>
        <t xml:space="preserve">ES
SY - Got a^3 + a^2 ... </t>
      </text>
    </comment>
    <comment authorId="0" ref="I49">
      <text>
        <t xml:space="preserve">CW</t>
      </text>
    </comment>
    <comment authorId="0" ref="J49">
      <text>
        <t xml:space="preserve">CW
PD</t>
      </text>
    </comment>
    <comment authorId="0" ref="F51">
      <text>
        <t xml:space="preserve">SY - No significant progress
ES - Disagree, found ab+bc+ac=0, but will prob be at most 1
CW - Agree with SY and not ES, ab+bc+ca=0 was incorrectly deduced because Y^2 is not X^2+2Z, it is X+2Z.
SY_V2 - 0 Given after another check</t>
      </text>
    </comment>
    <comment authorId="0" ref="E52">
      <text>
        <t xml:space="preserve">ow
ES</t>
      </text>
    </comment>
    <comment authorId="0" ref="F52">
      <text>
        <t xml:space="preserve">ES - found b=0 works (logic doesn't flow anymore b/c div by b)
SY</t>
      </text>
    </comment>
    <comment authorId="0" ref="G52">
      <text>
        <t xml:space="preserve">CW</t>
      </text>
    </comment>
    <comment authorId="0" ref="H52">
      <text>
        <t xml:space="preserve">CW
AH</t>
      </text>
    </comment>
    <comment authorId="0" ref="I52">
      <text>
        <t xml:space="preserve">CW</t>
      </text>
    </comment>
    <comment authorId="0" ref="J52">
      <text>
        <t xml:space="preserve">CW
PD</t>
      </text>
    </comment>
    <comment authorId="0" ref="E53">
      <text>
        <t xml:space="preserve">ow
py
TD</t>
      </text>
    </comment>
    <comment authorId="0" ref="F53">
      <text>
        <t xml:space="preserve">ES
SY</t>
      </text>
    </comment>
    <comment authorId="0" ref="F54">
      <text>
        <t xml:space="preserve">ES - found abc=0 works, nothing else worked
SY - "Please be correct" is funny</t>
      </text>
    </comment>
    <comment authorId="0" ref="G54">
      <text>
        <t xml:space="preserve">CW</t>
      </text>
    </comment>
    <comment authorId="0" ref="J54">
      <text>
        <t xml:space="preserve">CW
PD</t>
      </text>
    </comment>
    <comment authorId="0" ref="E55">
      <text>
        <t xml:space="preserve">ow
ES</t>
      </text>
    </comment>
    <comment authorId="0" ref="J55">
      <text>
        <t xml:space="preserve">CW
PD</t>
      </text>
    </comment>
    <comment authorId="0" ref="F58">
      <text>
        <t xml:space="preserve">SY
ES</t>
      </text>
    </comment>
    <comment authorId="0" ref="F59">
      <text>
        <t xml:space="preserve">ES - i think should deserve a 1 but it's on the edge
SY - I think 0, no substantial progress was made. 1 could be plausible</t>
      </text>
    </comment>
    <comment authorId="0" ref="G59">
      <text>
        <t xml:space="preserve">CW</t>
      </text>
    </comment>
    <comment authorId="0" ref="I59">
      <text>
        <t xml:space="preserve">CW
AH</t>
      </text>
    </comment>
    <comment authorId="0" ref="J59">
      <text>
        <t xml:space="preserve">CW
PD</t>
      </text>
    </comment>
    <comment authorId="0" ref="E62">
      <text>
        <t xml:space="preserve">OW (slight mistake in &lt;ADC = a+c (should be 180-a-c))</t>
      </text>
    </comment>
    <comment authorId="0" ref="F62">
      <text>
        <t xml:space="preserve">ES 
SY</t>
      </text>
    </comment>
    <comment authorId="0" ref="F63">
      <text>
        <t xml:space="preserve">ES
SY</t>
      </text>
    </comment>
    <comment authorId="0" ref="E65">
      <text>
        <t xml:space="preserve">ow
ES</t>
      </text>
    </comment>
    <comment authorId="0" ref="E66">
      <text>
        <t xml:space="preserve">ow
TD</t>
      </text>
    </comment>
    <comment authorId="0" ref="F71">
      <text>
        <t xml:space="preserve">ES
SY - This kid is so honest</t>
      </text>
    </comment>
    <comment authorId="0" ref="H71">
      <text>
        <t xml:space="preserve">CW
AH</t>
      </text>
    </comment>
    <comment authorId="0" ref="J71">
      <text>
        <t xml:space="preserve">CW
PD</t>
      </text>
    </comment>
    <comment authorId="0" ref="H72">
      <text>
        <t xml:space="preserve">CW
AH</t>
      </text>
    </comment>
    <comment authorId="0" ref="J72">
      <text>
        <t xml:space="preserve">CW
PD</t>
      </text>
    </comment>
    <comment authorId="0" ref="E74">
      <text>
        <t xml:space="preserve">Paul
OW
TD</t>
      </text>
    </comment>
    <comment authorId="0" ref="F74">
      <text>
        <t xml:space="preserve">ES
SY - Solved a^3 + a^2 = ...</t>
      </text>
    </comment>
    <comment authorId="0" ref="G74">
      <text>
        <t xml:space="preserve">CW</t>
      </text>
    </comment>
    <comment authorId="0" ref="I74">
      <text>
        <t xml:space="preserve">CW
AH</t>
      </text>
    </comment>
    <comment authorId="0" ref="J74">
      <text>
        <t xml:space="preserve">CW
PD</t>
      </text>
    </comment>
    <comment authorId="0" ref="F76">
      <text>
        <t xml:space="preserve">ES - got a+b+c=-1, ab+ac+bc=0, should be worth something
SY - Yes, this is worth 1 point</t>
      </text>
    </comment>
    <comment authorId="0" ref="I76">
      <text>
        <t xml:space="preserve">CW
AH</t>
      </text>
    </comment>
    <comment authorId="0" ref="F77">
      <text>
        <t xml:space="preserve">ES - no progress
CW</t>
      </text>
    </comment>
    <comment authorId="0" ref="J79">
      <text>
        <t xml:space="preserve">CW
PD</t>
      </text>
    </comment>
    <comment authorId="0" ref="E81">
      <text>
        <t xml:space="preserve">ow
ES
</t>
      </text>
    </comment>
    <comment authorId="0" ref="F81">
      <text>
        <t xml:space="preserve">SY - Not correct
Who was the second person?
CW (not the second person)
</t>
      </text>
    </comment>
    <comment authorId="0" ref="J81">
      <text>
        <t xml:space="preserve">CW
PD</t>
      </text>
    </comment>
    <comment authorId="0" ref="E83">
      <text>
        <t xml:space="preserve">paul
ow
TD</t>
      </text>
    </comment>
    <comment authorId="0" ref="F83">
      <text>
        <t xml:space="preserve">ES
SY</t>
      </text>
    </comment>
    <comment authorId="0" ref="G83">
      <text>
        <t xml:space="preserve">CW</t>
      </text>
    </comment>
    <comment authorId="0" ref="H83">
      <text>
        <t xml:space="preserve">CW
AH</t>
      </text>
    </comment>
    <comment authorId="0" ref="I83">
      <text>
        <t xml:space="preserve">CW
AH</t>
      </text>
    </comment>
    <comment authorId="0" ref="J83">
      <text>
        <t xml:space="preserve">CW
PD</t>
      </text>
    </comment>
    <comment authorId="0" ref="E85">
      <text>
        <t xml:space="preserve">ow
Py
TD</t>
      </text>
    </comment>
    <comment authorId="0" ref="F85">
      <text>
        <t xml:space="preserve">ES
SY</t>
      </text>
    </comment>
    <comment authorId="0" ref="G85">
      <text>
        <t xml:space="preserve">CW</t>
      </text>
    </comment>
    <comment authorId="0" ref="H85">
      <text>
        <t xml:space="preserve">CW
AH</t>
      </text>
    </comment>
    <comment authorId="0" ref="I85">
      <text>
        <t xml:space="preserve">CW
AH</t>
      </text>
    </comment>
    <comment authorId="0" ref="J85">
      <text>
        <t xml:space="preserve">CW
PD</t>
      </text>
    </comment>
    <comment authorId="0" ref="F86">
      <text>
        <t xml:space="preserve">ES - found abc=0 works but nothing else
SY</t>
      </text>
    </comment>
    <comment authorId="0" ref="E87">
      <text>
        <t xml:space="preserve">ow
TD</t>
      </text>
    </comment>
    <comment authorId="0" ref="F87">
      <text>
        <t xml:space="preserve">SY - Some work, not enough for 1 point
ES - agree
CW</t>
      </text>
    </comment>
    <comment authorId="0" ref="G87">
      <text>
        <t xml:space="preserve">CW</t>
      </text>
    </comment>
    <comment authorId="0" ref="J87">
      <text>
        <t xml:space="preserve">CW
PD</t>
      </text>
    </comment>
    <comment authorId="0" ref="E88">
      <text>
        <t xml:space="preserve">OW
PY
TD</t>
      </text>
    </comment>
    <comment authorId="0" ref="F88">
      <text>
        <t xml:space="preserve">ES - how does bro dodge the dock the rubric should be better
SY - I think he considered all cases?</t>
      </text>
    </comment>
    <comment authorId="0" ref="G88">
      <text>
        <t xml:space="preserve">CW, bro dodged the dock</t>
      </text>
    </comment>
    <comment authorId="0" ref="H88">
      <text>
        <t xml:space="preserve">CW, bro dodged the dock
AH, dock when</t>
      </text>
    </comment>
    <comment authorId="0" ref="E89">
      <text>
        <t xml:space="preserve">OW
ES</t>
      </text>
    </comment>
    <comment authorId="0" ref="F89">
      <text>
        <t xml:space="preserve">ES - unreadable handwriting :skull:
SY - readable handwriting, I think it's a 6. (I can explain solution for anyone who needs it)</t>
      </text>
    </comment>
    <comment authorId="0" ref="H89">
      <text>
        <t xml:space="preserve">CW
AH</t>
      </text>
    </comment>
    <comment authorId="0" ref="F90">
      <text>
        <t xml:space="preserve">ES
SY - Not much significant progress
CW</t>
      </text>
    </comment>
    <comment authorId="0" ref="F91">
      <text>
        <t xml:space="preserve">ES - found a^2(a+1)=b^2(b+a)=...
equivelant to rubric
SY - Lucky kid</t>
      </text>
    </comment>
    <comment authorId="0" ref="G91">
      <text>
        <t xml:space="preserve">CW</t>
      </text>
    </comment>
    <comment authorId="0" ref="E92">
      <text>
        <t xml:space="preserve">ow
ES</t>
      </text>
    </comment>
  </commentList>
</comments>
</file>

<file path=xl/sharedStrings.xml><?xml version="1.0" encoding="utf-8"?>
<sst xmlns="http://schemas.openxmlformats.org/spreadsheetml/2006/main" count="14006" uniqueCount="2786">
  <si>
    <t>che</t>
  </si>
  <si>
    <t>Ion ID</t>
  </si>
  <si>
    <t>Overall Index</t>
  </si>
  <si>
    <t>Duke 1</t>
  </si>
  <si>
    <t>Duke 2</t>
  </si>
  <si>
    <t>Duke 3</t>
  </si>
  <si>
    <t>Duke 4</t>
  </si>
  <si>
    <t>Proof</t>
  </si>
  <si>
    <t>2026rwang</t>
  </si>
  <si>
    <t>2028syan</t>
  </si>
  <si>
    <t>2026mzhao</t>
  </si>
  <si>
    <t>2027pdu</t>
  </si>
  <si>
    <t>2027smahmud</t>
  </si>
  <si>
    <t>2026jma</t>
  </si>
  <si>
    <t>2028szhang</t>
  </si>
  <si>
    <t>2027esombhat</t>
  </si>
  <si>
    <t>2028mlin</t>
  </si>
  <si>
    <t>2027vcao</t>
  </si>
  <si>
    <t>2027ahao</t>
  </si>
  <si>
    <t>2027itennyso</t>
  </si>
  <si>
    <t>2029adu</t>
  </si>
  <si>
    <t>2026rsingh2</t>
  </si>
  <si>
    <t>2029jdu</t>
  </si>
  <si>
    <t>2027achu</t>
  </si>
  <si>
    <t>2027eguo</t>
  </si>
  <si>
    <t>2029nmaloney</t>
  </si>
  <si>
    <t>2029sbi</t>
  </si>
  <si>
    <t xml:space="preserve"> </t>
  </si>
  <si>
    <t>2028ktabakov</t>
  </si>
  <si>
    <t>2027eshan</t>
  </si>
  <si>
    <t>2026owu</t>
  </si>
  <si>
    <t>2027mbu</t>
  </si>
  <si>
    <t>2029wli</t>
  </si>
  <si>
    <t>2028yli</t>
  </si>
  <si>
    <t>2026cmorimot</t>
  </si>
  <si>
    <t>2028gkeeler</t>
  </si>
  <si>
    <t>2029gbatkhuu</t>
  </si>
  <si>
    <t>2027achakrav</t>
  </si>
  <si>
    <t>2027eqiu</t>
  </si>
  <si>
    <t>2027nliang</t>
  </si>
  <si>
    <t>2027sbisht</t>
  </si>
  <si>
    <t>2028athota</t>
  </si>
  <si>
    <t>2028dhe</t>
  </si>
  <si>
    <t>2028rzhao</t>
  </si>
  <si>
    <t>2028dvladimi</t>
  </si>
  <si>
    <t>2028sari</t>
  </si>
  <si>
    <t>2029mkim1</t>
  </si>
  <si>
    <t>2029yahn</t>
  </si>
  <si>
    <t>2029amahapat</t>
  </si>
  <si>
    <t>2029achennad</t>
  </si>
  <si>
    <t>2028cwang</t>
  </si>
  <si>
    <t>2029snandaku</t>
  </si>
  <si>
    <t>2029lkim</t>
  </si>
  <si>
    <t>2029bwang</t>
  </si>
  <si>
    <t>2029lzhao</t>
  </si>
  <si>
    <t>2029gxie</t>
  </si>
  <si>
    <t>2026abaradhi</t>
  </si>
  <si>
    <t>2028asu</t>
  </si>
  <si>
    <t>2029alee</t>
  </si>
  <si>
    <t>2027etran</t>
  </si>
  <si>
    <t>2027pyoo</t>
  </si>
  <si>
    <t>2027spark</t>
  </si>
  <si>
    <t>2028asomired</t>
  </si>
  <si>
    <t>2028tdeng</t>
  </si>
  <si>
    <t>2028elin</t>
  </si>
  <si>
    <t>2027dkharito</t>
  </si>
  <si>
    <t>2029kshen</t>
  </si>
  <si>
    <t>2028gkanakad</t>
  </si>
  <si>
    <t>2028bkong</t>
  </si>
  <si>
    <t>2029rkallama</t>
  </si>
  <si>
    <t>2028hneiberl</t>
  </si>
  <si>
    <t>2028pmotahar</t>
  </si>
  <si>
    <t>2028yshafi</t>
  </si>
  <si>
    <t>2029wyu</t>
  </si>
  <si>
    <t>2029lyin</t>
  </si>
  <si>
    <t>2028dmotahar</t>
  </si>
  <si>
    <t>2029abose</t>
  </si>
  <si>
    <t>2029vbal</t>
  </si>
  <si>
    <t>2029vkhambha</t>
  </si>
  <si>
    <t>2029vchu</t>
  </si>
  <si>
    <t>2028jliu1</t>
  </si>
  <si>
    <t>2028cyoo</t>
  </si>
  <si>
    <t>2029eschellh</t>
  </si>
  <si>
    <t>2029rnagaban</t>
  </si>
  <si>
    <t>2029tdondapa</t>
  </si>
  <si>
    <t>2029bchu</t>
  </si>
  <si>
    <t>2027ayan</t>
  </si>
  <si>
    <t>2029wzhang</t>
  </si>
  <si>
    <t>2027rguo</t>
  </si>
  <si>
    <t>2028bhan</t>
  </si>
  <si>
    <t>2028agupta</t>
  </si>
  <si>
    <t>2029exu</t>
  </si>
  <si>
    <t>2028aliu</t>
  </si>
  <si>
    <t>2026than</t>
  </si>
  <si>
    <t>2027cchen</t>
  </si>
  <si>
    <t>2026mzuo</t>
  </si>
  <si>
    <t>2027jlee1</t>
  </si>
  <si>
    <t>2028dduong</t>
  </si>
  <si>
    <t>2028palladu</t>
  </si>
  <si>
    <t>2028ylin</t>
  </si>
  <si>
    <t>2028che</t>
  </si>
  <si>
    <t>2026jshowers</t>
  </si>
  <si>
    <t>2026dchoi</t>
  </si>
  <si>
    <t>2026ejaldint</t>
  </si>
  <si>
    <t>2026rnarayan</t>
  </si>
  <si>
    <t>2026jyu</t>
  </si>
  <si>
    <t>2026cjobe</t>
  </si>
  <si>
    <t>2026apark</t>
  </si>
  <si>
    <t>2026jtammire</t>
  </si>
  <si>
    <t>2026smainali</t>
  </si>
  <si>
    <t>2026mverma</t>
  </si>
  <si>
    <t>2026mperalta</t>
  </si>
  <si>
    <t>2026schoudry</t>
  </si>
  <si>
    <t>2026sguo1</t>
  </si>
  <si>
    <t>2026bshomuro</t>
  </si>
  <si>
    <t>2026aahmed</t>
  </si>
  <si>
    <t>2026akatiki</t>
  </si>
  <si>
    <t>2026aszeto</t>
  </si>
  <si>
    <t>2026jchung</t>
  </si>
  <si>
    <t>2026jzhou</t>
  </si>
  <si>
    <t>2026ghuang</t>
  </si>
  <si>
    <t>2026dfeng</t>
  </si>
  <si>
    <t>2026yramirez</t>
  </si>
  <si>
    <t>2026houallah</t>
  </si>
  <si>
    <t>2026svedula</t>
  </si>
  <si>
    <t>2026ddoddabe</t>
  </si>
  <si>
    <t>2026skidiyoo</t>
  </si>
  <si>
    <t>2027yzahid</t>
  </si>
  <si>
    <t>2026fzhang</t>
  </si>
  <si>
    <t>2027zliu</t>
  </si>
  <si>
    <t>2027kparmar</t>
  </si>
  <si>
    <t>2027ohannan</t>
  </si>
  <si>
    <t>2027szaman</t>
  </si>
  <si>
    <t>2026rpathuri</t>
  </si>
  <si>
    <t>2027zizzi</t>
  </si>
  <si>
    <t>2026ipark</t>
  </si>
  <si>
    <t>2027mkallurk</t>
  </si>
  <si>
    <t>2026jshi</t>
  </si>
  <si>
    <t>2027aanurag</t>
  </si>
  <si>
    <t>2026anadakud</t>
  </si>
  <si>
    <t>2027bko</t>
  </si>
  <si>
    <t>2027nmaha</t>
  </si>
  <si>
    <t>2027fyeboah</t>
  </si>
  <si>
    <t>2027tmendu</t>
  </si>
  <si>
    <t>2027ltrachte</t>
  </si>
  <si>
    <t>2027hle1</t>
  </si>
  <si>
    <t>2027jdurr</t>
  </si>
  <si>
    <t>2026rashraf</t>
  </si>
  <si>
    <t>2027rmohamed1</t>
  </si>
  <si>
    <t>2027edulguun</t>
  </si>
  <si>
    <t>2027mthathin</t>
  </si>
  <si>
    <t>2026ralahmad</t>
  </si>
  <si>
    <t>2026coh</t>
  </si>
  <si>
    <t>2027tho</t>
  </si>
  <si>
    <t>2027esabol</t>
  </si>
  <si>
    <t>2026tvuppala</t>
  </si>
  <si>
    <t>2026pkissele</t>
  </si>
  <si>
    <t>2027sparvez</t>
  </si>
  <si>
    <t>2026aagarwal</t>
  </si>
  <si>
    <t>2027sstolfa</t>
  </si>
  <si>
    <t>2027klee1</t>
  </si>
  <si>
    <t>2026hnittala</t>
  </si>
  <si>
    <t>2027agaggutu</t>
  </si>
  <si>
    <t>2027atalreja</t>
  </si>
  <si>
    <t>2027abanerje</t>
  </si>
  <si>
    <t>2026mraza</t>
  </si>
  <si>
    <t>2027achoudha</t>
  </si>
  <si>
    <t>2027amallang</t>
  </si>
  <si>
    <t>2027asondhi</t>
  </si>
  <si>
    <t>2027sjain</t>
  </si>
  <si>
    <t>2027echoi</t>
  </si>
  <si>
    <t>2027cfu</t>
  </si>
  <si>
    <t>2027dganeshk</t>
  </si>
  <si>
    <t>2027vrayavar</t>
  </si>
  <si>
    <t>2027rganzori</t>
  </si>
  <si>
    <t>2027nliao</t>
  </si>
  <si>
    <t>2027aagili</t>
  </si>
  <si>
    <t>2027amuppa</t>
  </si>
  <si>
    <t>2027adasgupt</t>
  </si>
  <si>
    <t>2027skuncha</t>
  </si>
  <si>
    <t>2027ztashfee</t>
  </si>
  <si>
    <t>2027tdao</t>
  </si>
  <si>
    <t>2026nnikolic</t>
  </si>
  <si>
    <t>2026dariunbo</t>
  </si>
  <si>
    <t>2027slamarti</t>
  </si>
  <si>
    <t>2027agao</t>
  </si>
  <si>
    <t>2027agarg</t>
  </si>
  <si>
    <t>2027etoth</t>
  </si>
  <si>
    <t>2026lzhu</t>
  </si>
  <si>
    <t>2027sli</t>
  </si>
  <si>
    <t>2027nsadinen</t>
  </si>
  <si>
    <t>2026hhuang</t>
  </si>
  <si>
    <t>2027ayee</t>
  </si>
  <si>
    <t>2027jzhang</t>
  </si>
  <si>
    <t>2027mparthas</t>
  </si>
  <si>
    <t>2027ayee1</t>
  </si>
  <si>
    <t>2027nfarooqu</t>
  </si>
  <si>
    <t>2027hzanbrak</t>
  </si>
  <si>
    <t>2027vraj</t>
  </si>
  <si>
    <t>2027isaxena</t>
  </si>
  <si>
    <t>2027akoundin</t>
  </si>
  <si>
    <t>2027tganesh</t>
  </si>
  <si>
    <t>2027mtaher</t>
  </si>
  <si>
    <t>2027agutheri</t>
  </si>
  <si>
    <t>2027tbilegor</t>
  </si>
  <si>
    <t>2027aamador</t>
  </si>
  <si>
    <t>2026cknable</t>
  </si>
  <si>
    <t>2027rgao</t>
  </si>
  <si>
    <t>2027gyuan</t>
  </si>
  <si>
    <t>2027hqin</t>
  </si>
  <si>
    <t>2026jzhang</t>
  </si>
  <si>
    <t>2027ezhang</t>
  </si>
  <si>
    <t>2027asachdev</t>
  </si>
  <si>
    <t>2027hsingh</t>
  </si>
  <si>
    <t>2026mhashemi</t>
  </si>
  <si>
    <t>2027nmahajan1</t>
  </si>
  <si>
    <t>2026zbantasa</t>
  </si>
  <si>
    <t>2026zhashimi</t>
  </si>
  <si>
    <t>2027achitla</t>
  </si>
  <si>
    <t>2026anaidan</t>
  </si>
  <si>
    <t>2026dpark</t>
  </si>
  <si>
    <t>2027kyang</t>
  </si>
  <si>
    <t>2027ochu</t>
  </si>
  <si>
    <t>2027akode</t>
  </si>
  <si>
    <t>2027ecui</t>
  </si>
  <si>
    <t>2027awang1</t>
  </si>
  <si>
    <t>2027mpeng</t>
  </si>
  <si>
    <t>2027adeshpan</t>
  </si>
  <si>
    <t>2027axu</t>
  </si>
  <si>
    <t>2026cqiao</t>
  </si>
  <si>
    <t>2026kanyaleb</t>
  </si>
  <si>
    <t>2026ehe</t>
  </si>
  <si>
    <t>2027ddebrecz</t>
  </si>
  <si>
    <t>2026khicklin</t>
  </si>
  <si>
    <t>2027aliu</t>
  </si>
  <si>
    <t>2026mguo</t>
  </si>
  <si>
    <t>2026klee</t>
  </si>
  <si>
    <t>2027aliu1</t>
  </si>
  <si>
    <t>2026nnandaku</t>
  </si>
  <si>
    <t>2027dramesh</t>
  </si>
  <si>
    <t>2027adeodhar</t>
  </si>
  <si>
    <t>2026sarun</t>
  </si>
  <si>
    <t>2027lham</t>
  </si>
  <si>
    <t>2027dkumar</t>
  </si>
  <si>
    <t>2026skudapa</t>
  </si>
  <si>
    <t>2027rmantri</t>
  </si>
  <si>
    <t>2026airuvant</t>
  </si>
  <si>
    <t>2027smccaski</t>
  </si>
  <si>
    <t>2027alam</t>
  </si>
  <si>
    <t>2027jyuan</t>
  </si>
  <si>
    <t>2027jfleming</t>
  </si>
  <si>
    <t>2027ksaad</t>
  </si>
  <si>
    <t>2026tbhandar</t>
  </si>
  <si>
    <t>2026jchang1</t>
  </si>
  <si>
    <t>2027ybaranwa</t>
  </si>
  <si>
    <t>2026gpham</t>
  </si>
  <si>
    <t>2026hhan</t>
  </si>
  <si>
    <t>2026syalaman</t>
  </si>
  <si>
    <t>2026svijay</t>
  </si>
  <si>
    <t>2026kkim1</t>
  </si>
  <si>
    <t>2027alwin</t>
  </si>
  <si>
    <t>2027rqi</t>
  </si>
  <si>
    <t>2027lzhong</t>
  </si>
  <si>
    <t>2026pvaddi</t>
  </si>
  <si>
    <t>2027vmaniar</t>
  </si>
  <si>
    <t>2027jgao</t>
  </si>
  <si>
    <t>2027chong</t>
  </si>
  <si>
    <t>2027traffo</t>
  </si>
  <si>
    <t>2027jlin</t>
  </si>
  <si>
    <t>2027sahmadza</t>
  </si>
  <si>
    <t>2027gguzman</t>
  </si>
  <si>
    <t>2027dsrivast</t>
  </si>
  <si>
    <t>2027ekim</t>
  </si>
  <si>
    <t>2027aolmosfr</t>
  </si>
  <si>
    <t>2027etouch</t>
  </si>
  <si>
    <t>2027btur</t>
  </si>
  <si>
    <t>2028lkang</t>
  </si>
  <si>
    <t>2028relias</t>
  </si>
  <si>
    <t>2028dhwang</t>
  </si>
  <si>
    <t>2027rbala</t>
  </si>
  <si>
    <t>2027arao</t>
  </si>
  <si>
    <t>2028apothira</t>
  </si>
  <si>
    <t>2028wmcquirt</t>
  </si>
  <si>
    <t>2027sdamico</t>
  </si>
  <si>
    <t>2027ijoshi</t>
  </si>
  <si>
    <t>2028sgaligut</t>
  </si>
  <si>
    <t>2027apesalad</t>
  </si>
  <si>
    <t>2026apabolu</t>
  </si>
  <si>
    <t>2028dbhooma</t>
  </si>
  <si>
    <t>2028rtian</t>
  </si>
  <si>
    <t>2028zrasti</t>
  </si>
  <si>
    <t>2028ykang</t>
  </si>
  <si>
    <t>2028adeevi</t>
  </si>
  <si>
    <t>2028jli1</t>
  </si>
  <si>
    <t>2028ssurapan</t>
  </si>
  <si>
    <t>2028jloyolag</t>
  </si>
  <si>
    <t>2028vlee</t>
  </si>
  <si>
    <t>2028bjonuzaj</t>
  </si>
  <si>
    <t>2028srao</t>
  </si>
  <si>
    <t>2027sbitar</t>
  </si>
  <si>
    <t>2028aangirek</t>
  </si>
  <si>
    <t>2028ldober</t>
  </si>
  <si>
    <t>2028adoppala</t>
  </si>
  <si>
    <t>2028lmeng</t>
  </si>
  <si>
    <t>2028ahuang</t>
  </si>
  <si>
    <t>2028gagilan</t>
  </si>
  <si>
    <t>2028dsubedi</t>
  </si>
  <si>
    <t>2027ddeng</t>
  </si>
  <si>
    <t>2028jjesudas</t>
  </si>
  <si>
    <t>2028asun</t>
  </si>
  <si>
    <t>2028bnguyen</t>
  </si>
  <si>
    <t>2027mhuang</t>
  </si>
  <si>
    <t>2028hzhou</t>
  </si>
  <si>
    <t>2027ikim</t>
  </si>
  <si>
    <t>2027mvaddi</t>
  </si>
  <si>
    <t>2028jprasad</t>
  </si>
  <si>
    <t>2027rredrout</t>
  </si>
  <si>
    <t>2027vlee</t>
  </si>
  <si>
    <t>2028efeldman</t>
  </si>
  <si>
    <t>2028pmishra</t>
  </si>
  <si>
    <t>2028sliu</t>
  </si>
  <si>
    <t>2028glee</t>
  </si>
  <si>
    <t>2028dpeng</t>
  </si>
  <si>
    <t>2028olevine</t>
  </si>
  <si>
    <t>2028gmarshal</t>
  </si>
  <si>
    <t>2028srangara</t>
  </si>
  <si>
    <t>2028ana</t>
  </si>
  <si>
    <t>2028jchan</t>
  </si>
  <si>
    <t>2028dwu</t>
  </si>
  <si>
    <t>2028scarter</t>
  </si>
  <si>
    <t>2028smahendr</t>
  </si>
  <si>
    <t>2028gzhang</t>
  </si>
  <si>
    <t>2028alee</t>
  </si>
  <si>
    <t>2028osazhyn</t>
  </si>
  <si>
    <t>2028dkhiev</t>
  </si>
  <si>
    <t>2028zzahid</t>
  </si>
  <si>
    <t>2028apokhrel</t>
  </si>
  <si>
    <t>2027aagrawal</t>
  </si>
  <si>
    <t>2028rsamanth</t>
  </si>
  <si>
    <t>2027hbanerje</t>
  </si>
  <si>
    <t>2028asharma</t>
  </si>
  <si>
    <t>2028krudinsk</t>
  </si>
  <si>
    <t>2028sli</t>
  </si>
  <si>
    <t>2028abhatt</t>
  </si>
  <si>
    <t>2028sthammis</t>
  </si>
  <si>
    <t>2028dmichett</t>
  </si>
  <si>
    <t>2028ezhang1</t>
  </si>
  <si>
    <t>2028asuwal</t>
  </si>
  <si>
    <t>2028bvijayan</t>
  </si>
  <si>
    <t>2028achoudha</t>
  </si>
  <si>
    <t>2028bxi</t>
  </si>
  <si>
    <t>2028egu</t>
  </si>
  <si>
    <t>2028ssandova</t>
  </si>
  <si>
    <t>2027nmahajan</t>
  </si>
  <si>
    <t>2026nramarap</t>
  </si>
  <si>
    <t>2028coh</t>
  </si>
  <si>
    <t>2028mayyalas</t>
  </si>
  <si>
    <t>2028kzhang</t>
  </si>
  <si>
    <t>2027npillai</t>
  </si>
  <si>
    <t>2028msolow</t>
  </si>
  <si>
    <t>2028rdamodar</t>
  </si>
  <si>
    <t>2028ato</t>
  </si>
  <si>
    <t>2028szeyne</t>
  </si>
  <si>
    <t>2028hkatram</t>
  </si>
  <si>
    <t>2027sparimi</t>
  </si>
  <si>
    <t>2028epenumat</t>
  </si>
  <si>
    <t>2028alee1</t>
  </si>
  <si>
    <t>2026atendulk</t>
  </si>
  <si>
    <t>2028kzhou</t>
  </si>
  <si>
    <t>2028tnguyen</t>
  </si>
  <si>
    <t>2028eweaver</t>
  </si>
  <si>
    <t>2028cchiquit</t>
  </si>
  <si>
    <t>2028sanand</t>
  </si>
  <si>
    <t>2028skanagal</t>
  </si>
  <si>
    <t>2028pchivuku</t>
  </si>
  <si>
    <t>2028sburri</t>
  </si>
  <si>
    <t>2028kkulkarn</t>
  </si>
  <si>
    <t>2028mcui</t>
  </si>
  <si>
    <t>2027jlee</t>
  </si>
  <si>
    <t>2027dle</t>
  </si>
  <si>
    <t>2028nkhandel</t>
  </si>
  <si>
    <t>2028ragarwal</t>
  </si>
  <si>
    <t>2028tekici</t>
  </si>
  <si>
    <t>2028zliskovy</t>
  </si>
  <si>
    <t>2027tpark</t>
  </si>
  <si>
    <t>2027sshaik</t>
  </si>
  <si>
    <t>2027mnguyen1</t>
  </si>
  <si>
    <t>2026azhao</t>
  </si>
  <si>
    <t>2027lbui</t>
  </si>
  <si>
    <t>2027ksu</t>
  </si>
  <si>
    <t>2028sshanmug</t>
  </si>
  <si>
    <t>2028apendum</t>
  </si>
  <si>
    <t>2028eyou</t>
  </si>
  <si>
    <t>2028slugovoy</t>
  </si>
  <si>
    <t>2027eanteneh</t>
  </si>
  <si>
    <t>2028ebatsukh</t>
  </si>
  <si>
    <t>2028sseth</t>
  </si>
  <si>
    <t>2028jross</t>
  </si>
  <si>
    <t>2027dlee</t>
  </si>
  <si>
    <t>2028schow</t>
  </si>
  <si>
    <t>2026aislam1</t>
  </si>
  <si>
    <t>2028achintam</t>
  </si>
  <si>
    <t>2028churwitz</t>
  </si>
  <si>
    <t>2027mritter</t>
  </si>
  <si>
    <t>2027gannamal</t>
  </si>
  <si>
    <t>2028vmori</t>
  </si>
  <si>
    <t>2026dtislin</t>
  </si>
  <si>
    <t>2026nramesh</t>
  </si>
  <si>
    <t>2028akashyap</t>
  </si>
  <si>
    <t>2028tadhikar</t>
  </si>
  <si>
    <t>2027ssaladi</t>
  </si>
  <si>
    <t>2028pkethire</t>
  </si>
  <si>
    <t>2029aacharya</t>
  </si>
  <si>
    <t>2029akhan</t>
  </si>
  <si>
    <t>2029jkaur</t>
  </si>
  <si>
    <t>2029nyerra</t>
  </si>
  <si>
    <t>2029lhsu</t>
  </si>
  <si>
    <t>2029arokari</t>
  </si>
  <si>
    <t>2029jsohn</t>
  </si>
  <si>
    <t>2027cyang</t>
  </si>
  <si>
    <t>2029agupta</t>
  </si>
  <si>
    <t>2029slakshmi</t>
  </si>
  <si>
    <t>2029kgriggs</t>
  </si>
  <si>
    <t>2028tstanis</t>
  </si>
  <si>
    <t>2028ssuryapr</t>
  </si>
  <si>
    <t>2029hlee1</t>
  </si>
  <si>
    <t>2029jxu</t>
  </si>
  <si>
    <t>2029zxu</t>
  </si>
  <si>
    <t>2028aahmed</t>
  </si>
  <si>
    <t>2029azhang</t>
  </si>
  <si>
    <t>2026exie</t>
  </si>
  <si>
    <t>2026shou</t>
  </si>
  <si>
    <t>2026ludeshi</t>
  </si>
  <si>
    <t>2026achen</t>
  </si>
  <si>
    <t>2026elee</t>
  </si>
  <si>
    <t>2026akrishna</t>
  </si>
  <si>
    <t>2026jgeorge</t>
  </si>
  <si>
    <t>2026jkim2</t>
  </si>
  <si>
    <t>2026owang</t>
  </si>
  <si>
    <t>2026asingh</t>
  </si>
  <si>
    <t>2026asharma</t>
  </si>
  <si>
    <t>2026iharchic</t>
  </si>
  <si>
    <t>2026sshen</t>
  </si>
  <si>
    <t>2026nkerr</t>
  </si>
  <si>
    <t>2026agarg</t>
  </si>
  <si>
    <t>2026ecai</t>
  </si>
  <si>
    <t>2026svemuri</t>
  </si>
  <si>
    <t>2026cli</t>
  </si>
  <si>
    <t>2026ykwon</t>
  </si>
  <si>
    <t>2026lhuang</t>
  </si>
  <si>
    <t>2026sdua</t>
  </si>
  <si>
    <t>2026jchen</t>
  </si>
  <si>
    <t>2026aahmad</t>
  </si>
  <si>
    <t>2026ksadiora</t>
  </si>
  <si>
    <t>2026rdiao</t>
  </si>
  <si>
    <t>2026cxu</t>
  </si>
  <si>
    <t>2026jcheng</t>
  </si>
  <si>
    <t>2026rkukreja</t>
  </si>
  <si>
    <t>2026rsingh1</t>
  </si>
  <si>
    <t>2026sliao</t>
  </si>
  <si>
    <t>2026mpappula</t>
  </si>
  <si>
    <t>2026ssingla</t>
  </si>
  <si>
    <t>2026hlee</t>
  </si>
  <si>
    <t>2026rdu</t>
  </si>
  <si>
    <t>2026isengar</t>
  </si>
  <si>
    <t>2026nrao</t>
  </si>
  <si>
    <t>2026anarayan</t>
  </si>
  <si>
    <t>2026llim</t>
  </si>
  <si>
    <t>2026bburrows</t>
  </si>
  <si>
    <t>2026aperi</t>
  </si>
  <si>
    <t>2026jyang</t>
  </si>
  <si>
    <t>2026kslate</t>
  </si>
  <si>
    <t>2026aganguly</t>
  </si>
  <si>
    <t>2026nliu</t>
  </si>
  <si>
    <t>2026cbui</t>
  </si>
  <si>
    <t>2026swettimu</t>
  </si>
  <si>
    <t>2026kodo</t>
  </si>
  <si>
    <t>2026asharma1</t>
  </si>
  <si>
    <t>2026sbharatu</t>
  </si>
  <si>
    <t>2026clee</t>
  </si>
  <si>
    <t>2026csheng</t>
  </si>
  <si>
    <t>2026dsundare</t>
  </si>
  <si>
    <t>2026rkashif</t>
  </si>
  <si>
    <t>2026jhernand</t>
  </si>
  <si>
    <t>2026skesarwa</t>
  </si>
  <si>
    <t>2026rcheng</t>
  </si>
  <si>
    <t>2026hkim</t>
  </si>
  <si>
    <t>2026akhan</t>
  </si>
  <si>
    <t>2026jkim</t>
  </si>
  <si>
    <t>2026ssubrama</t>
  </si>
  <si>
    <t>2026nrehman</t>
  </si>
  <si>
    <t>2026iyim</t>
  </si>
  <si>
    <t>2026wdaghmas</t>
  </si>
  <si>
    <t>2026rarora</t>
  </si>
  <si>
    <t>2026aenkhtai</t>
  </si>
  <si>
    <t>2026frattani</t>
  </si>
  <si>
    <t>experimental 20% proof weighting</t>
  </si>
  <si>
    <t>sharahil moment</t>
  </si>
  <si>
    <t>rip paul</t>
  </si>
  <si>
    <t>Index</t>
  </si>
  <si>
    <t>userId</t>
  </si>
  <si>
    <t>Total</t>
  </si>
  <si>
    <t>P1</t>
  </si>
  <si>
    <t>P2</t>
  </si>
  <si>
    <t>P3</t>
  </si>
  <si>
    <t>P4</t>
  </si>
  <si>
    <t>P5</t>
  </si>
  <si>
    <t>P6</t>
  </si>
  <si>
    <t>Top 12 Average</t>
  </si>
  <si>
    <t>SUMS</t>
  </si>
  <si>
    <t>2026agupta</t>
  </si>
  <si>
    <t>2027yli</t>
  </si>
  <si>
    <t>2027nchu</t>
  </si>
  <si>
    <t>2029jshah1</t>
  </si>
  <si>
    <t>2028dpark</t>
  </si>
  <si>
    <t>2029aliu</t>
  </si>
  <si>
    <t>2028nbhaskar</t>
  </si>
  <si>
    <t>2028jlai</t>
  </si>
  <si>
    <t>2028ngole</t>
  </si>
  <si>
    <t>2029ashah</t>
  </si>
  <si>
    <t>2027kkuppusa</t>
  </si>
  <si>
    <t>2028ccastell</t>
  </si>
  <si>
    <t>2027eoh</t>
  </si>
  <si>
    <t>2029ahannan</t>
  </si>
  <si>
    <t>2029smandsag</t>
  </si>
  <si>
    <t>2029hli</t>
  </si>
  <si>
    <t>2029ppark</t>
  </si>
  <si>
    <t>2029jnam</t>
  </si>
  <si>
    <t>2028sdoma</t>
  </si>
  <si>
    <t>2029spervez</t>
  </si>
  <si>
    <t>2029serten</t>
  </si>
  <si>
    <t>2029dkim1</t>
  </si>
  <si>
    <t>2028kgadhia</t>
  </si>
  <si>
    <t>2028jmodi</t>
  </si>
  <si>
    <t>2029btan</t>
  </si>
  <si>
    <t>2027slam</t>
  </si>
  <si>
    <t>2029jpham</t>
  </si>
  <si>
    <t>2029cle</t>
  </si>
  <si>
    <t>2029vshah</t>
  </si>
  <si>
    <t>2029ahasan</t>
  </si>
  <si>
    <t>2029adeng</t>
  </si>
  <si>
    <t>2027tchitnen</t>
  </si>
  <si>
    <t>2029sgundra</t>
  </si>
  <si>
    <t>2029blee</t>
  </si>
  <si>
    <t>2028jliu</t>
  </si>
  <si>
    <t xml:space="preserve">P5 </t>
  </si>
  <si>
    <t>Try not to look at the score someone else entered before grading it yourself</t>
  </si>
  <si>
    <t>One Person Graded</t>
  </si>
  <si>
    <t>Add a note, with your name.</t>
  </si>
  <si>
    <t>Two People graded</t>
  </si>
  <si>
    <t>Change the note, and append your name</t>
  </si>
  <si>
    <t>Three People Graded</t>
  </si>
  <si>
    <t>HELPPP</t>
  </si>
  <si>
    <t>Add a note, with your name and issue.</t>
  </si>
  <si>
    <t>No Submission</t>
  </si>
  <si>
    <t>Put a 0 in the box</t>
  </si>
  <si>
    <t>White or gray</t>
  </si>
  <si>
    <t>Not graded yet</t>
  </si>
  <si>
    <t>2025agu</t>
  </si>
  <si>
    <t>Num Solved</t>
  </si>
  <si>
    <t>2025apagidi</t>
  </si>
  <si>
    <t>Weighting</t>
  </si>
  <si>
    <t>2025apalikal</t>
  </si>
  <si>
    <t>2025sbhargav</t>
  </si>
  <si>
    <t>Total number of takers</t>
  </si>
  <si>
    <t>2025jhao</t>
  </si>
  <si>
    <t>2025mburch</t>
  </si>
  <si>
    <t>top12 avg solves</t>
  </si>
  <si>
    <t>2025rkumaran</t>
  </si>
  <si>
    <t>2025avijayra</t>
  </si>
  <si>
    <t>2025slin</t>
  </si>
  <si>
    <t>2025jyoo</t>
  </si>
  <si>
    <t>2025mkrishna</t>
  </si>
  <si>
    <t>2025agarg</t>
  </si>
  <si>
    <t>2025kyen</t>
  </si>
  <si>
    <t>2025jwhitake</t>
  </si>
  <si>
    <t>2025dcampos</t>
  </si>
  <si>
    <t>2025rzhang1</t>
  </si>
  <si>
    <t>2025jkim</t>
  </si>
  <si>
    <t>2025akakkera</t>
  </si>
  <si>
    <t>2025ppan</t>
  </si>
  <si>
    <t>2025mzhang</t>
  </si>
  <si>
    <t>2025mlin</t>
  </si>
  <si>
    <t>2025achon</t>
  </si>
  <si>
    <t>2025gim</t>
  </si>
  <si>
    <t>2025asumesh</t>
  </si>
  <si>
    <t>2025gxu</t>
  </si>
  <si>
    <t>2025cdraper</t>
  </si>
  <si>
    <t>2025ssaleh</t>
  </si>
  <si>
    <t>2025tandrone</t>
  </si>
  <si>
    <t>2025cguo</t>
  </si>
  <si>
    <t>2025hxiao</t>
  </si>
  <si>
    <t>2025ywang</t>
  </si>
  <si>
    <t>2025kborra</t>
  </si>
  <si>
    <t>2025alee1</t>
  </si>
  <si>
    <t>2025dhagen</t>
  </si>
  <si>
    <t>2025pshi</t>
  </si>
  <si>
    <t>2025azhu</t>
  </si>
  <si>
    <t>2025vvemuri</t>
  </si>
  <si>
    <t>2025dyang</t>
  </si>
  <si>
    <t>2025imujahid</t>
  </si>
  <si>
    <t>2025adoshi</t>
  </si>
  <si>
    <t>2025vzhang</t>
  </si>
  <si>
    <t>2025mmcweene</t>
  </si>
  <si>
    <t>2025narvind</t>
  </si>
  <si>
    <t>2025ssharma</t>
  </si>
  <si>
    <t>2025akalla</t>
  </si>
  <si>
    <t>2025nalladi</t>
  </si>
  <si>
    <t>2025rturatbe</t>
  </si>
  <si>
    <t>2025abadia</t>
  </si>
  <si>
    <t>2025abharadw</t>
  </si>
  <si>
    <t>2025gxiao</t>
  </si>
  <si>
    <t>2025akala</t>
  </si>
  <si>
    <t>2025jlee</t>
  </si>
  <si>
    <t>2025jrogando</t>
  </si>
  <si>
    <t>2025amukund</t>
  </si>
  <si>
    <t>2025kguo</t>
  </si>
  <si>
    <t>2025agupta</t>
  </si>
  <si>
    <t>2025jma</t>
  </si>
  <si>
    <t>2025yyin</t>
  </si>
  <si>
    <t>2025achintal</t>
  </si>
  <si>
    <t>2025ebalci</t>
  </si>
  <si>
    <t>2025rafkhami</t>
  </si>
  <si>
    <t>2025cjia</t>
  </si>
  <si>
    <t>2025dchandna</t>
  </si>
  <si>
    <t>2025jsun</t>
  </si>
  <si>
    <t>2025ryu</t>
  </si>
  <si>
    <t>2025halsadig</t>
  </si>
  <si>
    <t>2025lzhang</t>
  </si>
  <si>
    <t>2025yjee</t>
  </si>
  <si>
    <t>2025clee</t>
  </si>
  <si>
    <t>2025nahmad</t>
  </si>
  <si>
    <t>2025rpal</t>
  </si>
  <si>
    <t>2025dmccaski</t>
  </si>
  <si>
    <t>2025cmin</t>
  </si>
  <si>
    <t>2025ndas</t>
  </si>
  <si>
    <t>2025akang</t>
  </si>
  <si>
    <t>2025ntoskey</t>
  </si>
  <si>
    <t>2025aray</t>
  </si>
  <si>
    <t>2025ali</t>
  </si>
  <si>
    <t>2025pkodali</t>
  </si>
  <si>
    <t>2025sjain</t>
  </si>
  <si>
    <t>2025cwu</t>
  </si>
  <si>
    <t>2025awisniew</t>
  </si>
  <si>
    <t>2025skode</t>
  </si>
  <si>
    <t>Rank</t>
  </si>
  <si>
    <t>Rounded</t>
  </si>
  <si>
    <t>HMMT Combo</t>
  </si>
  <si>
    <t>HMMT NT</t>
  </si>
  <si>
    <t>HMMT Alg</t>
  </si>
  <si>
    <t>HMMT Geo</t>
  </si>
  <si>
    <t>why are p2s all &lt;15 except nt which no one solved anything besdies 1 and 2</t>
  </si>
  <si>
    <t>HMMT 1</t>
  </si>
  <si>
    <t>HMMT 2</t>
  </si>
  <si>
    <t>ionId</t>
  </si>
  <si>
    <t>index</t>
  </si>
  <si>
    <t>ionUsername</t>
  </si>
  <si>
    <t>_id</t>
  </si>
  <si>
    <t>63221ff90aa8ba2dbc57c0a2</t>
  </si>
  <si>
    <t>63222011e6a618b2a0444361</t>
  </si>
  <si>
    <t>632220270aa8ba2dbc57c0a4</t>
  </si>
  <si>
    <t>6322202a0aa8ba2dbc57c0a5</t>
  </si>
  <si>
    <t>6322202c0aa8ba2dbc57c0a6</t>
  </si>
  <si>
    <t>6322202f81b57daeeb478dd1</t>
  </si>
  <si>
    <t>632220300aa8ba2dbc57c0a7</t>
  </si>
  <si>
    <t>6322203581b57daeeb478dd2</t>
  </si>
  <si>
    <t>632220580aa8ba2dbc57c0a9</t>
  </si>
  <si>
    <t>632220596d021b5cf508ccd5</t>
  </si>
  <si>
    <t>632220620aa8ba2dbc57c0ab</t>
  </si>
  <si>
    <t>632220710aa8ba2dbc57c0ac</t>
  </si>
  <si>
    <t>63222083cfccb655ce1f3a74</t>
  </si>
  <si>
    <t>6322211bf382c17890e6a3dd</t>
  </si>
  <si>
    <t>63222123f382c17890e6a3de</t>
  </si>
  <si>
    <t>632222c3f382c17890e6a3e0</t>
  </si>
  <si>
    <t>6322236ef382c17890e6a3e1</t>
  </si>
  <si>
    <t>63222372f382c17890e6a3e2</t>
  </si>
  <si>
    <t>632223746d021b5cf508ccde</t>
  </si>
  <si>
    <t>6322239b6d021b5cf508cce5</t>
  </si>
  <si>
    <t>632223a1d53b2d7ef1d3746d</t>
  </si>
  <si>
    <t>632223bdd53b2d7ef1d3746e</t>
  </si>
  <si>
    <t>632223e585532e9bb23b7f01</t>
  </si>
  <si>
    <t>632226f3d53b2d7ef1d37472</t>
  </si>
  <si>
    <t>63222960d53b2d7ef1d37476</t>
  </si>
  <si>
    <t>632229c19832ea0dea0e2dcf</t>
  </si>
  <si>
    <t>63222a025bded5e4ff37ac1e</t>
  </si>
  <si>
    <t>63222a4c5bded5e4ff37ac1f</t>
  </si>
  <si>
    <t>63222a9ced58d92b843f7cb0</t>
  </si>
  <si>
    <t>63222ae4562da848b695b87f</t>
  </si>
  <si>
    <t>63222c2fed58d92b843f7cbf</t>
  </si>
  <si>
    <t>63222d94ed58d92b843f7cc0</t>
  </si>
  <si>
    <t>63222da0116f680d68804fa7</t>
  </si>
  <si>
    <t>63222da4562da848b695b882</t>
  </si>
  <si>
    <t>63222dc6a729a8363c093b6b</t>
  </si>
  <si>
    <t>63222dd4a729a8363c093b6d</t>
  </si>
  <si>
    <t>63222dd7a729a8363c093b6e</t>
  </si>
  <si>
    <t>63222deca729a8363c093b71</t>
  </si>
  <si>
    <t>63222e10ed58d92b843f7cca</t>
  </si>
  <si>
    <t>63222e35ed58d92b843f7ccd</t>
  </si>
  <si>
    <t>63222e3a116f680d68804fa8</t>
  </si>
  <si>
    <t>63222fa8562da848b695b887</t>
  </si>
  <si>
    <t>6329051b0c14e4fbd2ecace8</t>
  </si>
  <si>
    <t>632b580f43e430c49f17d5dc</t>
  </si>
  <si>
    <t>632b58290801926c6f0d9a37</t>
  </si>
  <si>
    <t>632b5867c396d0088321be3a</t>
  </si>
  <si>
    <t>632b592764f599396d113b28</t>
  </si>
  <si>
    <t>632b659ebfb5f9d04c8cca40</t>
  </si>
  <si>
    <t>63332820dde72043c98a24b0</t>
  </si>
  <si>
    <t>6334930daf5a29e196628f54</t>
  </si>
  <si>
    <t>6334931c5db42318c75b941a</t>
  </si>
  <si>
    <t>6334934ee801712b31d25536</t>
  </si>
  <si>
    <t>63349f8e3a8dbca7ef791374</t>
  </si>
  <si>
    <t>63349f9a3a8dbca7ef791375</t>
  </si>
  <si>
    <t>633b2944907d3b0ce904b02f</t>
  </si>
  <si>
    <t>633b296e907d3b0ce904b03b</t>
  </si>
  <si>
    <t>633b33dde2076b371abb58dd</t>
  </si>
  <si>
    <t>633b36b4e2076b371abb58ed</t>
  </si>
  <si>
    <t>634ebd057dcff4d8aaf60ecd</t>
  </si>
  <si>
    <t>6350260e6b84e6835b7bdb10</t>
  </si>
  <si>
    <t>635041d40aaa9d7642b16a2a</t>
  </si>
  <si>
    <t>63504cfc4e941e57f7932609</t>
  </si>
  <si>
    <t>63504d21680a31686694f409</t>
  </si>
  <si>
    <t>63504d993b59fc8152ddcd16</t>
  </si>
  <si>
    <t>63504f2bf3c9b5fc221a8b0b</t>
  </si>
  <si>
    <t>63505039f3c9b5fc221a8b11</t>
  </si>
  <si>
    <t>6350508cf3c9b5fc221a8b14</t>
  </si>
  <si>
    <t>635052bcd5280881c6468696</t>
  </si>
  <si>
    <t>635053873b59fc8152ddcd3f</t>
  </si>
  <si>
    <t>6350549ca87d74ab21f25e75</t>
  </si>
  <si>
    <t>63529e993c9eeacf2b95884e</t>
  </si>
  <si>
    <t>63597cb9a9e578282a60ad9d</t>
  </si>
  <si>
    <t>6362864bd6615019231bd3fc</t>
  </si>
  <si>
    <t>6362b77fe777ad6bbb240412</t>
  </si>
  <si>
    <t>6376b58661fba9785d07416f</t>
  </si>
  <si>
    <t>6387bb73c1e51a839dd5a996</t>
  </si>
  <si>
    <t>6387bbc6c1e51a839dd5a9a4</t>
  </si>
  <si>
    <t>639a2e9e3b748bad962c153c</t>
  </si>
  <si>
    <t>63b5d35a964a47f092354843</t>
  </si>
  <si>
    <t>63c833ef38ef4ba2f7bbe919</t>
  </si>
  <si>
    <t>63c8473f511ce7e89481b00b</t>
  </si>
  <si>
    <t>63c8477b67bbb48b24b073b9</t>
  </si>
  <si>
    <t>63dabd0663f6b9aef34df313</t>
  </si>
  <si>
    <t>63dabd3d9dab57a89c8ed2ec</t>
  </si>
  <si>
    <t>63ddd5541cf7a4a53455fa2b</t>
  </si>
  <si>
    <t>63ed3c20ba3040bfda3dc990</t>
  </si>
  <si>
    <t>63f67889c8ff9ace793384df</t>
  </si>
  <si>
    <t>63f67911eb2d54539e475aef</t>
  </si>
  <si>
    <t>64120eb5cd7bcbc0e50f33da</t>
  </si>
  <si>
    <t>64403390f40f176b87a687a7</t>
  </si>
  <si>
    <t>64403395ea1fa9a912edb699</t>
  </si>
  <si>
    <t>64403399ea1fa9a912edb69a</t>
  </si>
  <si>
    <t>644033a6ea1fa9a912edb69b</t>
  </si>
  <si>
    <t>6440343c3d99f5a46dd56558</t>
  </si>
  <si>
    <t>644034954fa829a66b219e95</t>
  </si>
  <si>
    <t>6451565d77ece8ad709943e6</t>
  </si>
  <si>
    <t>6451566b3e57b23a771eb77e</t>
  </si>
  <si>
    <t>64515f40d1db94b82bde4768</t>
  </si>
  <si>
    <t>64515f804c53122bd367c958</t>
  </si>
  <si>
    <t>6501ffd91d8cbbbd315ad51c</t>
  </si>
  <si>
    <t>6501ffe41d8cbbbd315ad51d</t>
  </si>
  <si>
    <t>6501fff01d8cbbbd315ad51f</t>
  </si>
  <si>
    <t>6501fff296a576d9fa03f986</t>
  </si>
  <si>
    <t>6501fffc96a576d9fa03f988</t>
  </si>
  <si>
    <t>6501fffd96a576d9fa03f989</t>
  </si>
  <si>
    <t>6502000096a576d9fa03f98a</t>
  </si>
  <si>
    <t>6502000196a576d9fa03f98b</t>
  </si>
  <si>
    <t>65020008540ba7cc68909a94</t>
  </si>
  <si>
    <t>6502000b1d8cbbbd315ad521</t>
  </si>
  <si>
    <t>65020010540ba7cc68909a95</t>
  </si>
  <si>
    <t>6502001196a576d9fa03f98c</t>
  </si>
  <si>
    <t>6502001196a576d9fa03f98d</t>
  </si>
  <si>
    <t>6502001596a576d9fa03f98e</t>
  </si>
  <si>
    <t>6502001d540ba7cc68909a96</t>
  </si>
  <si>
    <t>6502001f96a576d9fa03f991</t>
  </si>
  <si>
    <t>6502002296a576d9fa03f993</t>
  </si>
  <si>
    <t>6502002396a576d9fa03f994</t>
  </si>
  <si>
    <t>6502002b1d8cbbbd315ad524</t>
  </si>
  <si>
    <t>6502002d96a576d9fa03f999</t>
  </si>
  <si>
    <t>65020037540ba7cc68909a9b</t>
  </si>
  <si>
    <t>6502003c96a576d9fa03f99d</t>
  </si>
  <si>
    <t>6502003d57ae167867eac21c</t>
  </si>
  <si>
    <t>6502003d1d8cbbbd315ad525</t>
  </si>
  <si>
    <t>65020041540ba7cc68909aa3</t>
  </si>
  <si>
    <t>650200481d8cbbbd315ad528</t>
  </si>
  <si>
    <t>6502004f1d8cbbbd315ad52a</t>
  </si>
  <si>
    <t>6502005118c31aadb7469b1a</t>
  </si>
  <si>
    <t>6502005e1d8cbbbd315ad52c</t>
  </si>
  <si>
    <t>650200601d8cbbbd315ad52d</t>
  </si>
  <si>
    <t>6502007218c31aadb7469b1d</t>
  </si>
  <si>
    <t>6502007357ae167867eac223</t>
  </si>
  <si>
    <t>6502007618c31aadb7469b1f</t>
  </si>
  <si>
    <t>6502008357ae167867eac228</t>
  </si>
  <si>
    <t>650200931d8cbbbd315ad536</t>
  </si>
  <si>
    <t>65020bcc03dd812a55d3a1fd</t>
  </si>
  <si>
    <t>65020bcd03dd812a55d3a1fe</t>
  </si>
  <si>
    <t>65020bcf8f2b101294bb3da0</t>
  </si>
  <si>
    <t>65020bd28f2b101294bb3da1</t>
  </si>
  <si>
    <t>65020bd203dd812a55d3a1ff</t>
  </si>
  <si>
    <t>65020bd2967e3c86d1681e9e</t>
  </si>
  <si>
    <t>65020bd203dd812a55d3a200</t>
  </si>
  <si>
    <t>65020bdb03dd812a55d3a202</t>
  </si>
  <si>
    <t>65020bde03dd812a55d3a203</t>
  </si>
  <si>
    <t>65020be28f2b101294bb3da3</t>
  </si>
  <si>
    <t>65020be303dd812a55d3a205</t>
  </si>
  <si>
    <t>65020be48f2b101294bb3da4</t>
  </si>
  <si>
    <t>65020be58f2b101294bb3da6</t>
  </si>
  <si>
    <t>65020be68f2b101294bb3da7</t>
  </si>
  <si>
    <t>65020be78f2b101294bb3da8</t>
  </si>
  <si>
    <t>65020bec8f2b101294bb3da9</t>
  </si>
  <si>
    <t>65020bed03dd812a55d3a207</t>
  </si>
  <si>
    <t>65020bf103dd812a55d3a208</t>
  </si>
  <si>
    <t>65020bf203dd812a55d3a209</t>
  </si>
  <si>
    <t>65020bf603dd812a55d3a20a</t>
  </si>
  <si>
    <t>65020bf8097ac3c9d063264a</t>
  </si>
  <si>
    <t>65020bfb097ac3c9d063264c</t>
  </si>
  <si>
    <t>65020bfc097ac3c9d063264d</t>
  </si>
  <si>
    <t>65020bfc097ac3c9d063264e</t>
  </si>
  <si>
    <t>65020bfe097ac3c9d063264f</t>
  </si>
  <si>
    <t>65020c00097ac3c9d0632650</t>
  </si>
  <si>
    <t>65020c05097ac3c9d0632651</t>
  </si>
  <si>
    <t>65020c058f2b101294bb3daa</t>
  </si>
  <si>
    <t>65020c068f2b101294bb3dab</t>
  </si>
  <si>
    <t>65020c06097ac3c9d0632652</t>
  </si>
  <si>
    <t>65020c088f2b101294bb3dad</t>
  </si>
  <si>
    <t>65020c0f8f2b101294bb3dae</t>
  </si>
  <si>
    <t>65020c0f03dd812a55d3a20d</t>
  </si>
  <si>
    <t>65020c158f2b101294bb3daf</t>
  </si>
  <si>
    <t>65020c188f2b101294bb3db0</t>
  </si>
  <si>
    <t>65020c5b097ac3c9d0632661</t>
  </si>
  <si>
    <t>65020cea8f2b101294bb3dbe</t>
  </si>
  <si>
    <t>65020d4b097ac3c9d063266a</t>
  </si>
  <si>
    <t>65020d65097ac3c9d063266d</t>
  </si>
  <si>
    <t>65044a78c61c6a809dc7166a</t>
  </si>
  <si>
    <t>650b3a05831593811cfcd7a6</t>
  </si>
  <si>
    <t>650b3a079d801acd9fe283a1</t>
  </si>
  <si>
    <t>650b3a09ed7955a527757145</t>
  </si>
  <si>
    <t>650b3a0ded7955a527757147</t>
  </si>
  <si>
    <t>650b3a0eacb6c663527423b7</t>
  </si>
  <si>
    <t>650b3a0e9d801acd9fe283a2</t>
  </si>
  <si>
    <t>650b3a15ed7955a527757149</t>
  </si>
  <si>
    <t>650b3a1ced7955a52775714b</t>
  </si>
  <si>
    <t>650b3a9e41c634acd2e8f3d0</t>
  </si>
  <si>
    <t>650b40c463d8964b8e363b3b</t>
  </si>
  <si>
    <t>650b40ce63d8964b8e363b3d</t>
  </si>
  <si>
    <t>650b446c63d8964b8e363b40</t>
  </si>
  <si>
    <t>650b44847b17d110a03d7208</t>
  </si>
  <si>
    <t>650b44997b17d110a03d7209</t>
  </si>
  <si>
    <t>650b45dd0df4236622e51063</t>
  </si>
  <si>
    <t>650b461a1798582bd25e6f14</t>
  </si>
  <si>
    <t>650b466f0ebdcd576cc45c6f</t>
  </si>
  <si>
    <t>650b46820ebdcd576cc45c70</t>
  </si>
  <si>
    <t>650b477d7b17d110a03d7221</t>
  </si>
  <si>
    <t>651473b073ba37322a56bc86</t>
  </si>
  <si>
    <t>6514746bcb3856acbe2e045e</t>
  </si>
  <si>
    <t>651474adbad0d569bbd8c620</t>
  </si>
  <si>
    <t>651480e5b25a8777756c8277</t>
  </si>
  <si>
    <t>651621a7755b5ba7402891b3</t>
  </si>
  <si>
    <t>651dadf4a69631c34bde617f</t>
  </si>
  <si>
    <t>651daf0edc9060f76fe584c7</t>
  </si>
  <si>
    <t>651db9af9dea57c7cb020129</t>
  </si>
  <si>
    <t>651dbad69dea57c7cb020139</t>
  </si>
  <si>
    <t>651dbae7d54b632818878f41</t>
  </si>
  <si>
    <t>651dbb15d54b632818878f43</t>
  </si>
  <si>
    <t>651dbb299dea57c7cb020142</t>
  </si>
  <si>
    <t>651dbb3f9dea57c7cb020143</t>
  </si>
  <si>
    <t>651dbc99ca156cc80367f4eb</t>
  </si>
  <si>
    <t>652403893fc5d4c9ab851009</t>
  </si>
  <si>
    <t>6530232bcf7c5adcfb301ec7</t>
  </si>
  <si>
    <t>65302e080e286366617e4629</t>
  </si>
  <si>
    <t>65395d6799af0b0f3444fd51</t>
  </si>
  <si>
    <t>6539689ac8f6bb22aba878d1</t>
  </si>
  <si>
    <t>6542987e2bee7559f37bee8d</t>
  </si>
  <si>
    <t>65429927208c9c77b87ab693</t>
  </si>
  <si>
    <t>654a6fba5f40f5f7b7c97164</t>
  </si>
  <si>
    <t>65551bef3234b9c505dd527e</t>
  </si>
  <si>
    <t>655528e7b6dffbe82fb08e97</t>
  </si>
  <si>
    <t>655bb33eff8d447e7d019f70</t>
  </si>
  <si>
    <t>655bc0057093eb94b1c6cc92</t>
  </si>
  <si>
    <t>655bc0097093eb94b1c6cc93</t>
  </si>
  <si>
    <t>6594377be0f4f63927a8ce26</t>
  </si>
  <si>
    <t>6595977fb46b00d2f83c52c5</t>
  </si>
  <si>
    <t>6595b65ec49a903206004ba0</t>
  </si>
  <si>
    <t>6595bf45b775f9fc5a64da54</t>
  </si>
  <si>
    <t>6595c208b775f9fc5a64da66</t>
  </si>
  <si>
    <t>6595c23e2fa1031babec0ce3</t>
  </si>
  <si>
    <t>6595c391cd5b972b6b680d1b</t>
  </si>
  <si>
    <t>65ba9f33f33e907d7c81d87a</t>
  </si>
  <si>
    <t>65baa01d2b367c7ed72fe8b9</t>
  </si>
  <si>
    <t>65baa01e2b367c7ed72fe8bb</t>
  </si>
  <si>
    <t>65baa03da330104d5ca80be5</t>
  </si>
  <si>
    <t>65baadabac6fa639d08b8070</t>
  </si>
  <si>
    <t>65baadd90004ffbc54b03ece</t>
  </si>
  <si>
    <t>65baadf10004ffbc54b03ed0</t>
  </si>
  <si>
    <t>65bab1380004ffbc54b03ee7</t>
  </si>
  <si>
    <t>65bab52de7bd7da7ace0d1c3</t>
  </si>
  <si>
    <t>65bb2c752930129875dd966e</t>
  </si>
  <si>
    <t>65c3d9c7d68ebf8c5aaf9473</t>
  </si>
  <si>
    <t>65c3db43dc2e959b628fb2d3</t>
  </si>
  <si>
    <t>65c3e17176cb308ec1a40c91</t>
  </si>
  <si>
    <t>65c3e474f24067cac00a6560</t>
  </si>
  <si>
    <t>65c3e7519c89c663f1bf9f3a</t>
  </si>
  <si>
    <t>65c404d5adbf166dfd681f4c</t>
  </si>
  <si>
    <t>65c452c7bdf2b49b06b9f1e8</t>
  </si>
  <si>
    <t>65cd13d251407ce2e1c4e690</t>
  </si>
  <si>
    <t>65cd13f6adf37a1fed1cd455</t>
  </si>
  <si>
    <t>65cd2a48c6e20b3c3d4798b8</t>
  </si>
  <si>
    <t>65d65a5fe2aa0ab4944e133f</t>
  </si>
  <si>
    <t>65d65b94ec98c933c1065a3c</t>
  </si>
  <si>
    <t>65d65bdbec98c933c1065a41</t>
  </si>
  <si>
    <t>65d65beaec98c933c1065a42</t>
  </si>
  <si>
    <t>65d65befec98c933c1065a43</t>
  </si>
  <si>
    <t>65fb2f31f305810d3c392009</t>
  </si>
  <si>
    <t>661437cbd0884a240a6505ae</t>
  </si>
  <si>
    <t>66144853927e0e420e0cbc96</t>
  </si>
  <si>
    <t>6614485b927e0e420e0cbc97</t>
  </si>
  <si>
    <t>6614485f927e0e420e0cbc99</t>
  </si>
  <si>
    <t>662950e951eb7e9e714289d0</t>
  </si>
  <si>
    <t>66328a4fa55f727a8c1b9f8b</t>
  </si>
  <si>
    <t>66328a501875b701f3af072f</t>
  </si>
  <si>
    <t>663a810cfd55cc6d42fc3373</t>
  </si>
  <si>
    <t>66450a83df126c7d8f1e547c</t>
  </si>
  <si>
    <t>664e3a49317dec867b3ddb30</t>
  </si>
  <si>
    <t>664e45f07cadce18e9e94600</t>
  </si>
  <si>
    <t>665773d4af4d86d206115ffb</t>
  </si>
  <si>
    <t>66cac517e3728ef7a173d5b4</t>
  </si>
  <si>
    <t>66d4dfe22c49b6570be6d76d</t>
  </si>
  <si>
    <t>66db0378ada861be3f1186a3</t>
  </si>
  <si>
    <t>66dfaa6ed25069720af3c493</t>
  </si>
  <si>
    <t>66e1e0ef855f2a7e8fb837e2</t>
  </si>
  <si>
    <t>66e1e0fe855f2a7e8fb837e3</t>
  </si>
  <si>
    <t>66e1e102a61e89c7c68f6e2f</t>
  </si>
  <si>
    <t>66e1e105a61e89c7c68f6e30</t>
  </si>
  <si>
    <t>66e1e105db315cbd40043fc1</t>
  </si>
  <si>
    <t>66e1e108a61e89c7c68f6e31</t>
  </si>
  <si>
    <t>66e1e10bdb315cbd40043fc3</t>
  </si>
  <si>
    <t>66e1e10cdb315cbd40043fc4</t>
  </si>
  <si>
    <t>66e1e10f7a8e6dc2aed3a63c</t>
  </si>
  <si>
    <t>66e1e1107315471e09f2b5b1</t>
  </si>
  <si>
    <t>66e1e111f0db8f5922c91d81</t>
  </si>
  <si>
    <t>66e1e116f0db8f5922c91d82</t>
  </si>
  <si>
    <t>66e1e1187a8e6dc2aed3a63d</t>
  </si>
  <si>
    <t>66e1e119f0db8f5922c91d83</t>
  </si>
  <si>
    <t>66e1e11f45950d34f313912f</t>
  </si>
  <si>
    <t>66e1e1207a8e6dc2aed3a63e</t>
  </si>
  <si>
    <t>66e1e1217a8e6dc2aed3a63f</t>
  </si>
  <si>
    <t>66e1e1227a8e6dc2aed3a640</t>
  </si>
  <si>
    <t>66e1e1227a8e6dc2aed3a641</t>
  </si>
  <si>
    <t>66e1e122e2fbdff8a0c35634</t>
  </si>
  <si>
    <t>66e1e1237a8e6dc2aed3a642</t>
  </si>
  <si>
    <t>66e1e1257a8e6dc2aed3a643</t>
  </si>
  <si>
    <t>66e1e125e2fbdff8a0c35635</t>
  </si>
  <si>
    <t>66e1e125f0db8f5922c91d84</t>
  </si>
  <si>
    <t>66e1e126f0db8f5922c91d85</t>
  </si>
  <si>
    <t>66e1e1267a8e6dc2aed3a644</t>
  </si>
  <si>
    <t>66e1e1277a8e6dc2aed3a645</t>
  </si>
  <si>
    <t>66e1e127e2fbdff8a0c35636</t>
  </si>
  <si>
    <t>66e1e128f0db8f5922c91d86</t>
  </si>
  <si>
    <t>66e1e129f0db8f5922c91d87</t>
  </si>
  <si>
    <t>66e1e12ae2fbdff8a0c35638</t>
  </si>
  <si>
    <t>66e1e12a45950d34f3139132</t>
  </si>
  <si>
    <t>66e1e12bf0db8f5922c91d88</t>
  </si>
  <si>
    <t>66e1e12be2fbdff8a0c35639</t>
  </si>
  <si>
    <t>66e1e12cf0db8f5922c91d89</t>
  </si>
  <si>
    <t>66e1e12c68fa766abf5d11d7</t>
  </si>
  <si>
    <t>66e1e12df0db8f5922c91d8a</t>
  </si>
  <si>
    <t>66e1e12ee2fbdff8a0c3563a</t>
  </si>
  <si>
    <t>66e1e12ef0db8f5922c91d8b</t>
  </si>
  <si>
    <t>66e1e12f7a8e6dc2aed3a646</t>
  </si>
  <si>
    <t>66e1e13168fa766abf5d11d8</t>
  </si>
  <si>
    <t>66e1e137db315cbd40043fc5</t>
  </si>
  <si>
    <t>66e1e139f0db8f5922c91d8d</t>
  </si>
  <si>
    <t>66e1e13fdb315cbd40043fca</t>
  </si>
  <si>
    <t>66e1e141f0db8f5922c91d90</t>
  </si>
  <si>
    <t>66e1e143db315cbd40043fcb</t>
  </si>
  <si>
    <t>66e1e14b7a8e6dc2aed3a649</t>
  </si>
  <si>
    <t>66e1e14cf0db8f5922c91d94</t>
  </si>
  <si>
    <t>66e1e1659bdd593ffcd624e6</t>
  </si>
  <si>
    <t>66e1e200bbd279710a4f25a0</t>
  </si>
  <si>
    <t>66e1e295c67d6a88d4309dde</t>
  </si>
  <si>
    <t>66e1ed7ce62f650d943808d3</t>
  </si>
  <si>
    <t>66e1ed80e62f650d943808d4</t>
  </si>
  <si>
    <t>66e1ed841129889a3e2c24a8</t>
  </si>
  <si>
    <t>66e1ed8677e929b3df889a0a</t>
  </si>
  <si>
    <t>66e1ed871129889a3e2c24a9</t>
  </si>
  <si>
    <t>66e1ed8c1129889a3e2c24aa</t>
  </si>
  <si>
    <t>66e1ed8d1129889a3e2c24ab</t>
  </si>
  <si>
    <t>66e1ed901129889a3e2c24ac</t>
  </si>
  <si>
    <t>66e1ed9207067318cc1e18cb</t>
  </si>
  <si>
    <t>66e1ed9207067318cc1e18cc</t>
  </si>
  <si>
    <t>66e1ed9407067318cc1e18cd</t>
  </si>
  <si>
    <t>66e1ed96e62f650d943808d5</t>
  </si>
  <si>
    <t>66e1ed97e62f650d943808d6</t>
  </si>
  <si>
    <t>66e1ed9877e929b3df889a0b</t>
  </si>
  <si>
    <t>66e1ed9877e929b3df889a0c</t>
  </si>
  <si>
    <t>66e1ed98e62f650d943808d7</t>
  </si>
  <si>
    <t>66e1ed9b535f0d0c02349bed</t>
  </si>
  <si>
    <t>66e1ed9c07067318cc1e18ce</t>
  </si>
  <si>
    <t>66e1ed9e07067318cc1e18cf</t>
  </si>
  <si>
    <t>66e1ed9f07067318cc1e18d0</t>
  </si>
  <si>
    <t>66e1eda007067318cc1e18d1</t>
  </si>
  <si>
    <t>66e1eda1535f0d0c02349bee</t>
  </si>
  <si>
    <t>66e1eda5535f0d0c02349bef</t>
  </si>
  <si>
    <t>66e1eda6535f0d0c02349bf0</t>
  </si>
  <si>
    <t>66e1eda71129889a3e2c24ae</t>
  </si>
  <si>
    <t>66e1eda81129889a3e2c24af</t>
  </si>
  <si>
    <t>66e1eda807067318cc1e18d2</t>
  </si>
  <si>
    <t>66e1edab07067318cc1e18d3</t>
  </si>
  <si>
    <t>66e1edbc07067318cc1e18d8</t>
  </si>
  <si>
    <t>66e1edd11129889a3e2c24ba</t>
  </si>
  <si>
    <t>66e1ee9d77e929b3df889a14</t>
  </si>
  <si>
    <t>66e1f36e97e3bb4b1a02d659</t>
  </si>
  <si>
    <t>66e21e0e9dc93e7d858c34ab</t>
  </si>
  <si>
    <t>66e4659d317cf70a1c31109e</t>
  </si>
  <si>
    <t>66ea1f306b0b246c2372bbac</t>
  </si>
  <si>
    <t>66eb1b4237edf2b32f9fc2ec</t>
  </si>
  <si>
    <t>66eb1bdf61b31c87a7ea090e</t>
  </si>
  <si>
    <t>66eb1bedcb6c430d242f37c4</t>
  </si>
  <si>
    <t>66eb1bf21132636931fb1927</t>
  </si>
  <si>
    <t>66eb1bf5cb6c430d242f37c7</t>
  </si>
  <si>
    <t>66eb1bf91132636931fb1929</t>
  </si>
  <si>
    <t>66eb1bff8647681e6a2afbde</t>
  </si>
  <si>
    <t>66eb1c00a52629221738126a</t>
  </si>
  <si>
    <t>66eb1c19a526292217381272</t>
  </si>
  <si>
    <t>66eb1c248647681e6a2afbe7</t>
  </si>
  <si>
    <t>66eb1c2ba526292217381274</t>
  </si>
  <si>
    <t>66eb1c2b8647681e6a2afbe8</t>
  </si>
  <si>
    <t>66eb1c33cb6c430d242f37d2</t>
  </si>
  <si>
    <t>66eb1c341132636931fb192f</t>
  </si>
  <si>
    <t>66eb1c681132636931fb1934</t>
  </si>
  <si>
    <t>66eb1c6ecb6c430d242f37d9</t>
  </si>
  <si>
    <t>66eb1c79cb6c430d242f37da</t>
  </si>
  <si>
    <t>66eb1c7e1132636931fb1938</t>
  </si>
  <si>
    <t>66eb1cb28647681e6a2afbec</t>
  </si>
  <si>
    <t>66eb1ce18647681e6a2afbed</t>
  </si>
  <si>
    <t>66eb26e01132636931fb1948</t>
  </si>
  <si>
    <t>66eb2791f5cf341f2cef5f68</t>
  </si>
  <si>
    <t>66eb283093ca556f981967dc</t>
  </si>
  <si>
    <t>66eb283593ca556f981967de</t>
  </si>
  <si>
    <t>66eb28586bd7ab0d5c9d8c1c</t>
  </si>
  <si>
    <t>66eb28b493ca556f981967e8</t>
  </si>
  <si>
    <t>66eb293393ca556f981967ec</t>
  </si>
  <si>
    <t>66eb295cf5cf341f2cef5f6e</t>
  </si>
  <si>
    <t>66ec5f65155b01592e9cc06d</t>
  </si>
  <si>
    <t>66f45959c3b67adef372b277</t>
  </si>
  <si>
    <t>66f45d5a1b907c8f0ec96c71</t>
  </si>
  <si>
    <t>66f45d631b907c8f0ec96c72</t>
  </si>
  <si>
    <t>66f46153afd5bb224b388dd3</t>
  </si>
  <si>
    <t>66faf7403d0298e8c9725401</t>
  </si>
  <si>
    <t>66fd9ea883a05cb41c36e324</t>
  </si>
  <si>
    <t>670433a06db2b04a6e31a055</t>
  </si>
  <si>
    <t>670434d9ca50ac710634e166</t>
  </si>
  <si>
    <t>670435036c4ee83067f36d8e</t>
  </si>
  <si>
    <t>670435056c4ee83067f36d90</t>
  </si>
  <si>
    <t>67194c61fd5423623b1a2f50</t>
  </si>
  <si>
    <t>67227ab1bfe0d0d8e499df41</t>
  </si>
  <si>
    <t>67227ae83b978dfc87a11d7c</t>
  </si>
  <si>
    <t>67227ae9bfe0d0d8e499df4a</t>
  </si>
  <si>
    <t>6722880615f26c44c01432fc</t>
  </si>
  <si>
    <t>672288c715f26c44c0143302</t>
  </si>
  <si>
    <t>672a75c30d4b802ed589275d</t>
  </si>
  <si>
    <t>673394857b0fd6243000d5bb</t>
  </si>
  <si>
    <t>6734fd83edd14dcb5dfd83a5</t>
  </si>
  <si>
    <t>6734fe83a65040fdf22fe094</t>
  </si>
  <si>
    <t>673667916389ccbc905f7087</t>
  </si>
  <si>
    <t>673a8158f6d86c8cb2c070a7</t>
  </si>
  <si>
    <t>6744d0a1156a1bc963bd8fbf</t>
  </si>
  <si>
    <t>6744d31b156a1bc963bd8fc2</t>
  </si>
  <si>
    <t>6744d360ee471117faf92ec6</t>
  </si>
  <si>
    <t>6759eec606231a741ef188c3</t>
  </si>
  <si>
    <t>6759f5db64fc5028fafe3a1c</t>
  </si>
  <si>
    <t>6759f6a464fc5028fafe3a1e</t>
  </si>
  <si>
    <t>6763225e39597b344266c9a6</t>
  </si>
  <si>
    <t>676322fe39597b344266c9b1</t>
  </si>
  <si>
    <t>67632d170ffd754202dfbc19</t>
  </si>
  <si>
    <t>67a3c527ca020323b7eff1a5</t>
  </si>
  <si>
    <t>67a3c8cda63a4a485ba406b5</t>
  </si>
  <si>
    <t>67a535b149fa0381555ced38</t>
  </si>
  <si>
    <t>67a544d43e0559808a8d2e8f</t>
  </si>
  <si>
    <t>67b5120d9d5405d24c72cb81</t>
  </si>
  <si>
    <t>67b63dd5c78692f30b983f14</t>
  </si>
  <si>
    <t>67c8a74821bbd6a835232a2a</t>
  </si>
  <si>
    <t>67c8bc075390554ca7b324ed</t>
  </si>
  <si>
    <t>67ca21935616e12832b4ca23</t>
  </si>
  <si>
    <t>67d4f44d1b9fd6a7478d3ebf</t>
  </si>
  <si>
    <t>67e446b16f327753e60fd3d5</t>
  </si>
  <si>
    <t>680945d630ab9e556d334a50</t>
  </si>
  <si>
    <t>681268b431ed13ac59023ca5</t>
  </si>
  <si>
    <t>6812794d47c727e021e117d9</t>
  </si>
  <si>
    <t>68127a8c47c727e021e117dd</t>
  </si>
  <si>
    <t>681a62136696c0991ce29b1e</t>
  </si>
  <si>
    <t>681a622d7ac5b0a8d92b1050</t>
  </si>
  <si>
    <t>68a8f8ba8829a7be88667a86</t>
  </si>
  <si>
    <t>68ad13846a530bc7872559c3</t>
  </si>
  <si>
    <t>68add8275be272b1f30d5393</t>
  </si>
  <si>
    <t>68ae776645784f0c9b674d14</t>
  </si>
  <si>
    <t>68af5fb7a3c82a4914c27eae</t>
  </si>
  <si>
    <t>68b201d43ba156dcc33e83fd</t>
  </si>
  <si>
    <t>68c07b79e21962bf35ccd974</t>
  </si>
  <si>
    <t>68c0939001844b8a4aaa0de7</t>
  </si>
  <si>
    <t>68c1c24b9900186967b6932f</t>
  </si>
  <si>
    <t>68c1c26c6d9fc0b28257c5e8</t>
  </si>
  <si>
    <t>68c1c2cd6d9fc0b28257c5eb</t>
  </si>
  <si>
    <t>68c1c2d66d9fc0b28257c5ec</t>
  </si>
  <si>
    <t>68c1c2f29900186967b69331</t>
  </si>
  <si>
    <t>68c1c2fb9900186967b69332</t>
  </si>
  <si>
    <t>68c1c2fb9900186967b69333</t>
  </si>
  <si>
    <t>68c1c3056d9fc0b28257c5ed</t>
  </si>
  <si>
    <t>68c1c3056d9fc0b28257c5ee</t>
  </si>
  <si>
    <t>68c1c30a6d9fc0b28257c5ef</t>
  </si>
  <si>
    <t>68c1c30f6d9fc0b28257c5f0</t>
  </si>
  <si>
    <t>68c1c3226d9fc0b28257c5f3</t>
  </si>
  <si>
    <t>68c1c3336d9fc0b28257c5f4</t>
  </si>
  <si>
    <t>68c1c3386d9fc0b28257c5f5</t>
  </si>
  <si>
    <t>68c1c3396d9fc0b28257c5f6</t>
  </si>
  <si>
    <t>68c1c33d6d9fc0b28257c5f7</t>
  </si>
  <si>
    <t>68c1c389a70b0954910985bf</t>
  </si>
  <si>
    <t>68c1c42919cae884bc3ecddf</t>
  </si>
  <si>
    <t>68c1c463a70b0954910985c1</t>
  </si>
  <si>
    <t>68c1c48aa70b0954910985c2</t>
  </si>
  <si>
    <t>68c1c48c8d697869a6c944d3</t>
  </si>
  <si>
    <t>68c1c4a8a70b0954910985c3</t>
  </si>
  <si>
    <t>68c1c4ad8d697869a6c944d9</t>
  </si>
  <si>
    <t>68c1c4ad8d697869a6c944da</t>
  </si>
  <si>
    <t>68c1c4b38d697869a6c944db</t>
  </si>
  <si>
    <t>68c1c4b38d697869a6c944dc</t>
  </si>
  <si>
    <t>68c1c4b68d697869a6c944dd</t>
  </si>
  <si>
    <t>68c1c4be8d697869a6c944e0</t>
  </si>
  <si>
    <t>68c1cdeef8ef417ee79a4d67</t>
  </si>
  <si>
    <t>68c1ce28f8ef417ee79a4d6d</t>
  </si>
  <si>
    <t>68c1ce44f8ef417ee79a4d6e</t>
  </si>
  <si>
    <t>68c1ceeed4e889598e7f612e</t>
  </si>
  <si>
    <t>68c1cf45d4e889598e7f6130</t>
  </si>
  <si>
    <t>68c1cf466c36cb3b60206bc2</t>
  </si>
  <si>
    <t>68c1cf4ad4e889598e7f6131</t>
  </si>
  <si>
    <t>68c1cf4cd4e889598e7f6132</t>
  </si>
  <si>
    <t>68c1cf50d4e889598e7f6133</t>
  </si>
  <si>
    <t>68c1cf5ed4e889598e7f6138</t>
  </si>
  <si>
    <t>68c1cf75d4e889598e7f613a</t>
  </si>
  <si>
    <t>68c1cf95d4e889598e7f613d</t>
  </si>
  <si>
    <t>68c1cf99d4e889598e7f613f</t>
  </si>
  <si>
    <t>68c1cfcf6c36cb3b60206bc4</t>
  </si>
  <si>
    <t>68c1cfdb6c36cb3b60206bc5</t>
  </si>
  <si>
    <t>68c1cfdf6c36cb3b60206bc7</t>
  </si>
  <si>
    <t>68c1cfeb6c36cb3b60206bc9</t>
  </si>
  <si>
    <t>68c1d003f29fd291859a49b7</t>
  </si>
  <si>
    <t>68c1d00f9147fa44206d10b5</t>
  </si>
  <si>
    <t>68c1d0119147fa44206d10b7</t>
  </si>
  <si>
    <t>68c1d0129147fa44206d10b8</t>
  </si>
  <si>
    <t>68c1d0149147fa44206d10b9</t>
  </si>
  <si>
    <t>68c1d016f29fd291859a49b8</t>
  </si>
  <si>
    <t>68c1d018f29fd291859a49b9</t>
  </si>
  <si>
    <t>68c1d0229147fa44206d10ba</t>
  </si>
  <si>
    <t>68c1d0289147fa44206d10bc</t>
  </si>
  <si>
    <t>68c1d02b9147fa44206d10bf</t>
  </si>
  <si>
    <t>68c1d02cf29fd291859a49bb</t>
  </si>
  <si>
    <t>68c1d02ef29fd291859a49bc</t>
  </si>
  <si>
    <t>68c1d031f29fd291859a49c0</t>
  </si>
  <si>
    <t>68c1d0369147fa44206d10c0</t>
  </si>
  <si>
    <t>68c1d0389147fa44206d10c1</t>
  </si>
  <si>
    <t>68c1d03ff29fd291859a49c2</t>
  </si>
  <si>
    <t>68c1d041f29fd291859a49c5</t>
  </si>
  <si>
    <t>68c1d041f29fd291859a49c6</t>
  </si>
  <si>
    <t>68c1d046f29fd291859a49c8</t>
  </si>
  <si>
    <t>68c1d04b9147fa44206d10c4</t>
  </si>
  <si>
    <t>68c1d04dfd19a63c5d2c0dd7</t>
  </si>
  <si>
    <t>68c1d04dfd19a63c5d2c0dd9</t>
  </si>
  <si>
    <t>68c1d054fd19a63c5d2c0de2</t>
  </si>
  <si>
    <t>68c1d05d9147fa44206d10c8</t>
  </si>
  <si>
    <t>68c1d0669147fa44206d10ca</t>
  </si>
  <si>
    <t>68c1d077fd19a63c5d2c0ded</t>
  </si>
  <si>
    <t>68c1d07a9147fa44206d10d0</t>
  </si>
  <si>
    <t>68c1d08bfd19a63c5d2c0dee</t>
  </si>
  <si>
    <t>68c1d2e5f29fd291859a49d1</t>
  </si>
  <si>
    <t>68c80cd8ff1b647855f2f1b0</t>
  </si>
  <si>
    <t>68c9a1f77075d6ce461da6e8</t>
  </si>
  <si>
    <t>2029nvu</t>
  </si>
  <si>
    <t>68cafcfaa0dcc7e1df4c549e</t>
  </si>
  <si>
    <t>68cafd04a0dcc7e1df4c54a0</t>
  </si>
  <si>
    <t>2029oramani</t>
  </si>
  <si>
    <t>68cafd3823cbd9382f9526f0</t>
  </si>
  <si>
    <t>2029alam</t>
  </si>
  <si>
    <t>68cafd3823cbd9382f9526f1</t>
  </si>
  <si>
    <t>68cafd3923cbd9382f9526f2</t>
  </si>
  <si>
    <t>2028jlin</t>
  </si>
  <si>
    <t>68cafd3e23cbd9382f9526f4</t>
  </si>
  <si>
    <t>2029mle</t>
  </si>
  <si>
    <t>68cafd452df4e93a4b18567e</t>
  </si>
  <si>
    <t>2029ikhan</t>
  </si>
  <si>
    <t>68cafd7723cbd9382f952709</t>
  </si>
  <si>
    <t>2028hjohnson</t>
  </si>
  <si>
    <t>68cafdf023cbd9382f952711</t>
  </si>
  <si>
    <t>2029ehuang</t>
  </si>
  <si>
    <t>68cafdff51fcbf3d8a760a24</t>
  </si>
  <si>
    <t>2029nshikher</t>
  </si>
  <si>
    <t>68cafe0051fcbf3d8a760a26</t>
  </si>
  <si>
    <t>2029abu</t>
  </si>
  <si>
    <t>68cafe0e23cbd9382f952718</t>
  </si>
  <si>
    <t>2029vjupally</t>
  </si>
  <si>
    <t>68cafe1723cbd9382f95271c</t>
  </si>
  <si>
    <t>2029ivutla</t>
  </si>
  <si>
    <t>68cb08144435a0189eb91130</t>
  </si>
  <si>
    <t>2029vmattapa</t>
  </si>
  <si>
    <t>68cb08145a72d9bb4ae95f3a</t>
  </si>
  <si>
    <t>2029mchittur</t>
  </si>
  <si>
    <t>68cb08204435a0189eb91131</t>
  </si>
  <si>
    <t>2029jhan</t>
  </si>
  <si>
    <t>68cb08644435a0189eb91138</t>
  </si>
  <si>
    <t>2028ssankar</t>
  </si>
  <si>
    <t>68cb086d4435a0189eb9113b</t>
  </si>
  <si>
    <t>68cb08754435a0189eb9113d</t>
  </si>
  <si>
    <t>68cb08764435a0189eb9113e</t>
  </si>
  <si>
    <t>2029bkim</t>
  </si>
  <si>
    <t>68cb08a7694ffd87c11a4503</t>
  </si>
  <si>
    <t>2029livkovic</t>
  </si>
  <si>
    <t>68cb08b4694ffd87c11a4506</t>
  </si>
  <si>
    <t>2029elee</t>
  </si>
  <si>
    <t>68cb1397e3930adba61220da</t>
  </si>
  <si>
    <t>68cc9c2aaa4d4aca25ce4004</t>
  </si>
  <si>
    <t>date</t>
  </si>
  <si>
    <t>pollId</t>
  </si>
  <si>
    <t>authorId</t>
  </si>
  <si>
    <t>2024-09-11T18:25:51.154Z</t>
  </si>
  <si>
    <t>66e1dfaec9fb9ad356b1aee8</t>
  </si>
  <si>
    <t>63222084cfccb655ce1f3a75</t>
  </si>
  <si>
    <t>63213fbba16355265042464c</t>
  </si>
  <si>
    <t>2024-09-11T18:25:57.973Z</t>
  </si>
  <si>
    <t>632b6525563ff6807be15483</t>
  </si>
  <si>
    <t>6321404cdd7191f16b7a431b</t>
  </si>
  <si>
    <t>2024-09-11T18:26:11.261Z</t>
  </si>
  <si>
    <t>Grand Total</t>
  </si>
  <si>
    <t>2024-09-11T18:26:05.645Z</t>
  </si>
  <si>
    <t>63222bbced58d92b843f7cbd</t>
  </si>
  <si>
    <t xml:space="preserve">COUNTA of </t>
  </si>
  <si>
    <t>2024-09-11T18:26:06.539Z</t>
  </si>
  <si>
    <t>2024-09-11T18:26:11.216Z</t>
  </si>
  <si>
    <t>2024-09-11T18:26:11.709Z</t>
  </si>
  <si>
    <t>2024-09-11T18:26:23.953Z</t>
  </si>
  <si>
    <t>66e1dfcc855f2a7e8fb837dd</t>
  </si>
  <si>
    <t>2024-09-11T18:26:33.524Z</t>
  </si>
  <si>
    <t>2024-09-11T18:27:21.338Z</t>
  </si>
  <si>
    <t>63349f948ac7ac61de40b4d6</t>
  </si>
  <si>
    <t>2024-09-11T18:27:30.020Z</t>
  </si>
  <si>
    <t>632220430aa8ba2dbc57c0a8</t>
  </si>
  <si>
    <t>2024-09-11T18:27:46.804Z</t>
  </si>
  <si>
    <t>2024-09-11T18:27:48.745Z</t>
  </si>
  <si>
    <t>2024-09-11T18:27:51.867Z</t>
  </si>
  <si>
    <t>6502003c540ba7cc68909a9e</t>
  </si>
  <si>
    <t>63222061f382c17890e6a3d7</t>
  </si>
  <si>
    <t>2024-09-11T18:28:00.323Z</t>
  </si>
  <si>
    <t>2024-09-11T18:28:01.076Z</t>
  </si>
  <si>
    <t>2024-09-11T18:28:10.611Z</t>
  </si>
  <si>
    <t>6322238285532e9bb23b7efb</t>
  </si>
  <si>
    <t>6322207bf382c17890e6a3da</t>
  </si>
  <si>
    <t>2024-09-11T18:28:10.731Z</t>
  </si>
  <si>
    <t>2024-09-11T18:28:12.269Z</t>
  </si>
  <si>
    <t>2024-09-11T18:28:12.304Z</t>
  </si>
  <si>
    <t>632b585143e430c49f17d5e4</t>
  </si>
  <si>
    <t>632220c2e6a618b2a0444368</t>
  </si>
  <si>
    <t>2024-09-11T18:28:12.478Z</t>
  </si>
  <si>
    <t>632220e2e6a618b2a044436a</t>
  </si>
  <si>
    <t>2024-09-11T18:28:12.629Z</t>
  </si>
  <si>
    <t>2024-09-11T18:28:18.306Z</t>
  </si>
  <si>
    <t>2024-09-11T18:28:18.353Z</t>
  </si>
  <si>
    <t>2024-09-11T18:28:19.530Z</t>
  </si>
  <si>
    <t>632229c1d53b2d7ef1d37477</t>
  </si>
  <si>
    <t>2024-09-11T18:28:24.481Z</t>
  </si>
  <si>
    <t>2024-09-11T18:28:26.005Z</t>
  </si>
  <si>
    <t>2024-09-11T18:28:26.252Z</t>
  </si>
  <si>
    <t>2024-09-11T18:28:30.847Z</t>
  </si>
  <si>
    <t>2024-09-11T18:28:30.982Z</t>
  </si>
  <si>
    <t>2024-09-11T18:28:31.017Z</t>
  </si>
  <si>
    <t>2024-09-11T18:28:32.462Z</t>
  </si>
  <si>
    <t>2024-09-11T18:28:35.725Z</t>
  </si>
  <si>
    <t>2024-09-11T18:28:37.493Z</t>
  </si>
  <si>
    <t>2024-09-11T18:28:38.654Z</t>
  </si>
  <si>
    <t>2024-09-11T18:28:38.668Z</t>
  </si>
  <si>
    <t>2024-09-11T18:28:54.624Z</t>
  </si>
  <si>
    <t>2024-09-11T18:29:33.442Z</t>
  </si>
  <si>
    <t>2024-09-11T18:28:55.180Z</t>
  </si>
  <si>
    <t>63222a6d5bded5e4ff37ac2a</t>
  </si>
  <si>
    <t>2024-09-11T18:28:43.022Z</t>
  </si>
  <si>
    <t>63222a8d7396cbbbf225dc2b</t>
  </si>
  <si>
    <t>2024-09-11T18:28:43.560Z</t>
  </si>
  <si>
    <t>63222a917396cbbbf225dc2d</t>
  </si>
  <si>
    <t>2024-09-11T18:28:43.671Z</t>
  </si>
  <si>
    <t>2024-09-11T18:29:54.665Z</t>
  </si>
  <si>
    <t>63222aa5263e419ae36f94fa</t>
  </si>
  <si>
    <t>2024-09-11T18:28:45.111Z</t>
  </si>
  <si>
    <t>2024-09-11T18:29:26.085Z</t>
  </si>
  <si>
    <t>63222b1008e28eebae92fe0c</t>
  </si>
  <si>
    <t>2024-09-11T18:28:45.829Z</t>
  </si>
  <si>
    <t>63222b1308e28eebae92fe0d</t>
  </si>
  <si>
    <t>2024-09-11T18:28:45.929Z</t>
  </si>
  <si>
    <t>63222b1efd210510b46aade3</t>
  </si>
  <si>
    <t>2024-09-11T18:28:46.005Z</t>
  </si>
  <si>
    <t>63222b5d08e28eebae92fe0e</t>
  </si>
  <si>
    <t>2024-09-11T18:30:00.833Z</t>
  </si>
  <si>
    <t>2024-09-11T18:31:44.015Z</t>
  </si>
  <si>
    <t>2024-09-11T18:29:01.924Z</t>
  </si>
  <si>
    <t>2024-09-11T18:28:55.883Z</t>
  </si>
  <si>
    <t>2024-09-11T18:29:00.599Z</t>
  </si>
  <si>
    <t>2024-09-11T18:29:02.550Z</t>
  </si>
  <si>
    <t>63222db6ed58d92b843f7cc3</t>
  </si>
  <si>
    <t>2024-09-11T18:29:07.352Z</t>
  </si>
  <si>
    <t>63222dbeed58d92b843f7cc5</t>
  </si>
  <si>
    <t>2024-09-11T18:28:54.117Z</t>
  </si>
  <si>
    <t>2024-09-11T18:28:48.253Z</t>
  </si>
  <si>
    <t>2024-09-11T18:30:29.782Z</t>
  </si>
  <si>
    <t>2024-09-11T18:28:50.215Z</t>
  </si>
  <si>
    <t>2024-09-11T19:15:07.271Z</t>
  </si>
  <si>
    <t>2024-09-11T18:28:50.290Z</t>
  </si>
  <si>
    <t>2024-09-11T18:28:50.314Z</t>
  </si>
  <si>
    <t>2024-09-11T18:30:25.774Z</t>
  </si>
  <si>
    <t>2024-09-11T18:30:11.744Z</t>
  </si>
  <si>
    <t>63226369bae1df490f8cdf3f</t>
  </si>
  <si>
    <t>2024-09-11T18:28:54.364Z</t>
  </si>
  <si>
    <t>2024-09-11T18:28:55.467Z</t>
  </si>
  <si>
    <t>2024-09-11T18:28:56.984Z</t>
  </si>
  <si>
    <t>2024-09-11T18:28:57.907Z</t>
  </si>
  <si>
    <t>2024-09-11T18:32:14.247Z</t>
  </si>
  <si>
    <t>2024-09-11T18:28:59.080Z</t>
  </si>
  <si>
    <t>632b59090801926c6f0d9a41</t>
  </si>
  <si>
    <t>2024-09-11T18:29:16.762Z</t>
  </si>
  <si>
    <t>2024-09-11T18:29:01.447Z</t>
  </si>
  <si>
    <t>632b604d563ff6807be15469</t>
  </si>
  <si>
    <t>2024-09-11T18:29:06.379Z</t>
  </si>
  <si>
    <t>632b641c563ff6807be15470</t>
  </si>
  <si>
    <t>2024-09-11T18:29:48.501Z</t>
  </si>
  <si>
    <t>632b6456563ff6807be15471</t>
  </si>
  <si>
    <t>2024-09-11T18:29:03.357Z</t>
  </si>
  <si>
    <t>632b646d563ff6807be15472</t>
  </si>
  <si>
    <t>2024-09-11T18:29:06.659Z</t>
  </si>
  <si>
    <t>632b6494563ff6807be15476</t>
  </si>
  <si>
    <t>2024-09-11T18:29:08.193Z</t>
  </si>
  <si>
    <t>632b6514563ff6807be15482</t>
  </si>
  <si>
    <t>2024-09-11T19:00:44.810Z</t>
  </si>
  <si>
    <t>2024-09-11T18:29:10.236Z</t>
  </si>
  <si>
    <t>2024-09-11T18:29:19.117Z</t>
  </si>
  <si>
    <t>2024-09-11T18:29:11.127Z</t>
  </si>
  <si>
    <t>2024-09-11T18:29:19.506Z</t>
  </si>
  <si>
    <t>6334931b5c813f44809f1225</t>
  </si>
  <si>
    <t>2024-09-11T18:29:24.761Z</t>
  </si>
  <si>
    <t>2024-09-11T18:30:31.682Z</t>
  </si>
  <si>
    <t>2024-09-11T18:29:26.767Z</t>
  </si>
  <si>
    <t>2024-09-11T18:40:25.098Z</t>
  </si>
  <si>
    <t>2024-09-11T18:29:48.778Z</t>
  </si>
  <si>
    <t>2024-09-11T18:30:01.056Z</t>
  </si>
  <si>
    <t>2024-09-11T18:30:08.953Z</t>
  </si>
  <si>
    <t>633b296c907d3b0ce904b03a</t>
  </si>
  <si>
    <t>2024-09-11T18:30:16.847Z</t>
  </si>
  <si>
    <t>2024-09-11T18:30:22.023Z</t>
  </si>
  <si>
    <t>633b2986b09e0b5c34e1c62b</t>
  </si>
  <si>
    <t>2024-09-11T18:30:27.646Z</t>
  </si>
  <si>
    <t>2024-09-11T18:30:59.677Z</t>
  </si>
  <si>
    <t>2024-09-11T18:31:34.449Z</t>
  </si>
  <si>
    <t>633b52753bcf287b6e61d2f5</t>
  </si>
  <si>
    <t>2024-09-11T18:31:45.610Z</t>
  </si>
  <si>
    <t>633c42c41fdf2a8b25e7763a</t>
  </si>
  <si>
    <t>2024-09-11T18:31:45.861Z</t>
  </si>
  <si>
    <t>63482ff1553bec89ed964ef7</t>
  </si>
  <si>
    <t>2024-09-11T18:31:51.661Z</t>
  </si>
  <si>
    <t>63497a4b53b2e26c9164fb76</t>
  </si>
  <si>
    <t>2024-09-11T18:34:51.984Z</t>
  </si>
  <si>
    <t>63497bbcb3636557d6155f2d</t>
  </si>
  <si>
    <t>2024-09-11T18:41:47.132Z</t>
  </si>
  <si>
    <t>634cb6c4d4672e2b26f92834</t>
  </si>
  <si>
    <t>2024-09-11T18:47:16.394Z</t>
  </si>
  <si>
    <t>2024-09-11T18:49:34.469Z</t>
  </si>
  <si>
    <t>2024-09-11T18:50:36.550Z</t>
  </si>
  <si>
    <t>2024-09-11T19:05:33.031Z</t>
  </si>
  <si>
    <t>651474fee751202d78044872</t>
  </si>
  <si>
    <t>2024-09-11T19:13:05.644Z</t>
  </si>
  <si>
    <t>2024-09-11T19:13:18.596Z</t>
  </si>
  <si>
    <t>2024-09-11T19:13:23.784Z</t>
  </si>
  <si>
    <t>2024-09-11T19:14:15.614Z</t>
  </si>
  <si>
    <t>2024-09-11T19:14:29.553Z</t>
  </si>
  <si>
    <t>2024-09-11T19:14:35.134Z</t>
  </si>
  <si>
    <t>2024-09-11T19:15:08.298Z</t>
  </si>
  <si>
    <t>2024-09-11T19:15:18.615Z</t>
  </si>
  <si>
    <t>2024-09-11T19:15:22.011Z</t>
  </si>
  <si>
    <t>635059d4f981182d24e5b03a</t>
  </si>
  <si>
    <t>2024-09-11T19:15:24.738Z</t>
  </si>
  <si>
    <t>2024-09-11T19:15:25.422Z</t>
  </si>
  <si>
    <t>2024-09-11T19:15:29.818Z</t>
  </si>
  <si>
    <t>635989e560ed7ab4683e86c8</t>
  </si>
  <si>
    <t>2024-09-11T19:16:09.306Z</t>
  </si>
  <si>
    <t>2024-09-11T19:22:50.292Z</t>
  </si>
  <si>
    <t>2024-09-11T19:15:46.086Z</t>
  </si>
  <si>
    <t>636c0d7425cf48e577092558</t>
  </si>
  <si>
    <t>2024-09-11T19:15:46.879Z</t>
  </si>
  <si>
    <t>2024-09-11T19:15:48.644Z</t>
  </si>
  <si>
    <t>637bdc5e8a988f2f38ee5a21</t>
  </si>
  <si>
    <t>2024-09-11T19:16:04.002Z</t>
  </si>
  <si>
    <t>637bdf2b95878853f605e071</t>
  </si>
  <si>
    <t>2024-09-11T19:16:08.766Z</t>
  </si>
  <si>
    <t>2024-09-11T19:16:09.937Z</t>
  </si>
  <si>
    <t>2024-09-11T19:17:02.413Z</t>
  </si>
  <si>
    <t>2024-09-11T19:17:33.773Z</t>
  </si>
  <si>
    <t>2024-09-11T19:17:56.518Z</t>
  </si>
  <si>
    <t>2024-09-11T19:18:57.336Z</t>
  </si>
  <si>
    <t>2024-09-11T19:19:25.402Z</t>
  </si>
  <si>
    <t>2024-09-11T19:19:29.812Z</t>
  </si>
  <si>
    <t>63c8561a414301fd15fca451</t>
  </si>
  <si>
    <t>2024-09-11T19:19:31.450Z</t>
  </si>
  <si>
    <t>63c85d41a295882716421e36</t>
  </si>
  <si>
    <t>2024-09-11T19:19:34.092Z</t>
  </si>
  <si>
    <t>2024-09-11T19:19:36.392Z</t>
  </si>
  <si>
    <t>2024-09-11T19:19:38.350Z</t>
  </si>
  <si>
    <t>63dc28bba46db42ed21c6ab2</t>
  </si>
  <si>
    <t>2024-09-11T19:19:47.583Z</t>
  </si>
  <si>
    <t>2024-09-11T19:19:47.691Z</t>
  </si>
  <si>
    <t>63e572923551012e96289156</t>
  </si>
  <si>
    <t>2024-09-11T19:19:48.123Z</t>
  </si>
  <si>
    <t>2024-09-11T19:19:57.428Z</t>
  </si>
  <si>
    <t>2024-09-11T19:20:00.212Z</t>
  </si>
  <si>
    <t>2024-09-11T19:20:05.403Z</t>
  </si>
  <si>
    <t>63ffb26ceff384e2c7c7e661</t>
  </si>
  <si>
    <t>2024-09-11T19:20:06.178Z</t>
  </si>
  <si>
    <t>6408eeace8172fc2b762d742</t>
  </si>
  <si>
    <t>2024-09-11T19:20:56.928Z</t>
  </si>
  <si>
    <t>2024-09-11T19:21:16.823Z</t>
  </si>
  <si>
    <t>2024-09-11T19:21:19.736Z</t>
  </si>
  <si>
    <t>2024-09-11T19:21:25.974Z</t>
  </si>
  <si>
    <t>2024-09-11T19:21:53.964Z</t>
  </si>
  <si>
    <t>2024-09-11T19:22:03.069Z</t>
  </si>
  <si>
    <t>2024-09-11T19:22:09.002Z</t>
  </si>
  <si>
    <t>2024-09-11T19:21:57.175Z</t>
  </si>
  <si>
    <t>2024-09-11T19:21:49.591Z</t>
  </si>
  <si>
    <t>2024-09-11T19:21:49.889Z</t>
  </si>
  <si>
    <t>2024-09-11T19:21:54.130Z</t>
  </si>
  <si>
    <t>2024-09-11T19:21:57.233Z</t>
  </si>
  <si>
    <t>6465277a1cdf50c8c1cf3e2a</t>
  </si>
  <si>
    <t>2024-09-11T19:21:51.410Z</t>
  </si>
  <si>
    <t>2024-09-11T19:22:27.359Z</t>
  </si>
  <si>
    <t>2024-09-11T19:22:09.278Z</t>
  </si>
  <si>
    <t>2024-09-11T19:21:52.864Z</t>
  </si>
  <si>
    <t>2024-09-11T19:21:54.753Z</t>
  </si>
  <si>
    <t>2024-09-11T19:21:55.792Z</t>
  </si>
  <si>
    <t>2024-09-11T19:21:55.859Z</t>
  </si>
  <si>
    <t>2024-09-11T19:21:56.090Z</t>
  </si>
  <si>
    <t>2024-09-11T19:22:42.260Z</t>
  </si>
  <si>
    <t>2024-09-11T19:22:16.083Z</t>
  </si>
  <si>
    <t>2024-09-11T19:22:02.784Z</t>
  </si>
  <si>
    <t>2024-09-11T19:22:16.592Z</t>
  </si>
  <si>
    <t>2024-09-11T19:22:00.003Z</t>
  </si>
  <si>
    <t>2024-09-11T19:22:00.618Z</t>
  </si>
  <si>
    <t>2024-09-11T19:22:08.125Z</t>
  </si>
  <si>
    <t>2024-09-11T19:22:30.961Z</t>
  </si>
  <si>
    <t>2024-09-11T19:22:34.309Z</t>
  </si>
  <si>
    <t>2024-09-11T19:22:13.640Z</t>
  </si>
  <si>
    <t>2024-09-11T19:22:27.836Z</t>
  </si>
  <si>
    <t>2024-09-11T19:23:16.459Z</t>
  </si>
  <si>
    <t>2024-09-11T19:22:07.935Z</t>
  </si>
  <si>
    <t>2024-09-11T19:22:09.982Z</t>
  </si>
  <si>
    <t>2024-09-11T19:22:13.929Z</t>
  </si>
  <si>
    <t>2024-09-11T19:22:13.573Z</t>
  </si>
  <si>
    <t>2024-09-11T19:22:16.283Z</t>
  </si>
  <si>
    <t>2024-09-11T19:22:15.057Z</t>
  </si>
  <si>
    <t>2024-09-11T19:22:18.586Z</t>
  </si>
  <si>
    <t>65020044540ba7cc68909aa5</t>
  </si>
  <si>
    <t>2024-09-11T19:22:19.793Z</t>
  </si>
  <si>
    <t>2024-09-11T19:22:35.766Z</t>
  </si>
  <si>
    <t>2024-09-11T19:22:26.717Z</t>
  </si>
  <si>
    <t>650200511d8cbbbd315ad52b</t>
  </si>
  <si>
    <t>2024-09-11T19:22:27.825Z</t>
  </si>
  <si>
    <t>2024-09-11T19:22:38.675Z</t>
  </si>
  <si>
    <t>2024-09-11T19:22:51.703Z</t>
  </si>
  <si>
    <t>2024-09-11T19:22:58.172Z</t>
  </si>
  <si>
    <t>2024-09-11T19:24:01.098Z</t>
  </si>
  <si>
    <t>2024-09-11T19:26:54.094Z</t>
  </si>
  <si>
    <t>2024-09-11T19:29:20.861Z</t>
  </si>
  <si>
    <t>6502008157ae167867eac226</t>
  </si>
  <si>
    <t>2024-09-11T19:31:04.401Z</t>
  </si>
  <si>
    <t>2024-09-11T19:34:11.871Z</t>
  </si>
  <si>
    <t>2024-09-11T19:36:53.027Z</t>
  </si>
  <si>
    <t>2024-09-11T19:46:17.889Z</t>
  </si>
  <si>
    <t>2024-09-12T22:31:27.459Z</t>
  </si>
  <si>
    <t>66e36ba46c40fc819e8c0488</t>
  </si>
  <si>
    <t>2024-09-12T22:42:28.897Z</t>
  </si>
  <si>
    <t>2024-09-18T18:25:07.715Z</t>
  </si>
  <si>
    <t>66e99d5256a05e3cea7a991f</t>
  </si>
  <si>
    <t>2024-09-18T18:25:20.075Z</t>
  </si>
  <si>
    <t>2024-09-18T18:25:26.362Z</t>
  </si>
  <si>
    <t>2024-09-18T18:25:54.360Z</t>
  </si>
  <si>
    <t>2024-09-18T18:26:47.268Z</t>
  </si>
  <si>
    <t>2024-09-18T18:26:02.192Z</t>
  </si>
  <si>
    <t>2024-09-18T18:26:04.272Z</t>
  </si>
  <si>
    <t>2024-09-18T18:26:05.076Z</t>
  </si>
  <si>
    <t>2024-09-18T18:26:06.270Z</t>
  </si>
  <si>
    <t>2024-09-18T18:26:12.685Z</t>
  </si>
  <si>
    <t>2024-09-18T18:26:25.881Z</t>
  </si>
  <si>
    <t>2024-09-18T18:26:16.351Z</t>
  </si>
  <si>
    <t>2024-09-18T18:26:35.151Z</t>
  </si>
  <si>
    <t>2024-09-18T18:26:32.211Z</t>
  </si>
  <si>
    <t>2024-09-18T18:26:26.979Z</t>
  </si>
  <si>
    <t>2024-09-18T18:31:07.316Z</t>
  </si>
  <si>
    <t>2024-09-18T18:31:11.579Z</t>
  </si>
  <si>
    <t>2024-09-18T18:27:20.494Z</t>
  </si>
  <si>
    <t>65020bf9097ac3c9d063264b</t>
  </si>
  <si>
    <t>2024-09-18T18:27:21.085Z</t>
  </si>
  <si>
    <t>2024-09-18T18:27:31.386Z</t>
  </si>
  <si>
    <t>2024-09-18T18:27:33.161Z</t>
  </si>
  <si>
    <t>2024-09-18T18:27:33.951Z</t>
  </si>
  <si>
    <t>2024-09-18T18:27:47.163Z</t>
  </si>
  <si>
    <t>2024-09-18T18:27:35.989Z</t>
  </si>
  <si>
    <t>2024-09-18T18:27:40.754Z</t>
  </si>
  <si>
    <t>2024-09-18T18:28:29.919Z</t>
  </si>
  <si>
    <t>2024-09-18T18:28:02.540Z</t>
  </si>
  <si>
    <t>2024-09-18T18:28:11.358Z</t>
  </si>
  <si>
    <t>2024-09-18T18:28:13.516Z</t>
  </si>
  <si>
    <t>2024-09-18T18:28:21.028Z</t>
  </si>
  <si>
    <t>2024-09-18T18:28:25.259Z</t>
  </si>
  <si>
    <t>2024-09-18T18:28:26.032Z</t>
  </si>
  <si>
    <t>2024-09-18T18:29:26.911Z</t>
  </si>
  <si>
    <t>65020c218f2b101294bb3db8</t>
  </si>
  <si>
    <t>2024-09-18T18:28:27.545Z</t>
  </si>
  <si>
    <t>2024-09-18T18:28:49.532Z</t>
  </si>
  <si>
    <t>2024-09-18T18:28:29.683Z</t>
  </si>
  <si>
    <t>2024-09-18T18:28:41.540Z</t>
  </si>
  <si>
    <t>2024-09-18T18:28:44.906Z</t>
  </si>
  <si>
    <t>2024-09-18T18:28:57.321Z</t>
  </si>
  <si>
    <t>2024-09-18T18:28:51.289Z</t>
  </si>
  <si>
    <t>2024-09-18T18:29:09.622Z</t>
  </si>
  <si>
    <t>2024-09-18T18:29:39.787Z</t>
  </si>
  <si>
    <t>2024-09-18T18:29:05.119Z</t>
  </si>
  <si>
    <t>2024-09-18T18:29:03.057Z</t>
  </si>
  <si>
    <t>2024-09-18T18:29:04.047Z</t>
  </si>
  <si>
    <t>2024-09-18T18:32:02.691Z</t>
  </si>
  <si>
    <t>2024-09-18T18:29:09.128Z</t>
  </si>
  <si>
    <t>2024-09-18T18:29:06.439Z</t>
  </si>
  <si>
    <t>2024-09-18T18:29:24.700Z</t>
  </si>
  <si>
    <t>2024-09-18T18:29:08.086Z</t>
  </si>
  <si>
    <t>2024-09-18T18:29:10.531Z</t>
  </si>
  <si>
    <t>2024-09-18T18:29:12.523Z</t>
  </si>
  <si>
    <t>2024-09-18T18:29:16.280Z</t>
  </si>
  <si>
    <t>2024-09-18T18:31:36.871Z</t>
  </si>
  <si>
    <t>2024-09-18T18:29:20.492Z</t>
  </si>
  <si>
    <t>2024-09-18T18:29:21.750Z</t>
  </si>
  <si>
    <t>2024-09-18T19:00:10.354Z</t>
  </si>
  <si>
    <t>2024-09-18T18:32:12.140Z</t>
  </si>
  <si>
    <t>650b47eb0df4236622e5106b</t>
  </si>
  <si>
    <t>2024-09-18T18:29:21.996Z</t>
  </si>
  <si>
    <t>2024-09-18T18:29:25.743Z</t>
  </si>
  <si>
    <t>2024-09-18T18:31:02.419Z</t>
  </si>
  <si>
    <t>2024-09-18T18:29:25.842Z</t>
  </si>
  <si>
    <t>2024-09-18T18:29:26.327Z</t>
  </si>
  <si>
    <t>2024-09-18T18:29:26.987Z</t>
  </si>
  <si>
    <t>2024-09-18T18:32:36.524Z</t>
  </si>
  <si>
    <t>2024-09-18T18:29:41.755Z</t>
  </si>
  <si>
    <t>2024-09-18T18:29:30.078Z</t>
  </si>
  <si>
    <t>2024-09-18T18:30:13.572Z</t>
  </si>
  <si>
    <t>2024-09-18T18:29:37.633Z</t>
  </si>
  <si>
    <t>2024-09-18T18:29:38.614Z</t>
  </si>
  <si>
    <t>2024-09-18T18:29:40.579Z</t>
  </si>
  <si>
    <t>2024-09-18T18:30:09.042Z</t>
  </si>
  <si>
    <t>2024-09-18T18:29:44.339Z</t>
  </si>
  <si>
    <t>2024-09-18T18:29:48.849Z</t>
  </si>
  <si>
    <t>651dbd37ca156cc80367f4ef</t>
  </si>
  <si>
    <t>2024-09-18T18:29:51.022Z</t>
  </si>
  <si>
    <t>2024-09-18T18:30:24.036Z</t>
  </si>
  <si>
    <t>2024-09-18T18:29:53.247Z</t>
  </si>
  <si>
    <t>2024-09-18T18:29:58.000Z</t>
  </si>
  <si>
    <t>2024-09-18T18:29:57.467Z</t>
  </si>
  <si>
    <t>2024-09-18T18:30:28.350Z</t>
  </si>
  <si>
    <t>2024-09-18T18:30:03.434Z</t>
  </si>
  <si>
    <t>2024-09-18T18:30:09.005Z</t>
  </si>
  <si>
    <t>2024-09-18T18:30:22.064Z</t>
  </si>
  <si>
    <t>2024-09-18T18:30:12.854Z</t>
  </si>
  <si>
    <t>2024-09-18T18:30:25.169Z</t>
  </si>
  <si>
    <t>65552a0bc10c999beba4a4a2</t>
  </si>
  <si>
    <t>2024-09-18T18:30:19.113Z</t>
  </si>
  <si>
    <t>2024-09-18T18:30:23.781Z</t>
  </si>
  <si>
    <t>2024-09-18T18:30:21.707Z</t>
  </si>
  <si>
    <t>2024-09-18T18:32:29.159Z</t>
  </si>
  <si>
    <t>6570d5fef9b035e0046fb67f</t>
  </si>
  <si>
    <t>2024-09-18T18:30:31.861Z</t>
  </si>
  <si>
    <t>2024-09-18T18:30:31.854Z</t>
  </si>
  <si>
    <t>2024-09-18T18:30:42.624Z</t>
  </si>
  <si>
    <t>2024-09-18T18:30:44.684Z</t>
  </si>
  <si>
    <t>2024-09-18T19:23:21.672Z</t>
  </si>
  <si>
    <t>2024-09-18T18:30:58.172Z</t>
  </si>
  <si>
    <t>2024-09-18T18:30:59.621Z</t>
  </si>
  <si>
    <t>2024-09-18T18:32:10.118Z</t>
  </si>
  <si>
    <t>65b1658b2cd348534f376457</t>
  </si>
  <si>
    <t>2024-09-18T18:31:23.492Z</t>
  </si>
  <si>
    <t>65b1673896b40a14f0967d9b</t>
  </si>
  <si>
    <t>2024-09-18T18:31:19.389Z</t>
  </si>
  <si>
    <t>65b1704c5275909e8451d4e7</t>
  </si>
  <si>
    <t>2024-09-18T18:31:25.006Z</t>
  </si>
  <si>
    <t>2024-09-18T19:24:45.263Z</t>
  </si>
  <si>
    <t>66e99d3f56a05e3cea7a991e</t>
  </si>
  <si>
    <t>2024-09-18T18:31:38.858Z</t>
  </si>
  <si>
    <t>65baa01d2b367c7ed72fe8ba</t>
  </si>
  <si>
    <t>2024-09-18T18:32:42.923Z</t>
  </si>
  <si>
    <t>2024-09-18T18:32:09.699Z</t>
  </si>
  <si>
    <t>65baa02b2b367c7ed72fe8bc</t>
  </si>
  <si>
    <t>2024-09-18T18:32:04.464Z</t>
  </si>
  <si>
    <t>65baa0322b367c7ed72fe8be</t>
  </si>
  <si>
    <t>2024-09-18T18:31:59.371Z</t>
  </si>
  <si>
    <t>2024-09-18T18:32:41.768Z</t>
  </si>
  <si>
    <t>65baa05a5b6dafe19c5ab362</t>
  </si>
  <si>
    <t>2024-09-18T18:33:20.530Z</t>
  </si>
  <si>
    <t>65baa05d5b6dafe19c5ab363</t>
  </si>
  <si>
    <t>2024-09-18T18:33:55.539Z</t>
  </si>
  <si>
    <t>2024-09-18T18:34:52.040Z</t>
  </si>
  <si>
    <t>2024-09-18T18:35:44.971Z</t>
  </si>
  <si>
    <t>2024-09-18T18:36:25.867Z</t>
  </si>
  <si>
    <t>2024-09-18T18:42:00.096Z</t>
  </si>
  <si>
    <t>2024-09-18T18:42:43.506Z</t>
  </si>
  <si>
    <t>2024-09-18T18:52:03.662Z</t>
  </si>
  <si>
    <t>2024-09-18T18:55:32.442Z</t>
  </si>
  <si>
    <t>2024-09-18T19:11:26.137Z</t>
  </si>
  <si>
    <t>2024-09-18T19:11:51.572Z</t>
  </si>
  <si>
    <t>2024-09-18T19:11:55.839Z</t>
  </si>
  <si>
    <t>2024-09-18T19:12:18.080Z</t>
  </si>
  <si>
    <t>2024-09-18T19:13:19.724Z</t>
  </si>
  <si>
    <t>2024-09-18T19:13:48.119Z</t>
  </si>
  <si>
    <t>65c510ec89fac1789606038c</t>
  </si>
  <si>
    <t>2024-09-18T19:14:25.136Z</t>
  </si>
  <si>
    <t>65c510ffd180df635e43d87b</t>
  </si>
  <si>
    <t>2024-09-18T19:14:58.154Z</t>
  </si>
  <si>
    <t>65c5111bd180df635e43d87c</t>
  </si>
  <si>
    <t>2024-09-18T19:15:00.074Z</t>
  </si>
  <si>
    <t>65c544dbe466d7521c166e5d</t>
  </si>
  <si>
    <t>2024-09-18T19:15:00.897Z</t>
  </si>
  <si>
    <t>2024-09-18T19:15:13.360Z</t>
  </si>
  <si>
    <t>2024-09-18T19:15:25.813Z</t>
  </si>
  <si>
    <t>65cd20bf4422ee3041b1302a</t>
  </si>
  <si>
    <t>2024-09-18T19:15:14.958Z</t>
  </si>
  <si>
    <t>2024-09-18T19:15:35.630Z</t>
  </si>
  <si>
    <t>2024-09-18T19:15:39.748Z</t>
  </si>
  <si>
    <t>2024-09-18T19:15:43.936Z</t>
  </si>
  <si>
    <t>2024-09-18T19:15:43.768Z</t>
  </si>
  <si>
    <t>2024-09-18T19:15:45.287Z</t>
  </si>
  <si>
    <t>2024-09-18T19:15:45.795Z</t>
  </si>
  <si>
    <t>2024-09-18T19:15:59.471Z</t>
  </si>
  <si>
    <t>65fb36d46e179432f8a5506b</t>
  </si>
  <si>
    <t>2024-09-18T19:15:58.478Z</t>
  </si>
  <si>
    <t>2024-09-18T19:16:01.117Z</t>
  </si>
  <si>
    <t>2024-09-18T19:16:03.088Z</t>
  </si>
  <si>
    <t>2024-09-18T19:16:16.692Z</t>
  </si>
  <si>
    <t>2024-09-18T19:16:22.530Z</t>
  </si>
  <si>
    <t>662016d8d676694b38e66d58</t>
  </si>
  <si>
    <t>2024-09-18T19:16:18.270Z</t>
  </si>
  <si>
    <t>6620215b35e1d6d584b72765</t>
  </si>
  <si>
    <t>2024-09-18T19:16:53.045Z</t>
  </si>
  <si>
    <t>2024-09-18T19:17:01.185Z</t>
  </si>
  <si>
    <t>2024-09-18T19:17:13.334Z</t>
  </si>
  <si>
    <t>2024-09-18T19:17:21.584Z</t>
  </si>
  <si>
    <t>2024-09-18T19:17:22.688Z</t>
  </si>
  <si>
    <t>2024-09-18T19:17:25.728Z</t>
  </si>
  <si>
    <t>2024-09-18T19:17:36.608Z</t>
  </si>
  <si>
    <t>2024-09-18T19:17:48.190Z</t>
  </si>
  <si>
    <t>2024-09-18T19:17:50.754Z</t>
  </si>
  <si>
    <t>665e0b4c71922c2937124b40</t>
  </si>
  <si>
    <t>2024-09-18T19:18:05.409Z</t>
  </si>
  <si>
    <t>665e0b8e58de99e73ea34480</t>
  </si>
  <si>
    <t>2024-09-18T19:18:12.520Z</t>
  </si>
  <si>
    <t>2024-09-18T19:18:57.275Z</t>
  </si>
  <si>
    <t>2024-09-18T19:19:15.317Z</t>
  </si>
  <si>
    <t>2024-09-18T19:19:26.768Z</t>
  </si>
  <si>
    <t>2024-09-18T19:20:06.583Z</t>
  </si>
  <si>
    <t>2024-09-18T19:20:19.665Z</t>
  </si>
  <si>
    <t>2024-09-18T19:20:34.106Z</t>
  </si>
  <si>
    <t>2024-09-18T19:20:41.034Z</t>
  </si>
  <si>
    <t>2024-09-18T19:20:41.396Z</t>
  </si>
  <si>
    <t>2024-09-18T19:20:45.997Z</t>
  </si>
  <si>
    <t>2024-09-18T19:20:50.993Z</t>
  </si>
  <si>
    <t>2024-09-18T19:20:50.404Z</t>
  </si>
  <si>
    <t>2024-09-18T19:20:50.422Z</t>
  </si>
  <si>
    <t>2024-09-18T19:20:52.129Z</t>
  </si>
  <si>
    <t>2024-09-18T19:21:00.913Z</t>
  </si>
  <si>
    <t>2024-09-18T19:20:56.853Z</t>
  </si>
  <si>
    <t>2024-09-18T19:20:58.340Z</t>
  </si>
  <si>
    <t>2024-09-18T19:21:14.099Z</t>
  </si>
  <si>
    <t>2024-09-18T19:21:07.129Z</t>
  </si>
  <si>
    <t>2024-09-18T19:21:12.422Z</t>
  </si>
  <si>
    <t>2024-09-18T19:21:22.399Z</t>
  </si>
  <si>
    <t>2024-09-18T19:21:23.931Z</t>
  </si>
  <si>
    <t>2024-09-18T19:21:35.277Z</t>
  </si>
  <si>
    <t>2024-09-18T19:21:36.807Z</t>
  </si>
  <si>
    <t>2024-09-18T19:21:38.165Z</t>
  </si>
  <si>
    <t>2024-09-18T19:22:04.795Z</t>
  </si>
  <si>
    <t>2024-09-18T19:21:41.546Z</t>
  </si>
  <si>
    <t>2024-09-18T19:21:42.114Z</t>
  </si>
  <si>
    <t>2024-09-18T19:21:51.121Z</t>
  </si>
  <si>
    <t>2024-09-18T19:21:47.508Z</t>
  </si>
  <si>
    <t>2024-09-18T19:22:00.127Z</t>
  </si>
  <si>
    <t>2024-09-18T19:22:12.514Z</t>
  </si>
  <si>
    <t>2024-09-18T19:22:25.460Z</t>
  </si>
  <si>
    <t>2024-09-18T19:22:29.672Z</t>
  </si>
  <si>
    <t>2024-09-18T19:22:29.706Z</t>
  </si>
  <si>
    <t>2024-09-18T19:22:30.774Z</t>
  </si>
  <si>
    <t>2024-09-18T19:22:37.366Z</t>
  </si>
  <si>
    <t>2024-09-18T19:22:50.612Z</t>
  </si>
  <si>
    <t>66eb286893ca556f981967e6</t>
  </si>
  <si>
    <t>2024-09-18T19:22:43.260Z</t>
  </si>
  <si>
    <t>2024-09-18T19:22:46.680Z</t>
  </si>
  <si>
    <t>2024-09-18T19:23:07.137Z</t>
  </si>
  <si>
    <t>2024-09-18T19:23:52.413Z</t>
  </si>
  <si>
    <t>2024-09-18T19:24:14.441Z</t>
  </si>
  <si>
    <t>2024-09-18T19:26:41.797Z</t>
  </si>
  <si>
    <t>2024-09-18T19:25:12.887Z</t>
  </si>
  <si>
    <t>2024-09-18T19:25:15.238Z</t>
  </si>
  <si>
    <t>2024-09-18T19:25:20.145Z</t>
  </si>
  <si>
    <t>2024-09-18T19:25:37.683Z</t>
  </si>
  <si>
    <t>2024-09-18T19:25:46.013Z</t>
  </si>
  <si>
    <t>2024-09-18T19:26:08.948Z</t>
  </si>
  <si>
    <t>2024-09-18T19:26:10.348Z</t>
  </si>
  <si>
    <t>2024-09-18T19:26:11.927Z</t>
  </si>
  <si>
    <t>2024-09-18T19:26:26.614Z</t>
  </si>
  <si>
    <t>2024-09-18T19:26:38.123Z</t>
  </si>
  <si>
    <t>2024-09-18T19:27:01.357Z</t>
  </si>
  <si>
    <t>2024-09-18T19:26:53.490Z</t>
  </si>
  <si>
    <t>2024-09-18T19:28:11.695Z</t>
  </si>
  <si>
    <t>2024-09-18T19:28:23.969Z</t>
  </si>
  <si>
    <t>2024-09-18T19:29:26.676Z</t>
  </si>
  <si>
    <t>2024-09-18T20:00:10.510Z</t>
  </si>
  <si>
    <t>2024-09-18T20:01:05.634Z</t>
  </si>
  <si>
    <t>2024-09-18T20:01:22.067Z</t>
  </si>
  <si>
    <t>2024-09-25T18:25:07.104Z</t>
  </si>
  <si>
    <t>66f42745bf5c5c4bee3da814</t>
  </si>
  <si>
    <t>2024-09-25T18:25:15.560Z</t>
  </si>
  <si>
    <t>2024-09-25T18:25:31.076Z</t>
  </si>
  <si>
    <t>2024-09-25T18:25:32.961Z</t>
  </si>
  <si>
    <t>2024-09-25T18:26:00.411Z</t>
  </si>
  <si>
    <t>2024-09-25T18:26:09.440Z</t>
  </si>
  <si>
    <t>2024-09-25T18:26:11.722Z</t>
  </si>
  <si>
    <t>2024-09-25T18:26:32.047Z</t>
  </si>
  <si>
    <t>2024-09-25T18:26:53.934Z</t>
  </si>
  <si>
    <t>2024-09-25T18:27:00.611Z</t>
  </si>
  <si>
    <t>2024-09-25T18:27:04.681Z</t>
  </si>
  <si>
    <t>2024-09-25T18:27:13.170Z</t>
  </si>
  <si>
    <t>2024-09-25T18:27:19.320Z</t>
  </si>
  <si>
    <t>2024-09-25T18:27:19.380Z</t>
  </si>
  <si>
    <t>2024-09-25T18:27:24.370Z</t>
  </si>
  <si>
    <t>2024-09-25T18:27:45.295Z</t>
  </si>
  <si>
    <t>2024-09-25T18:27:45.842Z</t>
  </si>
  <si>
    <t>2024-09-25T18:27:47.088Z</t>
  </si>
  <si>
    <t>2024-09-25T18:27:52.612Z</t>
  </si>
  <si>
    <t>2024-09-25T18:28:00.422Z</t>
  </si>
  <si>
    <t>2024-09-25T18:28:00.121Z</t>
  </si>
  <si>
    <t>2024-09-25T18:28:02.809Z</t>
  </si>
  <si>
    <t>2024-09-25T18:28:02.856Z</t>
  </si>
  <si>
    <t>2024-09-25T18:28:11.899Z</t>
  </si>
  <si>
    <t>2024-09-25T18:28:32.659Z</t>
  </si>
  <si>
    <t>2024-09-25T18:28:34.364Z</t>
  </si>
  <si>
    <t>2024-09-25T18:29:00.991Z</t>
  </si>
  <si>
    <t>2024-09-25T18:29:10.601Z</t>
  </si>
  <si>
    <t>2024-09-25T18:29:14.799Z</t>
  </si>
  <si>
    <t>2024-09-25T18:29:15.239Z</t>
  </si>
  <si>
    <t>2024-09-25T18:29:22.551Z</t>
  </si>
  <si>
    <t>2024-09-25T18:29:24.754Z</t>
  </si>
  <si>
    <t>2024-09-25T18:29:42.817Z</t>
  </si>
  <si>
    <t>2024-09-25T18:29:47.301Z</t>
  </si>
  <si>
    <t>2024-09-25T18:29:48.314Z</t>
  </si>
  <si>
    <t>2024-09-25T18:29:51.723Z</t>
  </si>
  <si>
    <t>2024-09-25T18:29:51.770Z</t>
  </si>
  <si>
    <t>2024-09-25T18:29:58.739Z</t>
  </si>
  <si>
    <t>2024-09-25T18:30:11.859Z</t>
  </si>
  <si>
    <t>2024-09-25T18:30:31.671Z</t>
  </si>
  <si>
    <t>2024-09-25T18:30:35.534Z</t>
  </si>
  <si>
    <t>2024-09-25T18:30:41.326Z</t>
  </si>
  <si>
    <t>2024-09-25T18:30:43.263Z</t>
  </si>
  <si>
    <t>2024-09-25T18:30:43.466Z</t>
  </si>
  <si>
    <t>2024-09-25T18:30:47.441Z</t>
  </si>
  <si>
    <t>2024-09-25T18:30:47.141Z</t>
  </si>
  <si>
    <t>2024-09-25T18:30:48.833Z</t>
  </si>
  <si>
    <t>2024-09-25T18:30:49.434Z</t>
  </si>
  <si>
    <t>2024-09-25T18:30:53.600Z</t>
  </si>
  <si>
    <t>2024-09-25T18:30:51.303Z</t>
  </si>
  <si>
    <t>2024-09-25T18:30:54.154Z</t>
  </si>
  <si>
    <t>2024-09-25T18:31:19.560Z</t>
  </si>
  <si>
    <t>2024-09-25T18:31:31.812Z</t>
  </si>
  <si>
    <t>2024-09-25T18:31:33.961Z</t>
  </si>
  <si>
    <t>2024-09-25T18:31:35.041Z</t>
  </si>
  <si>
    <t>2024-09-25T18:31:42.616Z</t>
  </si>
  <si>
    <t>2024-09-25T18:32:00.168Z</t>
  </si>
  <si>
    <t>2024-09-25T18:32:08.993Z</t>
  </si>
  <si>
    <t>2024-09-25T18:32:14.932Z</t>
  </si>
  <si>
    <t>2024-09-25T18:32:15.521Z</t>
  </si>
  <si>
    <t>2024-09-25T18:32:27.599Z</t>
  </si>
  <si>
    <t>2024-09-25T18:32:38.726Z</t>
  </si>
  <si>
    <t>2024-09-25T18:33:18.933Z</t>
  </si>
  <si>
    <t>2024-09-25T18:33:25.512Z</t>
  </si>
  <si>
    <t>2024-09-25T18:33:23.732Z</t>
  </si>
  <si>
    <t>2024-09-25T18:33:41.983Z</t>
  </si>
  <si>
    <t>2024-09-25T18:34:09.672Z</t>
  </si>
  <si>
    <t>2024-09-25T18:34:10.158Z</t>
  </si>
  <si>
    <t>2024-09-25T18:34:43.172Z</t>
  </si>
  <si>
    <t>2024-09-25T18:34:49.625Z</t>
  </si>
  <si>
    <t>2024-09-25T18:34:43.171Z</t>
  </si>
  <si>
    <t>2024-09-25T18:34:50.699Z</t>
  </si>
  <si>
    <t>2024-09-25T18:35:13.378Z</t>
  </si>
  <si>
    <t>2024-09-25T18:35:36.951Z</t>
  </si>
  <si>
    <t>2024-09-25T18:35:55.136Z</t>
  </si>
  <si>
    <t>2024-09-25T18:36:12.216Z</t>
  </si>
  <si>
    <t>2024-09-25T18:36:35.366Z</t>
  </si>
  <si>
    <t>2024-09-25T18:38:11.652Z</t>
  </si>
  <si>
    <t>2024-09-25T18:38:50.073Z</t>
  </si>
  <si>
    <t>2024-09-25T18:41:51.729Z</t>
  </si>
  <si>
    <t>2024-09-25T18:41:57.108Z</t>
  </si>
  <si>
    <t>2024-09-25T18:44:15.084Z</t>
  </si>
  <si>
    <t>2024-09-25T18:51:14.428Z</t>
  </si>
  <si>
    <t>2024-09-25T18:48:52.082Z</t>
  </si>
  <si>
    <t>2024-09-25T18:52:06.196Z</t>
  </si>
  <si>
    <t>2024-09-25T18:55:18.450Z</t>
  </si>
  <si>
    <t>2024-09-25T18:58:51.072Z</t>
  </si>
  <si>
    <t>2024-09-25T18:59:01.521Z</t>
  </si>
  <si>
    <t>2024-09-25T19:07:06.867Z</t>
  </si>
  <si>
    <t>2024-09-25T19:08:19.555Z</t>
  </si>
  <si>
    <t>2024-09-25T19:08:26.887Z</t>
  </si>
  <si>
    <t>2024-09-25T19:13:08.396Z</t>
  </si>
  <si>
    <t>66f42759691b9e6b243d167b</t>
  </si>
  <si>
    <t>2024-09-25T19:13:24.264Z</t>
  </si>
  <si>
    <t>2024-09-25T19:13:16.432Z</t>
  </si>
  <si>
    <t>2024-09-25T19:13:18.676Z</t>
  </si>
  <si>
    <t>2024-09-25T19:22:55.786Z</t>
  </si>
  <si>
    <t>2024-09-25T19:13:23.507Z</t>
  </si>
  <si>
    <t>2024-09-25T19:13:24.906Z</t>
  </si>
  <si>
    <t>2024-09-25T19:13:27.234Z</t>
  </si>
  <si>
    <t>2024-09-25T19:13:28.640Z</t>
  </si>
  <si>
    <t>2024-09-25T19:13:29.231Z</t>
  </si>
  <si>
    <t>2024-09-25T19:13:32.867Z</t>
  </si>
  <si>
    <t>2024-09-25T19:13:45.301Z</t>
  </si>
  <si>
    <t>2024-09-25T19:13:53.472Z</t>
  </si>
  <si>
    <t>2024-09-25T19:13:53.565Z</t>
  </si>
  <si>
    <t>2024-09-25T19:13:54.907Z</t>
  </si>
  <si>
    <t>2024-09-25T19:14:07.562Z</t>
  </si>
  <si>
    <t>2024-09-25T19:14:08.104Z</t>
  </si>
  <si>
    <t>2024-09-25T19:14:15.552Z</t>
  </si>
  <si>
    <t>2024-09-25T19:14:19.320Z</t>
  </si>
  <si>
    <t>2024-09-25T19:15:10.260Z</t>
  </si>
  <si>
    <t>2024-09-25T19:15:30.757Z</t>
  </si>
  <si>
    <t>2024-09-25T19:15:34.999Z</t>
  </si>
  <si>
    <t>2024-09-25T19:16:47.216Z</t>
  </si>
  <si>
    <t>2024-09-25T19:16:16.162Z</t>
  </si>
  <si>
    <t>2024-09-25T19:16:40.029Z</t>
  </si>
  <si>
    <t>2024-09-25T19:17:30.166Z</t>
  </si>
  <si>
    <t>2024-09-25T19:18:21.162Z</t>
  </si>
  <si>
    <t>2024-09-25T19:19:24.391Z</t>
  </si>
  <si>
    <t>2024-09-25T19:20:26.237Z</t>
  </si>
  <si>
    <t>2024-09-25T19:20:29.569Z</t>
  </si>
  <si>
    <t>2024-09-25T19:20:53.992Z</t>
  </si>
  <si>
    <t>2024-09-25T19:21:06.945Z</t>
  </si>
  <si>
    <t>2024-09-25T20:56:18.559Z</t>
  </si>
  <si>
    <t>2024-09-25T19:21:16.889Z</t>
  </si>
  <si>
    <t>2024-09-25T19:21:34.359Z</t>
  </si>
  <si>
    <t>2024-09-25T19:21:42.298Z</t>
  </si>
  <si>
    <t>2024-09-25T19:21:56.363Z</t>
  </si>
  <si>
    <t>2024-09-25T19:22:03.941Z</t>
  </si>
  <si>
    <t>2024-09-25T19:22:01.145Z</t>
  </si>
  <si>
    <t>2024-09-25T19:22:13.856Z</t>
  </si>
  <si>
    <t>2024-09-25T19:22:27.465Z</t>
  </si>
  <si>
    <t>2024-09-25T19:22:35.292Z</t>
  </si>
  <si>
    <t>2024-09-25T19:23:47.599Z</t>
  </si>
  <si>
    <t>2024-09-25T19:24:07.163Z</t>
  </si>
  <si>
    <t>2024-09-25T19:24:12.235Z</t>
  </si>
  <si>
    <t>2024-09-25T19:24:36.264Z</t>
  </si>
  <si>
    <t>2024-09-25T19:33:48.068Z</t>
  </si>
  <si>
    <t>2024-09-25T19:25:10.451Z</t>
  </si>
  <si>
    <t>2024-09-25T19:25:13.491Z</t>
  </si>
  <si>
    <t>2024-09-25T19:25:55.682Z</t>
  </si>
  <si>
    <t>2024-09-25T19:25:57.021Z</t>
  </si>
  <si>
    <t>2024-09-25T19:25:59.135Z</t>
  </si>
  <si>
    <t>2024-09-25T19:26:02.413Z</t>
  </si>
  <si>
    <t>2024-09-25T19:26:03.928Z</t>
  </si>
  <si>
    <t>2024-09-25T19:26:05.346Z</t>
  </si>
  <si>
    <t>2024-09-25T19:26:06.578Z</t>
  </si>
  <si>
    <t>2024-09-25T19:26:17.842Z</t>
  </si>
  <si>
    <t>2024-09-25T19:26:31.664Z</t>
  </si>
  <si>
    <t>2024-09-25T19:26:47.652Z</t>
  </si>
  <si>
    <t>2024-09-25T19:26:51.960Z</t>
  </si>
  <si>
    <t>2024-09-25T19:27:33.372Z</t>
  </si>
  <si>
    <t>2024-09-25T19:27:33.918Z</t>
  </si>
  <si>
    <t>2024-09-25T19:28:13.952Z</t>
  </si>
  <si>
    <t>2024-09-25T19:29:41.800Z</t>
  </si>
  <si>
    <t>2024-09-25T19:32:01.507Z</t>
  </si>
  <si>
    <t>2024-09-25T19:33:33.757Z</t>
  </si>
  <si>
    <t>2024-09-25T19:33:51.139Z</t>
  </si>
  <si>
    <t>2024-09-25T19:34:46.379Z</t>
  </si>
  <si>
    <t>2024-09-25T19:37:29.793Z</t>
  </si>
  <si>
    <t>2024-09-25T19:49:52.913Z</t>
  </si>
  <si>
    <t>2024-09-25T19:52:12.526Z</t>
  </si>
  <si>
    <t>2024-09-25T19:52:44.423Z</t>
  </si>
  <si>
    <t>2024-09-25T20:00:10.604Z</t>
  </si>
  <si>
    <t>2024-09-25T20:00:21.614Z</t>
  </si>
  <si>
    <t>2024-09-25T20:55:17.099Z</t>
  </si>
  <si>
    <t>2024-09-25T20:55:28.226Z</t>
  </si>
  <si>
    <t>2024-09-25T21:22:37.881Z</t>
  </si>
  <si>
    <t>2024-10-02T18:29:09.450Z</t>
  </si>
  <si>
    <t>66fd3776c1f8d07869c54207</t>
  </si>
  <si>
    <t>2024-10-02T18:29:12.396Z</t>
  </si>
  <si>
    <t>66fd377dee8501dc805d322a</t>
  </si>
  <si>
    <t>2024-10-02T18:29:22.103Z</t>
  </si>
  <si>
    <t>2024-10-02T18:29:33.215Z</t>
  </si>
  <si>
    <t>2024-10-02T18:29:38.698Z</t>
  </si>
  <si>
    <t>2024-10-02T18:29:40.958Z</t>
  </si>
  <si>
    <t>2024-10-02T18:29:47.706Z</t>
  </si>
  <si>
    <t>2024-10-02T18:29:48.742Z</t>
  </si>
  <si>
    <t>2024-10-02T18:29:52.874Z</t>
  </si>
  <si>
    <t>2024-10-02T18:30:18.910Z</t>
  </si>
  <si>
    <t>2024-10-02T18:29:55.899Z</t>
  </si>
  <si>
    <t>2024-10-02T18:29:58.053Z</t>
  </si>
  <si>
    <t>2024-10-02T18:29:59.529Z</t>
  </si>
  <si>
    <t>2024-10-02T18:30:00.771Z</t>
  </si>
  <si>
    <t>2024-10-02T18:30:08.701Z</t>
  </si>
  <si>
    <t>2024-10-02T18:30:09.487Z</t>
  </si>
  <si>
    <t>2024-10-02T18:30:20.723Z</t>
  </si>
  <si>
    <t>2024-10-02T18:30:24.389Z</t>
  </si>
  <si>
    <t>2024-10-02T18:33:47.843Z</t>
  </si>
  <si>
    <t>2024-10-02T18:30:30.128Z</t>
  </si>
  <si>
    <t>2024-10-02T18:30:32.133Z</t>
  </si>
  <si>
    <t>2024-10-02T18:30:45.519Z</t>
  </si>
  <si>
    <t>2024-10-02T18:30:53.516Z</t>
  </si>
  <si>
    <t>2024-10-02T18:30:54.345Z</t>
  </si>
  <si>
    <t>2024-10-02T18:31:04.093Z</t>
  </si>
  <si>
    <t>2024-10-02T18:30:59.462Z</t>
  </si>
  <si>
    <t>2024-10-02T18:30:59.509Z</t>
  </si>
  <si>
    <t>2024-10-02T18:31:03.244Z</t>
  </si>
  <si>
    <t>2024-10-02T18:31:09.827Z</t>
  </si>
  <si>
    <t>2024-10-02T18:31:16.002Z</t>
  </si>
  <si>
    <t>2024-10-02T18:31:16.135Z</t>
  </si>
  <si>
    <t>2024-10-02T18:31:17.847Z</t>
  </si>
  <si>
    <t>2024-10-02T18:31:24.812Z</t>
  </si>
  <si>
    <t>2024-10-02T18:31:22.304Z</t>
  </si>
  <si>
    <t>2024-10-02T18:31:25.210Z</t>
  </si>
  <si>
    <t>2024-10-02T18:31:26.586Z</t>
  </si>
  <si>
    <t>2024-10-02T18:31:30.099Z</t>
  </si>
  <si>
    <t>2024-10-02T18:31:31.461Z</t>
  </si>
  <si>
    <t>2024-10-02T18:31:43.843Z</t>
  </si>
  <si>
    <t>2024-10-02T18:31:39.302Z</t>
  </si>
  <si>
    <t>2024-10-02T18:31:35.243Z</t>
  </si>
  <si>
    <t>2024-10-02T18:31:37.883Z</t>
  </si>
  <si>
    <t>2024-10-02T18:31:49.639Z</t>
  </si>
  <si>
    <t>2024-10-02T18:31:48.954Z</t>
  </si>
  <si>
    <t>2024-10-02T18:31:48.956Z</t>
  </si>
  <si>
    <t>2024-10-02T18:31:48.961Z</t>
  </si>
  <si>
    <t>2024-10-02T18:31:54.720Z</t>
  </si>
  <si>
    <t>2024-10-02T18:31:55.096Z</t>
  </si>
  <si>
    <t>2024-10-02T18:31:57.643Z</t>
  </si>
  <si>
    <t>2024-10-02T18:32:03.627Z</t>
  </si>
  <si>
    <t>2024-10-02T18:32:07.993Z</t>
  </si>
  <si>
    <t>2024-10-02T18:32:09.652Z</t>
  </si>
  <si>
    <t>2024-10-02T18:32:09.754Z</t>
  </si>
  <si>
    <t>2024-10-02T18:32:10.938Z</t>
  </si>
  <si>
    <t>2024-10-02T18:32:19.343Z</t>
  </si>
  <si>
    <t>2024-10-02T18:32:37.197Z</t>
  </si>
  <si>
    <t>2024-10-02T18:32:38.480Z</t>
  </si>
  <si>
    <t>2024-10-02T18:32:48.872Z</t>
  </si>
  <si>
    <t>2024-10-02T18:32:44.563Z</t>
  </si>
  <si>
    <t>2024-10-02T18:32:44.954Z</t>
  </si>
  <si>
    <t>2024-10-02T19:55:10.030Z</t>
  </si>
  <si>
    <t>2024-10-02T18:32:52.518Z</t>
  </si>
  <si>
    <t>2024-10-02T18:32:57.631Z</t>
  </si>
  <si>
    <t>2024-10-02T18:33:01.772Z</t>
  </si>
  <si>
    <t>2024-10-02T18:33:40.050Z</t>
  </si>
  <si>
    <t>2024-10-02T18:34:23.169Z</t>
  </si>
  <si>
    <t>2024-10-02T18:34:26.018Z</t>
  </si>
  <si>
    <t>2024-10-02T18:35:41.634Z</t>
  </si>
  <si>
    <t>2024-10-02T18:37:12.675Z</t>
  </si>
  <si>
    <t>2024-10-02T18:37:06.000Z</t>
  </si>
  <si>
    <t>2024-10-02T18:37:42.071Z</t>
  </si>
  <si>
    <t>2024-10-02T18:38:34.380Z</t>
  </si>
  <si>
    <t>2024-10-02T18:39:17.830Z</t>
  </si>
  <si>
    <t>2024-10-02T18:40:18.215Z</t>
  </si>
  <si>
    <t>2024-10-02T18:40:34.591Z</t>
  </si>
  <si>
    <t>2024-10-02T18:40:45.220Z</t>
  </si>
  <si>
    <t>2024-10-02T18:41:51.588Z</t>
  </si>
  <si>
    <t>2024-10-02T19:11:51.883Z</t>
  </si>
  <si>
    <t>2024-10-02T19:14:55.768Z</t>
  </si>
  <si>
    <t>2024-10-02T19:26:56.948Z</t>
  </si>
  <si>
    <t>2024-10-02T19:15:31.191Z</t>
  </si>
  <si>
    <t>2024-10-02T19:15:49.937Z</t>
  </si>
  <si>
    <t>2024-10-02T19:15:51.704Z</t>
  </si>
  <si>
    <t>2024-10-02T19:15:50.230Z</t>
  </si>
  <si>
    <t>2024-10-02T19:15:59.297Z</t>
  </si>
  <si>
    <t>2024-10-02T19:16:00.716Z</t>
  </si>
  <si>
    <t>2024-10-02T19:16:17.070Z</t>
  </si>
  <si>
    <t>2024-10-02T19:16:56.631Z</t>
  </si>
  <si>
    <t>2024-10-02T19:17:26.189Z</t>
  </si>
  <si>
    <t>2024-10-02T19:17:27.804Z</t>
  </si>
  <si>
    <t>2024-10-02T19:17:54.560Z</t>
  </si>
  <si>
    <t>2024-10-02T19:17:58.696Z</t>
  </si>
  <si>
    <t>2024-10-02T19:18:36.154Z</t>
  </si>
  <si>
    <t>2024-10-02T19:19:55.280Z</t>
  </si>
  <si>
    <t>2024-10-02T19:19:53.591Z</t>
  </si>
  <si>
    <t>2024-10-02T19:20:12.042Z</t>
  </si>
  <si>
    <t>2024-10-02T19:20:18.736Z</t>
  </si>
  <si>
    <t>2024-10-02T19:20:21.740Z</t>
  </si>
  <si>
    <t>2024-10-02T19:20:22.968Z</t>
  </si>
  <si>
    <t>2024-10-02T19:20:29.759Z</t>
  </si>
  <si>
    <t>2024-10-02T19:20:31.316Z</t>
  </si>
  <si>
    <t>2024-10-02T19:20:31.426Z</t>
  </si>
  <si>
    <t>2024-10-02T19:20:44.226Z</t>
  </si>
  <si>
    <t>2024-10-02T19:20:44.643Z</t>
  </si>
  <si>
    <t>2024-10-02T19:20:50.650Z</t>
  </si>
  <si>
    <t>2024-10-02T19:21:07.164Z</t>
  </si>
  <si>
    <t>2024-10-02T19:21:16.888Z</t>
  </si>
  <si>
    <t>2024-10-02T19:21:19.933Z</t>
  </si>
  <si>
    <t>2024-10-02T19:21:22.391Z</t>
  </si>
  <si>
    <t>2024-10-02T19:21:22.685Z</t>
  </si>
  <si>
    <t>2024-10-02T19:21:43.488Z</t>
  </si>
  <si>
    <t>2024-10-02T19:21:56.072Z</t>
  </si>
  <si>
    <t>2024-10-02T19:22:14.576Z</t>
  </si>
  <si>
    <t>2024-10-02T19:22:22.662Z</t>
  </si>
  <si>
    <t>2024-10-02T19:23:47.302Z</t>
  </si>
  <si>
    <t>2024-10-02T19:23:55.830Z</t>
  </si>
  <si>
    <t>2024-10-02T19:55:10.574Z</t>
  </si>
  <si>
    <t>2024-10-02T19:24:16.841Z</t>
  </si>
  <si>
    <t>2024-10-02T19:24:25.352Z</t>
  </si>
  <si>
    <t>2024-10-02T19:24:44.188Z</t>
  </si>
  <si>
    <t>2024-10-02T19:25:00.086Z</t>
  </si>
  <si>
    <t>2024-10-02T19:25:03.895Z</t>
  </si>
  <si>
    <t>2024-10-02T19:25:16.582Z</t>
  </si>
  <si>
    <t>2024-10-02T19:25:41.288Z</t>
  </si>
  <si>
    <t>2024-10-02T19:25:51.195Z</t>
  </si>
  <si>
    <t>2024-10-02T19:26:43.272Z</t>
  </si>
  <si>
    <t>2024-10-02T19:26:04.693Z</t>
  </si>
  <si>
    <t>2024-10-02T19:26:15.602Z</t>
  </si>
  <si>
    <t>2024-10-02T19:26:51.564Z</t>
  </si>
  <si>
    <t>2024-10-02T19:27:00.877Z</t>
  </si>
  <si>
    <t>2024-10-02T19:27:01.743Z</t>
  </si>
  <si>
    <t>2024-10-03T00:42:19.170Z</t>
  </si>
  <si>
    <t>2024-10-02T19:27:34.604Z</t>
  </si>
  <si>
    <t>2024-10-02T19:28:58.893Z</t>
  </si>
  <si>
    <t>2024-10-02T19:28:55.826Z</t>
  </si>
  <si>
    <t>2024-10-02T19:29:34.449Z</t>
  </si>
  <si>
    <t>2024-10-02T19:29:55.964Z</t>
  </si>
  <si>
    <t>2024-10-02T19:32:51.054Z</t>
  </si>
  <si>
    <t>2024-10-02T19:34:20.388Z</t>
  </si>
  <si>
    <t>2024-10-02T19:34:31.189Z</t>
  </si>
  <si>
    <t>2024-10-02T19:36:42.673Z</t>
  </si>
  <si>
    <t>2024-10-02T19:39:31.703Z</t>
  </si>
  <si>
    <t>2024-10-02T19:57:04.057Z</t>
  </si>
  <si>
    <t>2024-10-02T20:00:23.141Z</t>
  </si>
  <si>
    <t>2024-10-02T20:04:53.852Z</t>
  </si>
  <si>
    <t>2024-10-03T15:04:35.888Z</t>
  </si>
  <si>
    <t>2024-10-03T17:06:44.808Z</t>
  </si>
  <si>
    <t>2024-10-03T17:42:07.402Z</t>
  </si>
  <si>
    <t>2024-10-07T02:43:41.739Z</t>
  </si>
  <si>
    <t>67031bbcfab153d39ac4e17f</t>
  </si>
  <si>
    <t>2024-10-07T02:43:41.943Z</t>
  </si>
  <si>
    <t>67031bc5b58acd50cd1185d7</t>
  </si>
  <si>
    <t>2024-10-07T19:08:38.337Z</t>
  </si>
  <si>
    <t>2024-10-07T19:10:48.820Z</t>
  </si>
  <si>
    <t>2024-10-07T19:11:12.924Z</t>
  </si>
  <si>
    <t>2024-10-07T19:12:04.116Z</t>
  </si>
  <si>
    <t>2024-10-07T19:12:25.896Z</t>
  </si>
  <si>
    <t>2024-10-07T19:13:53.762Z</t>
  </si>
  <si>
    <t>2024-10-07T19:13:59.611Z</t>
  </si>
  <si>
    <t>2024-10-07T19:28:13.598Z</t>
  </si>
  <si>
    <t>2024-10-07T19:14:12.593Z</t>
  </si>
  <si>
    <t>2024-10-07T19:14:18.414Z</t>
  </si>
  <si>
    <t>2024-10-07T19:14:21.237Z</t>
  </si>
  <si>
    <t>2024-10-07T19:14:25.347Z</t>
  </si>
  <si>
    <t>2024-10-07T19:14:32.293Z</t>
  </si>
  <si>
    <t>2024-10-07T19:14:35.286Z</t>
  </si>
  <si>
    <t>2024-10-07T19:14:58.890Z</t>
  </si>
  <si>
    <t>2024-10-07T19:15:00.573Z</t>
  </si>
  <si>
    <t>2024-10-07T19:15:26.168Z</t>
  </si>
  <si>
    <t>2024-10-07T19:15:17.026Z</t>
  </si>
  <si>
    <t>2024-10-07T19:15:30.686Z</t>
  </si>
  <si>
    <t>2024-10-07T19:15:52.405Z</t>
  </si>
  <si>
    <t>2024-10-07T19:16:08.787Z</t>
  </si>
  <si>
    <t>2024-10-07T19:16:26.614Z</t>
  </si>
  <si>
    <t>2024-10-07T19:16:34.761Z</t>
  </si>
  <si>
    <t>2024-10-07T19:16:45.293Z</t>
  </si>
  <si>
    <t>2024-10-07T19:55:20.186Z</t>
  </si>
  <si>
    <t>2024-10-07T19:17:15.395Z</t>
  </si>
  <si>
    <t>2024-10-07T19:28:07.014Z</t>
  </si>
  <si>
    <t>2024-10-07T19:25:27.427Z</t>
  </si>
  <si>
    <t>2024-10-07T19:17:56.628Z</t>
  </si>
  <si>
    <t>2024-10-07T19:18:17.924Z</t>
  </si>
  <si>
    <t>2024-10-07T19:18:28.465Z</t>
  </si>
  <si>
    <t>2024-10-07T19:21:20.940Z</t>
  </si>
  <si>
    <t>2024-10-07T19:18:27.768Z</t>
  </si>
  <si>
    <t>2024-10-07T19:18:44.467Z</t>
  </si>
  <si>
    <t>2024-10-07T19:18:45.461Z</t>
  </si>
  <si>
    <t>2024-10-07T19:18:45.472Z</t>
  </si>
  <si>
    <t>2024-10-07T19:18:49.903Z</t>
  </si>
  <si>
    <t>2024-10-07T19:18:55.127Z</t>
  </si>
  <si>
    <t>2024-10-07T19:19:06.786Z</t>
  </si>
  <si>
    <t>2024-10-07T19:19:19.973Z</t>
  </si>
  <si>
    <t>2024-10-07T19:20:10.496Z</t>
  </si>
  <si>
    <t>2024-10-07T19:20:42.726Z</t>
  </si>
  <si>
    <t>2024-10-07T19:20:44.040Z</t>
  </si>
  <si>
    <t>2024-10-07T19:20:51.124Z</t>
  </si>
  <si>
    <t>2024-10-07T19:20:52.341Z</t>
  </si>
  <si>
    <t>2024-10-07T19:20:57.167Z</t>
  </si>
  <si>
    <t>2024-10-07T19:21:03.227Z</t>
  </si>
  <si>
    <t>2024-10-07T19:21:12.972Z</t>
  </si>
  <si>
    <t>2024-10-07T19:21:18.758Z</t>
  </si>
  <si>
    <t>2024-10-07T19:21:25.180Z</t>
  </si>
  <si>
    <t>2024-10-07T19:21:27.086Z</t>
  </si>
  <si>
    <t>2024-10-07T19:21:34.983Z</t>
  </si>
  <si>
    <t>2024-10-07T19:21:35.461Z</t>
  </si>
  <si>
    <t>2024-10-07T19:21:38.773Z</t>
  </si>
  <si>
    <t>2024-10-07T19:21:46.254Z</t>
  </si>
  <si>
    <t>2024-10-07T19:21:48.329Z</t>
  </si>
  <si>
    <t>2024-10-07T19:21:53.918Z</t>
  </si>
  <si>
    <t>2024-10-07T19:21:54.333Z</t>
  </si>
  <si>
    <t>2024-10-07T19:22:08.570Z</t>
  </si>
  <si>
    <t>2024-10-07T19:22:11.793Z</t>
  </si>
  <si>
    <t>2024-10-07T19:22:17.583Z</t>
  </si>
  <si>
    <t>2024-10-07T19:22:35.487Z</t>
  </si>
  <si>
    <t>2024-10-07T19:22:38.704Z</t>
  </si>
  <si>
    <t>2024-10-07T19:22:44.521Z</t>
  </si>
  <si>
    <t>2024-10-07T19:22:59.104Z</t>
  </si>
  <si>
    <t>2024-10-07T19:23:40.253Z</t>
  </si>
  <si>
    <t>2024-10-07T19:23:18.538Z</t>
  </si>
  <si>
    <t>2024-10-07T19:23:41.487Z</t>
  </si>
  <si>
    <t>2024-10-07T19:23:23.351Z</t>
  </si>
  <si>
    <t>2024-10-07T19:23:23.981Z</t>
  </si>
  <si>
    <t>2024-10-07T19:23:28.150Z</t>
  </si>
  <si>
    <t>2024-10-07T19:23:34.290Z</t>
  </si>
  <si>
    <t>2024-10-07T19:23:34.873Z</t>
  </si>
  <si>
    <t>2024-10-07T19:23:36.517Z</t>
  </si>
  <si>
    <t>2024-10-07T19:23:55.385Z</t>
  </si>
  <si>
    <t>2024-10-07T19:24:09.400Z</t>
  </si>
  <si>
    <t>2024-10-07T19:24:33.826Z</t>
  </si>
  <si>
    <t>2024-10-07T19:24:44.968Z</t>
  </si>
  <si>
    <t>2024-10-07T19:25:01.782Z</t>
  </si>
  <si>
    <t>2024-10-07T19:25:01.861Z</t>
  </si>
  <si>
    <t>2024-10-07T19:25:17.870Z</t>
  </si>
  <si>
    <t>2024-10-07T19:25:19.286Z</t>
  </si>
  <si>
    <t>2024-10-07T19:25:21.005Z</t>
  </si>
  <si>
    <t>2024-10-07T19:25:27.650Z</t>
  </si>
  <si>
    <t>2024-10-07T19:25:27.675Z</t>
  </si>
  <si>
    <t>2024-10-07T19:25:30.501Z</t>
  </si>
  <si>
    <t>2024-10-07T19:25:31.092Z</t>
  </si>
  <si>
    <t>2024-10-07T19:25:31.477Z</t>
  </si>
  <si>
    <t>2024-10-07T19:25:32.628Z</t>
  </si>
  <si>
    <t>2024-10-07T19:25:32.885Z</t>
  </si>
  <si>
    <t>2024-10-07T19:25:34.047Z</t>
  </si>
  <si>
    <t>2024-10-07T19:25:37.358Z</t>
  </si>
  <si>
    <t>2024-10-07T19:25:38.349Z</t>
  </si>
  <si>
    <t>2024-10-07T19:25:40.404Z</t>
  </si>
  <si>
    <t>2024-10-07T19:25:43.834Z</t>
  </si>
  <si>
    <t>2024-10-07T19:25:44.375Z</t>
  </si>
  <si>
    <t>2024-10-07T19:25:46.210Z</t>
  </si>
  <si>
    <t>2024-10-07T19:25:46.549Z</t>
  </si>
  <si>
    <t>2024-10-07T19:25:49.062Z</t>
  </si>
  <si>
    <t>2024-10-07T19:25:50.161Z</t>
  </si>
  <si>
    <t>2024-10-07T19:25:51.711Z</t>
  </si>
  <si>
    <t>2024-10-07T19:25:52.510Z</t>
  </si>
  <si>
    <t>2024-10-07T19:25:53.390Z</t>
  </si>
  <si>
    <t>2024-10-07T19:25:53.787Z</t>
  </si>
  <si>
    <t>2024-10-07T19:25:58.862Z</t>
  </si>
  <si>
    <t>2024-10-07T19:25:56.590Z</t>
  </si>
  <si>
    <t>2024-10-07T19:25:56.852Z</t>
  </si>
  <si>
    <t>2024-10-07T19:25:58.878Z</t>
  </si>
  <si>
    <t>2024-10-07T19:25:59.077Z</t>
  </si>
  <si>
    <t>2024-10-07T19:26:00.895Z</t>
  </si>
  <si>
    <t>2024-10-07T19:28:09.002Z</t>
  </si>
  <si>
    <t>2024-10-07T19:26:01.440Z</t>
  </si>
  <si>
    <t>2024-10-07T19:26:05.687Z</t>
  </si>
  <si>
    <t>2024-10-07T19:26:06.451Z</t>
  </si>
  <si>
    <t>2024-10-07T19:26:08.416Z</t>
  </si>
  <si>
    <t>2024-10-07T19:26:09.207Z</t>
  </si>
  <si>
    <t>2024-10-07T19:26:10.474Z</t>
  </si>
  <si>
    <t>2024-10-07T19:26:11.611Z</t>
  </si>
  <si>
    <t>2024-10-07T19:26:14.275Z</t>
  </si>
  <si>
    <t>2024-10-07T19:26:15.257Z</t>
  </si>
  <si>
    <t>2024-10-07T19:26:19.671Z</t>
  </si>
  <si>
    <t>2024-10-07T19:26:21.938Z</t>
  </si>
  <si>
    <t>2024-10-07T19:26:24.603Z</t>
  </si>
  <si>
    <t>2024-10-07T19:26:27.681Z</t>
  </si>
  <si>
    <t>2024-10-07T19:26:33.979Z</t>
  </si>
  <si>
    <t>2024-10-07T19:26:34.947Z</t>
  </si>
  <si>
    <t>2024-10-07T19:26:34.596Z</t>
  </si>
  <si>
    <t>2024-10-07T19:26:38.564Z</t>
  </si>
  <si>
    <t>2024-10-07T19:26:38.781Z</t>
  </si>
  <si>
    <t>2024-10-07T19:26:48.136Z</t>
  </si>
  <si>
    <t>2024-10-07T19:26:50.802Z</t>
  </si>
  <si>
    <t>2024-10-07T19:26:57.270Z</t>
  </si>
  <si>
    <t>2024-10-07T19:27:00.028Z</t>
  </si>
  <si>
    <t>2024-10-07T19:27:08.531Z</t>
  </si>
  <si>
    <t>2024-10-07T19:27:26.260Z</t>
  </si>
  <si>
    <t>2024-10-07T19:27:26.261Z</t>
  </si>
  <si>
    <t>2024-10-07T19:27:54.956Z</t>
  </si>
  <si>
    <t>2024-10-07T19:28:41.418Z</t>
  </si>
  <si>
    <t>2024-10-07T19:28:46.653Z</t>
  </si>
  <si>
    <t>2024-10-07T19:29:17.304Z</t>
  </si>
  <si>
    <t>2024-10-07T19:30:25.135Z</t>
  </si>
  <si>
    <t>2024-10-07T19:30:38.350Z</t>
  </si>
  <si>
    <t>2024-10-07T19:32:02.716Z</t>
  </si>
  <si>
    <t>2024-10-07T19:41:03.418Z</t>
  </si>
  <si>
    <t>2024-10-07T19:41:12.900Z</t>
  </si>
  <si>
    <t>2024-10-07T19:48:03.028Z</t>
  </si>
  <si>
    <t>2024-10-07T19:48:13.383Z</t>
  </si>
  <si>
    <t>2024-10-07T19:55:49.383Z</t>
  </si>
  <si>
    <t>2024-10-07T19:56:11.916Z</t>
  </si>
  <si>
    <t>2024-10-07T19:58:18.649Z</t>
  </si>
  <si>
    <t>2024-10-08T02:07:22.928Z</t>
  </si>
  <si>
    <t>2024-10-10T22:46:52.890Z</t>
  </si>
  <si>
    <t>670834b28cbcce7489c91349</t>
  </si>
  <si>
    <t>2024-10-10T20:18:33.377Z</t>
  </si>
  <si>
    <t>2024-10-10T20:12:09.220Z</t>
  </si>
  <si>
    <t>2024-10-10T20:12:09.478Z</t>
  </si>
  <si>
    <t>2024-10-12T01:38:30.111Z</t>
  </si>
  <si>
    <t>2024-10-10T20:12:16.060Z</t>
  </si>
  <si>
    <t>2024-10-10T20:12:54.556Z</t>
  </si>
  <si>
    <t>2024-10-10T20:12:59.281Z</t>
  </si>
  <si>
    <t>2024-10-10T20:13:11.928Z</t>
  </si>
  <si>
    <t>2024-10-10T20:13:15.974Z</t>
  </si>
  <si>
    <t>2024-10-10T23:40:35.822Z</t>
  </si>
  <si>
    <t>2024-10-10T20:13:30.932Z</t>
  </si>
  <si>
    <t>2024-10-10T20:13:43.036Z</t>
  </si>
  <si>
    <t>2024-10-10T20:13:49.108Z</t>
  </si>
  <si>
    <t>2024-10-10T20:13:51.133Z</t>
  </si>
  <si>
    <t>2024-10-10T20:14:20.905Z</t>
  </si>
  <si>
    <t>2024-10-10T22:35:28.694Z</t>
  </si>
  <si>
    <t>2024-10-11T01:55:36.590Z</t>
  </si>
  <si>
    <t>2024-10-10T20:18:37.750Z</t>
  </si>
  <si>
    <t>2024-10-10T20:18:49.487Z</t>
  </si>
  <si>
    <t>2024-10-10T20:18:51.646Z</t>
  </si>
  <si>
    <t>2024-10-10T20:18:54.179Z</t>
  </si>
  <si>
    <t>2024-10-10T20:19:01.452Z</t>
  </si>
  <si>
    <t>2024-10-10T20:18:58.893Z</t>
  </si>
  <si>
    <t>2024-10-10T20:44:56.096Z</t>
  </si>
  <si>
    <t>2024-10-10T20:49:48.698Z</t>
  </si>
  <si>
    <t>2024-10-10T21:00:18.231Z</t>
  </si>
  <si>
    <t>2024-10-10T21:00:32.411Z</t>
  </si>
  <si>
    <t>2024-10-10T21:21:18.448Z</t>
  </si>
  <si>
    <t>2024-10-10T23:23:44.269Z</t>
  </si>
  <si>
    <t>2024-10-11T12:29:04.784Z</t>
  </si>
  <si>
    <t>2024-10-11T16:17:42.312Z</t>
  </si>
  <si>
    <t>2024-10-11T19:54:27.771Z</t>
  </si>
  <si>
    <t>2024-10-16T18:25:43.267Z</t>
  </si>
  <si>
    <t>670c51dfad7c0bc6ddf087f4</t>
  </si>
  <si>
    <t>2024-10-16T18:26:17.130Z</t>
  </si>
  <si>
    <t>2024-10-16T18:26:19.828Z</t>
  </si>
  <si>
    <t>2024-10-16T18:26:26.224Z</t>
  </si>
  <si>
    <t>2024-10-16T18:26:27.125Z</t>
  </si>
  <si>
    <t>2024-10-16T18:26:32.596Z</t>
  </si>
  <si>
    <t>2024-10-16T18:26:29.437Z</t>
  </si>
  <si>
    <t>2024-10-16T18:26:32.659Z</t>
  </si>
  <si>
    <t>2024-10-16T18:26:40.753Z</t>
  </si>
  <si>
    <t>2024-10-16T18:26:43.350Z</t>
  </si>
  <si>
    <t>2024-10-16T18:26:42.862Z</t>
  </si>
  <si>
    <t>2024-10-16T18:26:43.968Z</t>
  </si>
  <si>
    <t>2024-10-16T18:26:57.175Z</t>
  </si>
  <si>
    <t>2024-10-16T18:26:58.581Z</t>
  </si>
  <si>
    <t>2024-10-16T18:27:36.336Z</t>
  </si>
  <si>
    <t>2024-10-16T18:27:05.095Z</t>
  </si>
  <si>
    <t>2024-10-16T18:27:15.915Z</t>
  </si>
  <si>
    <t>2024-10-16T18:27:21.803Z</t>
  </si>
  <si>
    <t>2024-10-16T18:27:33.946Z</t>
  </si>
  <si>
    <t>2024-10-16T18:27:37.507Z</t>
  </si>
  <si>
    <t>2024-10-16T18:28:31.127Z</t>
  </si>
  <si>
    <t>2024-10-16T18:28:43.654Z</t>
  </si>
  <si>
    <t>2024-10-16T18:28:48.844Z</t>
  </si>
  <si>
    <t>2024-10-16T19:05:39.064Z</t>
  </si>
  <si>
    <t>2024-10-16T19:05:50.369Z</t>
  </si>
  <si>
    <t>670c51ed90957ea0de1a9112</t>
  </si>
  <si>
    <t>2024-10-16T19:09:40.842Z</t>
  </si>
  <si>
    <t>2024-10-16T19:12:13.667Z</t>
  </si>
  <si>
    <t>2024-10-16T19:12:29.105Z</t>
  </si>
  <si>
    <t>2024-10-16T19:12:34.852Z</t>
  </si>
  <si>
    <t>2024-10-16T19:12:34.506Z</t>
  </si>
  <si>
    <t>2024-10-16T19:12:45.754Z</t>
  </si>
  <si>
    <t>2024-10-16T19:12:37.847Z</t>
  </si>
  <si>
    <t>2024-10-16T19:12:40.057Z</t>
  </si>
  <si>
    <t>2024-10-16T19:12:44.415Z</t>
  </si>
  <si>
    <t>2024-10-16T19:12:47.884Z</t>
  </si>
  <si>
    <t>2024-10-16T19:12:47.891Z</t>
  </si>
  <si>
    <t>2024-10-16T19:12:52.171Z</t>
  </si>
  <si>
    <t>2024-10-16T19:12:54.633Z</t>
  </si>
  <si>
    <t>2024-10-16T19:13:02.750Z</t>
  </si>
  <si>
    <t>2024-10-16T19:13:03.595Z</t>
  </si>
  <si>
    <t>2024-10-16T19:13:07.553Z</t>
  </si>
  <si>
    <t>2024-10-16T19:13:21.662Z</t>
  </si>
  <si>
    <t>2024-10-16T19:13:29.628Z</t>
  </si>
  <si>
    <t>2024-10-16T19:13:33.683Z</t>
  </si>
  <si>
    <t>2024-10-16T19:13:36.244Z</t>
  </si>
  <si>
    <t>2024-10-16T19:13:37.415Z</t>
  </si>
  <si>
    <t>2024-10-16T19:13:40.833Z</t>
  </si>
  <si>
    <t>2024-10-16T19:13:45.608Z</t>
  </si>
  <si>
    <t>2024-10-16T19:13:57.343Z</t>
  </si>
  <si>
    <t>2024-10-16T19:14:03.492Z</t>
  </si>
  <si>
    <t>2024-10-16T19:14:05.366Z</t>
  </si>
  <si>
    <t>2024-10-16T19:14:05.911Z</t>
  </si>
  <si>
    <t>2024-10-16T19:14:06.008Z</t>
  </si>
  <si>
    <t>2024-10-16T19:14:06.302Z</t>
  </si>
  <si>
    <t>2024-10-16T19:15:20.179Z</t>
  </si>
  <si>
    <t>2024-10-16T19:14:16.378Z</t>
  </si>
  <si>
    <t>2024-10-16T19:14:16.978Z</t>
  </si>
  <si>
    <t>2024-10-16T19:14:18.751Z</t>
  </si>
  <si>
    <t>2024-10-16T20:05:21.508Z</t>
  </si>
  <si>
    <t>2024-10-16T19:14:36.013Z</t>
  </si>
  <si>
    <t>2024-10-16T19:14:56.909Z</t>
  </si>
  <si>
    <t>2024-10-16T19:15:09.303Z</t>
  </si>
  <si>
    <t>2024-10-16T19:15:12.675Z</t>
  </si>
  <si>
    <t>2024-10-16T19:15:13.268Z</t>
  </si>
  <si>
    <t>2024-10-16T19:15:14.931Z</t>
  </si>
  <si>
    <t>2024-10-16T19:15:17.766Z</t>
  </si>
  <si>
    <t>2024-10-16T19:15:24.390Z</t>
  </si>
  <si>
    <t>2024-10-16T19:15:31.116Z</t>
  </si>
  <si>
    <t>2024-10-16T19:15:35.787Z</t>
  </si>
  <si>
    <t>2024-10-16T19:15:37.456Z</t>
  </si>
  <si>
    <t>2024-10-16T19:15:38.139Z</t>
  </si>
  <si>
    <t>2024-10-16T19:15:42.782Z</t>
  </si>
  <si>
    <t>2024-10-16T19:15:42.817Z</t>
  </si>
  <si>
    <t>2024-10-16T19:15:43.365Z</t>
  </si>
  <si>
    <t>2024-10-16T19:15:45.764Z</t>
  </si>
  <si>
    <t>2024-10-16T19:15:46.435Z</t>
  </si>
  <si>
    <t>2024-10-16T19:15:46.862Z</t>
  </si>
  <si>
    <t>2024-10-16T19:15:50.104Z</t>
  </si>
  <si>
    <t>2024-10-16T19:15:53.028Z</t>
  </si>
  <si>
    <t>2024-10-16T19:15:54.837Z</t>
  </si>
  <si>
    <t>2024-10-16T19:15:56.305Z</t>
  </si>
  <si>
    <t>2024-10-16T19:15:59.963Z</t>
  </si>
  <si>
    <t>2024-10-16T19:15:59.033Z</t>
  </si>
  <si>
    <t>2024-10-16T19:16:03.604Z</t>
  </si>
  <si>
    <t>2024-10-16T19:16:04.021Z</t>
  </si>
  <si>
    <t>2024-10-16T19:16:10.172Z</t>
  </si>
  <si>
    <t>2024-10-16T19:16:17.649Z</t>
  </si>
  <si>
    <t>2024-10-16T19:16:45.669Z</t>
  </si>
  <si>
    <t>2024-10-16T19:16:49.985Z</t>
  </si>
  <si>
    <t>2024-10-16T19:16:53.370Z</t>
  </si>
  <si>
    <t>2024-10-16T19:17:22.147Z</t>
  </si>
  <si>
    <t>2024-10-16T19:17:31.241Z</t>
  </si>
  <si>
    <t>2024-10-16T19:17:45.525Z</t>
  </si>
  <si>
    <t>2024-10-16T19:17:48.349Z</t>
  </si>
  <si>
    <t>2024-10-16T19:17:58.298Z</t>
  </si>
  <si>
    <t>2024-10-16T19:18:25.974Z</t>
  </si>
  <si>
    <t>2024-10-16T19:18:54.005Z</t>
  </si>
  <si>
    <t>2024-10-16T20:02:16.775Z</t>
  </si>
  <si>
    <t>2024-10-16T19:18:49.776Z</t>
  </si>
  <si>
    <t>2024-10-16T19:18:53.170Z</t>
  </si>
  <si>
    <t>2024-10-16T19:19:20.807Z</t>
  </si>
  <si>
    <t>2024-10-16T19:20:09.522Z</t>
  </si>
  <si>
    <t>2024-10-16T20:00:45.609Z</t>
  </si>
  <si>
    <t>2024-10-16T20:01:19.620Z</t>
  </si>
  <si>
    <t>2024-10-16T20:02:06.884Z</t>
  </si>
  <si>
    <t>2024-10-16T20:02:05.833Z</t>
  </si>
  <si>
    <t>2024-10-16T20:03:24.010Z</t>
  </si>
  <si>
    <t>2024-10-16T20:03:33.927Z</t>
  </si>
  <si>
    <t>2024-10-16T20:06:48.295Z</t>
  </si>
  <si>
    <t>2024-10-17T20:12:42.948Z</t>
  </si>
  <si>
    <t>67116f99e26cfac7d5393ac0</t>
  </si>
  <si>
    <t>2024-10-17T20:12:44.618Z</t>
  </si>
  <si>
    <t>2024-10-17T20:12:47.969Z</t>
  </si>
  <si>
    <t>2024-10-17T20:12:50.306Z</t>
  </si>
  <si>
    <t>2024-10-17T20:12:51.062Z</t>
  </si>
  <si>
    <t>2024-10-17T20:12:52.397Z</t>
  </si>
  <si>
    <t>2024-10-17T20:12:54.363Z</t>
  </si>
  <si>
    <t>2024-10-17T20:12:57.775Z</t>
  </si>
  <si>
    <t>2024-10-17T20:13:06.286Z</t>
  </si>
  <si>
    <t>2024-10-17T20:13:11.263Z</t>
  </si>
  <si>
    <t>2024-10-17T20:13:13.746Z</t>
  </si>
  <si>
    <t>2024-10-17T20:13:15.106Z</t>
  </si>
  <si>
    <t>2024-10-17T21:24:21.066Z</t>
  </si>
  <si>
    <t>2024-10-17T20:13:21.844Z</t>
  </si>
  <si>
    <t>2024-10-17T20:13:22.343Z</t>
  </si>
  <si>
    <t>2024-10-17T20:13:27.835Z</t>
  </si>
  <si>
    <t>2024-10-17T20:13:39.082Z</t>
  </si>
  <si>
    <t>2024-10-17T20:13:45.073Z</t>
  </si>
  <si>
    <t>2024-10-17T21:40:16.802Z</t>
  </si>
  <si>
    <t>2024-10-17T20:13:59.904Z</t>
  </si>
  <si>
    <t>2024-10-17T20:14:21.869Z</t>
  </si>
  <si>
    <t>2024-10-17T20:14:25.578Z</t>
  </si>
  <si>
    <t>2024-10-17T20:14:34.226Z</t>
  </si>
  <si>
    <t>2024-10-17T21:25:33.160Z</t>
  </si>
  <si>
    <t>2024-10-17T21:34:03.290Z</t>
  </si>
  <si>
    <t>2024-10-17T20:15:21.429Z</t>
  </si>
  <si>
    <t>2024-10-17T20:15:46.405Z</t>
  </si>
  <si>
    <t>2024-10-17T20:40:46.312Z</t>
  </si>
  <si>
    <t>2024-10-17T20:56:17.720Z</t>
  </si>
  <si>
    <t>2024-10-23T19:12:53.618Z</t>
  </si>
  <si>
    <t>6717a7b0359e8b069b6e3b07</t>
  </si>
  <si>
    <t>2024-10-23T19:15:22.089Z</t>
  </si>
  <si>
    <t>6717a7b55feb71df1e3da3ce</t>
  </si>
  <si>
    <t>2024-10-23T19:16:10.853Z</t>
  </si>
  <si>
    <t>2024-10-23T19:16:27.944Z</t>
  </si>
  <si>
    <t>2024-10-23T19:16:41.058Z</t>
  </si>
  <si>
    <t>2024-10-23T19:16:43.074Z</t>
  </si>
  <si>
    <t>2024-10-23T19:16:53.208Z</t>
  </si>
  <si>
    <t>2024-10-23T19:17:00.199Z</t>
  </si>
  <si>
    <t>2024-10-23T19:17:02.882Z</t>
  </si>
  <si>
    <t>2024-10-23T19:17:04.593Z</t>
  </si>
  <si>
    <t>2024-10-23T19:17:27.700Z</t>
  </si>
  <si>
    <t>2024-10-23T19:17:37.832Z</t>
  </si>
  <si>
    <t>2024-10-23T19:17:44.271Z</t>
  </si>
  <si>
    <t>2024-10-23T19:17:59.615Z</t>
  </si>
  <si>
    <t>2024-10-23T19:18:00.281Z</t>
  </si>
  <si>
    <t>2024-10-23T19:18:06.908Z</t>
  </si>
  <si>
    <t>2024-10-23T19:18:10.512Z</t>
  </si>
  <si>
    <t>2024-10-23T19:18:13.394Z</t>
  </si>
  <si>
    <t>2024-10-23T19:18:30.074Z</t>
  </si>
  <si>
    <t>2024-10-23T19:18:37.412Z</t>
  </si>
  <si>
    <t>2024-10-23T19:19:21.928Z</t>
  </si>
  <si>
    <t>2024-10-23T19:19:46.071Z</t>
  </si>
  <si>
    <t>2024-10-23T19:19:52.804Z</t>
  </si>
  <si>
    <t>2024-10-23T19:20:01.334Z</t>
  </si>
  <si>
    <t>2024-10-23T19:20:20.034Z</t>
  </si>
  <si>
    <t>2024-10-23T19:20:25.911Z</t>
  </si>
  <si>
    <t>2024-10-23T19:20:30.350Z</t>
  </si>
  <si>
    <t>2024-10-23T19:20:36.141Z</t>
  </si>
  <si>
    <t>2024-10-23T19:20:34.241Z</t>
  </si>
  <si>
    <t>2024-10-23T19:20:41.177Z</t>
  </si>
  <si>
    <t>2024-10-23T19:20:55.176Z</t>
  </si>
  <si>
    <t>2024-10-23T19:21:29.703Z</t>
  </si>
  <si>
    <t>2024-10-23T19:21:37.206Z</t>
  </si>
  <si>
    <t>2024-10-23T19:21:50.947Z</t>
  </si>
  <si>
    <t>2024-10-23T19:21:50.955Z</t>
  </si>
  <si>
    <t>2024-10-23T19:22:24.820Z</t>
  </si>
  <si>
    <t>2024-10-23T19:22:33.371Z</t>
  </si>
  <si>
    <t>2024-10-23T19:22:49.425Z</t>
  </si>
  <si>
    <t>2024-10-23T19:22:52.791Z</t>
  </si>
  <si>
    <t>2024-10-23T19:24:04.192Z</t>
  </si>
  <si>
    <t>2024-10-23T19:25:04.289Z</t>
  </si>
  <si>
    <t>2024-10-23T19:25:07.497Z</t>
  </si>
  <si>
    <t>2024-10-23T19:27:09.807Z</t>
  </si>
  <si>
    <t>2024-10-23T19:27:18.496Z</t>
  </si>
  <si>
    <t>2024-10-23T19:27:30.964Z</t>
  </si>
  <si>
    <t>2024-10-23T19:28:04.332Z</t>
  </si>
  <si>
    <t>2024-10-23T19:28:28.725Z</t>
  </si>
  <si>
    <t>2024-10-23T19:29:42.066Z</t>
  </si>
  <si>
    <t>2024-10-23T19:30:31.667Z</t>
  </si>
  <si>
    <t>2024-10-23T19:30:52.352Z</t>
  </si>
  <si>
    <t>2024-10-23T19:31:09.065Z</t>
  </si>
  <si>
    <t>2024-10-23T19:32:21.767Z</t>
  </si>
  <si>
    <t>2024-10-23T19:32:43.717Z</t>
  </si>
  <si>
    <t>2024-10-23T19:35:38.080Z</t>
  </si>
  <si>
    <t>2024-10-23T19:42:40.348Z</t>
  </si>
  <si>
    <t>2024-10-23T19:46:17.859Z</t>
  </si>
  <si>
    <t>2024-10-23T20:00:39.152Z</t>
  </si>
  <si>
    <t>2024-10-30T19:14:34.321Z</t>
  </si>
  <si>
    <t>67223c5c9c34cf3a6fe1aa8f</t>
  </si>
  <si>
    <t>2024-10-30T18:24:26.392Z</t>
  </si>
  <si>
    <t>2024-10-30T18:24:40.571Z</t>
  </si>
  <si>
    <t>2024-10-30T18:24:44.429Z</t>
  </si>
  <si>
    <t>2024-10-30T18:24:55.878Z</t>
  </si>
  <si>
    <t>2024-10-30T18:25:12.477Z</t>
  </si>
  <si>
    <t>2024-10-30T18:25:45.560Z</t>
  </si>
  <si>
    <t>2024-10-30T18:25:52.763Z</t>
  </si>
  <si>
    <t>2024-10-30T18:26:06.099Z</t>
  </si>
  <si>
    <t>2024-10-30T18:26:13.568Z</t>
  </si>
  <si>
    <t>2024-10-30T18:26:18.914Z</t>
  </si>
  <si>
    <t>2024-10-30T18:26:27.018Z</t>
  </si>
  <si>
    <t>2024-10-30T18:26:35.114Z</t>
  </si>
  <si>
    <t>2024-10-30T19:23:34.521Z</t>
  </si>
  <si>
    <t>2024-10-30T18:26:42.732Z</t>
  </si>
  <si>
    <t>2024-10-30T18:26:43.563Z</t>
  </si>
  <si>
    <t>2024-10-30T18:26:45.727Z</t>
  </si>
  <si>
    <t>2024-10-30T18:26:45.938Z</t>
  </si>
  <si>
    <t>2024-10-30T18:26:46.344Z</t>
  </si>
  <si>
    <t>2024-10-30T18:26:50.841Z</t>
  </si>
  <si>
    <t>2024-10-30T18:27:10.819Z</t>
  </si>
  <si>
    <t>2024-10-30T19:22:07.668Z</t>
  </si>
  <si>
    <t>2024-10-30T18:27:08.214Z</t>
  </si>
  <si>
    <t>2024-10-30T18:27:08.058Z</t>
  </si>
  <si>
    <t>2024-10-30T18:27:11.729Z</t>
  </si>
  <si>
    <t>2024-10-30T18:27:14.459Z</t>
  </si>
  <si>
    <t>2024-10-30T18:27:15.097Z</t>
  </si>
  <si>
    <t>2024-10-30T18:27:24.579Z</t>
  </si>
  <si>
    <t>2024-10-30T18:27:26.216Z</t>
  </si>
  <si>
    <t>2024-10-30T18:27:26.648Z</t>
  </si>
  <si>
    <t>2024-10-30T18:27:27.300Z</t>
  </si>
  <si>
    <t>2024-10-30T21:24:19.445Z</t>
  </si>
  <si>
    <t>2024-10-30T18:27:36.025Z</t>
  </si>
  <si>
    <t>2024-10-30T18:27:36.987Z</t>
  </si>
  <si>
    <t>2024-10-30T18:27:47.160Z</t>
  </si>
  <si>
    <t>2024-10-30T18:28:09.148Z</t>
  </si>
  <si>
    <t>2024-10-30T18:27:49.476Z</t>
  </si>
  <si>
    <t>2024-10-30T18:28:00.225Z</t>
  </si>
  <si>
    <t>2024-10-30T18:27:50.567Z</t>
  </si>
  <si>
    <t>2024-10-30T18:27:57.368Z</t>
  </si>
  <si>
    <t>2024-10-30T18:28:03.294Z</t>
  </si>
  <si>
    <t>2024-10-30T18:28:04.262Z</t>
  </si>
  <si>
    <t>2024-10-30T18:28:04.779Z</t>
  </si>
  <si>
    <t>2024-10-30T18:28:12.624Z</t>
  </si>
  <si>
    <t>2024-10-30T18:28:18.027Z</t>
  </si>
  <si>
    <t>2024-10-30T18:28:15.309Z</t>
  </si>
  <si>
    <t>2024-10-30T18:28:16.502Z</t>
  </si>
  <si>
    <t>2024-10-30T18:28:19.915Z</t>
  </si>
  <si>
    <t>2024-10-30T18:28:20.831Z</t>
  </si>
  <si>
    <t>2024-10-30T18:28:29.397Z</t>
  </si>
  <si>
    <t>2024-10-30T18:28:30.877Z</t>
  </si>
  <si>
    <t>2024-10-30T18:28:32.525Z</t>
  </si>
  <si>
    <t>2024-10-30T18:28:54.193Z</t>
  </si>
  <si>
    <t>2024-10-30T18:29:07.046Z</t>
  </si>
  <si>
    <t>2024-10-30T18:29:11.814Z</t>
  </si>
  <si>
    <t>2024-10-30T19:59:54.099Z</t>
  </si>
  <si>
    <t>2024-10-30T18:29:20.433Z</t>
  </si>
  <si>
    <t>2024-10-30T18:30:08.050Z</t>
  </si>
  <si>
    <t>2024-10-30T18:29:30.622Z</t>
  </si>
  <si>
    <t>2024-10-30T18:30:05.294Z</t>
  </si>
  <si>
    <t>2024-10-30T18:30:11.881Z</t>
  </si>
  <si>
    <t>2024-10-30T18:31:15.671Z</t>
  </si>
  <si>
    <t>2024-10-30T18:31:27.928Z</t>
  </si>
  <si>
    <t>2024-10-30T18:31:32.468Z</t>
  </si>
  <si>
    <t>2024-10-30T18:39:32.053Z</t>
  </si>
  <si>
    <t>2024-10-30T18:51:30.887Z</t>
  </si>
  <si>
    <t>2024-10-30T18:59:43.518Z</t>
  </si>
  <si>
    <t>2024-10-30T19:14:49.529Z</t>
  </si>
  <si>
    <t>67223c612c6b5087abaa47b1</t>
  </si>
  <si>
    <t>2024-10-30T19:14:54.069Z</t>
  </si>
  <si>
    <t>2024-10-30T19:14:55.246Z</t>
  </si>
  <si>
    <t>2024-10-30T19:15:05.144Z</t>
  </si>
  <si>
    <t>2024-10-30T19:15:06.580Z</t>
  </si>
  <si>
    <t>2024-10-30T19:15:12.392Z</t>
  </si>
  <si>
    <t>2024-10-30T19:15:12.613Z</t>
  </si>
  <si>
    <t>2024-10-30T19:15:16.831Z</t>
  </si>
  <si>
    <t>2024-10-30T19:15:17.467Z</t>
  </si>
  <si>
    <t>2024-10-30T19:15:19.996Z</t>
  </si>
  <si>
    <t>2024-10-30T19:15:25.186Z</t>
  </si>
  <si>
    <t>2024-10-30T19:15:41.412Z</t>
  </si>
  <si>
    <t>2024-10-30T19:15:48.183Z</t>
  </si>
  <si>
    <t>2024-10-30T19:15:59.280Z</t>
  </si>
  <si>
    <t>2024-10-30T19:16:48.310Z</t>
  </si>
  <si>
    <t>2024-10-30T19:18:47.112Z</t>
  </si>
  <si>
    <t>2024-10-30T19:19:09.424Z</t>
  </si>
  <si>
    <t>2024-10-30T19:19:54.728Z</t>
  </si>
  <si>
    <t>2024-10-30T19:20:16.549Z</t>
  </si>
  <si>
    <t>2024-10-30T19:21:03.473Z</t>
  </si>
  <si>
    <t>2024-10-30T19:21:06.933Z</t>
  </si>
  <si>
    <t>2024-10-30T19:21:25.082Z</t>
  </si>
  <si>
    <t>2024-10-30T19:22:12.057Z</t>
  </si>
  <si>
    <t>2024-10-30T19:22:09.800Z</t>
  </si>
  <si>
    <t>2024-10-30T19:22:12.860Z</t>
  </si>
  <si>
    <t>2024-10-30T19:22:17.083Z</t>
  </si>
  <si>
    <t>2024-10-30T19:22:33.170Z</t>
  </si>
  <si>
    <t>2024-10-30T19:22:49.269Z</t>
  </si>
  <si>
    <t>2024-10-30T19:22:44.861Z</t>
  </si>
  <si>
    <t>2024-10-30T19:22:45.534Z</t>
  </si>
  <si>
    <t>2024-10-30T19:22:55.140Z</t>
  </si>
  <si>
    <t>2024-10-30T19:23:01.860Z</t>
  </si>
  <si>
    <t>2024-10-30T19:23:24.225Z</t>
  </si>
  <si>
    <t>2024-10-30T19:23:43.328Z</t>
  </si>
  <si>
    <t>2024-10-30T19:23:44.612Z</t>
  </si>
  <si>
    <t>2024-10-30T19:23:48.721Z</t>
  </si>
  <si>
    <t>2024-10-30T19:23:52.350Z</t>
  </si>
  <si>
    <t>2024-10-30T19:24:06.977Z</t>
  </si>
  <si>
    <t>2024-10-30T19:24:08.488Z</t>
  </si>
  <si>
    <t>2024-10-30T19:24:14.032Z</t>
  </si>
  <si>
    <t>2024-10-30T19:24:28.814Z</t>
  </si>
  <si>
    <t>2024-10-30T19:24:31.407Z</t>
  </si>
  <si>
    <t>2024-10-30T19:24:33.994Z</t>
  </si>
  <si>
    <t>2024-10-30T19:24:34.281Z</t>
  </si>
  <si>
    <t>2024-10-30T19:24:34.676Z</t>
  </si>
  <si>
    <t>2024-10-30T19:24:36.528Z</t>
  </si>
  <si>
    <t>2024-10-30T19:24:39.096Z</t>
  </si>
  <si>
    <t>2024-10-30T19:24:41.171Z</t>
  </si>
  <si>
    <t>2024-10-30T19:59:53.025Z</t>
  </si>
  <si>
    <t>2024-10-30T19:24:50.227Z</t>
  </si>
  <si>
    <t>2024-10-30T19:24:50.405Z</t>
  </si>
  <si>
    <t>2024-10-30T19:24:55.000Z</t>
  </si>
  <si>
    <t>2024-10-30T19:24:56.230Z</t>
  </si>
  <si>
    <t>2024-10-30T19:24:56.811Z</t>
  </si>
  <si>
    <t>2024-10-30T19:24:57.836Z</t>
  </si>
  <si>
    <t>2024-10-30T19:25:06.527Z</t>
  </si>
  <si>
    <t>2024-10-30T19:25:19.702Z</t>
  </si>
  <si>
    <t>2024-10-30T19:26:04.103Z</t>
  </si>
  <si>
    <t>2024-10-30T19:25:22.471Z</t>
  </si>
  <si>
    <t>2024-10-30T19:25:22.478Z</t>
  </si>
  <si>
    <t>2024-10-30T19:25:44.385Z</t>
  </si>
  <si>
    <t>2024-10-30T19:25:54.454Z</t>
  </si>
  <si>
    <t>2024-10-30T19:32:21.034Z</t>
  </si>
  <si>
    <t>2024-10-30T19:29:22.888Z</t>
  </si>
  <si>
    <t>2024-10-30T19:31:53.246Z</t>
  </si>
  <si>
    <t>2024-10-30T19:39:37.568Z</t>
  </si>
  <si>
    <t>2024-10-30T19:41:26.408Z</t>
  </si>
  <si>
    <t>2024-10-30T19:45:31.691Z</t>
  </si>
  <si>
    <t>2024-10-30T20:01:24.343Z</t>
  </si>
  <si>
    <t>2024-11-13T19:22:19.756Z</t>
  </si>
  <si>
    <t>6733c4b08dca2646a9830433</t>
  </si>
  <si>
    <t>2024-11-13T19:22:46.738Z</t>
  </si>
  <si>
    <t>2024-11-13T19:23:10.347Z</t>
  </si>
  <si>
    <t>2024-11-13T19:23:49.995Z</t>
  </si>
  <si>
    <t>2024-11-13T19:25:11.607Z</t>
  </si>
  <si>
    <t>2024-11-13T19:25:31.682Z</t>
  </si>
  <si>
    <t>2024-11-13T19:25:40.893Z</t>
  </si>
  <si>
    <t>2024-11-13T19:25:45.217Z</t>
  </si>
  <si>
    <t>2024-11-13T19:25:52.455Z</t>
  </si>
  <si>
    <t>2024-11-13T19:26:00.048Z</t>
  </si>
  <si>
    <t>2024-11-13T19:26:10.345Z</t>
  </si>
  <si>
    <t>2024-11-13T19:26:15.415Z</t>
  </si>
  <si>
    <t>2024-11-13T19:26:29.921Z</t>
  </si>
  <si>
    <t>2024-11-13T19:26:31.371Z</t>
  </si>
  <si>
    <t>2024-11-13T19:26:36.271Z</t>
  </si>
  <si>
    <t>2024-11-13T19:27:01.311Z</t>
  </si>
  <si>
    <t>2024-11-13T19:27:01.898Z</t>
  </si>
  <si>
    <t>2024-11-13T19:27:07.118Z</t>
  </si>
  <si>
    <t>2024-11-13T19:27:07.119Z</t>
  </si>
  <si>
    <t>2024-11-13T19:28:14.924Z</t>
  </si>
  <si>
    <t>2024-11-13T19:27:30.175Z</t>
  </si>
  <si>
    <t>2024-11-13T19:27:52.020Z</t>
  </si>
  <si>
    <t>2024-11-13T19:27:56.619Z</t>
  </si>
  <si>
    <t>2024-11-13T19:28:04.516Z</t>
  </si>
  <si>
    <t>2024-11-13T19:28:13.611Z</t>
  </si>
  <si>
    <t>2024-11-13T19:47:11.611Z</t>
  </si>
  <si>
    <t>2024-11-13T19:28:40.435Z</t>
  </si>
  <si>
    <t>2024-11-13T19:28:47.537Z</t>
  </si>
  <si>
    <t>2024-11-13T19:29:11.822Z</t>
  </si>
  <si>
    <t>2024-11-13T19:29:17.246Z</t>
  </si>
  <si>
    <t>2024-11-13T19:29:31.986Z</t>
  </si>
  <si>
    <t>2024-11-13T19:29:37.450Z</t>
  </si>
  <si>
    <t>2024-11-13T19:29:45.507Z</t>
  </si>
  <si>
    <t>2024-11-13T19:29:59.976Z</t>
  </si>
  <si>
    <t>2024-11-13T19:30:23.080Z</t>
  </si>
  <si>
    <t>2024-11-13T19:30:24.957Z</t>
  </si>
  <si>
    <t>2024-11-13T19:30:28.044Z</t>
  </si>
  <si>
    <t>2024-11-13T19:30:40.400Z</t>
  </si>
  <si>
    <t>2024-11-13T19:30:41.087Z</t>
  </si>
  <si>
    <t>2024-11-13T19:30:42.828Z</t>
  </si>
  <si>
    <t>2024-11-13T20:24:53.473Z</t>
  </si>
  <si>
    <t>2024-11-13T19:30:48.596Z</t>
  </si>
  <si>
    <t>2024-11-13T20:01:50.186Z</t>
  </si>
  <si>
    <t>2024-11-13T19:31:18.213Z</t>
  </si>
  <si>
    <t>2024-11-13T19:31:27.084Z</t>
  </si>
  <si>
    <t>2024-11-13T19:31:28.889Z</t>
  </si>
  <si>
    <t>2024-11-13T19:31:35.662Z</t>
  </si>
  <si>
    <t>2024-11-13T19:31:38.880Z</t>
  </si>
  <si>
    <t>2024-11-13T19:31:44.085Z</t>
  </si>
  <si>
    <t>2024-11-13T19:31:46.303Z</t>
  </si>
  <si>
    <t>2024-11-13T19:32:36.770Z</t>
  </si>
  <si>
    <t>2024-11-13T19:33:14.738Z</t>
  </si>
  <si>
    <t>2024-11-13T19:35:24.011Z</t>
  </si>
  <si>
    <t>2024-11-13T19:35:33.502Z</t>
  </si>
  <si>
    <t>2024-11-13T19:40:58.517Z</t>
  </si>
  <si>
    <t>2024-11-13T19:51:52.239Z</t>
  </si>
  <si>
    <t>2024-11-13T19:52:26.751Z</t>
  </si>
  <si>
    <t>2024-11-13T20:05:44.859Z</t>
  </si>
  <si>
    <t>2024-11-13T20:06:54.873Z</t>
  </si>
  <si>
    <t>2024-11-13T20:18:19.510Z</t>
  </si>
  <si>
    <t>6733c4b8b9c0b91fc4c30c7b</t>
  </si>
  <si>
    <t>2024-11-13T20:18:36.919Z</t>
  </si>
  <si>
    <t>2024-11-13T20:19:17.992Z</t>
  </si>
  <si>
    <t>2024-11-13T20:19:58.018Z</t>
  </si>
  <si>
    <t>2024-11-13T20:20:03.912Z</t>
  </si>
  <si>
    <t>2024-11-13T20:20:11.167Z</t>
  </si>
  <si>
    <t>2024-11-13T20:20:21.314Z</t>
  </si>
  <si>
    <t>2024-11-13T20:20:47.112Z</t>
  </si>
  <si>
    <t>2024-11-13T20:21:00.372Z</t>
  </si>
  <si>
    <t>2024-11-13T20:23:59.338Z</t>
  </si>
  <si>
    <t>2024-11-13T20:24:11.059Z</t>
  </si>
  <si>
    <t>2024-11-13T20:24:37.421Z</t>
  </si>
  <si>
    <t>2024-11-13T20:24:58.435Z</t>
  </si>
  <si>
    <t>2024-11-13T20:24:58.629Z</t>
  </si>
  <si>
    <t>2024-11-13T20:25:10.038Z</t>
  </si>
  <si>
    <t>2024-11-13T20:25:12.819Z</t>
  </si>
  <si>
    <t>2024-11-13T20:25:28.858Z</t>
  </si>
  <si>
    <t>2024-11-13T20:25:53.631Z</t>
  </si>
  <si>
    <t>2024-11-13T20:25:53.687Z</t>
  </si>
  <si>
    <t>2024-11-13T20:26:13.022Z</t>
  </si>
  <si>
    <t>2024-11-13T20:26:15.456Z</t>
  </si>
  <si>
    <t>2024-11-13T20:27:18.788Z</t>
  </si>
  <si>
    <t>2024-11-13T20:27:56.422Z</t>
  </si>
  <si>
    <t>2024-11-13T20:28:28.126Z</t>
  </si>
  <si>
    <t>2024-11-13T20:28:54.131Z</t>
  </si>
  <si>
    <t>2024-11-13T20:28:59.013Z</t>
  </si>
  <si>
    <t>2024-11-13T20:29:43.469Z</t>
  </si>
  <si>
    <t>2024-11-13T20:30:27.953Z</t>
  </si>
  <si>
    <t>2024-11-13T20:30:44.403Z</t>
  </si>
  <si>
    <t>2024-11-13T20:30:49.418Z</t>
  </si>
  <si>
    <t>2024-11-13T20:31:32.252Z</t>
  </si>
  <si>
    <t>2024-11-13T20:31:34.107Z</t>
  </si>
  <si>
    <t>2024-11-13T20:31:34.172Z</t>
  </si>
  <si>
    <t>2024-11-13T20:31:59.594Z</t>
  </si>
  <si>
    <t>2024-11-13T20:32:01.354Z</t>
  </si>
  <si>
    <t>2024-11-13T20:32:03.917Z</t>
  </si>
  <si>
    <t>2024-11-13T20:32:33.556Z</t>
  </si>
  <si>
    <t>2024-11-13T20:33:13.878Z</t>
  </si>
  <si>
    <t>2024-11-13T20:33:18.456Z</t>
  </si>
  <si>
    <t>2024-11-13T20:33:49.410Z</t>
  </si>
  <si>
    <t>2024-11-13T20:38:16.421Z</t>
  </si>
  <si>
    <t>2024-11-13T20:59:36.354Z</t>
  </si>
  <si>
    <t>2024-11-14T21:16:05.532Z</t>
  </si>
  <si>
    <t>6736684039d9d6c3810dedb1</t>
  </si>
  <si>
    <t>2024-11-14T21:16:09.400Z</t>
  </si>
  <si>
    <t>2024-11-14T21:16:46.830Z</t>
  </si>
  <si>
    <t>2024-11-14T21:16:53.077Z</t>
  </si>
  <si>
    <t>2024-11-14T21:28:46.523Z</t>
  </si>
  <si>
    <t>2024-11-14T21:48:10.357Z</t>
  </si>
  <si>
    <t>2024-11-14T22:02:56.704Z</t>
  </si>
  <si>
    <t>2024-11-15T23:59:30.269Z</t>
  </si>
  <si>
    <t>2024-11-19T19:23:37.391Z</t>
  </si>
  <si>
    <t>2024-11-20T19:27:49.578Z</t>
  </si>
  <si>
    <t>673ded54fbd6ce7459a68bea</t>
  </si>
  <si>
    <t>2024-11-20T19:27:51.572Z</t>
  </si>
  <si>
    <t>2024-11-20T19:28:08.180Z</t>
  </si>
  <si>
    <t>2024-11-20T19:28:09.861Z</t>
  </si>
  <si>
    <t>2024-11-20T19:28:12.680Z</t>
  </si>
  <si>
    <t>2024-11-20T19:28:20.979Z</t>
  </si>
  <si>
    <t>2024-11-20T19:28:22.843Z</t>
  </si>
  <si>
    <t>2024-11-20T19:28:29.007Z</t>
  </si>
  <si>
    <t>2024-11-20T19:28:32.054Z</t>
  </si>
  <si>
    <t>2024-11-20T19:28:36.014Z</t>
  </si>
  <si>
    <t>2024-11-20T19:28:38.775Z</t>
  </si>
  <si>
    <t>2024-11-20T19:28:41.827Z</t>
  </si>
  <si>
    <t>2024-11-20T19:28:45.959Z</t>
  </si>
  <si>
    <t>2024-11-20T19:28:47.876Z</t>
  </si>
  <si>
    <t>2024-11-20T19:28:56.514Z</t>
  </si>
  <si>
    <t>2024-11-20T19:29:02.814Z</t>
  </si>
  <si>
    <t>2024-11-20T19:29:03.104Z</t>
  </si>
  <si>
    <t>2024-11-20T19:29:06.966Z</t>
  </si>
  <si>
    <t>2024-11-20T19:29:08.164Z</t>
  </si>
  <si>
    <t>2024-11-20T19:29:12.082Z</t>
  </si>
  <si>
    <t>2024-11-20T19:29:26.660Z</t>
  </si>
  <si>
    <t>2024-11-20T19:29:28.372Z</t>
  </si>
  <si>
    <t>2024-11-20T19:29:28.654Z</t>
  </si>
  <si>
    <t>2024-11-20T19:29:50.283Z</t>
  </si>
  <si>
    <t>2024-11-20T19:29:45.343Z</t>
  </si>
  <si>
    <t>2024-11-20T19:29:45.351Z</t>
  </si>
  <si>
    <t>2024-11-20T19:29:47.705Z</t>
  </si>
  <si>
    <t>2024-11-20T19:29:47.786Z</t>
  </si>
  <si>
    <t>2024-11-20T20:13:37.732Z</t>
  </si>
  <si>
    <t>2024-11-20T19:29:57.548Z</t>
  </si>
  <si>
    <t>2024-11-20T19:30:03.973Z</t>
  </si>
  <si>
    <t>2024-11-20T19:30:01.571Z</t>
  </si>
  <si>
    <t>2024-11-20T19:30:05.421Z</t>
  </si>
  <si>
    <t>2024-11-20T19:30:07.997Z</t>
  </si>
  <si>
    <t>2024-11-20T19:30:09.153Z</t>
  </si>
  <si>
    <t>2024-11-20T19:30:13.388Z</t>
  </si>
  <si>
    <t>2024-11-20T19:30:31.670Z</t>
  </si>
  <si>
    <t>2024-11-20T19:30:51.632Z</t>
  </si>
  <si>
    <t>2024-11-20T19:31:02.367Z</t>
  </si>
  <si>
    <t>2024-11-20T19:31:03.303Z</t>
  </si>
  <si>
    <t>2024-11-20T19:31:17.873Z</t>
  </si>
  <si>
    <t>2024-11-20T19:31:43.096Z</t>
  </si>
  <si>
    <t>2024-11-20T19:31:54.347Z</t>
  </si>
  <si>
    <t>2024-11-20T19:32:10.308Z</t>
  </si>
  <si>
    <t>2024-11-20T19:32:20.640Z</t>
  </si>
  <si>
    <t>2024-11-20T19:32:25.281Z</t>
  </si>
  <si>
    <t>673ded5a74bc6d317025348b</t>
  </si>
  <si>
    <t>2024-11-20T19:33:19.794Z</t>
  </si>
  <si>
    <t>2024-11-20T19:33:39.819Z</t>
  </si>
  <si>
    <t>2024-11-20T20:06:10.717Z</t>
  </si>
  <si>
    <t>2024-11-20T20:09:08.583Z</t>
  </si>
  <si>
    <t>2024-11-20T20:09:45.498Z</t>
  </si>
  <si>
    <t>2024-11-20T20:10:31.393Z</t>
  </si>
  <si>
    <t>2024-11-20T20:10:54.218Z</t>
  </si>
  <si>
    <t>2024-11-20T20:20:09.176Z</t>
  </si>
  <si>
    <t>2024-11-20T20:12:22.220Z</t>
  </si>
  <si>
    <t>2024-11-20T20:14:02.657Z</t>
  </si>
  <si>
    <t>2024-11-20T20:14:24.725Z</t>
  </si>
  <si>
    <t>2024-11-20T20:14:38.906Z</t>
  </si>
  <si>
    <t>2024-11-20T20:14:45.729Z</t>
  </si>
  <si>
    <t>2024-11-20T20:15:12.844Z</t>
  </si>
  <si>
    <t>2024-11-20T20:15:13.868Z</t>
  </si>
  <si>
    <t>2024-11-20T20:16:11.424Z</t>
  </si>
  <si>
    <t>2024-11-20T20:16:34.830Z</t>
  </si>
  <si>
    <t>2024-11-20T20:17:18.062Z</t>
  </si>
  <si>
    <t>2024-11-20T20:18:19.153Z</t>
  </si>
  <si>
    <t>2024-11-20T20:18:22.101Z</t>
  </si>
  <si>
    <t>2024-11-20T20:18:26.547Z</t>
  </si>
  <si>
    <t>2024-11-20T20:18:35.656Z</t>
  </si>
  <si>
    <t>2024-11-20T20:18:36.281Z</t>
  </si>
  <si>
    <t>2024-11-20T20:18:43.476Z</t>
  </si>
  <si>
    <t>2024-11-20T20:18:54.670Z</t>
  </si>
  <si>
    <t>2024-11-20T20:18:55.917Z</t>
  </si>
  <si>
    <t>2024-11-20T20:19:42.631Z</t>
  </si>
  <si>
    <t>2024-11-20T20:19:48.898Z</t>
  </si>
  <si>
    <t>2024-11-20T20:19:55.581Z</t>
  </si>
  <si>
    <t>2024-11-20T20:20:13.500Z</t>
  </si>
  <si>
    <t>2024-11-20T20:20:17.629Z</t>
  </si>
  <si>
    <t>2024-11-20T20:20:19.362Z</t>
  </si>
  <si>
    <t>2024-11-20T22:42:28.999Z</t>
  </si>
  <si>
    <t>2024-11-20T20:20:28.120Z</t>
  </si>
  <si>
    <t>2024-11-20T20:20:31.432Z</t>
  </si>
  <si>
    <t>2024-11-20T20:20:31.458Z</t>
  </si>
  <si>
    <t>2024-11-20T20:20:31.758Z</t>
  </si>
  <si>
    <t>2024-11-20T20:20:33.136Z</t>
  </si>
  <si>
    <t>2024-11-20T20:20:34.479Z</t>
  </si>
  <si>
    <t>2024-11-20T20:20:36.004Z</t>
  </si>
  <si>
    <t>2024-11-20T20:20:40.940Z</t>
  </si>
  <si>
    <t>2024-11-20T20:20:42.462Z</t>
  </si>
  <si>
    <t>2024-11-20T20:20:43.595Z</t>
  </si>
  <si>
    <t>2024-11-20T20:20:43.878Z</t>
  </si>
  <si>
    <t>2024-11-20T20:20:50.993Z</t>
  </si>
  <si>
    <t>2024-11-20T20:20:47.369Z</t>
  </si>
  <si>
    <t>2024-11-20T20:20:49.419Z</t>
  </si>
  <si>
    <t>2024-11-20T20:21:50.201Z</t>
  </si>
  <si>
    <t>2024-11-20T20:21:51.492Z</t>
  </si>
  <si>
    <t>2024-11-20T20:21:59.070Z</t>
  </si>
  <si>
    <t>2024-11-20T20:22:16.335Z</t>
  </si>
  <si>
    <t>2024-11-20T20:22:35.718Z</t>
  </si>
  <si>
    <t>2024-11-20T20:23:25.448Z</t>
  </si>
  <si>
    <t>2024-11-20T20:23:20.544Z</t>
  </si>
  <si>
    <t>2024-11-20T20:31:44.020Z</t>
  </si>
  <si>
    <t>2024-11-20T20:34:43.993Z</t>
  </si>
  <si>
    <t>2024-11-20T20:43:39.988Z</t>
  </si>
  <si>
    <t>2024-11-20T20:54:13.489Z</t>
  </si>
  <si>
    <t>2024-11-20T21:06:19.748Z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</si>
</sst>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"/>
    <numFmt numFmtId="165" formatCode="0.000000"/>
  </numFmts>
  <fonts count="21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theme="1"/>
      <name val="Arial"/>
    </font>
    <font>
      <b/>
      <sz val="11.0"/>
      <color theme="1"/>
      <name val="Arial"/>
      <scheme val="minor"/>
    </font>
    <font>
      <color theme="1"/>
      <name val="Arial"/>
      <scheme val="minor"/>
    </font>
    <font>
      <sz val="11.0"/>
      <color theme="1"/>
      <name val="Consolas"/>
    </font>
    <font>
      <i/>
      <color theme="1"/>
      <name val="Arial"/>
      <scheme val="minor"/>
    </font>
    <font>
      <sz val="11.0"/>
      <color theme="1"/>
      <name val="Arial"/>
      <scheme val="minor"/>
    </font>
    <font>
      <b/>
      <i/>
      <color theme="1"/>
      <name val="Arial"/>
      <scheme val="minor"/>
    </font>
    <font>
      <color rgb="FF484848"/>
      <name val="Arial"/>
      <scheme val="minor"/>
    </font>
    <font>
      <sz val="11.0"/>
      <color rgb="FF000000"/>
      <name val="&quot;Aptos Narrow&quot;"/>
    </font>
    <font>
      <sz val="11.0"/>
      <color rgb="FF000000"/>
      <name val="Arial"/>
    </font>
    <font>
      <color theme="1"/>
      <name val="Arial"/>
    </font>
    <font>
      <color rgb="FF484848"/>
      <name val="&quot;Open Sans&quot;"/>
    </font>
    <font>
      <color rgb="FF6FA8DC"/>
      <name val="Arial"/>
      <scheme val="minor"/>
    </font>
    <font>
      <color rgb="FF000000"/>
      <name val="Arial"/>
      <scheme val="minor"/>
    </font>
    <font>
      <sz val="9.0"/>
      <color theme="1"/>
      <name val="Google Sans Mono"/>
    </font>
    <font>
      <sz val="9.0"/>
      <color rgb="FF000000"/>
      <name val="&quot;Google Sans Mono&quot;"/>
    </font>
    <font>
      <color rgb="FFD9D9D9"/>
      <name val="Arial"/>
      <scheme val="minor"/>
    </font>
    <font>
      <b/>
      <sz val="11.0"/>
      <color theme="1"/>
      <name val="Arial"/>
    </font>
    <font>
      <sz val="11.0"/>
      <color theme="1"/>
      <name val="Arial"/>
    </font>
  </fonts>
  <fills count="15">
    <fill>
      <patternFill patternType="none"/>
    </fill>
    <fill>
      <patternFill patternType="lightGray"/>
    </fill>
    <fill>
      <patternFill patternType="solid">
        <fgColor rgb="FFF2F2F4"/>
        <bgColor rgb="FFF2F2F4"/>
      </patternFill>
    </fill>
    <fill>
      <patternFill patternType="solid">
        <fgColor rgb="FFD9D9D9"/>
        <bgColor rgb="FFD9D9D9"/>
      </patternFill>
    </fill>
    <fill>
      <patternFill patternType="solid">
        <fgColor rgb="FFFF6D01"/>
        <bgColor rgb="FFFF6D01"/>
      </patternFill>
    </fill>
    <fill>
      <patternFill patternType="solid">
        <fgColor theme="8"/>
        <bgColor theme="8"/>
      </patternFill>
    </fill>
    <fill>
      <patternFill patternType="solid">
        <fgColor rgb="FF9FC5E8"/>
        <bgColor rgb="FF9FC5E8"/>
      </patternFill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  <fill>
      <patternFill patternType="solid">
        <fgColor rgb="FFA4C2F4"/>
        <bgColor rgb="FFA4C2F4"/>
      </patternFill>
    </fill>
    <fill>
      <patternFill patternType="solid">
        <fgColor rgb="FFEA9999"/>
        <bgColor rgb="FFEA9999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B7E1CD"/>
        <bgColor rgb="FFB7E1CD"/>
      </patternFill>
    </fill>
  </fills>
  <borders count="2">
    <border/>
    <border>
      <right style="thin">
        <color rgb="FF000000"/>
      </right>
    </border>
  </borders>
  <cellStyleXfs count="1">
    <xf borderId="0" fillId="0" fontId="0" numFmtId="0" applyAlignment="1" applyFont="1"/>
  </cellStyleXfs>
  <cellXfs count="7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164" xfId="0" applyAlignment="1" applyFont="1" applyNumberFormat="1">
      <alignment horizontal="center" readingOrder="0"/>
    </xf>
    <xf borderId="0" fillId="0" fontId="1" numFmtId="165" xfId="0" applyAlignment="1" applyFont="1" applyNumberFormat="1">
      <alignment horizontal="center" readingOrder="0"/>
    </xf>
    <xf borderId="0" fillId="0" fontId="2" numFmtId="165" xfId="0" applyAlignment="1" applyFont="1" applyNumberFormat="1">
      <alignment horizontal="center" readingOrder="0" vertical="bottom"/>
    </xf>
    <xf borderId="0" fillId="0" fontId="3" numFmtId="0" xfId="0" applyAlignment="1" applyFont="1">
      <alignment horizontal="center" readingOrder="0"/>
    </xf>
    <xf borderId="0" fillId="0" fontId="4" numFmtId="0" xfId="0" applyAlignment="1" applyFont="1">
      <alignment horizontal="center"/>
    </xf>
    <xf borderId="0" fillId="0" fontId="4" numFmtId="0" xfId="0" applyAlignment="1" applyFont="1">
      <alignment horizontal="center" readingOrder="0"/>
    </xf>
    <xf borderId="0" fillId="0" fontId="5" numFmtId="1" xfId="0" applyAlignment="1" applyFont="1" applyNumberFormat="1">
      <alignment horizontal="center"/>
    </xf>
    <xf borderId="0" fillId="0" fontId="5" numFmtId="164" xfId="0" applyAlignment="1" applyFont="1" applyNumberFormat="1">
      <alignment horizontal="center" vertical="bottom"/>
    </xf>
    <xf borderId="0" fillId="0" fontId="5" numFmtId="165" xfId="0" applyAlignment="1" applyFont="1" applyNumberFormat="1">
      <alignment horizontal="center" vertical="bottom"/>
    </xf>
    <xf borderId="0" fillId="0" fontId="5" numFmtId="165" xfId="0" applyAlignment="1" applyFont="1" applyNumberFormat="1">
      <alignment horizontal="center" readingOrder="0" vertical="bottom"/>
    </xf>
    <xf borderId="0" fillId="0" fontId="6" numFmtId="0" xfId="0" applyAlignment="1" applyFont="1">
      <alignment horizontal="center"/>
    </xf>
    <xf borderId="0" fillId="0" fontId="6" numFmtId="0" xfId="0" applyAlignment="1" applyFont="1">
      <alignment horizontal="center" readingOrder="0"/>
    </xf>
    <xf borderId="0" fillId="0" fontId="4" numFmtId="0" xfId="0" applyAlignment="1" applyFont="1">
      <alignment readingOrder="0"/>
    </xf>
    <xf borderId="0" fillId="0" fontId="7" numFmtId="0" xfId="0" applyAlignment="1" applyFont="1">
      <alignment horizontal="center"/>
    </xf>
    <xf borderId="0" fillId="0" fontId="8" numFmtId="0" xfId="0" applyAlignment="1" applyFont="1">
      <alignment horizontal="center"/>
    </xf>
    <xf borderId="0" fillId="2" fontId="9" numFmtId="0" xfId="0" applyAlignment="1" applyFill="1" applyFont="1">
      <alignment horizontal="center" readingOrder="0"/>
    </xf>
    <xf borderId="0" fillId="0" fontId="4" numFmtId="164" xfId="0" applyAlignment="1" applyFont="1" applyNumberFormat="1">
      <alignment horizontal="center"/>
    </xf>
    <xf borderId="0" fillId="0" fontId="4" numFmtId="165" xfId="0" applyAlignment="1" applyFont="1" applyNumberFormat="1">
      <alignment horizontal="center"/>
    </xf>
    <xf borderId="1" fillId="0" fontId="4" numFmtId="0" xfId="0" applyAlignment="1" applyBorder="1" applyFont="1">
      <alignment readingOrder="0"/>
    </xf>
    <xf borderId="0" fillId="0" fontId="4" numFmtId="0" xfId="0" applyFont="1"/>
    <xf borderId="0" fillId="0" fontId="10" numFmtId="0" xfId="0" applyAlignment="1" applyFont="1">
      <alignment readingOrder="0" shrinkToFit="0" vertical="bottom" wrapText="0"/>
    </xf>
    <xf borderId="1" fillId="0" fontId="4" numFmtId="0" xfId="0" applyBorder="1" applyFont="1"/>
    <xf borderId="0" fillId="0" fontId="11" numFmtId="0" xfId="0" applyAlignment="1" applyFont="1">
      <alignment readingOrder="0" shrinkToFit="0" vertical="bottom" wrapText="0"/>
    </xf>
    <xf borderId="0" fillId="0" fontId="12" numFmtId="0" xfId="0" applyAlignment="1" applyFont="1">
      <alignment horizontal="right" vertical="bottom"/>
    </xf>
    <xf borderId="0" fillId="2" fontId="13" numFmtId="0" xfId="0" applyAlignment="1" applyFont="1">
      <alignment readingOrder="0"/>
    </xf>
    <xf borderId="0" fillId="3" fontId="4" numFmtId="0" xfId="0" applyAlignment="1" applyFill="1" applyFont="1">
      <alignment readingOrder="0"/>
    </xf>
    <xf borderId="0" fillId="0" fontId="1" numFmtId="0" xfId="0" applyAlignment="1" applyFont="1">
      <alignment horizontal="center" readingOrder="0" shrinkToFit="0" vertical="center" wrapText="1"/>
    </xf>
    <xf borderId="0" fillId="4" fontId="4" numFmtId="0" xfId="0" applyFill="1" applyFont="1"/>
    <xf borderId="0" fillId="4" fontId="4" numFmtId="0" xfId="0" applyAlignment="1" applyFont="1">
      <alignment readingOrder="0"/>
    </xf>
    <xf borderId="0" fillId="5" fontId="4" numFmtId="0" xfId="0" applyFill="1" applyFont="1"/>
    <xf borderId="0" fillId="4" fontId="12" numFmtId="0" xfId="0" applyAlignment="1" applyFont="1">
      <alignment vertical="bottom"/>
    </xf>
    <xf borderId="0" fillId="5" fontId="4" numFmtId="0" xfId="0" applyAlignment="1" applyFont="1">
      <alignment readingOrder="0"/>
    </xf>
    <xf borderId="0" fillId="6" fontId="4" numFmtId="0" xfId="0" applyAlignment="1" applyFill="1" applyFont="1">
      <alignment readingOrder="0"/>
    </xf>
    <xf borderId="0" fillId="7" fontId="4" numFmtId="0" xfId="0" applyAlignment="1" applyFill="1" applyFont="1">
      <alignment readingOrder="0"/>
    </xf>
    <xf borderId="0" fillId="8" fontId="4" numFmtId="0" xfId="0" applyAlignment="1" applyFill="1" applyFont="1">
      <alignment readingOrder="0"/>
    </xf>
    <xf borderId="0" fillId="8" fontId="4" numFmtId="0" xfId="0" applyFont="1"/>
    <xf borderId="0" fillId="7" fontId="4" numFmtId="0" xfId="0" applyFont="1"/>
    <xf borderId="0" fillId="6" fontId="14" numFmtId="0" xfId="0" applyFont="1"/>
    <xf borderId="0" fillId="9" fontId="4" numFmtId="0" xfId="0" applyAlignment="1" applyFill="1" applyFont="1">
      <alignment readingOrder="0"/>
    </xf>
    <xf borderId="0" fillId="10" fontId="4" numFmtId="0" xfId="0" applyFill="1" applyFont="1"/>
    <xf borderId="0" fillId="6" fontId="4" numFmtId="0" xfId="0" applyAlignment="1" applyFont="1">
      <alignment readingOrder="0"/>
    </xf>
    <xf borderId="0" fillId="6" fontId="15" numFmtId="0" xfId="0" applyFont="1"/>
    <xf borderId="0" fillId="10" fontId="4" numFmtId="0" xfId="0" applyAlignment="1" applyFont="1">
      <alignment readingOrder="0"/>
    </xf>
    <xf borderId="0" fillId="3" fontId="4" numFmtId="0" xfId="0" applyFont="1"/>
    <xf borderId="0" fillId="0" fontId="12" numFmtId="0" xfId="0" applyAlignment="1" applyFont="1">
      <alignment vertical="bottom"/>
    </xf>
    <xf borderId="0" fillId="0" fontId="12" numFmtId="0" xfId="0" applyAlignment="1" applyFont="1">
      <alignment vertical="bottom"/>
    </xf>
    <xf borderId="0" fillId="11" fontId="16" numFmtId="0" xfId="0" applyAlignment="1" applyFill="1" applyFont="1">
      <alignment horizontal="right" vertical="bottom"/>
    </xf>
    <xf borderId="0" fillId="0" fontId="12" numFmtId="0" xfId="0" applyAlignment="1" applyFont="1">
      <alignment horizontal="right" readingOrder="0" vertical="bottom"/>
    </xf>
    <xf borderId="0" fillId="11" fontId="17" numFmtId="0" xfId="0" applyFont="1"/>
    <xf borderId="0" fillId="3" fontId="18" numFmtId="0" xfId="0" applyAlignment="1" applyFont="1">
      <alignment readingOrder="0"/>
    </xf>
    <xf borderId="0" fillId="0" fontId="19" numFmtId="0" xfId="0" applyAlignment="1" applyFont="1">
      <alignment horizontal="center" vertical="bottom"/>
    </xf>
    <xf borderId="0" fillId="0" fontId="20" numFmtId="0" xfId="0" applyAlignment="1" applyFont="1">
      <alignment horizontal="center" vertical="bottom"/>
    </xf>
    <xf borderId="0" fillId="12" fontId="20" numFmtId="0" xfId="0" applyAlignment="1" applyFill="1" applyFont="1">
      <alignment horizontal="center" vertical="bottom"/>
    </xf>
    <xf borderId="0" fillId="12" fontId="20" numFmtId="0" xfId="0" applyAlignment="1" applyFont="1">
      <alignment horizontal="center" readingOrder="0" vertical="bottom"/>
    </xf>
    <xf borderId="0" fillId="0" fontId="1" numFmtId="0" xfId="0" applyAlignment="1" applyFont="1">
      <alignment readingOrder="0"/>
    </xf>
    <xf borderId="0" fillId="11" fontId="20" numFmtId="0" xfId="0" applyAlignment="1" applyFont="1">
      <alignment horizontal="center" vertical="bottom"/>
    </xf>
    <xf borderId="0" fillId="0" fontId="20" numFmtId="0" xfId="0" applyAlignment="1" applyFont="1">
      <alignment horizontal="center" readingOrder="0" vertical="bottom"/>
    </xf>
    <xf borderId="0" fillId="0" fontId="12" numFmtId="0" xfId="0" applyAlignment="1" applyFont="1">
      <alignment readingOrder="0" vertical="bottom"/>
    </xf>
    <xf borderId="0" fillId="13" fontId="19" numFmtId="0" xfId="0" applyAlignment="1" applyFill="1" applyFont="1">
      <alignment horizontal="center" readingOrder="0" vertical="bottom"/>
    </xf>
    <xf borderId="0" fillId="13" fontId="4" numFmtId="0" xfId="0" applyAlignment="1" applyFont="1">
      <alignment horizontal="center" readingOrder="0"/>
    </xf>
    <xf borderId="0" fillId="13" fontId="20" numFmtId="0" xfId="0" applyAlignment="1" applyFont="1">
      <alignment horizontal="center" vertical="bottom"/>
    </xf>
    <xf borderId="0" fillId="13" fontId="20" numFmtId="0" xfId="0" applyAlignment="1" applyFont="1">
      <alignment horizontal="center" vertical="bottom"/>
    </xf>
    <xf borderId="0" fillId="12" fontId="20" numFmtId="0" xfId="0" applyAlignment="1" applyFont="1">
      <alignment horizontal="center" vertical="bottom"/>
    </xf>
    <xf borderId="0" fillId="0" fontId="19" numFmtId="0" xfId="0" applyAlignment="1" applyFont="1">
      <alignment horizontal="center" readingOrder="0" vertical="bottom"/>
    </xf>
    <xf borderId="0" fillId="0" fontId="20" numFmtId="0" xfId="0" applyAlignment="1" applyFont="1">
      <alignment horizontal="center" vertical="bottom"/>
    </xf>
    <xf borderId="0" fillId="3" fontId="4" numFmtId="0" xfId="0" applyFont="1"/>
    <xf borderId="0" fillId="11" fontId="12" numFmtId="0" xfId="0" applyAlignment="1" applyFont="1">
      <alignment vertical="bottom"/>
    </xf>
    <xf borderId="0" fillId="11" fontId="17" numFmtId="0" xfId="0" applyAlignment="1" applyFont="1">
      <alignment horizontal="left"/>
    </xf>
    <xf borderId="0" fillId="14" fontId="12" numFmtId="0" xfId="0" applyAlignment="1" applyFill="1" applyFont="1">
      <alignment vertical="bottom"/>
    </xf>
    <xf borderId="0" fillId="14" fontId="12" numFmtId="0" xfId="0" applyAlignment="1" applyFont="1">
      <alignment horizontal="right" vertical="bottom"/>
    </xf>
    <xf borderId="0" fillId="14" fontId="12" numFmtId="0" xfId="0" applyAlignment="1" applyFont="1">
      <alignment vertical="bottom"/>
    </xf>
    <xf borderId="0" fillId="14" fontId="12" numFmtId="0" xfId="0" applyAlignment="1" applyFont="1">
      <alignment horizontal="right" vertical="bottom"/>
    </xf>
    <xf borderId="0" fillId="0" fontId="7" numFmtId="0" xfId="0" applyAlignment="1" applyFont="1">
      <alignment readingOrder="0"/>
    </xf>
  </cellXfs>
  <cellStyles count="1">
    <cellStyle xfId="0" name="Normal" builtinId="0"/>
  </cellStyles>
  <dxfs count="2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22" Type="http://schemas.openxmlformats.org/officeDocument/2006/relationships/worksheet" Target="worksheets/sheet19.xml"/><Relationship Id="rId10" Type="http://schemas.openxmlformats.org/officeDocument/2006/relationships/worksheet" Target="worksheets/sheet7.xml"/><Relationship Id="rId21" Type="http://schemas.openxmlformats.org/officeDocument/2006/relationships/worksheet" Target="worksheets/sheet18.xml"/><Relationship Id="rId13" Type="http://schemas.openxmlformats.org/officeDocument/2006/relationships/worksheet" Target="worksheets/sheet10.xml"/><Relationship Id="rId24" Type="http://schemas.openxmlformats.org/officeDocument/2006/relationships/worksheet" Target="worksheets/sheet21.xml"/><Relationship Id="rId12" Type="http://schemas.openxmlformats.org/officeDocument/2006/relationships/worksheet" Target="worksheets/sheet9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Graph of Overall Index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'PUMaC Rankings'!$C$1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'PUMaC Rankings'!$B$2:$B$19</c:f>
            </c:strRef>
          </c:cat>
          <c:val>
            <c:numRef>
              <c:f>'PUMaC Rankings'!$C$2:$C$19</c:f>
              <c:numCache/>
            </c:numRef>
          </c:val>
          <c:smooth val="0"/>
        </c:ser>
        <c:axId val="735173929"/>
        <c:axId val="2005649875"/>
      </c:lineChart>
      <c:catAx>
        <c:axId val="73517392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Overall Index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05649875"/>
      </c:catAx>
      <c:valAx>
        <c:axId val="200564987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3517392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Graph of Overall Index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'HMMT Rankings'!$C$1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'HMMT Rankings'!$B$2:$B$19</c:f>
            </c:strRef>
          </c:cat>
          <c:val>
            <c:numRef>
              <c:f>'HMMT Rankings'!$C$2:$C$19</c:f>
              <c:numCache/>
            </c:numRef>
          </c:val>
          <c:smooth val="0"/>
        </c:ser>
        <c:axId val="941517938"/>
        <c:axId val="303251819"/>
      </c:lineChart>
      <c:catAx>
        <c:axId val="94151793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Overall Index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03251819"/>
      </c:catAx>
      <c:valAx>
        <c:axId val="30325181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4151793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266700</xdr:colOff>
      <xdr:row>11</xdr:row>
      <xdr:rowOff>66675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590550</xdr:colOff>
      <xdr:row>4</xdr:row>
      <xdr:rowOff>123825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1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6.63"/>
    <col customWidth="1" min="3" max="3" width="14.5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5" t="s">
        <v>7</v>
      </c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</row>
    <row r="2">
      <c r="A2" s="1">
        <f t="shared" ref="A2:A529" si="1">ROW()-1</f>
        <v>1</v>
      </c>
      <c r="B2" s="7" t="s">
        <v>8</v>
      </c>
      <c r="C2" s="8">
        <f t="shared" ref="C2:C529" si="2">0.35*LARGE(D2:G2,1)+0.35*LARGE(D2:G2,2)+0.2*LARGE(D2:G2,3)</f>
        <v>4155.111111</v>
      </c>
      <c r="D2" s="9">
        <f>IFERROR(VLOOKUP(B2, 'Duke 1'!A$3:$B$85,2, 0), 0)</f>
        <v>3157.894737</v>
      </c>
      <c r="E2" s="9">
        <f>IFERROR(VLOOKUP(B2, 'Duke 2'!A$3:$B$522,2, 0), 0)</f>
        <v>6000</v>
      </c>
      <c r="F2" s="10">
        <f>IFERROR(VLOOKUP(B2, 'Duke 3'!A$3:$B1000,2, 0), 0)</f>
        <v>3555.555556</v>
      </c>
      <c r="G2" s="10">
        <f>IFERROR(VLOOKUP(B2, 'Duke 4'!A$3:$B1000,2, 0), 0)</f>
        <v>3840</v>
      </c>
      <c r="H2" s="11">
        <v>4341.0</v>
      </c>
      <c r="I2" s="7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</row>
    <row r="3">
      <c r="A3" s="1">
        <f t="shared" si="1"/>
        <v>2</v>
      </c>
      <c r="B3" s="7" t="s">
        <v>9</v>
      </c>
      <c r="C3" s="8">
        <f t="shared" si="2"/>
        <v>2353.871345</v>
      </c>
      <c r="D3" s="9">
        <f>IFERROR(VLOOKUP(B3, 'Duke 1'!A$3:$B$85,2, 0), 0)</f>
        <v>3789.473684</v>
      </c>
      <c r="E3" s="9">
        <f>IFERROR(VLOOKUP(B3, 'Duke 2'!A$3:$B$522,2, 0), 0)</f>
        <v>1500</v>
      </c>
      <c r="F3" s="10">
        <f>IFERROR(VLOOKUP(B3, 'Duke 3'!A$3:$B1000,2, 0), 0)</f>
        <v>1777.777778</v>
      </c>
      <c r="G3" s="10">
        <f>IFERROR(VLOOKUP(B3, 'Duke 4'!A$3:$B1000,2, 0), 0)</f>
        <v>1920</v>
      </c>
      <c r="H3" s="10">
        <f>IFERROR(VLOOKUP(B3, Proof!A$2:$B1000,2, 0), 0)</f>
        <v>2472.727273</v>
      </c>
      <c r="I3" s="7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</row>
    <row r="4">
      <c r="A4" s="1">
        <f t="shared" si="1"/>
        <v>3</v>
      </c>
      <c r="B4" s="7" t="s">
        <v>10</v>
      </c>
      <c r="C4" s="8">
        <f t="shared" si="2"/>
        <v>2266.222222</v>
      </c>
      <c r="D4" s="9">
        <f>IFERROR(VLOOKUP(B4, 'Duke 1'!A$3:$B$85,2, 0), 0)</f>
        <v>1263.157895</v>
      </c>
      <c r="E4" s="9">
        <f>IFERROR(VLOOKUP(B4, 'Duke 2'!A$3:$B$522,2, 0), 0)</f>
        <v>1500</v>
      </c>
      <c r="F4" s="10">
        <f>IFERROR(VLOOKUP(B4, 'Duke 3'!A$3:$B1000,2, 0), 0)</f>
        <v>1777.777778</v>
      </c>
      <c r="G4" s="10">
        <f>IFERROR(VLOOKUP(B4, 'Duke 4'!A$3:$B1000,2, 0), 0)</f>
        <v>3840</v>
      </c>
      <c r="H4" s="10">
        <f>IFERROR(VLOOKUP(B4, Proof!A$2:$B1000,2, 0), 0)</f>
        <v>0</v>
      </c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</row>
    <row r="5">
      <c r="A5" s="1">
        <f t="shared" si="1"/>
        <v>4</v>
      </c>
      <c r="B5" s="7" t="s">
        <v>11</v>
      </c>
      <c r="C5" s="8">
        <f t="shared" si="2"/>
        <v>2132.818713</v>
      </c>
      <c r="D5" s="9">
        <f>IFERROR(VLOOKUP(B5, 'Duke 1'!A$3:$B$85,2, 0), 0)</f>
        <v>3157.894737</v>
      </c>
      <c r="E5" s="9">
        <f>IFERROR(VLOOKUP(B5, 'Duke 2'!A$3:$B$522,2, 0), 0)</f>
        <v>1500</v>
      </c>
      <c r="F5" s="10">
        <f>IFERROR(VLOOKUP(B5, 'Duke 3'!A$3:$B1000,2, 0), 0)</f>
        <v>1777.777778</v>
      </c>
      <c r="G5" s="10">
        <f>IFERROR(VLOOKUP(B5, 'Duke 4'!A$3:$B1000,2, 0), 0)</f>
        <v>1920</v>
      </c>
      <c r="H5" s="10">
        <f>IFERROR(VLOOKUP(B5, Proof!A$2:$B1000,2, 0), 0)</f>
        <v>1309.090909</v>
      </c>
      <c r="I5" s="6"/>
      <c r="J5" s="7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</row>
    <row r="6">
      <c r="A6" s="1">
        <f t="shared" si="1"/>
        <v>5</v>
      </c>
      <c r="B6" s="7" t="s">
        <v>12</v>
      </c>
      <c r="C6" s="8">
        <f t="shared" si="2"/>
        <v>1905.333333</v>
      </c>
      <c r="D6" s="9">
        <f>IFERROR(VLOOKUP(B6, 'Duke 1'!A$3:$B$85,2, 0), 0)</f>
        <v>0</v>
      </c>
      <c r="E6" s="9">
        <f>IFERROR(VLOOKUP(B6, 'Duke 2'!A$3:$B$522,2, 0), 0)</f>
        <v>1500</v>
      </c>
      <c r="F6" s="10">
        <f>IFERROR(VLOOKUP(B6, 'Duke 3'!A$3:$B1000,2, 0), 0)</f>
        <v>2666.666667</v>
      </c>
      <c r="G6" s="10">
        <f>IFERROR(VLOOKUP(B6, 'Duke 4'!A$3:$B1000,2, 0), 0)</f>
        <v>1920</v>
      </c>
      <c r="H6" s="10"/>
      <c r="I6" s="6"/>
      <c r="J6" s="11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</row>
    <row r="7">
      <c r="A7" s="1">
        <f t="shared" si="1"/>
        <v>6</v>
      </c>
      <c r="B7" s="7" t="s">
        <v>13</v>
      </c>
      <c r="C7" s="8">
        <f t="shared" si="2"/>
        <v>1806.432749</v>
      </c>
      <c r="D7" s="9">
        <f>IFERROR(VLOOKUP(B7, 'Duke 1'!A$3:$B$85,2, 0), 0)</f>
        <v>2526.315789</v>
      </c>
      <c r="E7" s="9">
        <f>IFERROR(VLOOKUP(B7, 'Duke 2'!A$3:$B$522,2, 0), 0)</f>
        <v>1500</v>
      </c>
      <c r="F7" s="10">
        <f>IFERROR(VLOOKUP(B7, 'Duke 3'!A$3:$B1000,2, 0), 0)</f>
        <v>1777.777778</v>
      </c>
      <c r="G7" s="10">
        <f>IFERROR(VLOOKUP(B7, 'Duke 4'!A$3:$B1000,2, 0), 0)</f>
        <v>960</v>
      </c>
      <c r="H7" s="10">
        <f>IFERROR(VLOOKUP(B7, Proof!A$2:$B1000,2, 0), 0)</f>
        <v>2036.363636</v>
      </c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</row>
    <row r="8">
      <c r="A8" s="1">
        <f t="shared" si="1"/>
        <v>7</v>
      </c>
      <c r="B8" s="7" t="s">
        <v>14</v>
      </c>
      <c r="C8" s="8">
        <f t="shared" si="2"/>
        <v>1710.777778</v>
      </c>
      <c r="D8" s="9">
        <f>IFERROR(VLOOKUP(B8, 'Duke 1'!A$3:$B$85,2, 0), 0)</f>
        <v>631.5789474</v>
      </c>
      <c r="E8" s="9">
        <f>IFERROR(VLOOKUP(B8, 'Duke 2'!A$3:$B$522,2, 0), 0)</f>
        <v>1500</v>
      </c>
      <c r="F8" s="10">
        <f>IFERROR(VLOOKUP(B8, 'Duke 3'!A$3:$B1000,2, 0), 0)</f>
        <v>888.8888889</v>
      </c>
      <c r="G8" s="10">
        <f>IFERROR(VLOOKUP(B8, 'Duke 4'!A$3:$B1000,2, 0), 0)</f>
        <v>2880</v>
      </c>
      <c r="H8" s="10">
        <f>IFERROR(VLOOKUP(B8, Proof!A$2:$B1000,2, 0), 0)</f>
        <v>1018.181818</v>
      </c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>
      <c r="A9" s="1">
        <f t="shared" si="1"/>
        <v>8</v>
      </c>
      <c r="B9" s="7" t="s">
        <v>15</v>
      </c>
      <c r="C9" s="8">
        <f t="shared" si="2"/>
        <v>1601.210526</v>
      </c>
      <c r="D9" s="9">
        <f>IFERROR(VLOOKUP(B9, 'Duke 1'!A$3:$B$85,2, 0), 0)</f>
        <v>2526.315789</v>
      </c>
      <c r="E9" s="9">
        <f>IFERROR(VLOOKUP(B9, 'Duke 2'!A$3:$B$522,2, 0), 0)</f>
        <v>1500</v>
      </c>
      <c r="F9" s="10">
        <f>IFERROR(VLOOKUP(B9, 'Duke 3'!A$3:$B1000,2, 0), 0)</f>
        <v>888.8888889</v>
      </c>
      <c r="G9" s="10">
        <f>IFERROR(VLOOKUP(B9, 'Duke 4'!A$3:$B1000,2, 0), 0)</f>
        <v>960</v>
      </c>
      <c r="H9" s="10">
        <f>IFERROR(VLOOKUP(B9, Proof!A$2:$B1000,2, 0), 0)</f>
        <v>1890.909091</v>
      </c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</row>
    <row r="10">
      <c r="A10" s="1">
        <f t="shared" si="1"/>
        <v>9</v>
      </c>
      <c r="B10" s="7" t="s">
        <v>16</v>
      </c>
      <c r="C10" s="8">
        <f t="shared" si="2"/>
        <v>1594.222222</v>
      </c>
      <c r="D10" s="9">
        <f>IFERROR(VLOOKUP(B10, 'Duke 1'!A$3:$B$85,2, 0), 0)</f>
        <v>0</v>
      </c>
      <c r="E10" s="9">
        <f>IFERROR(VLOOKUP(B10, 'Duke 2'!A$3:$B$522,2, 0), 0)</f>
        <v>1500</v>
      </c>
      <c r="F10" s="10">
        <f>IFERROR(VLOOKUP(B10, 'Duke 3'!A$3:$B1000,2, 0), 0)</f>
        <v>1777.777778</v>
      </c>
      <c r="G10" s="10">
        <f>IFERROR(VLOOKUP(B10, 'Duke 4'!A$3:$B1000,2, 0), 0)</f>
        <v>1920</v>
      </c>
      <c r="H10" s="10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</row>
    <row r="11">
      <c r="A11" s="1">
        <f t="shared" si="1"/>
        <v>10</v>
      </c>
      <c r="B11" s="7" t="s">
        <v>17</v>
      </c>
      <c r="C11" s="8">
        <f t="shared" si="2"/>
        <v>1477.380117</v>
      </c>
      <c r="D11" s="9">
        <f>IFERROR(VLOOKUP(B11, 'Duke 1'!A$3:$B$85,2, 0), 0)</f>
        <v>1894.736842</v>
      </c>
      <c r="E11" s="9">
        <f>IFERROR(VLOOKUP(B11, 'Duke 2'!A$3:$B$522,2, 0), 0)</f>
        <v>0</v>
      </c>
      <c r="F11" s="10">
        <f>IFERROR(VLOOKUP(B11, 'Duke 3'!A$3:$B1000,2, 0), 0)</f>
        <v>1777.777778</v>
      </c>
      <c r="G11" s="10">
        <f>IFERROR(VLOOKUP(B11, 'Duke 4'!A$3:$B1000,2, 0), 0)</f>
        <v>960</v>
      </c>
      <c r="H11" s="10"/>
      <c r="I11" s="6"/>
      <c r="J11" s="7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</row>
    <row r="12">
      <c r="A12" s="1">
        <f t="shared" si="1"/>
        <v>11</v>
      </c>
      <c r="B12" s="7" t="s">
        <v>18</v>
      </c>
      <c r="C12" s="8">
        <f t="shared" si="2"/>
        <v>1399.853801</v>
      </c>
      <c r="D12" s="9">
        <f>IFERROR(VLOOKUP(B12, 'Duke 1'!A$3:$B$85,2, 0), 0)</f>
        <v>1263.157895</v>
      </c>
      <c r="E12" s="9">
        <f>IFERROR(VLOOKUP(B12, 'Duke 2'!A$3:$B$522,2, 0), 0)</f>
        <v>1500</v>
      </c>
      <c r="F12" s="10">
        <f>IFERROR(VLOOKUP(B12, 'Duke 3'!A$3:$B1000,2, 0), 0)</f>
        <v>1777.777778</v>
      </c>
      <c r="G12" s="10">
        <f>IFERROR(VLOOKUP(B12, 'Duke 4'!A$3:$B1000,2, 0), 0)</f>
        <v>960</v>
      </c>
      <c r="H12" s="10">
        <f>IFERROR(VLOOKUP(B12, Proof!A$2:$B1000,2, 0), 0)</f>
        <v>1745.454545</v>
      </c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</row>
    <row r="13">
      <c r="A13" s="1">
        <f t="shared" si="1"/>
        <v>12</v>
      </c>
      <c r="B13" s="7" t="s">
        <v>19</v>
      </c>
      <c r="C13" s="8">
        <f t="shared" si="2"/>
        <v>1399.853801</v>
      </c>
      <c r="D13" s="9">
        <f>IFERROR(VLOOKUP(B13, 'Duke 1'!A$3:$B$85,2, 0), 0)</f>
        <v>1263.157895</v>
      </c>
      <c r="E13" s="9">
        <f>IFERROR(VLOOKUP(B13, 'Duke 2'!A$3:$B$522,2, 0), 0)</f>
        <v>1500</v>
      </c>
      <c r="F13" s="10">
        <f>IFERROR(VLOOKUP(B13, 'Duke 3'!A$3:$B1000,2, 0), 0)</f>
        <v>1777.777778</v>
      </c>
      <c r="G13" s="10">
        <f>IFERROR(VLOOKUP(B13, 'Duke 4'!A$3:$B1000,2, 0), 0)</f>
        <v>960</v>
      </c>
      <c r="H13" s="10"/>
      <c r="I13" s="10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</row>
    <row r="14">
      <c r="A14" s="1">
        <f t="shared" si="1"/>
        <v>13</v>
      </c>
      <c r="B14" s="7" t="s">
        <v>20</v>
      </c>
      <c r="C14" s="8">
        <f t="shared" si="2"/>
        <v>1339.222222</v>
      </c>
      <c r="D14" s="9">
        <f>IFERROR(VLOOKUP(B14, 'Duke 1'!A$3:$B$85,2, 0), 0)</f>
        <v>631.5789474</v>
      </c>
      <c r="E14" s="9">
        <f>IFERROR(VLOOKUP(B14, 'Duke 2'!A$3:$B$522,2, 0), 0)</f>
        <v>1500</v>
      </c>
      <c r="F14" s="10">
        <f>IFERROR(VLOOKUP(B14, 'Duke 3'!A$3:$B1000,2, 0), 0)</f>
        <v>1777.777778</v>
      </c>
      <c r="G14" s="10">
        <f>IFERROR(VLOOKUP(B14, 'Duke 4'!A$3:$B1000,2, 0), 0)</f>
        <v>960</v>
      </c>
      <c r="H14" s="10">
        <f>IFERROR(VLOOKUP(B14, Proof!A$2:$B1000,2, 0), 0)</f>
        <v>145.4545455</v>
      </c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</row>
    <row r="15">
      <c r="A15" s="1">
        <f t="shared" si="1"/>
        <v>14</v>
      </c>
      <c r="B15" s="7" t="s">
        <v>21</v>
      </c>
      <c r="C15" s="8">
        <f t="shared" si="2"/>
        <v>1339.222222</v>
      </c>
      <c r="D15" s="9">
        <f>IFERROR(VLOOKUP(B15, 'Duke 1'!A$3:$B$85,2, 0), 0)</f>
        <v>0</v>
      </c>
      <c r="E15" s="9">
        <f>IFERROR(VLOOKUP(B15, 'Duke 2'!A$3:$B$522,2, 0), 0)</f>
        <v>1500</v>
      </c>
      <c r="F15" s="10">
        <f>IFERROR(VLOOKUP(B15, 'Duke 3'!A$3:$B1000,2, 0), 0)</f>
        <v>1777.777778</v>
      </c>
      <c r="G15" s="10">
        <f>IFERROR(VLOOKUP(B15, 'Duke 4'!A$3:$B1000,2, 0), 0)</f>
        <v>960</v>
      </c>
      <c r="H15" s="10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</row>
    <row r="16">
      <c r="A16" s="1">
        <f t="shared" si="1"/>
        <v>15</v>
      </c>
      <c r="B16" s="7" t="s">
        <v>22</v>
      </c>
      <c r="C16" s="8">
        <f t="shared" si="2"/>
        <v>1339.222222</v>
      </c>
      <c r="D16" s="9">
        <f>IFERROR(VLOOKUP(B16, 'Duke 1'!A$3:$B$85,2, 0), 0)</f>
        <v>0</v>
      </c>
      <c r="E16" s="9">
        <f>IFERROR(VLOOKUP(B16, 'Duke 2'!A$3:$B$522,2, 0), 0)</f>
        <v>1500</v>
      </c>
      <c r="F16" s="10">
        <f>IFERROR(VLOOKUP(B16, 'Duke 3'!A$3:$B1000,2, 0), 0)</f>
        <v>1777.777778</v>
      </c>
      <c r="G16" s="10">
        <f>IFERROR(VLOOKUP(B16, 'Duke 4'!A$3:$B1000,2, 0), 0)</f>
        <v>960</v>
      </c>
      <c r="H16" s="10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</row>
    <row r="17">
      <c r="A17" s="1">
        <f t="shared" si="1"/>
        <v>16</v>
      </c>
      <c r="B17" s="7" t="s">
        <v>23</v>
      </c>
      <c r="C17" s="8">
        <f t="shared" si="2"/>
        <v>1323.315789</v>
      </c>
      <c r="D17" s="9">
        <f>IFERROR(VLOOKUP(B17, 'Duke 1'!A$3:$B$85,2, 0), 0)</f>
        <v>631.5789474</v>
      </c>
      <c r="E17" s="9">
        <f>IFERROR(VLOOKUP(B17, 'Duke 2'!A$3:$B$522,2, 0), 0)</f>
        <v>1500</v>
      </c>
      <c r="F17" s="10">
        <f>IFERROR(VLOOKUP(B17, 'Duke 3'!A$3:$B1000,2, 0), 0)</f>
        <v>0</v>
      </c>
      <c r="G17" s="10">
        <f>IFERROR(VLOOKUP(B17, 'Duke 4'!A$3:$B1000,2, 0), 0)</f>
        <v>1920</v>
      </c>
      <c r="H17" s="10">
        <f>IFERROR(VLOOKUP(B17, Proof!A$2:$B1000,2, 0), 0)</f>
        <v>1163.636364</v>
      </c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</row>
    <row r="18">
      <c r="A18" s="1">
        <f t="shared" si="1"/>
        <v>17</v>
      </c>
      <c r="B18" s="7" t="s">
        <v>24</v>
      </c>
      <c r="C18" s="8">
        <f t="shared" si="2"/>
        <v>1273.538012</v>
      </c>
      <c r="D18" s="9">
        <f>IFERROR(VLOOKUP(B18, 'Duke 1'!A$3:$B$85,2, 0), 0)</f>
        <v>631.5789474</v>
      </c>
      <c r="E18" s="9">
        <f>IFERROR(VLOOKUP(B18, 'Duke 2'!A$3:$B$522,2, 0), 0)</f>
        <v>1500</v>
      </c>
      <c r="F18" s="10">
        <f>IFERROR(VLOOKUP(B18, 'Duke 3'!A$3:$B1000,2, 0), 0)</f>
        <v>1777.777778</v>
      </c>
      <c r="G18" s="10">
        <f>IFERROR(VLOOKUP(B18, 'Duke 4'!A$3:$B1000,2, 0), 0)</f>
        <v>0</v>
      </c>
      <c r="H18" s="10">
        <f>IFERROR(VLOOKUP(B18, Proof!A$2:$B1000,2, 0), 0)</f>
        <v>1890.909091</v>
      </c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</row>
    <row r="19">
      <c r="A19" s="1">
        <f t="shared" si="1"/>
        <v>18</v>
      </c>
      <c r="B19" s="7" t="s">
        <v>25</v>
      </c>
      <c r="C19" s="8">
        <f t="shared" si="2"/>
        <v>1271.052632</v>
      </c>
      <c r="D19" s="9">
        <f>IFERROR(VLOOKUP(B19, 'Duke 1'!A$3:$B$85,2, 0), 0)</f>
        <v>631.5789474</v>
      </c>
      <c r="E19" s="9">
        <f>IFERROR(VLOOKUP(B19, 'Duke 2'!A$3:$B$522,2, 0), 0)</f>
        <v>3000</v>
      </c>
      <c r="F19" s="10">
        <f>IFERROR(VLOOKUP(B19, 'Duke 3'!A$3:$B1000,2, 0), 0)</f>
        <v>0</v>
      </c>
      <c r="G19" s="10">
        <f>IFERROR(VLOOKUP(B19, 'Duke 4'!A$3:$B1000,2, 0), 0)</f>
        <v>0</v>
      </c>
      <c r="H19" s="10">
        <f>IFERROR(VLOOKUP(B19, Proof!A$2:$B1000,2, 0), 0)</f>
        <v>0</v>
      </c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</row>
    <row r="20">
      <c r="A20" s="1">
        <f t="shared" si="1"/>
        <v>19</v>
      </c>
      <c r="B20" s="7" t="s">
        <v>26</v>
      </c>
      <c r="C20" s="8">
        <f t="shared" si="2"/>
        <v>1159.105263</v>
      </c>
      <c r="D20" s="9">
        <f>IFERROR(VLOOKUP(B20, 'Duke 1'!A$3:$B$85,2, 0), 0)</f>
        <v>1263.157895</v>
      </c>
      <c r="E20" s="9">
        <f>IFERROR(VLOOKUP(B20, 'Duke 2'!A$3:$B$522,2, 0), 0)</f>
        <v>1500</v>
      </c>
      <c r="F20" s="10">
        <f>IFERROR(VLOOKUP(B20, 'Duke 3'!A$3:$B1000,2, 0), 0)</f>
        <v>888.8888889</v>
      </c>
      <c r="G20" s="10">
        <f>IFERROR(VLOOKUP(B20, 'Duke 4'!A$3:$B1000,2, 0), 0)</f>
        <v>960</v>
      </c>
      <c r="H20" s="10">
        <f>IFERROR(VLOOKUP(B20, Proof!A$2:$B1000,2, 0), 0)</f>
        <v>0</v>
      </c>
      <c r="I20" s="12"/>
      <c r="J20" s="13" t="s">
        <v>27</v>
      </c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</row>
    <row r="21">
      <c r="A21" s="1">
        <f t="shared" si="1"/>
        <v>20</v>
      </c>
      <c r="B21" s="7" t="s">
        <v>28</v>
      </c>
      <c r="C21" s="8">
        <f t="shared" si="2"/>
        <v>1147.222222</v>
      </c>
      <c r="D21" s="9">
        <f>IFERROR(VLOOKUP(B21, 'Duke 1'!A$3:$B$85,2, 0), 0)</f>
        <v>0</v>
      </c>
      <c r="E21" s="9">
        <f>IFERROR(VLOOKUP(B21, 'Duke 2'!A$3:$B$522,2, 0), 0)</f>
        <v>1500</v>
      </c>
      <c r="F21" s="10">
        <f>IFERROR(VLOOKUP(B21, 'Duke 3'!A$3:$B1000,2, 0), 0)</f>
        <v>1777.777778</v>
      </c>
      <c r="G21" s="10">
        <f>IFERROR(VLOOKUP(B21, 'Duke 4'!A$3:$B1000,2, 0), 0)</f>
        <v>0</v>
      </c>
      <c r="H21" s="10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</row>
    <row r="22">
      <c r="A22" s="1">
        <f t="shared" si="1"/>
        <v>21</v>
      </c>
      <c r="B22" s="7" t="s">
        <v>29</v>
      </c>
      <c r="C22" s="8">
        <f t="shared" si="2"/>
        <v>1144.883041</v>
      </c>
      <c r="D22" s="9">
        <f>IFERROR(VLOOKUP(B22, 'Duke 1'!A$3:$B$85,2, 0), 0)</f>
        <v>1263.157895</v>
      </c>
      <c r="E22" s="9">
        <f>IFERROR(VLOOKUP(B22, 'Duke 2'!A$3:$B$522,2, 0), 0)</f>
        <v>1500</v>
      </c>
      <c r="F22" s="10">
        <f>IFERROR(VLOOKUP(B22, 'Duke 3'!A$3:$B1000,2, 0), 0)</f>
        <v>888.8888889</v>
      </c>
      <c r="G22" s="10">
        <f>IFERROR(VLOOKUP(B22, 'Duke 4'!A$3:$B1000,2, 0), 0)</f>
        <v>0</v>
      </c>
      <c r="H22" s="10">
        <f>IFERROR(VLOOKUP(B22, Proof!A$2:$B1000,2, 0), 0)</f>
        <v>1745.454545</v>
      </c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</row>
    <row r="23">
      <c r="A23" s="1">
        <f t="shared" si="1"/>
        <v>22</v>
      </c>
      <c r="B23" s="7" t="s">
        <v>30</v>
      </c>
      <c r="C23" s="8">
        <f t="shared" si="2"/>
        <v>1038.777778</v>
      </c>
      <c r="D23" s="9">
        <f>IFERROR(VLOOKUP(B23, 'Duke 1'!A$3:$B$85,2, 0), 0)</f>
        <v>631.5789474</v>
      </c>
      <c r="E23" s="9">
        <f>IFERROR(VLOOKUP(B23, 'Duke 2'!A$3:$B$522,2, 0), 0)</f>
        <v>1500</v>
      </c>
      <c r="F23" s="10">
        <f>IFERROR(VLOOKUP(B23, 'Duke 3'!A$3:$B1000,2, 0), 0)</f>
        <v>888.8888889</v>
      </c>
      <c r="G23" s="10">
        <f>IFERROR(VLOOKUP(B23, 'Duke 4'!A$3:$B1000,2, 0), 0)</f>
        <v>960</v>
      </c>
      <c r="H23" s="10">
        <f>IFERROR(VLOOKUP(B23, Proof!A$2:$B1000,2, 0), 0)</f>
        <v>1018.181818</v>
      </c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</row>
    <row r="24">
      <c r="A24" s="1">
        <f t="shared" si="1"/>
        <v>23</v>
      </c>
      <c r="B24" s="7" t="s">
        <v>31</v>
      </c>
      <c r="C24" s="8">
        <f t="shared" si="2"/>
        <v>1038.777778</v>
      </c>
      <c r="D24" s="9">
        <f>IFERROR(VLOOKUP(B24, 'Duke 1'!A$3:$B$85,2, 0), 0)</f>
        <v>631.5789474</v>
      </c>
      <c r="E24" s="9">
        <f>IFERROR(VLOOKUP(B24, 'Duke 2'!A$3:$B$522,2, 0), 0)</f>
        <v>1500</v>
      </c>
      <c r="F24" s="10">
        <f>IFERROR(VLOOKUP(B24, 'Duke 3'!A$3:$B1000,2, 0), 0)</f>
        <v>888.8888889</v>
      </c>
      <c r="G24" s="10">
        <f>IFERROR(VLOOKUP(B24, 'Duke 4'!A$3:$B1000,2, 0), 0)</f>
        <v>960</v>
      </c>
      <c r="H24" s="10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</row>
    <row r="25">
      <c r="A25" s="1">
        <f t="shared" si="1"/>
        <v>24</v>
      </c>
      <c r="B25" s="7" t="s">
        <v>32</v>
      </c>
      <c r="C25" s="8">
        <f t="shared" si="2"/>
        <v>1038.777778</v>
      </c>
      <c r="D25" s="9">
        <f>IFERROR(VLOOKUP(B25, 'Duke 1'!A$3:$B$85,2, 0), 0)</f>
        <v>631.5789474</v>
      </c>
      <c r="E25" s="9">
        <f>IFERROR(VLOOKUP(B25, 'Duke 2'!A$3:$B$522,2, 0), 0)</f>
        <v>1500</v>
      </c>
      <c r="F25" s="10">
        <f>IFERROR(VLOOKUP(B25, 'Duke 3'!A$3:$B1000,2, 0), 0)</f>
        <v>888.8888889</v>
      </c>
      <c r="G25" s="10">
        <f>IFERROR(VLOOKUP(B25, 'Duke 4'!A$3:$B1000,2, 0), 0)</f>
        <v>960</v>
      </c>
      <c r="H25" s="10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</row>
    <row r="26">
      <c r="A26" s="1">
        <f t="shared" si="1"/>
        <v>25</v>
      </c>
      <c r="B26" s="7" t="s">
        <v>33</v>
      </c>
      <c r="C26" s="8">
        <f t="shared" si="2"/>
        <v>1038.777778</v>
      </c>
      <c r="D26" s="9">
        <f>IFERROR(VLOOKUP(B26, 'Duke 1'!A$3:$B$85,2, 0), 0)</f>
        <v>631.5789474</v>
      </c>
      <c r="E26" s="9">
        <f>IFERROR(VLOOKUP(B26, 'Duke 2'!A$3:$B$522,2, 0), 0)</f>
        <v>1500</v>
      </c>
      <c r="F26" s="10">
        <f>IFERROR(VLOOKUP(B26, 'Duke 3'!A$3:$B1000,2, 0), 0)</f>
        <v>888.8888889</v>
      </c>
      <c r="G26" s="10">
        <f>IFERROR(VLOOKUP(B26, 'Duke 4'!A$3:$B1000,2, 0), 0)</f>
        <v>960</v>
      </c>
      <c r="H26" s="10">
        <f>IFERROR(VLOOKUP(B26, Proof!A$2:$B1000,2, 0), 0)</f>
        <v>1163.636364</v>
      </c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</row>
    <row r="27">
      <c r="A27" s="1">
        <f t="shared" si="1"/>
        <v>26</v>
      </c>
      <c r="B27" s="7" t="s">
        <v>34</v>
      </c>
      <c r="C27" s="8">
        <f t="shared" si="2"/>
        <v>1038.777778</v>
      </c>
      <c r="D27" s="9">
        <f>IFERROR(VLOOKUP(B27, 'Duke 1'!A$3:$B$85,2, 0), 0)</f>
        <v>0</v>
      </c>
      <c r="E27" s="9">
        <f>IFERROR(VLOOKUP(B27, 'Duke 2'!A$3:$B$522,2, 0), 0)</f>
        <v>1500</v>
      </c>
      <c r="F27" s="10">
        <f>IFERROR(VLOOKUP(B27, 'Duke 3'!A$3:$B1000,2, 0), 0)</f>
        <v>888.8888889</v>
      </c>
      <c r="G27" s="10">
        <f>IFERROR(VLOOKUP(B27, 'Duke 4'!A$3:$B1000,2, 0), 0)</f>
        <v>960</v>
      </c>
      <c r="H27" s="10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</row>
    <row r="28">
      <c r="A28" s="1">
        <f t="shared" si="1"/>
        <v>27</v>
      </c>
      <c r="B28" s="7" t="s">
        <v>35</v>
      </c>
      <c r="C28" s="8">
        <f t="shared" si="2"/>
        <v>1038.777778</v>
      </c>
      <c r="D28" s="9">
        <f>IFERROR(VLOOKUP(B28, 'Duke 1'!A$3:$B$85,2, 0), 0)</f>
        <v>0</v>
      </c>
      <c r="E28" s="9">
        <f>IFERROR(VLOOKUP(B28, 'Duke 2'!A$3:$B$522,2, 0), 0)</f>
        <v>1500</v>
      </c>
      <c r="F28" s="10">
        <f>IFERROR(VLOOKUP(B28, 'Duke 3'!A$3:$B1000,2, 0), 0)</f>
        <v>888.8888889</v>
      </c>
      <c r="G28" s="10">
        <f>IFERROR(VLOOKUP(B28, 'Duke 4'!A$3:$B1000,2, 0), 0)</f>
        <v>960</v>
      </c>
      <c r="H28" s="10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</row>
    <row r="29">
      <c r="A29" s="1">
        <f t="shared" si="1"/>
        <v>28</v>
      </c>
      <c r="B29" s="7" t="s">
        <v>36</v>
      </c>
      <c r="C29" s="8">
        <f t="shared" si="2"/>
        <v>1038.777778</v>
      </c>
      <c r="D29" s="9">
        <f>IFERROR(VLOOKUP(B29, 'Duke 1'!A$3:$B$85,2, 0), 0)</f>
        <v>0</v>
      </c>
      <c r="E29" s="9">
        <f>IFERROR(VLOOKUP(B29, 'Duke 2'!A$3:$B$522,2, 0), 0)</f>
        <v>1500</v>
      </c>
      <c r="F29" s="10">
        <f>IFERROR(VLOOKUP(B29, 'Duke 3'!A$3:$B1000,2, 0), 0)</f>
        <v>888.8888889</v>
      </c>
      <c r="G29" s="10">
        <f>IFERROR(VLOOKUP(B29, 'Duke 4'!A$3:$B1000,2, 0), 0)</f>
        <v>960</v>
      </c>
      <c r="H29" s="10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</row>
    <row r="30">
      <c r="A30" s="1">
        <f t="shared" si="1"/>
        <v>29</v>
      </c>
      <c r="B30" s="7" t="s">
        <v>37</v>
      </c>
      <c r="C30" s="8">
        <f t="shared" si="2"/>
        <v>1038.777778</v>
      </c>
      <c r="D30" s="9">
        <f>IFERROR(VLOOKUP(B30, 'Duke 1'!A$3:$B$85,2, 0), 0)</f>
        <v>631.5789474</v>
      </c>
      <c r="E30" s="9">
        <f>IFERROR(VLOOKUP(B30, 'Duke 2'!A$3:$B$522,2, 0), 0)</f>
        <v>1500</v>
      </c>
      <c r="F30" s="10">
        <f>IFERROR(VLOOKUP(B30, 'Duke 3'!A$3:$B1000,2, 0), 0)</f>
        <v>888.8888889</v>
      </c>
      <c r="G30" s="10">
        <f>IFERROR(VLOOKUP(B30, 'Duke 4'!A$3:$B1000,2, 0), 0)</f>
        <v>960</v>
      </c>
      <c r="H30" s="10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</row>
    <row r="31">
      <c r="A31" s="1">
        <f t="shared" si="1"/>
        <v>30</v>
      </c>
      <c r="B31" s="7" t="s">
        <v>38</v>
      </c>
      <c r="C31" s="8">
        <f t="shared" si="2"/>
        <v>1038.777778</v>
      </c>
      <c r="D31" s="9">
        <f>IFERROR(VLOOKUP(B31, 'Duke 1'!A$3:$B$85,2, 0), 0)</f>
        <v>631.5789474</v>
      </c>
      <c r="E31" s="9">
        <f>IFERROR(VLOOKUP(B31, 'Duke 2'!A$3:$B$522,2, 0), 0)</f>
        <v>1500</v>
      </c>
      <c r="F31" s="10">
        <f>IFERROR(VLOOKUP(B31, 'Duke 3'!A$3:$B1000,2, 0), 0)</f>
        <v>888.8888889</v>
      </c>
      <c r="G31" s="10">
        <f>IFERROR(VLOOKUP(B31, 'Duke 4'!A$3:$B1000,2, 0), 0)</f>
        <v>960</v>
      </c>
      <c r="H31" s="10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</row>
    <row r="32">
      <c r="A32" s="1">
        <f t="shared" si="1"/>
        <v>31</v>
      </c>
      <c r="B32" s="7" t="s">
        <v>39</v>
      </c>
      <c r="C32" s="8">
        <f t="shared" si="2"/>
        <v>987.3157895</v>
      </c>
      <c r="D32" s="9">
        <f>IFERROR(VLOOKUP(B32, 'Duke 1'!A$3:$B$85,2, 0), 0)</f>
        <v>631.5789474</v>
      </c>
      <c r="E32" s="9">
        <f>IFERROR(VLOOKUP(B32, 'Duke 2'!A$3:$B$522,2, 0), 0)</f>
        <v>1500</v>
      </c>
      <c r="F32" s="10">
        <f>IFERROR(VLOOKUP(B32, 'Duke 3'!A$3:$B1000,2, 0), 0)</f>
        <v>0</v>
      </c>
      <c r="G32" s="10">
        <f>IFERROR(VLOOKUP(B32, 'Duke 4'!A$3:$B1000,2, 0), 0)</f>
        <v>960</v>
      </c>
      <c r="H32" s="10">
        <f>IFERROR(VLOOKUP(B32, Proof!A$2:$B1000,2, 0), 0)</f>
        <v>0</v>
      </c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</row>
    <row r="33">
      <c r="A33" s="1">
        <f t="shared" si="1"/>
        <v>32</v>
      </c>
      <c r="B33" s="7" t="s">
        <v>40</v>
      </c>
      <c r="C33" s="8">
        <f t="shared" si="2"/>
        <v>987.3157895</v>
      </c>
      <c r="D33" s="9">
        <f>IFERROR(VLOOKUP(B33, 'Duke 1'!A$3:$B$85,2, 0), 0)</f>
        <v>631.5789474</v>
      </c>
      <c r="E33" s="9">
        <f>IFERROR(VLOOKUP(B33, 'Duke 2'!A$3:$B$522,2, 0), 0)</f>
        <v>1500</v>
      </c>
      <c r="F33" s="10">
        <f>IFERROR(VLOOKUP(B33, 'Duke 3'!A$3:$B1000,2, 0), 0)</f>
        <v>0</v>
      </c>
      <c r="G33" s="10">
        <f>IFERROR(VLOOKUP(B33, 'Duke 4'!A$3:$B1000,2, 0), 0)</f>
        <v>960</v>
      </c>
      <c r="H33" s="10">
        <f>IFERROR(VLOOKUP(B33, Proof!A$2:$B1000,2, 0), 0)</f>
        <v>0</v>
      </c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</row>
    <row r="34">
      <c r="A34" s="1">
        <f t="shared" si="1"/>
        <v>33</v>
      </c>
      <c r="B34" s="7" t="s">
        <v>41</v>
      </c>
      <c r="C34" s="8">
        <f t="shared" si="2"/>
        <v>962.4269006</v>
      </c>
      <c r="D34" s="9">
        <f>IFERROR(VLOOKUP(B34, 'Duke 1'!A$3:$B$85,2, 0), 0)</f>
        <v>631.5789474</v>
      </c>
      <c r="E34" s="9">
        <f>IFERROR(VLOOKUP(B34, 'Duke 2'!A$3:$B$522,2, 0), 0)</f>
        <v>1500</v>
      </c>
      <c r="F34" s="10">
        <f>IFERROR(VLOOKUP(B34, 'Duke 3'!A$3:$B1000,2, 0), 0)</f>
        <v>888.8888889</v>
      </c>
      <c r="G34" s="10">
        <f>IFERROR(VLOOKUP(B34, 'Duke 4'!A$3:$B1000,2, 0), 0)</f>
        <v>0</v>
      </c>
      <c r="H34" s="10">
        <f>IFERROR(VLOOKUP(B34, Proof!A$2:$B1000,2, 0), 0)</f>
        <v>145.4545455</v>
      </c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</row>
    <row r="35">
      <c r="A35" s="1">
        <f t="shared" si="1"/>
        <v>34</v>
      </c>
      <c r="B35" s="7" t="s">
        <v>42</v>
      </c>
      <c r="C35" s="8">
        <f t="shared" si="2"/>
        <v>861</v>
      </c>
      <c r="D35" s="9">
        <f>IFERROR(VLOOKUP(B35, 'Duke 1'!A$3:$B$85,2, 0), 0)</f>
        <v>0</v>
      </c>
      <c r="E35" s="9">
        <f>IFERROR(VLOOKUP(B35, 'Duke 2'!A$3:$B$522,2, 0), 0)</f>
        <v>1500</v>
      </c>
      <c r="F35" s="10">
        <f>IFERROR(VLOOKUP(B35, 'Duke 3'!A$3:$B1000,2, 0), 0)</f>
        <v>0</v>
      </c>
      <c r="G35" s="10">
        <f>IFERROR(VLOOKUP(B35, 'Duke 4'!A$3:$B1000,2, 0), 0)</f>
        <v>960</v>
      </c>
      <c r="H35" s="10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</row>
    <row r="36">
      <c r="A36" s="1">
        <f t="shared" si="1"/>
        <v>35</v>
      </c>
      <c r="B36" s="7" t="s">
        <v>43</v>
      </c>
      <c r="C36" s="8">
        <f t="shared" si="2"/>
        <v>861</v>
      </c>
      <c r="D36" s="9">
        <f>IFERROR(VLOOKUP(B36, 'Duke 1'!A$3:$B$85,2, 0), 0)</f>
        <v>0</v>
      </c>
      <c r="E36" s="9">
        <f>IFERROR(VLOOKUP(B36, 'Duke 2'!A$3:$B$522,2, 0), 0)</f>
        <v>1500</v>
      </c>
      <c r="F36" s="10">
        <f>IFERROR(VLOOKUP(B36, 'Duke 3'!A$3:$B1000,2, 0), 0)</f>
        <v>0</v>
      </c>
      <c r="G36" s="10">
        <f>IFERROR(VLOOKUP(B36, 'Duke 4'!A$3:$B1000,2, 0), 0)</f>
        <v>960</v>
      </c>
      <c r="H36" s="10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</row>
    <row r="37">
      <c r="A37" s="1">
        <f t="shared" si="1"/>
        <v>36</v>
      </c>
      <c r="B37" s="7" t="s">
        <v>44</v>
      </c>
      <c r="C37" s="8">
        <f t="shared" si="2"/>
        <v>861</v>
      </c>
      <c r="D37" s="9">
        <f>IFERROR(VLOOKUP(B37, 'Duke 1'!A$3:$B$85,2, 0), 0)</f>
        <v>0</v>
      </c>
      <c r="E37" s="9">
        <f>IFERROR(VLOOKUP(B37, 'Duke 2'!A$3:$B$522,2, 0), 0)</f>
        <v>1500</v>
      </c>
      <c r="F37" s="10">
        <f>IFERROR(VLOOKUP(B37, 'Duke 3'!A$3:$B1000,2, 0), 0)</f>
        <v>0</v>
      </c>
      <c r="G37" s="10">
        <f>IFERROR(VLOOKUP(B37, 'Duke 4'!A$3:$B1000,2, 0), 0)</f>
        <v>960</v>
      </c>
      <c r="H37" s="10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</row>
    <row r="38">
      <c r="A38" s="1">
        <f t="shared" si="1"/>
        <v>37</v>
      </c>
      <c r="B38" s="7" t="s">
        <v>45</v>
      </c>
      <c r="C38" s="8">
        <f t="shared" si="2"/>
        <v>861</v>
      </c>
      <c r="D38" s="9">
        <f>IFERROR(VLOOKUP(B38, 'Duke 1'!A$3:$B$85,2, 0), 0)</f>
        <v>0</v>
      </c>
      <c r="E38" s="9">
        <f>IFERROR(VLOOKUP(B38, 'Duke 2'!A$3:$B$522,2, 0), 0)</f>
        <v>1500</v>
      </c>
      <c r="F38" s="10">
        <f>IFERROR(VLOOKUP(B38, 'Duke 3'!A$3:$B1000,2, 0), 0)</f>
        <v>0</v>
      </c>
      <c r="G38" s="10">
        <f>IFERROR(VLOOKUP(B38, 'Duke 4'!A$3:$B1000,2, 0), 0)</f>
        <v>960</v>
      </c>
      <c r="H38" s="10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</row>
    <row r="39">
      <c r="A39" s="1">
        <f t="shared" si="1"/>
        <v>38</v>
      </c>
      <c r="B39" s="7" t="s">
        <v>46</v>
      </c>
      <c r="C39" s="8">
        <f t="shared" si="2"/>
        <v>861</v>
      </c>
      <c r="D39" s="9">
        <f>IFERROR(VLOOKUP(B39, 'Duke 1'!A$3:$B$85,2, 0), 0)</f>
        <v>0</v>
      </c>
      <c r="E39" s="9">
        <f>IFERROR(VLOOKUP(B39, 'Duke 2'!A$3:$B$522,2, 0), 0)</f>
        <v>1500</v>
      </c>
      <c r="F39" s="10">
        <f>IFERROR(VLOOKUP(B39, 'Duke 3'!A$3:$B1000,2, 0), 0)</f>
        <v>0</v>
      </c>
      <c r="G39" s="10">
        <f>IFERROR(VLOOKUP(B39, 'Duke 4'!A$3:$B1000,2, 0), 0)</f>
        <v>960</v>
      </c>
      <c r="H39" s="10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>
      <c r="A40" s="1">
        <f t="shared" si="1"/>
        <v>39</v>
      </c>
      <c r="B40" s="14" t="s">
        <v>47</v>
      </c>
      <c r="C40" s="8">
        <f t="shared" si="2"/>
        <v>861</v>
      </c>
      <c r="D40" s="9">
        <f>IFERROR(VLOOKUP(B40, 'Duke 1'!A$3:$B$85,2, 0), 0)</f>
        <v>0</v>
      </c>
      <c r="E40" s="9">
        <f>IFERROR(VLOOKUP(B40, 'Duke 2'!A$3:$B$522,2, 0), 0)</f>
        <v>1500</v>
      </c>
      <c r="F40" s="10">
        <f>IFERROR(VLOOKUP(B40, 'Duke 3'!A$3:$B1000,2, 0), 0)</f>
        <v>0</v>
      </c>
      <c r="G40" s="10">
        <f>IFERROR(VLOOKUP(B40, 'Duke 4'!A$3:$B1000,2, 0), 0)</f>
        <v>960</v>
      </c>
      <c r="H40" s="15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</row>
    <row r="41">
      <c r="A41" s="1">
        <f t="shared" si="1"/>
        <v>40</v>
      </c>
      <c r="B41" s="7" t="s">
        <v>48</v>
      </c>
      <c r="C41" s="8">
        <f t="shared" si="2"/>
        <v>861</v>
      </c>
      <c r="D41" s="9">
        <f>IFERROR(VLOOKUP(B41, 'Duke 1'!A$3:$B$85,2, 0), 0)</f>
        <v>0</v>
      </c>
      <c r="E41" s="9">
        <f>IFERROR(VLOOKUP(B41, 'Duke 2'!A$3:$B$522,2, 0), 0)</f>
        <v>1500</v>
      </c>
      <c r="F41" s="10">
        <f>IFERROR(VLOOKUP(B41, 'Duke 3'!A$3:$B1000,2, 0), 0)</f>
        <v>0</v>
      </c>
      <c r="G41" s="10">
        <f>IFERROR(VLOOKUP(B41, 'Duke 4'!A$3:$B1000,2, 0), 0)</f>
        <v>960</v>
      </c>
      <c r="H41" s="10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</row>
    <row r="42">
      <c r="A42" s="1">
        <f t="shared" si="1"/>
        <v>41</v>
      </c>
      <c r="B42" s="7" t="s">
        <v>49</v>
      </c>
      <c r="C42" s="8">
        <f t="shared" si="2"/>
        <v>861</v>
      </c>
      <c r="D42" s="9">
        <f>IFERROR(VLOOKUP(B42, 'Duke 1'!A$3:$B$85,2, 0), 0)</f>
        <v>0</v>
      </c>
      <c r="E42" s="9">
        <f>IFERROR(VLOOKUP(B42, 'Duke 2'!A$3:$B$522,2, 0), 0)</f>
        <v>1500</v>
      </c>
      <c r="F42" s="10">
        <f>IFERROR(VLOOKUP(B42, 'Duke 3'!A$3:$B1000,2, 0), 0)</f>
        <v>0</v>
      </c>
      <c r="G42" s="10">
        <f>IFERROR(VLOOKUP(B42, 'Duke 4'!A$3:$B1000,2, 0), 0)</f>
        <v>960</v>
      </c>
      <c r="H42" s="10">
        <f>IFERROR(VLOOKUP(B42, Proof!A$2:$B1000,2, 0), 0)</f>
        <v>145.4545455</v>
      </c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</row>
    <row r="43">
      <c r="A43" s="1">
        <f t="shared" si="1"/>
        <v>42</v>
      </c>
      <c r="B43" s="7" t="s">
        <v>50</v>
      </c>
      <c r="C43" s="8">
        <f t="shared" si="2"/>
        <v>836.1111111</v>
      </c>
      <c r="D43" s="9">
        <f>IFERROR(VLOOKUP(B43, 'Duke 1'!A$3:$B$85,2, 0), 0)</f>
        <v>0</v>
      </c>
      <c r="E43" s="9">
        <f>IFERROR(VLOOKUP(B43, 'Duke 2'!A$3:$B$522,2, 0), 0)</f>
        <v>1500</v>
      </c>
      <c r="F43" s="10">
        <f>IFERROR(VLOOKUP(B43, 'Duke 3'!A$3:$B1000,2, 0), 0)</f>
        <v>888.8888889</v>
      </c>
      <c r="G43" s="10">
        <f>IFERROR(VLOOKUP(B43, 'Duke 4'!A$3:$B1000,2, 0), 0)</f>
        <v>0</v>
      </c>
      <c r="H43" s="10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</row>
    <row r="44">
      <c r="A44" s="1">
        <f t="shared" si="1"/>
        <v>43</v>
      </c>
      <c r="B44" s="7" t="s">
        <v>51</v>
      </c>
      <c r="C44" s="8">
        <f t="shared" si="2"/>
        <v>836.1111111</v>
      </c>
      <c r="D44" s="9">
        <f>IFERROR(VLOOKUP(B44, 'Duke 1'!A$3:$B$85,2, 0), 0)</f>
        <v>0</v>
      </c>
      <c r="E44" s="9">
        <f>IFERROR(VLOOKUP(B44, 'Duke 2'!A$3:$B$522,2, 0), 0)</f>
        <v>1500</v>
      </c>
      <c r="F44" s="10">
        <f>IFERROR(VLOOKUP(B44, 'Duke 3'!A$3:$B1000,2, 0), 0)</f>
        <v>888.8888889</v>
      </c>
      <c r="G44" s="10">
        <f>IFERROR(VLOOKUP(B44, 'Duke 4'!A$3:$B1000,2, 0), 0)</f>
        <v>0</v>
      </c>
      <c r="H44" s="10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</row>
    <row r="45">
      <c r="A45" s="1">
        <f t="shared" si="1"/>
        <v>44</v>
      </c>
      <c r="B45" s="7" t="s">
        <v>52</v>
      </c>
      <c r="C45" s="8">
        <f t="shared" si="2"/>
        <v>836.1111111</v>
      </c>
      <c r="D45" s="9">
        <f>IFERROR(VLOOKUP(B45, 'Duke 1'!A$3:$B$85,2, 0), 0)</f>
        <v>0</v>
      </c>
      <c r="E45" s="9">
        <f>IFERROR(VLOOKUP(B45, 'Duke 2'!A$3:$B$522,2, 0), 0)</f>
        <v>1500</v>
      </c>
      <c r="F45" s="10">
        <f>IFERROR(VLOOKUP(B45, 'Duke 3'!A$3:$B1000,2, 0), 0)</f>
        <v>888.8888889</v>
      </c>
      <c r="G45" s="10">
        <f>IFERROR(VLOOKUP(B45, 'Duke 4'!A$3:$B1000,2, 0), 0)</f>
        <v>0</v>
      </c>
      <c r="H45" s="10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</row>
    <row r="46">
      <c r="A46" s="1">
        <f t="shared" si="1"/>
        <v>45</v>
      </c>
      <c r="B46" s="7" t="s">
        <v>53</v>
      </c>
      <c r="C46" s="8">
        <f t="shared" si="2"/>
        <v>836.1111111</v>
      </c>
      <c r="D46" s="9">
        <f>IFERROR(VLOOKUP(B46, 'Duke 1'!A$3:$B$85,2, 0), 0)</f>
        <v>0</v>
      </c>
      <c r="E46" s="9">
        <f>IFERROR(VLOOKUP(B46, 'Duke 2'!A$3:$B$522,2, 0), 0)</f>
        <v>1500</v>
      </c>
      <c r="F46" s="10">
        <f>IFERROR(VLOOKUP(B46, 'Duke 3'!A$3:$B1000,2, 0), 0)</f>
        <v>888.8888889</v>
      </c>
      <c r="G46" s="10">
        <f>IFERROR(VLOOKUP(B46, 'Duke 4'!A$3:$B1000,2, 0), 0)</f>
        <v>0</v>
      </c>
      <c r="H46" s="10">
        <f>IFERROR(VLOOKUP(B46, Proof!A$2:$B1000,2, 0), 0)</f>
        <v>145.4545455</v>
      </c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</row>
    <row r="47">
      <c r="A47" s="1">
        <f t="shared" si="1"/>
        <v>46</v>
      </c>
      <c r="B47" s="7" t="s">
        <v>54</v>
      </c>
      <c r="C47" s="8">
        <f t="shared" si="2"/>
        <v>836.1111111</v>
      </c>
      <c r="D47" s="9">
        <f>IFERROR(VLOOKUP(B47, 'Duke 1'!A$3:$B$85,2, 0), 0)</f>
        <v>0</v>
      </c>
      <c r="E47" s="9">
        <f>IFERROR(VLOOKUP(B47, 'Duke 2'!A$3:$B$522,2, 0), 0)</f>
        <v>1500</v>
      </c>
      <c r="F47" s="10">
        <f>IFERROR(VLOOKUP(B47, 'Duke 3'!A$3:$B1000,2, 0), 0)</f>
        <v>888.8888889</v>
      </c>
      <c r="G47" s="10">
        <f>IFERROR(VLOOKUP(B47, 'Duke 4'!A$3:$B1000,2, 0), 0)</f>
        <v>0</v>
      </c>
      <c r="H47" s="10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</row>
    <row r="48">
      <c r="A48" s="1">
        <f t="shared" si="1"/>
        <v>47</v>
      </c>
      <c r="B48" s="7" t="s">
        <v>55</v>
      </c>
      <c r="C48" s="8">
        <f t="shared" si="2"/>
        <v>773.4269006</v>
      </c>
      <c r="D48" s="9">
        <f>IFERROR(VLOOKUP(B48, 'Duke 1'!A$3:$B$85,2, 0), 0)</f>
        <v>631.5789474</v>
      </c>
      <c r="E48" s="9">
        <f>IFERROR(VLOOKUP(B48, 'Duke 2'!A$3:$B$522,2, 0), 0)</f>
        <v>0</v>
      </c>
      <c r="F48" s="10">
        <f>IFERROR(VLOOKUP(B48, 'Duke 3'!A$3:$B1000,2, 0), 0)</f>
        <v>888.8888889</v>
      </c>
      <c r="G48" s="10">
        <f>IFERROR(VLOOKUP(B48, 'Duke 4'!A$3:$B1000,2, 0), 0)</f>
        <v>960</v>
      </c>
      <c r="H48" s="10">
        <f>IFERROR(VLOOKUP(B48, Proof!A$2:$B1000,2, 0), 0)</f>
        <v>145.4545455</v>
      </c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</row>
    <row r="49">
      <c r="A49" s="1">
        <f t="shared" si="1"/>
        <v>48</v>
      </c>
      <c r="B49" s="7" t="s">
        <v>56</v>
      </c>
      <c r="C49" s="8">
        <f t="shared" si="2"/>
        <v>746.0526316</v>
      </c>
      <c r="D49" s="9">
        <f>IFERROR(VLOOKUP(B49, 'Duke 1'!A$3:$B$85,2, 0), 0)</f>
        <v>631.5789474</v>
      </c>
      <c r="E49" s="9">
        <f>IFERROR(VLOOKUP(B49, 'Duke 2'!A$3:$B$522,2, 0), 0)</f>
        <v>1500</v>
      </c>
      <c r="F49" s="10">
        <f>IFERROR(VLOOKUP(B49, 'Duke 3'!A$3:$B1000,2, 0), 0)</f>
        <v>0</v>
      </c>
      <c r="G49" s="10">
        <f>IFERROR(VLOOKUP(B49, 'Duke 4'!A$3:$B1000,2, 0), 0)</f>
        <v>0</v>
      </c>
      <c r="H49" s="10">
        <f>IFERROR(VLOOKUP(B49, Proof!A$2:$B1000,2, 0), 0)</f>
        <v>0</v>
      </c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</row>
    <row r="50">
      <c r="A50" s="1">
        <f t="shared" si="1"/>
        <v>49</v>
      </c>
      <c r="B50" s="7" t="s">
        <v>57</v>
      </c>
      <c r="C50" s="8">
        <f t="shared" si="2"/>
        <v>746.0526316</v>
      </c>
      <c r="D50" s="9">
        <f>IFERROR(VLOOKUP(B50, 'Duke 1'!A$3:$B$85,2, 0), 0)</f>
        <v>631.5789474</v>
      </c>
      <c r="E50" s="9">
        <f>IFERROR(VLOOKUP(B50, 'Duke 2'!A$3:$B$522,2, 0), 0)</f>
        <v>1500</v>
      </c>
      <c r="F50" s="10">
        <f>IFERROR(VLOOKUP(B50, 'Duke 3'!A$3:$B1000,2, 0), 0)</f>
        <v>0</v>
      </c>
      <c r="G50" s="10">
        <f>IFERROR(VLOOKUP(B50, 'Duke 4'!A$3:$B1000,2, 0), 0)</f>
        <v>0</v>
      </c>
      <c r="H50" s="10">
        <f>IFERROR(VLOOKUP(B50, Proof!A$2:$B1000,2, 0), 0)</f>
        <v>0</v>
      </c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</row>
    <row r="51">
      <c r="A51" s="1">
        <f t="shared" si="1"/>
        <v>50</v>
      </c>
      <c r="B51" s="7" t="s">
        <v>58</v>
      </c>
      <c r="C51" s="8">
        <f t="shared" si="2"/>
        <v>746.0526316</v>
      </c>
      <c r="D51" s="9">
        <f>IFERROR(VLOOKUP(B51, 'Duke 1'!A$3:$B$85,2, 0), 0)</f>
        <v>631.5789474</v>
      </c>
      <c r="E51" s="9">
        <f>IFERROR(VLOOKUP(B51, 'Duke 2'!A$3:$B$522,2, 0), 0)</f>
        <v>1500</v>
      </c>
      <c r="F51" s="10">
        <f>IFERROR(VLOOKUP(B51, 'Duke 3'!A$3:$B1000,2, 0), 0)</f>
        <v>0</v>
      </c>
      <c r="G51" s="10">
        <f>IFERROR(VLOOKUP(B51, 'Duke 4'!A$3:$B1000,2, 0), 0)</f>
        <v>0</v>
      </c>
      <c r="H51" s="10">
        <f>IFERROR(VLOOKUP(B51, Proof!A$2:$B1000,2, 0), 0)</f>
        <v>0</v>
      </c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</row>
    <row r="52">
      <c r="A52" s="1">
        <f t="shared" si="1"/>
        <v>51</v>
      </c>
      <c r="B52" s="7" t="s">
        <v>59</v>
      </c>
      <c r="C52" s="8">
        <f t="shared" si="2"/>
        <v>746.0526316</v>
      </c>
      <c r="D52" s="9">
        <f>IFERROR(VLOOKUP(B52, 'Duke 1'!A$3:$B$85,2, 0), 0)</f>
        <v>631.5789474</v>
      </c>
      <c r="E52" s="9">
        <f>IFERROR(VLOOKUP(B52, 'Duke 2'!A$3:$B$522,2, 0), 0)</f>
        <v>1500</v>
      </c>
      <c r="F52" s="10">
        <f>IFERROR(VLOOKUP(B52, 'Duke 3'!A$3:$B1000,2, 0), 0)</f>
        <v>0</v>
      </c>
      <c r="G52" s="10">
        <f>IFERROR(VLOOKUP(B52, 'Duke 4'!A$3:$B1000,2, 0), 0)</f>
        <v>0</v>
      </c>
      <c r="H52" s="10">
        <f>IFERROR(VLOOKUP(B52, Proof!A$2:$B1000,2, 0), 0)</f>
        <v>0</v>
      </c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</row>
    <row r="53">
      <c r="A53" s="1">
        <f t="shared" si="1"/>
        <v>52</v>
      </c>
      <c r="B53" s="7" t="s">
        <v>60</v>
      </c>
      <c r="C53" s="8">
        <f t="shared" si="2"/>
        <v>647.1111111</v>
      </c>
      <c r="D53" s="9">
        <f>IFERROR(VLOOKUP(B53, 'Duke 1'!A$3:$B$85,2, 0), 0)</f>
        <v>0</v>
      </c>
      <c r="E53" s="9">
        <f>IFERROR(VLOOKUP(B53, 'Duke 2'!A$3:$B$522,2, 0), 0)</f>
        <v>0</v>
      </c>
      <c r="F53" s="10">
        <f>IFERROR(VLOOKUP(B53, 'Duke 3'!A$3:$B1000,2, 0), 0)</f>
        <v>888.8888889</v>
      </c>
      <c r="G53" s="10">
        <f>IFERROR(VLOOKUP(B53, 'Duke 4'!A$3:$B1000,2, 0), 0)</f>
        <v>960</v>
      </c>
      <c r="H53" s="10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</row>
    <row r="54">
      <c r="A54" s="1">
        <f t="shared" si="1"/>
        <v>53</v>
      </c>
      <c r="B54" s="7" t="s">
        <v>60</v>
      </c>
      <c r="C54" s="8">
        <f t="shared" si="2"/>
        <v>647.1111111</v>
      </c>
      <c r="D54" s="9">
        <f>IFERROR(VLOOKUP(B54, 'Duke 1'!A$3:$B$85,2, 0), 0)</f>
        <v>0</v>
      </c>
      <c r="E54" s="9">
        <f>IFERROR(VLOOKUP(B54, 'Duke 2'!A$3:$B$522,2, 0), 0)</f>
        <v>0</v>
      </c>
      <c r="F54" s="10">
        <f>IFERROR(VLOOKUP(B54, 'Duke 3'!A$3:$B1000,2, 0), 0)</f>
        <v>888.8888889</v>
      </c>
      <c r="G54" s="10">
        <f>IFERROR(VLOOKUP(B54, 'Duke 4'!A$3:$B1000,2, 0), 0)</f>
        <v>960</v>
      </c>
      <c r="H54" s="10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</row>
    <row r="55">
      <c r="A55" s="1">
        <f t="shared" si="1"/>
        <v>54</v>
      </c>
      <c r="B55" s="7" t="s">
        <v>61</v>
      </c>
      <c r="C55" s="8">
        <f t="shared" si="2"/>
        <v>557.0526316</v>
      </c>
      <c r="D55" s="9">
        <f>IFERROR(VLOOKUP(B55, 'Duke 1'!A$3:$B$85,2, 0), 0)</f>
        <v>631.5789474</v>
      </c>
      <c r="E55" s="9">
        <f>IFERROR(VLOOKUP(B55, 'Duke 2'!A$3:$B$522,2, 0), 0)</f>
        <v>0</v>
      </c>
      <c r="F55" s="10">
        <f>IFERROR(VLOOKUP(B55, 'Duke 3'!A$3:$B1000,2, 0), 0)</f>
        <v>0</v>
      </c>
      <c r="G55" s="10">
        <f>IFERROR(VLOOKUP(B55, 'Duke 4'!A$3:$B1000,2, 0), 0)</f>
        <v>960</v>
      </c>
      <c r="H55" s="10">
        <f>IFERROR(VLOOKUP(B55, Proof!A$2:$B1000,2, 0), 0)</f>
        <v>0</v>
      </c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</row>
    <row r="56">
      <c r="A56" s="1">
        <f t="shared" si="1"/>
        <v>55</v>
      </c>
      <c r="B56" s="7" t="s">
        <v>62</v>
      </c>
      <c r="C56" s="8">
        <f t="shared" si="2"/>
        <v>525</v>
      </c>
      <c r="D56" s="9">
        <f>IFERROR(VLOOKUP(B56, 'Duke 1'!A$3:$B$85,2, 0), 0)</f>
        <v>0</v>
      </c>
      <c r="E56" s="9">
        <f>IFERROR(VLOOKUP(B56, 'Duke 2'!A$3:$B$522,2, 0), 0)</f>
        <v>1500</v>
      </c>
      <c r="F56" s="10">
        <f>IFERROR(VLOOKUP(B56, 'Duke 3'!A$3:$B1000,2, 0), 0)</f>
        <v>0</v>
      </c>
      <c r="G56" s="10">
        <f>IFERROR(VLOOKUP(B56, 'Duke 4'!A$3:$B1000,2, 0), 0)</f>
        <v>0</v>
      </c>
      <c r="H56" s="10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</row>
    <row r="57">
      <c r="A57" s="1">
        <f t="shared" si="1"/>
        <v>56</v>
      </c>
      <c r="B57" s="7" t="s">
        <v>63</v>
      </c>
      <c r="C57" s="8">
        <f t="shared" si="2"/>
        <v>525</v>
      </c>
      <c r="D57" s="9">
        <f>IFERROR(VLOOKUP(B57, 'Duke 1'!A$3:$B$85,2, 0), 0)</f>
        <v>0</v>
      </c>
      <c r="E57" s="9">
        <f>IFERROR(VLOOKUP(B57, 'Duke 2'!A$3:$B$522,2, 0), 0)</f>
        <v>1500</v>
      </c>
      <c r="F57" s="10">
        <f>IFERROR(VLOOKUP(B57, 'Duke 3'!A$3:$B1000,2, 0), 0)</f>
        <v>0</v>
      </c>
      <c r="G57" s="10">
        <f>IFERROR(VLOOKUP(B57, 'Duke 4'!A$3:$B1000,2, 0), 0)</f>
        <v>0</v>
      </c>
      <c r="H57" s="10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</row>
    <row r="58">
      <c r="A58" s="1">
        <f t="shared" si="1"/>
        <v>57</v>
      </c>
      <c r="B58" s="7" t="s">
        <v>64</v>
      </c>
      <c r="C58" s="8">
        <f t="shared" si="2"/>
        <v>525</v>
      </c>
      <c r="D58" s="9">
        <f>IFERROR(VLOOKUP(B58, 'Duke 1'!A$3:$B$85,2, 0), 0)</f>
        <v>0</v>
      </c>
      <c r="E58" s="9">
        <f>IFERROR(VLOOKUP(B58, 'Duke 2'!A$3:$B$522,2, 0), 0)</f>
        <v>1500</v>
      </c>
      <c r="F58" s="10">
        <f>IFERROR(VLOOKUP(B58, 'Duke 3'!A$3:$B1000,2, 0), 0)</f>
        <v>0</v>
      </c>
      <c r="G58" s="10">
        <f>IFERROR(VLOOKUP(B58, 'Duke 4'!A$3:$B1000,2, 0), 0)</f>
        <v>0</v>
      </c>
      <c r="H58" s="10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</row>
    <row r="59">
      <c r="A59" s="1">
        <f t="shared" si="1"/>
        <v>58</v>
      </c>
      <c r="B59" s="7" t="s">
        <v>65</v>
      </c>
      <c r="C59" s="8">
        <f t="shared" si="2"/>
        <v>525</v>
      </c>
      <c r="D59" s="9">
        <f>IFERROR(VLOOKUP(B59, 'Duke 1'!A$3:$B$85,2, 0), 0)</f>
        <v>0</v>
      </c>
      <c r="E59" s="9">
        <f>IFERROR(VLOOKUP(B59, 'Duke 2'!A$3:$B$522,2, 0), 0)</f>
        <v>1500</v>
      </c>
      <c r="F59" s="10">
        <f>IFERROR(VLOOKUP(B59, 'Duke 3'!A$3:$B1000,2, 0), 0)</f>
        <v>0</v>
      </c>
      <c r="G59" s="10">
        <f>IFERROR(VLOOKUP(B59, 'Duke 4'!A$3:$B1000,2, 0), 0)</f>
        <v>0</v>
      </c>
      <c r="H59" s="10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</row>
    <row r="60">
      <c r="A60" s="1">
        <f t="shared" si="1"/>
        <v>59</v>
      </c>
      <c r="B60" s="7" t="s">
        <v>66</v>
      </c>
      <c r="C60" s="8">
        <f t="shared" si="2"/>
        <v>525</v>
      </c>
      <c r="D60" s="9">
        <f>IFERROR(VLOOKUP(B60, 'Duke 1'!A$3:$B$85,2, 0), 0)</f>
        <v>0</v>
      </c>
      <c r="E60" s="9">
        <f>IFERROR(VLOOKUP(B60, 'Duke 2'!A$3:$B$522,2, 0), 0)</f>
        <v>1500</v>
      </c>
      <c r="F60" s="10">
        <f>IFERROR(VLOOKUP(B60, 'Duke 3'!A$3:$B1000,2, 0), 0)</f>
        <v>0</v>
      </c>
      <c r="G60" s="10">
        <f>IFERROR(VLOOKUP(B60, 'Duke 4'!A$3:$B1000,2, 0), 0)</f>
        <v>0</v>
      </c>
      <c r="H60" s="10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</row>
    <row r="61">
      <c r="A61" s="1">
        <f t="shared" si="1"/>
        <v>60</v>
      </c>
      <c r="B61" s="7" t="s">
        <v>67</v>
      </c>
      <c r="C61" s="8">
        <f t="shared" si="2"/>
        <v>525</v>
      </c>
      <c r="D61" s="9">
        <f>IFERROR(VLOOKUP(B61, 'Duke 1'!A$3:$B$85,2, 0), 0)</f>
        <v>0</v>
      </c>
      <c r="E61" s="9">
        <f>IFERROR(VLOOKUP(B61, 'Duke 2'!A$3:$B$522,2, 0), 0)</f>
        <v>1500</v>
      </c>
      <c r="F61" s="10">
        <f>IFERROR(VLOOKUP(B61, 'Duke 3'!A$3:$B1000,2, 0), 0)</f>
        <v>0</v>
      </c>
      <c r="G61" s="10">
        <f>IFERROR(VLOOKUP(B61, 'Duke 4'!A$3:$B1000,2, 0), 0)</f>
        <v>0</v>
      </c>
      <c r="H61" s="10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</row>
    <row r="62">
      <c r="A62" s="1">
        <f t="shared" si="1"/>
        <v>61</v>
      </c>
      <c r="B62" s="7" t="s">
        <v>68</v>
      </c>
      <c r="C62" s="8">
        <f t="shared" si="2"/>
        <v>525</v>
      </c>
      <c r="D62" s="9">
        <f>IFERROR(VLOOKUP(B62, 'Duke 1'!A$3:$B$85,2, 0), 0)</f>
        <v>0</v>
      </c>
      <c r="E62" s="9">
        <f>IFERROR(VLOOKUP(B62, 'Duke 2'!A$3:$B$522,2, 0), 0)</f>
        <v>1500</v>
      </c>
      <c r="F62" s="10">
        <f>IFERROR(VLOOKUP(B62, 'Duke 3'!A$3:$B1000,2, 0), 0)</f>
        <v>0</v>
      </c>
      <c r="G62" s="10">
        <f>IFERROR(VLOOKUP(B62, 'Duke 4'!A$3:$B1000,2, 0), 0)</f>
        <v>0</v>
      </c>
      <c r="H62" s="10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</row>
    <row r="63">
      <c r="A63" s="1">
        <f t="shared" si="1"/>
        <v>62</v>
      </c>
      <c r="B63" s="7" t="s">
        <v>69</v>
      </c>
      <c r="C63" s="8">
        <f t="shared" si="2"/>
        <v>525</v>
      </c>
      <c r="D63" s="9">
        <f>IFERROR(VLOOKUP(B63, 'Duke 1'!A$3:$B$85,2, 0), 0)</f>
        <v>0</v>
      </c>
      <c r="E63" s="9">
        <f>IFERROR(VLOOKUP(B63, 'Duke 2'!A$3:$B$522,2, 0), 0)</f>
        <v>1500</v>
      </c>
      <c r="F63" s="10">
        <f>IFERROR(VLOOKUP(B63, 'Duke 3'!A$3:$B1000,2, 0), 0)</f>
        <v>0</v>
      </c>
      <c r="G63" s="10">
        <f>IFERROR(VLOOKUP(B63, 'Duke 4'!A$3:$B1000,2, 0), 0)</f>
        <v>0</v>
      </c>
      <c r="H63" s="10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</row>
    <row r="64">
      <c r="A64" s="1">
        <f t="shared" si="1"/>
        <v>63</v>
      </c>
      <c r="B64" s="7" t="s">
        <v>70</v>
      </c>
      <c r="C64" s="8">
        <f t="shared" si="2"/>
        <v>525</v>
      </c>
      <c r="D64" s="9">
        <f>IFERROR(VLOOKUP(B64, 'Duke 1'!A$3:$B$85,2, 0), 0)</f>
        <v>0</v>
      </c>
      <c r="E64" s="9">
        <f>IFERROR(VLOOKUP(B64, 'Duke 2'!A$3:$B$522,2, 0), 0)</f>
        <v>1500</v>
      </c>
      <c r="F64" s="10">
        <f>IFERROR(VLOOKUP(B64, 'Duke 3'!A$3:$B1000,2, 0), 0)</f>
        <v>0</v>
      </c>
      <c r="G64" s="10">
        <f>IFERROR(VLOOKUP(B64, 'Duke 4'!A$3:$B1000,2, 0), 0)</f>
        <v>0</v>
      </c>
      <c r="H64" s="10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</row>
    <row r="65">
      <c r="A65" s="1">
        <f t="shared" si="1"/>
        <v>64</v>
      </c>
      <c r="B65" s="7" t="s">
        <v>71</v>
      </c>
      <c r="C65" s="8">
        <f t="shared" si="2"/>
        <v>525</v>
      </c>
      <c r="D65" s="9">
        <f>IFERROR(VLOOKUP(B65, 'Duke 1'!A$3:$B$85,2, 0), 0)</f>
        <v>0</v>
      </c>
      <c r="E65" s="9">
        <f>IFERROR(VLOOKUP(B65, 'Duke 2'!A$3:$B$522,2, 0), 0)</f>
        <v>1500</v>
      </c>
      <c r="F65" s="10">
        <f>IFERROR(VLOOKUP(B65, 'Duke 3'!A$3:$B1000,2, 0), 0)</f>
        <v>0</v>
      </c>
      <c r="G65" s="10">
        <f>IFERROR(VLOOKUP(B65, 'Duke 4'!A$3:$B1000,2, 0), 0)</f>
        <v>0</v>
      </c>
      <c r="H65" s="10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>
      <c r="A66" s="1">
        <f t="shared" si="1"/>
        <v>65</v>
      </c>
      <c r="B66" s="7" t="s">
        <v>72</v>
      </c>
      <c r="C66" s="8">
        <f t="shared" si="2"/>
        <v>525</v>
      </c>
      <c r="D66" s="9">
        <f>IFERROR(VLOOKUP(B66, 'Duke 1'!A$3:$B$85,2, 0), 0)</f>
        <v>0</v>
      </c>
      <c r="E66" s="9">
        <f>IFERROR(VLOOKUP(B66, 'Duke 2'!A$3:$B$522,2, 0), 0)</f>
        <v>1500</v>
      </c>
      <c r="F66" s="10">
        <f>IFERROR(VLOOKUP(B66, 'Duke 3'!A$3:$B1000,2, 0), 0)</f>
        <v>0</v>
      </c>
      <c r="G66" s="10">
        <f>IFERROR(VLOOKUP(B66, 'Duke 4'!A$3:$B1000,2, 0), 0)</f>
        <v>0</v>
      </c>
      <c r="H66" s="10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</row>
    <row r="67">
      <c r="A67" s="1">
        <f t="shared" si="1"/>
        <v>66</v>
      </c>
      <c r="B67" s="7" t="s">
        <v>73</v>
      </c>
      <c r="C67" s="8">
        <f t="shared" si="2"/>
        <v>525</v>
      </c>
      <c r="D67" s="9">
        <f>IFERROR(VLOOKUP(B67, 'Duke 1'!A$3:$B$85,2, 0), 0)</f>
        <v>0</v>
      </c>
      <c r="E67" s="9">
        <f>IFERROR(VLOOKUP(B67, 'Duke 2'!A$3:$B$522,2, 0), 0)</f>
        <v>1500</v>
      </c>
      <c r="F67" s="10">
        <f>IFERROR(VLOOKUP(B67, 'Duke 3'!A$3:$B1000,2, 0), 0)</f>
        <v>0</v>
      </c>
      <c r="G67" s="10">
        <f>IFERROR(VLOOKUP(B67, 'Duke 4'!A$3:$B1000,2, 0), 0)</f>
        <v>0</v>
      </c>
      <c r="H67" s="10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</row>
    <row r="68">
      <c r="A68" s="1">
        <f t="shared" si="1"/>
        <v>67</v>
      </c>
      <c r="B68" s="7" t="s">
        <v>74</v>
      </c>
      <c r="C68" s="8">
        <f t="shared" si="2"/>
        <v>525</v>
      </c>
      <c r="D68" s="9">
        <f>IFERROR(VLOOKUP(B68, 'Duke 1'!A$3:$B$85,2, 0), 0)</f>
        <v>0</v>
      </c>
      <c r="E68" s="9">
        <f>IFERROR(VLOOKUP(B68, 'Duke 2'!A$3:$B$522,2, 0), 0)</f>
        <v>1500</v>
      </c>
      <c r="F68" s="10">
        <f>IFERROR(VLOOKUP(B68, 'Duke 3'!A$3:$B1000,2, 0), 0)</f>
        <v>0</v>
      </c>
      <c r="G68" s="10">
        <f>IFERROR(VLOOKUP(B68, 'Duke 4'!A$3:$B1000,2, 0), 0)</f>
        <v>0</v>
      </c>
      <c r="H68" s="10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>
      <c r="A69" s="1">
        <f t="shared" si="1"/>
        <v>68</v>
      </c>
      <c r="B69" s="7" t="s">
        <v>75</v>
      </c>
      <c r="C69" s="8">
        <f t="shared" si="2"/>
        <v>525</v>
      </c>
      <c r="D69" s="9">
        <f>IFERROR(VLOOKUP(B69, 'Duke 1'!A$3:$B$85,2, 0), 0)</f>
        <v>0</v>
      </c>
      <c r="E69" s="9">
        <f>IFERROR(VLOOKUP(B69, 'Duke 2'!A$3:$B$522,2, 0), 0)</f>
        <v>1500</v>
      </c>
      <c r="F69" s="10">
        <f>IFERROR(VLOOKUP(B69, 'Duke 3'!A$3:$B1000,2, 0), 0)</f>
        <v>0</v>
      </c>
      <c r="G69" s="10">
        <f>IFERROR(VLOOKUP(B69, 'Duke 4'!A$3:$B1000,2, 0), 0)</f>
        <v>0</v>
      </c>
      <c r="H69" s="10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>
      <c r="A70" s="1">
        <f t="shared" si="1"/>
        <v>69</v>
      </c>
      <c r="B70" s="7" t="s">
        <v>76</v>
      </c>
      <c r="C70" s="8">
        <f t="shared" si="2"/>
        <v>525</v>
      </c>
      <c r="D70" s="9">
        <f>IFERROR(VLOOKUP(B70, 'Duke 1'!A$3:$B$85,2, 0), 0)</f>
        <v>0</v>
      </c>
      <c r="E70" s="9">
        <f>IFERROR(VLOOKUP(B70, 'Duke 2'!A$3:$B$522,2, 0), 0)</f>
        <v>1500</v>
      </c>
      <c r="F70" s="10">
        <f>IFERROR(VLOOKUP(B70, 'Duke 3'!A$3:$B1000,2, 0), 0)</f>
        <v>0</v>
      </c>
      <c r="G70" s="10">
        <f>IFERROR(VLOOKUP(B70, 'Duke 4'!A$3:$B1000,2, 0), 0)</f>
        <v>0</v>
      </c>
      <c r="H70" s="10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>
      <c r="A71" s="1">
        <f t="shared" si="1"/>
        <v>70</v>
      </c>
      <c r="B71" s="7" t="s">
        <v>77</v>
      </c>
      <c r="C71" s="8">
        <f t="shared" si="2"/>
        <v>525</v>
      </c>
      <c r="D71" s="9">
        <f>IFERROR(VLOOKUP(B71, 'Duke 1'!A$3:$B$85,2, 0), 0)</f>
        <v>0</v>
      </c>
      <c r="E71" s="9">
        <f>IFERROR(VLOOKUP(B71, 'Duke 2'!A$3:$B$522,2, 0), 0)</f>
        <v>1500</v>
      </c>
      <c r="F71" s="10">
        <f>IFERROR(VLOOKUP(B71, 'Duke 3'!A$3:$B1000,2, 0), 0)</f>
        <v>0</v>
      </c>
      <c r="G71" s="10">
        <f>IFERROR(VLOOKUP(B71, 'Duke 4'!A$3:$B1000,2, 0), 0)</f>
        <v>0</v>
      </c>
      <c r="H71" s="10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>
      <c r="A72" s="1">
        <f t="shared" si="1"/>
        <v>71</v>
      </c>
      <c r="B72" s="7" t="s">
        <v>78</v>
      </c>
      <c r="C72" s="8">
        <f t="shared" si="2"/>
        <v>525</v>
      </c>
      <c r="D72" s="9">
        <f>IFERROR(VLOOKUP(B72, 'Duke 1'!A$3:$B$85,2, 0), 0)</f>
        <v>0</v>
      </c>
      <c r="E72" s="9">
        <f>IFERROR(VLOOKUP(B72, 'Duke 2'!A$3:$B$522,2, 0), 0)</f>
        <v>1500</v>
      </c>
      <c r="F72" s="10">
        <f>IFERROR(VLOOKUP(B72, 'Duke 3'!A$3:$B1000,2, 0), 0)</f>
        <v>0</v>
      </c>
      <c r="G72" s="10">
        <f>IFERROR(VLOOKUP(B72, 'Duke 4'!A$3:$B1000,2, 0), 0)</f>
        <v>0</v>
      </c>
      <c r="H72" s="15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>
      <c r="A73" s="1">
        <f t="shared" si="1"/>
        <v>72</v>
      </c>
      <c r="B73" s="7" t="s">
        <v>79</v>
      </c>
      <c r="C73" s="8">
        <f t="shared" si="2"/>
        <v>525</v>
      </c>
      <c r="D73" s="9">
        <f>IFERROR(VLOOKUP(B73, 'Duke 1'!A$3:$B$85,2, 0), 0)</f>
        <v>0</v>
      </c>
      <c r="E73" s="9">
        <f>IFERROR(VLOOKUP(B73, 'Duke 2'!A$3:$B$522,2, 0), 0)</f>
        <v>1500</v>
      </c>
      <c r="F73" s="10">
        <f>IFERROR(VLOOKUP(B73, 'Duke 3'!A$3:$B1000,2, 0), 0)</f>
        <v>0</v>
      </c>
      <c r="G73" s="10">
        <f>IFERROR(VLOOKUP(B73, 'Duke 4'!A$3:$B1000,2, 0), 0)</f>
        <v>0</v>
      </c>
      <c r="H73" s="10">
        <f>IFERROR(VLOOKUP(B73, Proof!A$2:$B1000,2, 0), 0)</f>
        <v>0</v>
      </c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>
      <c r="A74" s="1">
        <f t="shared" si="1"/>
        <v>73</v>
      </c>
      <c r="B74" s="7" t="s">
        <v>80</v>
      </c>
      <c r="C74" s="8">
        <f t="shared" si="2"/>
        <v>525</v>
      </c>
      <c r="D74" s="9">
        <f>IFERROR(VLOOKUP(B74, 'Duke 1'!A$3:$B$85,2, 0), 0)</f>
        <v>0</v>
      </c>
      <c r="E74" s="9">
        <f>IFERROR(VLOOKUP(B74, 'Duke 2'!A$3:$B$522,2, 0), 0)</f>
        <v>1500</v>
      </c>
      <c r="F74" s="10">
        <f>IFERROR(VLOOKUP(B74, 'Duke 3'!A$3:$B1000,2, 0), 0)</f>
        <v>0</v>
      </c>
      <c r="G74" s="10">
        <f>IFERROR(VLOOKUP(B74, 'Duke 4'!A$3:$B1000,2, 0), 0)</f>
        <v>0</v>
      </c>
      <c r="H74" s="10">
        <f>IFERROR(VLOOKUP(B74, Proof!A$2:$B1000,2, 0), 0)</f>
        <v>0</v>
      </c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</row>
    <row r="75">
      <c r="A75" s="1">
        <f t="shared" si="1"/>
        <v>74</v>
      </c>
      <c r="B75" s="7" t="s">
        <v>81</v>
      </c>
      <c r="C75" s="8">
        <f t="shared" si="2"/>
        <v>525</v>
      </c>
      <c r="D75" s="9">
        <f>IFERROR(VLOOKUP(B75, 'Duke 1'!A$3:$B$85,2, 0), 0)</f>
        <v>0</v>
      </c>
      <c r="E75" s="9">
        <f>IFERROR(VLOOKUP(B75, 'Duke 2'!A$3:$B$522,2, 0), 0)</f>
        <v>1500</v>
      </c>
      <c r="F75" s="10">
        <f>IFERROR(VLOOKUP(B75, 'Duke 3'!A$3:$B1000,2, 0), 0)</f>
        <v>0</v>
      </c>
      <c r="G75" s="10">
        <f>IFERROR(VLOOKUP(B75, 'Duke 4'!A$3:$B1000,2, 0), 0)</f>
        <v>0</v>
      </c>
      <c r="H75" s="10">
        <f>IFERROR(VLOOKUP(B75, Proof!A$2:$B1000,2, 0), 0)</f>
        <v>0</v>
      </c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</row>
    <row r="76">
      <c r="A76" s="1">
        <f t="shared" si="1"/>
        <v>75</v>
      </c>
      <c r="B76" s="7" t="s">
        <v>82</v>
      </c>
      <c r="C76" s="8">
        <f t="shared" si="2"/>
        <v>525</v>
      </c>
      <c r="D76" s="9">
        <f>IFERROR(VLOOKUP(B76, 'Duke 1'!A$3:$B$85,2, 0), 0)</f>
        <v>0</v>
      </c>
      <c r="E76" s="9">
        <f>IFERROR(VLOOKUP(B76, 'Duke 2'!A$3:$B$522,2, 0), 0)</f>
        <v>1500</v>
      </c>
      <c r="F76" s="10">
        <f>IFERROR(VLOOKUP(B76, 'Duke 3'!A$3:$B1000,2, 0), 0)</f>
        <v>0</v>
      </c>
      <c r="G76" s="10">
        <f>IFERROR(VLOOKUP(B76, 'Duke 4'!A$3:$B1000,2, 0), 0)</f>
        <v>0</v>
      </c>
      <c r="H76" s="10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</row>
    <row r="77">
      <c r="A77" s="1">
        <f t="shared" si="1"/>
        <v>76</v>
      </c>
      <c r="B77" s="7" t="s">
        <v>83</v>
      </c>
      <c r="C77" s="8">
        <f t="shared" si="2"/>
        <v>525</v>
      </c>
      <c r="D77" s="9">
        <f>IFERROR(VLOOKUP(B77, 'Duke 1'!A$3:$B$85,2, 0), 0)</f>
        <v>0</v>
      </c>
      <c r="E77" s="9">
        <f>IFERROR(VLOOKUP(B77, 'Duke 2'!A$3:$B$522,2, 0), 0)</f>
        <v>1500</v>
      </c>
      <c r="F77" s="10">
        <f>IFERROR(VLOOKUP(B77, 'Duke 3'!A$3:$B1000,2, 0), 0)</f>
        <v>0</v>
      </c>
      <c r="G77" s="10">
        <f>IFERROR(VLOOKUP(B77, 'Duke 4'!A$3:$B1000,2, 0), 0)</f>
        <v>0</v>
      </c>
      <c r="H77" s="10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</row>
    <row r="78">
      <c r="A78" s="1">
        <f t="shared" si="1"/>
        <v>77</v>
      </c>
      <c r="B78" s="7" t="s">
        <v>84</v>
      </c>
      <c r="C78" s="8">
        <f t="shared" si="2"/>
        <v>525</v>
      </c>
      <c r="D78" s="9">
        <f>IFERROR(VLOOKUP(B78, 'Duke 1'!A$3:$B$85,2, 0), 0)</f>
        <v>0</v>
      </c>
      <c r="E78" s="9">
        <f>IFERROR(VLOOKUP(B78, 'Duke 2'!A$3:$B$522,2, 0), 0)</f>
        <v>1500</v>
      </c>
      <c r="F78" s="10">
        <f>IFERROR(VLOOKUP(B78, 'Duke 3'!A$3:$B1000,2, 0), 0)</f>
        <v>0</v>
      </c>
      <c r="G78" s="10">
        <f>IFERROR(VLOOKUP(B78, 'Duke 4'!A$3:$B1000,2, 0), 0)</f>
        <v>0</v>
      </c>
      <c r="H78" s="10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</row>
    <row r="79">
      <c r="A79" s="1">
        <f t="shared" si="1"/>
        <v>78</v>
      </c>
      <c r="B79" s="7" t="s">
        <v>85</v>
      </c>
      <c r="C79" s="8">
        <f t="shared" si="2"/>
        <v>525</v>
      </c>
      <c r="D79" s="9">
        <f>IFERROR(VLOOKUP(B79, 'Duke 1'!A$3:$B$85,2, 0), 0)</f>
        <v>0</v>
      </c>
      <c r="E79" s="9">
        <f>IFERROR(VLOOKUP(B79, 'Duke 2'!A$3:$B$522,2, 0), 0)</f>
        <v>1500</v>
      </c>
      <c r="F79" s="10">
        <f>IFERROR(VLOOKUP(B79, 'Duke 3'!A$3:$B1000,2, 0), 0)</f>
        <v>0</v>
      </c>
      <c r="G79" s="10">
        <f>IFERROR(VLOOKUP(B79, 'Duke 4'!A$3:$B1000,2, 0), 0)</f>
        <v>0</v>
      </c>
      <c r="H79" s="10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</row>
    <row r="80">
      <c r="A80" s="1">
        <f t="shared" si="1"/>
        <v>79</v>
      </c>
      <c r="B80" s="7" t="s">
        <v>86</v>
      </c>
      <c r="C80" s="8">
        <f t="shared" si="2"/>
        <v>336</v>
      </c>
      <c r="D80" s="9">
        <f>IFERROR(VLOOKUP(B80, 'Duke 1'!A$3:$B$85,2, 0), 0)</f>
        <v>0</v>
      </c>
      <c r="E80" s="9">
        <f>IFERROR(VLOOKUP(B80, 'Duke 2'!A$3:$B$522,2, 0), 0)</f>
        <v>0</v>
      </c>
      <c r="F80" s="10">
        <f>IFERROR(VLOOKUP(B80, 'Duke 3'!A$3:$B1000,2, 0), 0)</f>
        <v>0</v>
      </c>
      <c r="G80" s="10">
        <f>IFERROR(VLOOKUP(B80, 'Duke 4'!A$3:$B1000,2, 0), 0)</f>
        <v>960</v>
      </c>
      <c r="H80" s="10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</row>
    <row r="81">
      <c r="A81" s="1">
        <f t="shared" si="1"/>
        <v>80</v>
      </c>
      <c r="B81" s="7" t="s">
        <v>86</v>
      </c>
      <c r="C81" s="8">
        <f t="shared" si="2"/>
        <v>336</v>
      </c>
      <c r="D81" s="9">
        <f>IFERROR(VLOOKUP(B81, 'Duke 1'!A$3:$B$85,2, 0), 0)</f>
        <v>0</v>
      </c>
      <c r="E81" s="9">
        <f>IFERROR(VLOOKUP(B81, 'Duke 2'!A$3:$B$522,2, 0), 0)</f>
        <v>0</v>
      </c>
      <c r="F81" s="10">
        <f>IFERROR(VLOOKUP(B81, 'Duke 3'!A$3:$B1000,2, 0), 0)</f>
        <v>0</v>
      </c>
      <c r="G81" s="10">
        <f>IFERROR(VLOOKUP(B81, 'Duke 4'!A$3:$B1000,2, 0), 0)</f>
        <v>960</v>
      </c>
      <c r="H81" s="10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</row>
    <row r="82">
      <c r="A82" s="1">
        <f t="shared" si="1"/>
        <v>81</v>
      </c>
      <c r="B82" s="7" t="s">
        <v>87</v>
      </c>
      <c r="C82" s="8">
        <f t="shared" si="2"/>
        <v>221.0526316</v>
      </c>
      <c r="D82" s="9">
        <f>IFERROR(VLOOKUP(B82, 'Duke 1'!A$3:$B$85,2, 0), 0)</f>
        <v>631.5789474</v>
      </c>
      <c r="E82" s="9">
        <f>IFERROR(VLOOKUP(B82, 'Duke 2'!A$3:$B$522,2, 0), 0)</f>
        <v>0</v>
      </c>
      <c r="F82" s="10">
        <f>IFERROR(VLOOKUP(B82, 'Duke 3'!A$3:$B1000,2, 0), 0)</f>
        <v>0</v>
      </c>
      <c r="G82" s="10">
        <f>IFERROR(VLOOKUP(B82, 'Duke 4'!A$3:$B1000,2, 0), 0)</f>
        <v>0</v>
      </c>
      <c r="H82" s="10">
        <f>IFERROR(VLOOKUP(B82, Proof!A$2:$B1000,2, 0), 0)</f>
        <v>0</v>
      </c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</row>
    <row r="83">
      <c r="A83" s="1">
        <f t="shared" si="1"/>
        <v>82</v>
      </c>
      <c r="B83" s="7" t="s">
        <v>88</v>
      </c>
      <c r="C83" s="8">
        <f t="shared" si="2"/>
        <v>0</v>
      </c>
      <c r="D83" s="9">
        <f>IFERROR(VLOOKUP(B83, 'Duke 1'!A$3:$B$85,2, 0), 0)</f>
        <v>0</v>
      </c>
      <c r="E83" s="9">
        <f>IFERROR(VLOOKUP(B83, 'Duke 2'!A$3:$B$522,2, 0), 0)</f>
        <v>0</v>
      </c>
      <c r="F83" s="10">
        <f>IFERROR(VLOOKUP(B83, 'Duke 3'!A$3:$B1000,2, 0), 0)</f>
        <v>0</v>
      </c>
      <c r="G83" s="10">
        <f>IFERROR(VLOOKUP(B83, 'Duke 4'!A$3:$B1000,2, 0), 0)</f>
        <v>0</v>
      </c>
      <c r="H83" s="10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</row>
    <row r="84">
      <c r="A84" s="1">
        <f t="shared" si="1"/>
        <v>83</v>
      </c>
      <c r="B84" s="7" t="s">
        <v>89</v>
      </c>
      <c r="C84" s="8">
        <f t="shared" si="2"/>
        <v>0</v>
      </c>
      <c r="D84" s="9">
        <f>IFERROR(VLOOKUP(B84, 'Duke 1'!A$3:$B$85,2, 0), 0)</f>
        <v>0</v>
      </c>
      <c r="E84" s="9">
        <f>IFERROR(VLOOKUP(B84, 'Duke 2'!A$3:$B$522,2, 0), 0)</f>
        <v>0</v>
      </c>
      <c r="F84" s="10">
        <f>IFERROR(VLOOKUP(B84, 'Duke 3'!A$3:$B1000,2, 0), 0)</f>
        <v>0</v>
      </c>
      <c r="G84" s="10">
        <f>IFERROR(VLOOKUP(B84, 'Duke 4'!A$3:$B1000,2, 0), 0)</f>
        <v>0</v>
      </c>
      <c r="H84" s="10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>
      <c r="A85" s="1">
        <f t="shared" si="1"/>
        <v>84</v>
      </c>
      <c r="B85" s="7" t="s">
        <v>90</v>
      </c>
      <c r="C85" s="8">
        <f t="shared" si="2"/>
        <v>0</v>
      </c>
      <c r="D85" s="9">
        <f>IFERROR(VLOOKUP(B85, 'Duke 1'!A$3:$B$85,2, 0), 0)</f>
        <v>0</v>
      </c>
      <c r="E85" s="9">
        <f>IFERROR(VLOOKUP(B85, 'Duke 2'!A$3:$B$522,2, 0), 0)</f>
        <v>0</v>
      </c>
      <c r="F85" s="10">
        <f>IFERROR(VLOOKUP(B85, 'Duke 3'!A$3:$B1000,2, 0), 0)</f>
        <v>0</v>
      </c>
      <c r="G85" s="10">
        <f>IFERROR(VLOOKUP(B85, 'Duke 4'!A$3:$B1000,2, 0), 0)</f>
        <v>0</v>
      </c>
      <c r="H85" s="10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>
      <c r="A86" s="1">
        <f t="shared" si="1"/>
        <v>85</v>
      </c>
      <c r="B86" s="7" t="s">
        <v>91</v>
      </c>
      <c r="C86" s="8">
        <f t="shared" si="2"/>
        <v>0</v>
      </c>
      <c r="D86" s="9">
        <f>IFERROR(VLOOKUP(B86, 'Duke 1'!A$3:$B$85,2, 0), 0)</f>
        <v>0</v>
      </c>
      <c r="E86" s="9">
        <f>IFERROR(VLOOKUP(B86, 'Duke 2'!A$3:$B$522,2, 0), 0)</f>
        <v>0</v>
      </c>
      <c r="F86" s="10">
        <f>IFERROR(VLOOKUP(B86, 'Duke 3'!A$3:$B1000,2, 0), 0)</f>
        <v>0</v>
      </c>
      <c r="G86" s="10">
        <f>IFERROR(VLOOKUP(B86, 'Duke 4'!A$3:$B1000,2, 0), 0)</f>
        <v>0</v>
      </c>
      <c r="H86" s="10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>
      <c r="A87" s="1">
        <f t="shared" si="1"/>
        <v>86</v>
      </c>
      <c r="B87" s="6"/>
      <c r="C87" s="8">
        <f t="shared" si="2"/>
        <v>0</v>
      </c>
      <c r="D87" s="9">
        <f>IFERROR(VLOOKUP(B87, 'Duke 1'!A$3:$B$85,2, 0), 0)</f>
        <v>0</v>
      </c>
      <c r="E87" s="9">
        <f>IFERROR(VLOOKUP(B87, 'Duke 2'!A$3:$B$522,2, 0), 0)</f>
        <v>0</v>
      </c>
      <c r="F87" s="10">
        <f>IFERROR(VLOOKUP(B87, 'Duke 3'!A$3:$B1000,2, 0), 0)</f>
        <v>0</v>
      </c>
      <c r="G87" s="10">
        <f>IFERROR(VLOOKUP(B87, 'Duke 4'!A$3:$B1000,2, 0), 0)</f>
        <v>0</v>
      </c>
      <c r="H87" s="10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>
      <c r="A88" s="1">
        <f t="shared" si="1"/>
        <v>87</v>
      </c>
      <c r="B88" s="6"/>
      <c r="C88" s="8">
        <f t="shared" si="2"/>
        <v>0</v>
      </c>
      <c r="D88" s="9">
        <f>IFERROR(VLOOKUP(B88, 'Duke 1'!A$3:$B$85,2, 0), 0)</f>
        <v>0</v>
      </c>
      <c r="E88" s="9">
        <f>IFERROR(VLOOKUP(B88, 'Duke 2'!A$3:$B$522,2, 0), 0)</f>
        <v>0</v>
      </c>
      <c r="F88" s="10">
        <f>IFERROR(VLOOKUP(B88, 'Duke 3'!A$3:$B1000,2, 0), 0)</f>
        <v>0</v>
      </c>
      <c r="G88" s="10">
        <f>IFERROR(VLOOKUP(B88, 'Duke 4'!A$3:$B1000,2, 0), 0)</f>
        <v>0</v>
      </c>
      <c r="H88" s="10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>
      <c r="A89" s="1">
        <f t="shared" si="1"/>
        <v>88</v>
      </c>
      <c r="B89" s="6"/>
      <c r="C89" s="8">
        <f t="shared" si="2"/>
        <v>0</v>
      </c>
      <c r="D89" s="9">
        <f>IFERROR(VLOOKUP(B89, 'Duke 1'!A$3:$B$85,2, 0), 0)</f>
        <v>0</v>
      </c>
      <c r="E89" s="9">
        <f>IFERROR(VLOOKUP(B89, 'Duke 2'!A$3:$B$522,2, 0), 0)</f>
        <v>0</v>
      </c>
      <c r="F89" s="10">
        <f>IFERROR(VLOOKUP(B89, 'Duke 3'!A$3:$B1000,2, 0), 0)</f>
        <v>0</v>
      </c>
      <c r="G89" s="10">
        <f>IFERROR(VLOOKUP(B89, 'Duke 4'!A$3:$B1000,2, 0), 0)</f>
        <v>0</v>
      </c>
      <c r="H89" s="10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>
      <c r="A90" s="1">
        <f t="shared" si="1"/>
        <v>89</v>
      </c>
      <c r="B90" s="6"/>
      <c r="C90" s="8">
        <f t="shared" si="2"/>
        <v>0</v>
      </c>
      <c r="D90" s="9">
        <f>IFERROR(VLOOKUP(B90, 'Duke 1'!A$3:$B$85,2, 0), 0)</f>
        <v>0</v>
      </c>
      <c r="E90" s="9">
        <f>IFERROR(VLOOKUP(B90, 'Duke 2'!A$3:$B$522,2, 0), 0)</f>
        <v>0</v>
      </c>
      <c r="F90" s="10">
        <f>IFERROR(VLOOKUP(B90, 'Duke 3'!A$3:$B1000,2, 0), 0)</f>
        <v>0</v>
      </c>
      <c r="G90" s="10">
        <f>IFERROR(VLOOKUP(B90, 'Duke 4'!A$3:$B1000,2, 0), 0)</f>
        <v>0</v>
      </c>
      <c r="H90" s="10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>
      <c r="A91" s="1">
        <f t="shared" si="1"/>
        <v>90</v>
      </c>
      <c r="B91" s="6"/>
      <c r="C91" s="8">
        <f t="shared" si="2"/>
        <v>0</v>
      </c>
      <c r="D91" s="9">
        <f>IFERROR(VLOOKUP(B91, 'Duke 1'!A$3:$B$85,2, 0), 0)</f>
        <v>0</v>
      </c>
      <c r="E91" s="9">
        <f>IFERROR(VLOOKUP(B91, 'Duke 2'!A$3:$B$522,2, 0), 0)</f>
        <v>0</v>
      </c>
      <c r="F91" s="10">
        <f>IFERROR(VLOOKUP(B91, 'Duke 3'!A$3:$B1000,2, 0), 0)</f>
        <v>0</v>
      </c>
      <c r="G91" s="10">
        <f>IFERROR(VLOOKUP(B91, 'Duke 4'!A$3:$B1000,2, 0), 0)</f>
        <v>0</v>
      </c>
      <c r="H91" s="10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>
      <c r="A92" s="1">
        <f t="shared" si="1"/>
        <v>91</v>
      </c>
      <c r="B92" s="6"/>
      <c r="C92" s="8">
        <f t="shared" si="2"/>
        <v>0</v>
      </c>
      <c r="D92" s="9">
        <f>IFERROR(VLOOKUP(B92, 'Duke 1'!A$3:$B$85,2, 0), 0)</f>
        <v>0</v>
      </c>
      <c r="E92" s="9">
        <f>IFERROR(VLOOKUP(B92, 'Duke 2'!A$3:$B$522,2, 0), 0)</f>
        <v>0</v>
      </c>
      <c r="F92" s="10">
        <f>IFERROR(VLOOKUP(B92, 'Duke 3'!A$3:$B1000,2, 0), 0)</f>
        <v>0</v>
      </c>
      <c r="G92" s="10">
        <f>IFERROR(VLOOKUP(B92, 'Duke 4'!A$3:$B1000,2, 0), 0)</f>
        <v>0</v>
      </c>
      <c r="H92" s="10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>
      <c r="A93" s="1">
        <f t="shared" si="1"/>
        <v>92</v>
      </c>
      <c r="B93" s="6"/>
      <c r="C93" s="8">
        <f t="shared" si="2"/>
        <v>0</v>
      </c>
      <c r="D93" s="9">
        <f>IFERROR(VLOOKUP(B93, 'Duke 1'!A$3:$B$85,2, 0), 0)</f>
        <v>0</v>
      </c>
      <c r="E93" s="9">
        <f>IFERROR(VLOOKUP(B93, 'Duke 2'!A$3:$B$522,2, 0), 0)</f>
        <v>0</v>
      </c>
      <c r="F93" s="10">
        <f>IFERROR(VLOOKUP(B93, 'Duke 3'!A$3:$B1000,2, 0), 0)</f>
        <v>0</v>
      </c>
      <c r="G93" s="10">
        <f>IFERROR(VLOOKUP(B93, 'Duke 4'!A$3:$B1000,2, 0), 0)</f>
        <v>0</v>
      </c>
      <c r="H93" s="10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>
      <c r="A94" s="1">
        <f t="shared" si="1"/>
        <v>93</v>
      </c>
      <c r="B94" s="6"/>
      <c r="C94" s="8">
        <f t="shared" si="2"/>
        <v>0</v>
      </c>
      <c r="D94" s="9">
        <f>IFERROR(VLOOKUP(B94, 'Duke 1'!A$3:$B$85,2, 0), 0)</f>
        <v>0</v>
      </c>
      <c r="E94" s="9">
        <f>IFERROR(VLOOKUP(B94, 'Duke 2'!A$3:$B$522,2, 0), 0)</f>
        <v>0</v>
      </c>
      <c r="F94" s="10">
        <f>IFERROR(VLOOKUP(B94, 'Duke 3'!A$3:$B1000,2, 0), 0)</f>
        <v>0</v>
      </c>
      <c r="G94" s="10">
        <f>IFERROR(VLOOKUP(B94, 'Duke 4'!A$3:$B1000,2, 0), 0)</f>
        <v>0</v>
      </c>
      <c r="H94" s="10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>
      <c r="A95" s="1">
        <f t="shared" si="1"/>
        <v>94</v>
      </c>
      <c r="B95" s="6"/>
      <c r="C95" s="8">
        <f t="shared" si="2"/>
        <v>0</v>
      </c>
      <c r="D95" s="9">
        <f>IFERROR(VLOOKUP(B95, 'Duke 1'!A$3:$B$85,2, 0), 0)</f>
        <v>0</v>
      </c>
      <c r="E95" s="9">
        <f>IFERROR(VLOOKUP(B95, 'Duke 2'!A$3:$B$522,2, 0), 0)</f>
        <v>0</v>
      </c>
      <c r="F95" s="10">
        <f>IFERROR(VLOOKUP(B95, 'Duke 3'!A$3:$B1000,2, 0), 0)</f>
        <v>0</v>
      </c>
      <c r="G95" s="10">
        <f>IFERROR(VLOOKUP(B95, 'Duke 4'!A$3:$B1000,2, 0), 0)</f>
        <v>0</v>
      </c>
      <c r="H95" s="10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  <row r="96">
      <c r="A96" s="1">
        <f t="shared" si="1"/>
        <v>95</v>
      </c>
      <c r="B96" s="6"/>
      <c r="C96" s="8">
        <f t="shared" si="2"/>
        <v>0</v>
      </c>
      <c r="D96" s="9">
        <f>IFERROR(VLOOKUP(B96, 'Duke 1'!A$3:$B$85,2, 0), 0)</f>
        <v>0</v>
      </c>
      <c r="E96" s="9">
        <f>IFERROR(VLOOKUP(B96, 'Duke 2'!A$3:$B$522,2, 0), 0)</f>
        <v>0</v>
      </c>
      <c r="F96" s="10">
        <f>IFERROR(VLOOKUP(B96, 'Duke 3'!A$3:$B1000,2, 0), 0)</f>
        <v>0</v>
      </c>
      <c r="G96" s="10">
        <f>IFERROR(VLOOKUP(B96, 'Duke 4'!A$3:$B1000,2, 0), 0)</f>
        <v>0</v>
      </c>
      <c r="H96" s="10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</row>
    <row r="97">
      <c r="A97" s="1">
        <f t="shared" si="1"/>
        <v>96</v>
      </c>
      <c r="B97" s="6"/>
      <c r="C97" s="8">
        <f t="shared" si="2"/>
        <v>0</v>
      </c>
      <c r="D97" s="9">
        <f>IFERROR(VLOOKUP(B97, 'Duke 1'!A$3:$B$85,2, 0), 0)</f>
        <v>0</v>
      </c>
      <c r="E97" s="9">
        <f>IFERROR(VLOOKUP(B97, 'Duke 2'!A$3:$B$522,2, 0), 0)</f>
        <v>0</v>
      </c>
      <c r="F97" s="10">
        <f>IFERROR(VLOOKUP(B97, 'Duke 3'!A$3:$B1000,2, 0), 0)</f>
        <v>0</v>
      </c>
      <c r="G97" s="10">
        <f>IFERROR(VLOOKUP(B97, 'Duke 4'!A$3:$B1000,2, 0), 0)</f>
        <v>0</v>
      </c>
      <c r="H97" s="10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</row>
    <row r="98">
      <c r="A98" s="1">
        <f t="shared" si="1"/>
        <v>97</v>
      </c>
      <c r="B98" s="6"/>
      <c r="C98" s="8">
        <f t="shared" si="2"/>
        <v>0</v>
      </c>
      <c r="D98" s="9">
        <f>IFERROR(VLOOKUP(B98, 'Duke 1'!A$3:$B$85,2, 0), 0)</f>
        <v>0</v>
      </c>
      <c r="E98" s="9">
        <f>IFERROR(VLOOKUP(B98, 'Duke 2'!A$3:$B$522,2, 0), 0)</f>
        <v>0</v>
      </c>
      <c r="F98" s="10">
        <f>IFERROR(VLOOKUP(B98, 'Duke 3'!A$3:$B1000,2, 0), 0)</f>
        <v>0</v>
      </c>
      <c r="G98" s="10">
        <f>IFERROR(VLOOKUP(B98, 'Duke 4'!A$3:$B1000,2, 0), 0)</f>
        <v>0</v>
      </c>
      <c r="H98" s="10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</row>
    <row r="99">
      <c r="A99" s="1">
        <f t="shared" si="1"/>
        <v>98</v>
      </c>
      <c r="B99" s="6"/>
      <c r="C99" s="8">
        <f t="shared" si="2"/>
        <v>0</v>
      </c>
      <c r="D99" s="9">
        <f>IFERROR(VLOOKUP(B99, 'Duke 1'!A$3:$B$85,2, 0), 0)</f>
        <v>0</v>
      </c>
      <c r="E99" s="9">
        <f>IFERROR(VLOOKUP(B99, 'Duke 2'!A$3:$B$522,2, 0), 0)</f>
        <v>0</v>
      </c>
      <c r="F99" s="10">
        <f>IFERROR(VLOOKUP(B99, 'Duke 3'!A$3:$B1000,2, 0), 0)</f>
        <v>0</v>
      </c>
      <c r="G99" s="10">
        <f>IFERROR(VLOOKUP(B99, 'Duke 4'!A$3:$B1000,2, 0), 0)</f>
        <v>0</v>
      </c>
      <c r="H99" s="10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</row>
    <row r="100">
      <c r="A100" s="1">
        <f t="shared" si="1"/>
        <v>99</v>
      </c>
      <c r="B100" s="6"/>
      <c r="C100" s="8">
        <f t="shared" si="2"/>
        <v>0</v>
      </c>
      <c r="D100" s="9">
        <f>IFERROR(VLOOKUP(B100, 'Duke 1'!A$3:$B$85,2, 0), 0)</f>
        <v>0</v>
      </c>
      <c r="E100" s="9">
        <f>IFERROR(VLOOKUP(B100, 'Duke 2'!A$3:$B$522,2, 0), 0)</f>
        <v>0</v>
      </c>
      <c r="F100" s="10">
        <f>IFERROR(VLOOKUP(B100, 'Duke 3'!A$3:$B1000,2, 0), 0)</f>
        <v>0</v>
      </c>
      <c r="G100" s="10">
        <f>IFERROR(VLOOKUP(B100, 'Duke 4'!A$3:$B1000,2, 0), 0)</f>
        <v>0</v>
      </c>
      <c r="H100" s="10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</row>
    <row r="101">
      <c r="A101" s="1">
        <f t="shared" si="1"/>
        <v>100</v>
      </c>
      <c r="B101" s="6"/>
      <c r="C101" s="8">
        <f t="shared" si="2"/>
        <v>0</v>
      </c>
      <c r="D101" s="9">
        <f>IFERROR(VLOOKUP(B101, 'Duke 1'!A$3:$B$85,2, 0), 0)</f>
        <v>0</v>
      </c>
      <c r="E101" s="9">
        <f>IFERROR(VLOOKUP(B101, 'Duke 2'!A$3:$B$522,2, 0), 0)</f>
        <v>0</v>
      </c>
      <c r="F101" s="10">
        <f>IFERROR(VLOOKUP(B101, 'Duke 3'!A$3:$B1000,2, 0), 0)</f>
        <v>0</v>
      </c>
      <c r="G101" s="10">
        <f>IFERROR(VLOOKUP(B101, 'Duke 4'!A$3:$B1000,2, 0), 0)</f>
        <v>0</v>
      </c>
      <c r="H101" s="10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</row>
    <row r="102">
      <c r="A102" s="1">
        <f t="shared" si="1"/>
        <v>101</v>
      </c>
      <c r="B102" s="6"/>
      <c r="C102" s="8">
        <f t="shared" si="2"/>
        <v>0</v>
      </c>
      <c r="D102" s="9">
        <f>IFERROR(VLOOKUP(B102, 'Duke 1'!A$3:$B$85,2, 0), 0)</f>
        <v>0</v>
      </c>
      <c r="E102" s="9">
        <f>IFERROR(VLOOKUP(B102, 'Duke 2'!A$3:$B$522,2, 0), 0)</f>
        <v>0</v>
      </c>
      <c r="F102" s="10">
        <f>IFERROR(VLOOKUP(B102, 'Duke 3'!A$3:$B1000,2, 0), 0)</f>
        <v>0</v>
      </c>
      <c r="G102" s="10">
        <f>IFERROR(VLOOKUP(B102, 'Duke 4'!A$3:$B1000,2, 0), 0)</f>
        <v>0</v>
      </c>
      <c r="H102" s="10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</row>
    <row r="103">
      <c r="A103" s="1">
        <f t="shared" si="1"/>
        <v>102</v>
      </c>
      <c r="B103" s="6"/>
      <c r="C103" s="8">
        <f t="shared" si="2"/>
        <v>0</v>
      </c>
      <c r="D103" s="9">
        <f>IFERROR(VLOOKUP(B103, 'Duke 1'!A$3:$B$85,2, 0), 0)</f>
        <v>0</v>
      </c>
      <c r="E103" s="9">
        <f>IFERROR(VLOOKUP(B103, 'Duke 2'!A$3:$B$522,2, 0), 0)</f>
        <v>0</v>
      </c>
      <c r="F103" s="10">
        <f>IFERROR(VLOOKUP(B103, 'Duke 3'!A$3:$B1000,2, 0), 0)</f>
        <v>0</v>
      </c>
      <c r="G103" s="10">
        <f>IFERROR(VLOOKUP(B103, 'Duke 4'!A$3:$B1000,2, 0), 0)</f>
        <v>0</v>
      </c>
      <c r="H103" s="10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</row>
    <row r="104">
      <c r="A104" s="1">
        <f t="shared" si="1"/>
        <v>103</v>
      </c>
      <c r="B104" s="6"/>
      <c r="C104" s="8">
        <f t="shared" si="2"/>
        <v>0</v>
      </c>
      <c r="D104" s="9">
        <f>IFERROR(VLOOKUP(B104, 'Duke 1'!A$3:$B$85,2, 0), 0)</f>
        <v>0</v>
      </c>
      <c r="E104" s="9">
        <f>IFERROR(VLOOKUP(B104, 'Duke 2'!A$3:$B$522,2, 0), 0)</f>
        <v>0</v>
      </c>
      <c r="F104" s="10">
        <f>IFERROR(VLOOKUP(B104, 'Duke 3'!A$3:$B1000,2, 0), 0)</f>
        <v>0</v>
      </c>
      <c r="G104" s="10">
        <f>IFERROR(VLOOKUP(B104, 'Duke 4'!A$3:$B1000,2, 0), 0)</f>
        <v>0</v>
      </c>
      <c r="H104" s="10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</row>
    <row r="105">
      <c r="A105" s="1">
        <f t="shared" si="1"/>
        <v>104</v>
      </c>
      <c r="B105" s="6"/>
      <c r="C105" s="8">
        <f t="shared" si="2"/>
        <v>0</v>
      </c>
      <c r="D105" s="9">
        <f>IFERROR(VLOOKUP(B105, 'Duke 1'!A$3:$B$85,2, 0), 0)</f>
        <v>0</v>
      </c>
      <c r="E105" s="9">
        <f>IFERROR(VLOOKUP(B105, 'Duke 2'!A$3:$B$522,2, 0), 0)</f>
        <v>0</v>
      </c>
      <c r="F105" s="10">
        <f>IFERROR(VLOOKUP(B105, 'Duke 3'!A$3:$B1000,2, 0), 0)</f>
        <v>0</v>
      </c>
      <c r="G105" s="10">
        <f>IFERROR(VLOOKUP(B105, 'Duke 4'!A$3:$B1000,2, 0), 0)</f>
        <v>0</v>
      </c>
      <c r="H105" s="10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</row>
    <row r="106">
      <c r="A106" s="1">
        <f t="shared" si="1"/>
        <v>105</v>
      </c>
      <c r="B106" s="6"/>
      <c r="C106" s="8">
        <f t="shared" si="2"/>
        <v>0</v>
      </c>
      <c r="D106" s="9">
        <f>IFERROR(VLOOKUP(B106, 'Duke 1'!A$3:$B$85,2, 0), 0)</f>
        <v>0</v>
      </c>
      <c r="E106" s="9">
        <f>IFERROR(VLOOKUP(B106, 'Duke 2'!A$3:$B$522,2, 0), 0)</f>
        <v>0</v>
      </c>
      <c r="F106" s="10">
        <f>IFERROR(VLOOKUP(B106, 'Duke 3'!A$3:$B1000,2, 0), 0)</f>
        <v>0</v>
      </c>
      <c r="G106" s="10">
        <f>IFERROR(VLOOKUP(B106, 'Duke 4'!A$3:$B1000,2, 0), 0)</f>
        <v>0</v>
      </c>
      <c r="H106" s="10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</row>
    <row r="107">
      <c r="A107" s="1">
        <f t="shared" si="1"/>
        <v>106</v>
      </c>
      <c r="B107" s="6"/>
      <c r="C107" s="8">
        <f t="shared" si="2"/>
        <v>0</v>
      </c>
      <c r="D107" s="9">
        <f>IFERROR(VLOOKUP(B107, 'Duke 1'!A$3:$B$85,2, 0), 0)</f>
        <v>0</v>
      </c>
      <c r="E107" s="9">
        <f>IFERROR(VLOOKUP(B107, 'Duke 2'!A$3:$B$522,2, 0), 0)</f>
        <v>0</v>
      </c>
      <c r="F107" s="10">
        <f>IFERROR(VLOOKUP(B107, 'Duke 3'!A$3:$B1000,2, 0), 0)</f>
        <v>0</v>
      </c>
      <c r="G107" s="10">
        <f>IFERROR(VLOOKUP(B107, 'Duke 4'!A$3:$B1000,2, 0), 0)</f>
        <v>0</v>
      </c>
      <c r="H107" s="10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</row>
    <row r="108">
      <c r="A108" s="1">
        <f t="shared" si="1"/>
        <v>107</v>
      </c>
      <c r="B108" s="6"/>
      <c r="C108" s="8">
        <f t="shared" si="2"/>
        <v>0</v>
      </c>
      <c r="D108" s="9">
        <f>IFERROR(VLOOKUP(B108, 'Duke 1'!A$3:$B$85,2, 0), 0)</f>
        <v>0</v>
      </c>
      <c r="E108" s="9">
        <f>IFERROR(VLOOKUP(B108, 'Duke 2'!A$3:$B$522,2, 0), 0)</f>
        <v>0</v>
      </c>
      <c r="F108" s="10">
        <f>IFERROR(VLOOKUP(B108, 'Duke 3'!A$3:$B1000,2, 0), 0)</f>
        <v>0</v>
      </c>
      <c r="G108" s="10">
        <f>IFERROR(VLOOKUP(B108, 'Duke 4'!A$3:$B1000,2, 0), 0)</f>
        <v>0</v>
      </c>
      <c r="H108" s="10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</row>
    <row r="109">
      <c r="A109" s="1">
        <f t="shared" si="1"/>
        <v>108</v>
      </c>
      <c r="B109" s="6"/>
      <c r="C109" s="8">
        <f t="shared" si="2"/>
        <v>0</v>
      </c>
      <c r="D109" s="9">
        <f>IFERROR(VLOOKUP(B109, 'Duke 1'!A$3:$B$85,2, 0), 0)</f>
        <v>0</v>
      </c>
      <c r="E109" s="9">
        <f>IFERROR(VLOOKUP(B109, 'Duke 2'!A$3:$B$522,2, 0), 0)</f>
        <v>0</v>
      </c>
      <c r="F109" s="10">
        <f>IFERROR(VLOOKUP(B109, 'Duke 3'!A$3:$B1000,2, 0), 0)</f>
        <v>0</v>
      </c>
      <c r="G109" s="10">
        <f>IFERROR(VLOOKUP(B109, 'Duke 4'!A$3:$B1000,2, 0), 0)</f>
        <v>0</v>
      </c>
      <c r="H109" s="10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</row>
    <row r="110">
      <c r="A110" s="1">
        <f t="shared" si="1"/>
        <v>109</v>
      </c>
      <c r="B110" s="6"/>
      <c r="C110" s="8">
        <f t="shared" si="2"/>
        <v>0</v>
      </c>
      <c r="D110" s="9">
        <f>IFERROR(VLOOKUP(B110, 'Duke 1'!A$3:$B$85,2, 0), 0)</f>
        <v>0</v>
      </c>
      <c r="E110" s="9">
        <f>IFERROR(VLOOKUP(B110, 'Duke 2'!A$3:$B$522,2, 0), 0)</f>
        <v>0</v>
      </c>
      <c r="F110" s="10">
        <f>IFERROR(VLOOKUP(B110, 'Duke 3'!A$3:$B1000,2, 0), 0)</f>
        <v>0</v>
      </c>
      <c r="G110" s="10">
        <f>IFERROR(VLOOKUP(B110, 'Duke 4'!A$3:$B1000,2, 0), 0)</f>
        <v>0</v>
      </c>
      <c r="H110" s="10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</row>
    <row r="111">
      <c r="A111" s="1">
        <f t="shared" si="1"/>
        <v>110</v>
      </c>
      <c r="B111" s="6"/>
      <c r="C111" s="8">
        <f t="shared" si="2"/>
        <v>0</v>
      </c>
      <c r="D111" s="9">
        <f>IFERROR(VLOOKUP(B111, 'Duke 1'!A$3:$B$85,2, 0), 0)</f>
        <v>0</v>
      </c>
      <c r="E111" s="9">
        <f>IFERROR(VLOOKUP(B111, 'Duke 2'!A$3:$B$522,2, 0), 0)</f>
        <v>0</v>
      </c>
      <c r="F111" s="10">
        <f>IFERROR(VLOOKUP(B111, 'Duke 3'!A$3:$B1000,2, 0), 0)</f>
        <v>0</v>
      </c>
      <c r="G111" s="10">
        <f>IFERROR(VLOOKUP(B111, 'Duke 4'!A$3:$B1000,2, 0), 0)</f>
        <v>0</v>
      </c>
      <c r="H111" s="10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</row>
    <row r="112">
      <c r="A112" s="1">
        <f t="shared" si="1"/>
        <v>111</v>
      </c>
      <c r="B112" s="6"/>
      <c r="C112" s="8">
        <f t="shared" si="2"/>
        <v>0</v>
      </c>
      <c r="D112" s="9">
        <f>IFERROR(VLOOKUP(B112, 'Duke 1'!A$3:$B$85,2, 0), 0)</f>
        <v>0</v>
      </c>
      <c r="E112" s="9">
        <f>IFERROR(VLOOKUP(B112, 'Duke 2'!A$3:$B$522,2, 0), 0)</f>
        <v>0</v>
      </c>
      <c r="F112" s="10">
        <f>IFERROR(VLOOKUP(B112, 'Duke 3'!A$3:$B1000,2, 0), 0)</f>
        <v>0</v>
      </c>
      <c r="G112" s="10">
        <f>IFERROR(VLOOKUP(B112, 'Duke 4'!A$3:$B1000,2, 0), 0)</f>
        <v>0</v>
      </c>
      <c r="H112" s="10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</row>
    <row r="113">
      <c r="A113" s="1">
        <f t="shared" si="1"/>
        <v>112</v>
      </c>
      <c r="B113" s="6"/>
      <c r="C113" s="8">
        <f t="shared" si="2"/>
        <v>0</v>
      </c>
      <c r="D113" s="9">
        <f>IFERROR(VLOOKUP(B113, 'Duke 1'!A$3:$B$85,2, 0), 0)</f>
        <v>0</v>
      </c>
      <c r="E113" s="9">
        <f>IFERROR(VLOOKUP(B113, 'Duke 2'!A$3:$B$522,2, 0), 0)</f>
        <v>0</v>
      </c>
      <c r="F113" s="10">
        <f>IFERROR(VLOOKUP(B113, 'Duke 3'!A$3:$B1000,2, 0), 0)</f>
        <v>0</v>
      </c>
      <c r="G113" s="10">
        <f>IFERROR(VLOOKUP(B113, 'Duke 4'!A$3:$B1000,2, 0), 0)</f>
        <v>0</v>
      </c>
      <c r="H113" s="10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</row>
    <row r="114">
      <c r="A114" s="1">
        <f t="shared" si="1"/>
        <v>113</v>
      </c>
      <c r="B114" s="6"/>
      <c r="C114" s="8">
        <f t="shared" si="2"/>
        <v>0</v>
      </c>
      <c r="D114" s="9">
        <f>IFERROR(VLOOKUP(B114, 'Duke 1'!A$3:$B$85,2, 0), 0)</f>
        <v>0</v>
      </c>
      <c r="E114" s="9">
        <f>IFERROR(VLOOKUP(B114, 'Duke 2'!A$3:$B$522,2, 0), 0)</f>
        <v>0</v>
      </c>
      <c r="F114" s="10">
        <f>IFERROR(VLOOKUP(B114, 'Duke 3'!A$3:$B1000,2, 0), 0)</f>
        <v>0</v>
      </c>
      <c r="G114" s="10">
        <f>IFERROR(VLOOKUP(B114, 'Duke 4'!A$3:$B1000,2, 0), 0)</f>
        <v>0</v>
      </c>
      <c r="H114" s="10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</row>
    <row r="115">
      <c r="A115" s="1">
        <f t="shared" si="1"/>
        <v>114</v>
      </c>
      <c r="B115" s="6"/>
      <c r="C115" s="8">
        <f t="shared" si="2"/>
        <v>0</v>
      </c>
      <c r="D115" s="9">
        <f>IFERROR(VLOOKUP(B115, 'Duke 1'!A$3:$B$85,2, 0), 0)</f>
        <v>0</v>
      </c>
      <c r="E115" s="9">
        <f>IFERROR(VLOOKUP(B115, 'Duke 2'!A$3:$B$522,2, 0), 0)</f>
        <v>0</v>
      </c>
      <c r="F115" s="10">
        <f>IFERROR(VLOOKUP(B115, 'Duke 3'!A$3:$B1000,2, 0), 0)</f>
        <v>0</v>
      </c>
      <c r="G115" s="10">
        <f>IFERROR(VLOOKUP(B115, 'Duke 4'!A$3:$B1000,2, 0), 0)</f>
        <v>0</v>
      </c>
      <c r="H115" s="10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</row>
    <row r="116">
      <c r="A116" s="1">
        <f t="shared" si="1"/>
        <v>115</v>
      </c>
      <c r="B116" s="6"/>
      <c r="C116" s="8">
        <f t="shared" si="2"/>
        <v>0</v>
      </c>
      <c r="D116" s="9">
        <f>IFERROR(VLOOKUP(B116, 'Duke 1'!A$3:$B$85,2, 0), 0)</f>
        <v>0</v>
      </c>
      <c r="E116" s="9">
        <f>IFERROR(VLOOKUP(B116, 'Duke 2'!A$3:$B$522,2, 0), 0)</f>
        <v>0</v>
      </c>
      <c r="F116" s="10">
        <f>IFERROR(VLOOKUP(B116, 'Duke 3'!A$3:$B1000,2, 0), 0)</f>
        <v>0</v>
      </c>
      <c r="G116" s="10">
        <f>IFERROR(VLOOKUP(B116, 'Duke 4'!A$3:$B1000,2, 0), 0)</f>
        <v>0</v>
      </c>
      <c r="H116" s="10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</row>
    <row r="117">
      <c r="A117" s="1">
        <f t="shared" si="1"/>
        <v>116</v>
      </c>
      <c r="B117" s="6"/>
      <c r="C117" s="8">
        <f t="shared" si="2"/>
        <v>0</v>
      </c>
      <c r="D117" s="9">
        <f>IFERROR(VLOOKUP(B117, 'Duke 1'!A$3:$B$85,2, 0), 0)</f>
        <v>0</v>
      </c>
      <c r="E117" s="9">
        <f>IFERROR(VLOOKUP(B117, 'Duke 2'!A$3:$B$522,2, 0), 0)</f>
        <v>0</v>
      </c>
      <c r="F117" s="10">
        <f>IFERROR(VLOOKUP(B117, 'Duke 3'!A$3:$B1000,2, 0), 0)</f>
        <v>0</v>
      </c>
      <c r="G117" s="10">
        <f>IFERROR(VLOOKUP(B117, 'Duke 4'!A$3:$B1000,2, 0), 0)</f>
        <v>0</v>
      </c>
      <c r="H117" s="10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</row>
    <row r="118">
      <c r="A118" s="1">
        <f t="shared" si="1"/>
        <v>117</v>
      </c>
      <c r="B118" s="6"/>
      <c r="C118" s="8">
        <f t="shared" si="2"/>
        <v>0</v>
      </c>
      <c r="D118" s="9">
        <f>IFERROR(VLOOKUP(B118, 'Duke 1'!A$3:$B$85,2, 0), 0)</f>
        <v>0</v>
      </c>
      <c r="E118" s="9">
        <f>IFERROR(VLOOKUP(B118, 'Duke 2'!A$3:$B$522,2, 0), 0)</f>
        <v>0</v>
      </c>
      <c r="F118" s="10">
        <f>IFERROR(VLOOKUP(B118, 'Duke 3'!A$3:$B1000,2, 0), 0)</f>
        <v>0</v>
      </c>
      <c r="G118" s="10">
        <f>IFERROR(VLOOKUP(B118, 'Duke 4'!A$3:$B1000,2, 0), 0)</f>
        <v>0</v>
      </c>
      <c r="H118" s="10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</row>
    <row r="119">
      <c r="A119" s="1">
        <f t="shared" si="1"/>
        <v>118</v>
      </c>
      <c r="B119" s="6"/>
      <c r="C119" s="8">
        <f t="shared" si="2"/>
        <v>0</v>
      </c>
      <c r="D119" s="9">
        <f>IFERROR(VLOOKUP(B119, 'Duke 1'!A$3:$B$85,2, 0), 0)</f>
        <v>0</v>
      </c>
      <c r="E119" s="9">
        <f>IFERROR(VLOOKUP(B119, 'Duke 2'!A$3:$B$522,2, 0), 0)</f>
        <v>0</v>
      </c>
      <c r="F119" s="10">
        <f>IFERROR(VLOOKUP(B119, 'Duke 3'!A$3:$B1000,2, 0), 0)</f>
        <v>0</v>
      </c>
      <c r="G119" s="10">
        <f>IFERROR(VLOOKUP(B119, 'Duke 4'!A$3:$B1000,2, 0), 0)</f>
        <v>0</v>
      </c>
      <c r="H119" s="10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</row>
    <row r="120">
      <c r="A120" s="1">
        <f t="shared" si="1"/>
        <v>119</v>
      </c>
      <c r="B120" s="6"/>
      <c r="C120" s="8">
        <f t="shared" si="2"/>
        <v>0</v>
      </c>
      <c r="D120" s="9">
        <f>IFERROR(VLOOKUP(B120, 'Duke 1'!A$3:$B$85,2, 0), 0)</f>
        <v>0</v>
      </c>
      <c r="E120" s="9">
        <f>IFERROR(VLOOKUP(B120, 'Duke 2'!A$3:$B$522,2, 0), 0)</f>
        <v>0</v>
      </c>
      <c r="F120" s="10">
        <f>IFERROR(VLOOKUP(B120, 'Duke 3'!A$3:$B1000,2, 0), 0)</f>
        <v>0</v>
      </c>
      <c r="G120" s="10">
        <f>IFERROR(VLOOKUP(B120, 'Duke 4'!A$3:$B1000,2, 0), 0)</f>
        <v>0</v>
      </c>
      <c r="H120" s="10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</row>
    <row r="121">
      <c r="A121" s="1">
        <f t="shared" si="1"/>
        <v>120</v>
      </c>
      <c r="B121" s="6"/>
      <c r="C121" s="8">
        <f t="shared" si="2"/>
        <v>0</v>
      </c>
      <c r="D121" s="9">
        <f>IFERROR(VLOOKUP(B121, 'Duke 1'!A$3:$B$85,2, 0), 0)</f>
        <v>0</v>
      </c>
      <c r="E121" s="9">
        <f>IFERROR(VLOOKUP(B121, 'Duke 2'!A$3:$B$522,2, 0), 0)</f>
        <v>0</v>
      </c>
      <c r="F121" s="10">
        <f>IFERROR(VLOOKUP(B121, 'Duke 3'!A$3:$B1000,2, 0), 0)</f>
        <v>0</v>
      </c>
      <c r="G121" s="10">
        <f>IFERROR(VLOOKUP(B121, 'Duke 4'!A$3:$B1000,2, 0), 0)</f>
        <v>0</v>
      </c>
      <c r="H121" s="10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</row>
    <row r="122">
      <c r="A122" s="1">
        <f t="shared" si="1"/>
        <v>121</v>
      </c>
      <c r="B122" s="6"/>
      <c r="C122" s="8">
        <f t="shared" si="2"/>
        <v>0</v>
      </c>
      <c r="D122" s="9">
        <f>IFERROR(VLOOKUP(B122, 'Duke 1'!A$3:$B$85,2, 0), 0)</f>
        <v>0</v>
      </c>
      <c r="E122" s="9">
        <f>IFERROR(VLOOKUP(B122, 'Duke 2'!A$3:$B$522,2, 0), 0)</f>
        <v>0</v>
      </c>
      <c r="F122" s="10">
        <f>IFERROR(VLOOKUP(B122, 'Duke 3'!A$3:$B1000,2, 0), 0)</f>
        <v>0</v>
      </c>
      <c r="G122" s="10">
        <f>IFERROR(VLOOKUP(B122, 'Duke 4'!A$3:$B1000,2, 0), 0)</f>
        <v>0</v>
      </c>
      <c r="H122" s="10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</row>
    <row r="123">
      <c r="A123" s="1">
        <f t="shared" si="1"/>
        <v>122</v>
      </c>
      <c r="B123" s="7" t="s">
        <v>92</v>
      </c>
      <c r="C123" s="8">
        <f t="shared" si="2"/>
        <v>0</v>
      </c>
      <c r="D123" s="9">
        <f>IFERROR(VLOOKUP(B123, 'Duke 1'!A$3:$B$85,2, 0), 0)</f>
        <v>0</v>
      </c>
      <c r="E123" s="9">
        <f>IFERROR(VLOOKUP(B123, 'Duke 2'!A$3:$B$522,2, 0), 0)</f>
        <v>0</v>
      </c>
      <c r="F123" s="10">
        <f>IFERROR(VLOOKUP(B123, 'Duke 3'!A$3:$B1000,2, 0), 0)</f>
        <v>0</v>
      </c>
      <c r="G123" s="10">
        <f>IFERROR(VLOOKUP(B123, 'Duke 4'!A$3:$B1000,2, 0), 0)</f>
        <v>0</v>
      </c>
      <c r="H123" s="10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</row>
    <row r="124">
      <c r="A124" s="1">
        <f t="shared" si="1"/>
        <v>123</v>
      </c>
      <c r="B124" s="7" t="s">
        <v>93</v>
      </c>
      <c r="C124" s="8">
        <f t="shared" si="2"/>
        <v>0</v>
      </c>
      <c r="D124" s="9">
        <f>IFERROR(VLOOKUP(B124, 'Duke 1'!A$3:$B$85,2, 0), 0)</f>
        <v>0</v>
      </c>
      <c r="E124" s="9">
        <f>IFERROR(VLOOKUP(B124, 'Duke 2'!A$3:$B$522,2, 0), 0)</f>
        <v>0</v>
      </c>
      <c r="F124" s="10">
        <f>IFERROR(VLOOKUP(B124, 'Duke 3'!A$3:$B1000,2, 0), 0)</f>
        <v>0</v>
      </c>
      <c r="G124" s="10">
        <f>IFERROR(VLOOKUP(B124, 'Duke 4'!A$3:$B1000,2, 0), 0)</f>
        <v>0</v>
      </c>
      <c r="H124" s="10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</row>
    <row r="125">
      <c r="A125" s="1">
        <f t="shared" si="1"/>
        <v>124</v>
      </c>
      <c r="B125" s="7" t="s">
        <v>94</v>
      </c>
      <c r="C125" s="8">
        <f t="shared" si="2"/>
        <v>0</v>
      </c>
      <c r="D125" s="9">
        <f>IFERROR(VLOOKUP(B125, 'Duke 1'!A$3:$B$85,2, 0), 0)</f>
        <v>0</v>
      </c>
      <c r="E125" s="9">
        <f>IFERROR(VLOOKUP(B125, 'Duke 2'!A$3:$B$522,2, 0), 0)</f>
        <v>0</v>
      </c>
      <c r="F125" s="10">
        <f>IFERROR(VLOOKUP(B125, 'Duke 3'!A$3:$B1000,2, 0), 0)</f>
        <v>0</v>
      </c>
      <c r="G125" s="10">
        <f>IFERROR(VLOOKUP(B125, 'Duke 4'!A$3:$B1000,2, 0), 0)</f>
        <v>0</v>
      </c>
      <c r="H125" s="10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</row>
    <row r="126">
      <c r="A126" s="1">
        <f t="shared" si="1"/>
        <v>125</v>
      </c>
      <c r="B126" s="7" t="s">
        <v>88</v>
      </c>
      <c r="C126" s="8">
        <f t="shared" si="2"/>
        <v>0</v>
      </c>
      <c r="D126" s="9">
        <f>IFERROR(VLOOKUP(B126, 'Duke 1'!A$3:$B$85,2, 0), 0)</f>
        <v>0</v>
      </c>
      <c r="E126" s="9">
        <f>IFERROR(VLOOKUP(B126, 'Duke 2'!A$3:$B$522,2, 0), 0)</f>
        <v>0</v>
      </c>
      <c r="F126" s="10">
        <f>IFERROR(VLOOKUP(B126, 'Duke 3'!A$3:$B1000,2, 0), 0)</f>
        <v>0</v>
      </c>
      <c r="G126" s="10">
        <f>IFERROR(VLOOKUP(B126, 'Duke 4'!A$3:$B1000,2, 0), 0)</f>
        <v>0</v>
      </c>
      <c r="H126" s="10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</row>
    <row r="127">
      <c r="A127" s="1">
        <f t="shared" si="1"/>
        <v>126</v>
      </c>
      <c r="B127" s="7" t="s">
        <v>95</v>
      </c>
      <c r="C127" s="8">
        <f t="shared" si="2"/>
        <v>0</v>
      </c>
      <c r="D127" s="9">
        <f>IFERROR(VLOOKUP(B127, 'Duke 1'!A$3:$B$85,2, 0), 0)</f>
        <v>0</v>
      </c>
      <c r="E127" s="9">
        <f>IFERROR(VLOOKUP(B127, 'Duke 2'!A$3:$B$522,2, 0), 0)</f>
        <v>0</v>
      </c>
      <c r="F127" s="10">
        <f>IFERROR(VLOOKUP(B127, 'Duke 3'!A$3:$B1000,2, 0), 0)</f>
        <v>0</v>
      </c>
      <c r="G127" s="10">
        <f>IFERROR(VLOOKUP(B127, 'Duke 4'!A$3:$B1000,2, 0), 0)</f>
        <v>0</v>
      </c>
      <c r="H127" s="10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</row>
    <row r="128">
      <c r="A128" s="1">
        <f t="shared" si="1"/>
        <v>127</v>
      </c>
      <c r="B128" s="7" t="s">
        <v>96</v>
      </c>
      <c r="C128" s="8">
        <f t="shared" si="2"/>
        <v>0</v>
      </c>
      <c r="D128" s="9">
        <f>IFERROR(VLOOKUP(B128, 'Duke 1'!A$3:$B$85,2, 0), 0)</f>
        <v>0</v>
      </c>
      <c r="E128" s="9">
        <f>IFERROR(VLOOKUP(B128, 'Duke 2'!A$3:$B$522,2, 0), 0)</f>
        <v>0</v>
      </c>
      <c r="F128" s="10">
        <f>IFERROR(VLOOKUP(B128, 'Duke 3'!A$3:$B1000,2, 0), 0)</f>
        <v>0</v>
      </c>
      <c r="G128" s="10">
        <f>IFERROR(VLOOKUP(B128, 'Duke 4'!A$3:$B1000,2, 0), 0)</f>
        <v>0</v>
      </c>
      <c r="H128" s="10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</row>
    <row r="129">
      <c r="A129" s="1">
        <f t="shared" si="1"/>
        <v>128</v>
      </c>
      <c r="B129" s="7" t="s">
        <v>97</v>
      </c>
      <c r="C129" s="8">
        <f t="shared" si="2"/>
        <v>0</v>
      </c>
      <c r="D129" s="9">
        <f>IFERROR(VLOOKUP(B129, 'Duke 1'!A$3:$B$85,2, 0), 0)</f>
        <v>0</v>
      </c>
      <c r="E129" s="9">
        <f>IFERROR(VLOOKUP(B129, 'Duke 2'!A$3:$B$522,2, 0), 0)</f>
        <v>0</v>
      </c>
      <c r="F129" s="10">
        <f>IFERROR(VLOOKUP(B129, 'Duke 3'!A$3:$B1000,2, 0), 0)</f>
        <v>0</v>
      </c>
      <c r="G129" s="10">
        <f>IFERROR(VLOOKUP(B129, 'Duke 4'!A$3:$B1000,2, 0), 0)</f>
        <v>0</v>
      </c>
      <c r="H129" s="10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</row>
    <row r="130">
      <c r="A130" s="1">
        <f t="shared" si="1"/>
        <v>129</v>
      </c>
      <c r="B130" s="7" t="s">
        <v>98</v>
      </c>
      <c r="C130" s="8">
        <f t="shared" si="2"/>
        <v>0</v>
      </c>
      <c r="D130" s="9">
        <f>IFERROR(VLOOKUP(B130, 'Duke 1'!A$3:$B$85,2, 0), 0)</f>
        <v>0</v>
      </c>
      <c r="E130" s="9">
        <f>IFERROR(VLOOKUP(B130, 'Duke 2'!A$3:$B$522,2, 0), 0)</f>
        <v>0</v>
      </c>
      <c r="F130" s="10">
        <f>IFERROR(VLOOKUP(B130, 'Duke 3'!A$3:$B1000,2, 0), 0)</f>
        <v>0</v>
      </c>
      <c r="G130" s="10">
        <f>IFERROR(VLOOKUP(B130, 'Duke 4'!A$3:$B1000,2, 0), 0)</f>
        <v>0</v>
      </c>
      <c r="H130" s="10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</row>
    <row r="131">
      <c r="A131" s="1">
        <f t="shared" si="1"/>
        <v>130</v>
      </c>
      <c r="B131" s="7" t="s">
        <v>99</v>
      </c>
      <c r="C131" s="8">
        <f t="shared" si="2"/>
        <v>0</v>
      </c>
      <c r="D131" s="9">
        <f>IFERROR(VLOOKUP(B131, 'Duke 1'!A$3:$B$85,2, 0), 0)</f>
        <v>0</v>
      </c>
      <c r="E131" s="9">
        <f>IFERROR(VLOOKUP(B131, 'Duke 2'!A$3:$B$522,2, 0), 0)</f>
        <v>0</v>
      </c>
      <c r="F131" s="10">
        <f>IFERROR(VLOOKUP(B131, 'Duke 3'!A$3:$B1000,2, 0), 0)</f>
        <v>0</v>
      </c>
      <c r="G131" s="10">
        <f>IFERROR(VLOOKUP(B131, 'Duke 4'!A$3:$B1000,2, 0), 0)</f>
        <v>0</v>
      </c>
      <c r="H131" s="10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</row>
    <row r="132">
      <c r="A132" s="1">
        <f t="shared" si="1"/>
        <v>131</v>
      </c>
      <c r="B132" s="7" t="s">
        <v>100</v>
      </c>
      <c r="C132" s="8">
        <f t="shared" si="2"/>
        <v>0</v>
      </c>
      <c r="D132" s="9">
        <f>IFERROR(VLOOKUP(B132, 'Duke 1'!A$3:$B$85,2, 0), 0)</f>
        <v>0</v>
      </c>
      <c r="E132" s="9">
        <f>IFERROR(VLOOKUP(B132, 'Duke 2'!A$3:$B$522,2, 0), 0)</f>
        <v>0</v>
      </c>
      <c r="F132" s="10">
        <f>IFERROR(VLOOKUP(B132, 'Duke 3'!A$3:$B1000,2, 0), 0)</f>
        <v>0</v>
      </c>
      <c r="G132" s="10">
        <f>IFERROR(VLOOKUP(B132, 'Duke 4'!A$3:$B1000,2, 0), 0)</f>
        <v>0</v>
      </c>
      <c r="H132" s="10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</row>
    <row r="133">
      <c r="A133" s="1">
        <f t="shared" si="1"/>
        <v>132</v>
      </c>
      <c r="B133" s="7" t="s">
        <v>101</v>
      </c>
      <c r="C133" s="8">
        <f t="shared" si="2"/>
        <v>0</v>
      </c>
      <c r="D133" s="9">
        <f>IFERROR(VLOOKUP(B133, 'Duke 1'!A$3:$B$85,2, 0), 0)</f>
        <v>0</v>
      </c>
      <c r="E133" s="9">
        <f>IFERROR(VLOOKUP(B133, 'Duke 2'!A$3:$B$522,2, 0), 0)</f>
        <v>0</v>
      </c>
      <c r="F133" s="10">
        <f>IFERROR(VLOOKUP(B133, 'Duke 3'!A$3:$B1000,2, 0), 0)</f>
        <v>0</v>
      </c>
      <c r="G133" s="10">
        <f>IFERROR(VLOOKUP(B133, 'Duke 4'!A$3:$B1000,2, 0), 0)</f>
        <v>0</v>
      </c>
      <c r="H133" s="10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</row>
    <row r="134">
      <c r="A134" s="1">
        <f t="shared" si="1"/>
        <v>133</v>
      </c>
      <c r="B134" s="7" t="s">
        <v>102</v>
      </c>
      <c r="C134" s="8">
        <f t="shared" si="2"/>
        <v>0</v>
      </c>
      <c r="D134" s="9">
        <f>IFERROR(VLOOKUP(B134, 'Duke 1'!A$3:$B$85,2, 0), 0)</f>
        <v>0</v>
      </c>
      <c r="E134" s="9">
        <f>IFERROR(VLOOKUP(B134, 'Duke 2'!A$3:$B$522,2, 0), 0)</f>
        <v>0</v>
      </c>
      <c r="F134" s="10">
        <f>IFERROR(VLOOKUP(B134, 'Duke 3'!A$3:$B1000,2, 0), 0)</f>
        <v>0</v>
      </c>
      <c r="G134" s="10">
        <f>IFERROR(VLOOKUP(B134, 'Duke 4'!A$3:$B1000,2, 0), 0)</f>
        <v>0</v>
      </c>
      <c r="H134" s="10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</row>
    <row r="135">
      <c r="A135" s="1">
        <f t="shared" si="1"/>
        <v>134</v>
      </c>
      <c r="B135" s="7" t="s">
        <v>103</v>
      </c>
      <c r="C135" s="8">
        <f t="shared" si="2"/>
        <v>0</v>
      </c>
      <c r="D135" s="9">
        <f>IFERROR(VLOOKUP(B135, 'Duke 1'!A$3:$B$85,2, 0), 0)</f>
        <v>0</v>
      </c>
      <c r="E135" s="9">
        <f>IFERROR(VLOOKUP(B135, 'Duke 2'!A$3:$B$522,2, 0), 0)</f>
        <v>0</v>
      </c>
      <c r="F135" s="10">
        <f>IFERROR(VLOOKUP(B135, 'Duke 3'!A$3:$B1000,2, 0), 0)</f>
        <v>0</v>
      </c>
      <c r="G135" s="10">
        <f>IFERROR(VLOOKUP(B135, 'Duke 4'!A$3:$B1000,2, 0), 0)</f>
        <v>0</v>
      </c>
      <c r="H135" s="10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</row>
    <row r="136">
      <c r="A136" s="1">
        <f t="shared" si="1"/>
        <v>135</v>
      </c>
      <c r="B136" s="7" t="s">
        <v>104</v>
      </c>
      <c r="C136" s="8">
        <f t="shared" si="2"/>
        <v>0</v>
      </c>
      <c r="D136" s="9">
        <f>IFERROR(VLOOKUP(B136, 'Duke 1'!A$3:$B$85,2, 0), 0)</f>
        <v>0</v>
      </c>
      <c r="E136" s="9">
        <f>IFERROR(VLOOKUP(B136, 'Duke 2'!A$3:$B$522,2, 0), 0)</f>
        <v>0</v>
      </c>
      <c r="F136" s="10">
        <f>IFERROR(VLOOKUP(B136, 'Duke 3'!A$3:$B1000,2, 0), 0)</f>
        <v>0</v>
      </c>
      <c r="G136" s="10">
        <f>IFERROR(VLOOKUP(B136, 'Duke 4'!A$3:$B1000,2, 0), 0)</f>
        <v>0</v>
      </c>
      <c r="H136" s="10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</row>
    <row r="137">
      <c r="A137" s="1">
        <f t="shared" si="1"/>
        <v>136</v>
      </c>
      <c r="B137" s="7" t="s">
        <v>105</v>
      </c>
      <c r="C137" s="8">
        <f t="shared" si="2"/>
        <v>0</v>
      </c>
      <c r="D137" s="9">
        <f>IFERROR(VLOOKUP(B137, 'Duke 1'!A$3:$B$85,2, 0), 0)</f>
        <v>0</v>
      </c>
      <c r="E137" s="9">
        <f>IFERROR(VLOOKUP(B137, 'Duke 2'!A$3:$B$522,2, 0), 0)</f>
        <v>0</v>
      </c>
      <c r="F137" s="10">
        <f>IFERROR(VLOOKUP(B137, 'Duke 3'!A$3:$B1000,2, 0), 0)</f>
        <v>0</v>
      </c>
      <c r="G137" s="10">
        <f>IFERROR(VLOOKUP(B137, 'Duke 4'!A$3:$B1000,2, 0), 0)</f>
        <v>0</v>
      </c>
      <c r="H137" s="10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</row>
    <row r="138">
      <c r="A138" s="1">
        <f t="shared" si="1"/>
        <v>137</v>
      </c>
      <c r="B138" s="7" t="s">
        <v>106</v>
      </c>
      <c r="C138" s="8">
        <f t="shared" si="2"/>
        <v>0</v>
      </c>
      <c r="D138" s="9">
        <f>IFERROR(VLOOKUP(B138, 'Duke 1'!A$3:$B$85,2, 0), 0)</f>
        <v>0</v>
      </c>
      <c r="E138" s="9">
        <f>IFERROR(VLOOKUP(B138, 'Duke 2'!A$3:$B$522,2, 0), 0)</f>
        <v>0</v>
      </c>
      <c r="F138" s="10">
        <f>IFERROR(VLOOKUP(B138, 'Duke 3'!A$3:$B1000,2, 0), 0)</f>
        <v>0</v>
      </c>
      <c r="G138" s="10">
        <f>IFERROR(VLOOKUP(B138, 'Duke 4'!A$3:$B1000,2, 0), 0)</f>
        <v>0</v>
      </c>
      <c r="H138" s="10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</row>
    <row r="139">
      <c r="A139" s="1">
        <f t="shared" si="1"/>
        <v>138</v>
      </c>
      <c r="B139" s="7" t="s">
        <v>107</v>
      </c>
      <c r="C139" s="8">
        <f t="shared" si="2"/>
        <v>0</v>
      </c>
      <c r="D139" s="9">
        <f>IFERROR(VLOOKUP(B139, 'Duke 1'!A$3:$B$85,2, 0), 0)</f>
        <v>0</v>
      </c>
      <c r="E139" s="9">
        <f>IFERROR(VLOOKUP(B139, 'Duke 2'!A$3:$B$522,2, 0), 0)</f>
        <v>0</v>
      </c>
      <c r="F139" s="10">
        <f>IFERROR(VLOOKUP(B139, 'Duke 3'!A$3:$B1000,2, 0), 0)</f>
        <v>0</v>
      </c>
      <c r="G139" s="10">
        <f>IFERROR(VLOOKUP(B139, 'Duke 4'!A$3:$B1000,2, 0), 0)</f>
        <v>0</v>
      </c>
      <c r="H139" s="10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</row>
    <row r="140">
      <c r="A140" s="1">
        <f t="shared" si="1"/>
        <v>139</v>
      </c>
      <c r="B140" s="7" t="s">
        <v>108</v>
      </c>
      <c r="C140" s="8">
        <f t="shared" si="2"/>
        <v>0</v>
      </c>
      <c r="D140" s="9">
        <f>IFERROR(VLOOKUP(B140, 'Duke 1'!A$3:$B$85,2, 0), 0)</f>
        <v>0</v>
      </c>
      <c r="E140" s="9">
        <f>IFERROR(VLOOKUP(B140, 'Duke 2'!A$3:$B$522,2, 0), 0)</f>
        <v>0</v>
      </c>
      <c r="F140" s="10">
        <f>IFERROR(VLOOKUP(B140, 'Duke 3'!A$3:$B1000,2, 0), 0)</f>
        <v>0</v>
      </c>
      <c r="G140" s="10">
        <f>IFERROR(VLOOKUP(B140, 'Duke 4'!A$3:$B1000,2, 0), 0)</f>
        <v>0</v>
      </c>
      <c r="H140" s="10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</row>
    <row r="141">
      <c r="A141" s="1">
        <f t="shared" si="1"/>
        <v>140</v>
      </c>
      <c r="B141" s="7" t="s">
        <v>109</v>
      </c>
      <c r="C141" s="8">
        <f t="shared" si="2"/>
        <v>0</v>
      </c>
      <c r="D141" s="9">
        <f>IFERROR(VLOOKUP(B141, 'Duke 1'!A$3:$B$85,2, 0), 0)</f>
        <v>0</v>
      </c>
      <c r="E141" s="9">
        <f>IFERROR(VLOOKUP(B141, 'Duke 2'!A$3:$B$522,2, 0), 0)</f>
        <v>0</v>
      </c>
      <c r="F141" s="10">
        <f>IFERROR(VLOOKUP(B141, 'Duke 3'!A$3:$B1000,2, 0), 0)</f>
        <v>0</v>
      </c>
      <c r="G141" s="10">
        <f>IFERROR(VLOOKUP(B141, 'Duke 4'!A$3:$B1000,2, 0), 0)</f>
        <v>0</v>
      </c>
      <c r="H141" s="10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</row>
    <row r="142">
      <c r="A142" s="1">
        <f t="shared" si="1"/>
        <v>141</v>
      </c>
      <c r="B142" s="7" t="s">
        <v>110</v>
      </c>
      <c r="C142" s="8">
        <f t="shared" si="2"/>
        <v>0</v>
      </c>
      <c r="D142" s="9">
        <f>IFERROR(VLOOKUP(B142, 'Duke 1'!A$3:$B$85,2, 0), 0)</f>
        <v>0</v>
      </c>
      <c r="E142" s="9">
        <f>IFERROR(VLOOKUP(B142, 'Duke 2'!A$3:$B$522,2, 0), 0)</f>
        <v>0</v>
      </c>
      <c r="F142" s="10">
        <f>IFERROR(VLOOKUP(B142, 'Duke 3'!A$3:$B1000,2, 0), 0)</f>
        <v>0</v>
      </c>
      <c r="G142" s="10">
        <f>IFERROR(VLOOKUP(B142, 'Duke 4'!A$3:$B1000,2, 0), 0)</f>
        <v>0</v>
      </c>
      <c r="H142" s="10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</row>
    <row r="143">
      <c r="A143" s="1">
        <f t="shared" si="1"/>
        <v>142</v>
      </c>
      <c r="B143" s="7" t="s">
        <v>111</v>
      </c>
      <c r="C143" s="8">
        <f t="shared" si="2"/>
        <v>0</v>
      </c>
      <c r="D143" s="9">
        <f>IFERROR(VLOOKUP(B143, 'Duke 1'!A$3:$B$85,2, 0), 0)</f>
        <v>0</v>
      </c>
      <c r="E143" s="9">
        <f>IFERROR(VLOOKUP(B143, 'Duke 2'!A$3:$B$522,2, 0), 0)</f>
        <v>0</v>
      </c>
      <c r="F143" s="10">
        <f>IFERROR(VLOOKUP(B143, 'Duke 3'!A$3:$B1000,2, 0), 0)</f>
        <v>0</v>
      </c>
      <c r="G143" s="10">
        <f>IFERROR(VLOOKUP(B143, 'Duke 4'!A$3:$B1000,2, 0), 0)</f>
        <v>0</v>
      </c>
      <c r="H143" s="10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</row>
    <row r="144">
      <c r="A144" s="1">
        <f t="shared" si="1"/>
        <v>143</v>
      </c>
      <c r="B144" s="7" t="s">
        <v>112</v>
      </c>
      <c r="C144" s="8">
        <f t="shared" si="2"/>
        <v>0</v>
      </c>
      <c r="D144" s="9">
        <f>IFERROR(VLOOKUP(B144, 'Duke 1'!A$3:$B$85,2, 0), 0)</f>
        <v>0</v>
      </c>
      <c r="E144" s="9">
        <f>IFERROR(VLOOKUP(B144, 'Duke 2'!A$3:$B$522,2, 0), 0)</f>
        <v>0</v>
      </c>
      <c r="F144" s="10">
        <f>IFERROR(VLOOKUP(B144, 'Duke 3'!A$3:$B1000,2, 0), 0)</f>
        <v>0</v>
      </c>
      <c r="G144" s="10">
        <f>IFERROR(VLOOKUP(B144, 'Duke 4'!A$3:$B1000,2, 0), 0)</f>
        <v>0</v>
      </c>
      <c r="H144" s="10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</row>
    <row r="145">
      <c r="A145" s="1">
        <f t="shared" si="1"/>
        <v>144</v>
      </c>
      <c r="B145" s="7" t="s">
        <v>113</v>
      </c>
      <c r="C145" s="8">
        <f t="shared" si="2"/>
        <v>0</v>
      </c>
      <c r="D145" s="9">
        <f>IFERROR(VLOOKUP(B145, 'Duke 1'!A$3:$B$85,2, 0), 0)</f>
        <v>0</v>
      </c>
      <c r="E145" s="9">
        <f>IFERROR(VLOOKUP(B145, 'Duke 2'!A$3:$B$522,2, 0), 0)</f>
        <v>0</v>
      </c>
      <c r="F145" s="10">
        <f>IFERROR(VLOOKUP(B145, 'Duke 3'!A$3:$B1000,2, 0), 0)</f>
        <v>0</v>
      </c>
      <c r="G145" s="10">
        <f>IFERROR(VLOOKUP(B145, 'Duke 4'!A$3:$B1000,2, 0), 0)</f>
        <v>0</v>
      </c>
      <c r="H145" s="10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</row>
    <row r="146">
      <c r="A146" s="1">
        <f t="shared" si="1"/>
        <v>145</v>
      </c>
      <c r="B146" s="7" t="s">
        <v>114</v>
      </c>
      <c r="C146" s="8">
        <f t="shared" si="2"/>
        <v>0</v>
      </c>
      <c r="D146" s="9">
        <f>IFERROR(VLOOKUP(B146, 'Duke 1'!A$3:$B$85,2, 0), 0)</f>
        <v>0</v>
      </c>
      <c r="E146" s="9">
        <f>IFERROR(VLOOKUP(B146, 'Duke 2'!A$3:$B$522,2, 0), 0)</f>
        <v>0</v>
      </c>
      <c r="F146" s="10">
        <f>IFERROR(VLOOKUP(B146, 'Duke 3'!A$3:$B1000,2, 0), 0)</f>
        <v>0</v>
      </c>
      <c r="G146" s="10">
        <f>IFERROR(VLOOKUP(B146, 'Duke 4'!A$3:$B1000,2, 0), 0)</f>
        <v>0</v>
      </c>
      <c r="H146" s="10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</row>
    <row r="147">
      <c r="A147" s="1">
        <f t="shared" si="1"/>
        <v>146</v>
      </c>
      <c r="B147" s="7" t="s">
        <v>115</v>
      </c>
      <c r="C147" s="8">
        <f t="shared" si="2"/>
        <v>0</v>
      </c>
      <c r="D147" s="9">
        <f>IFERROR(VLOOKUP(B147, 'Duke 1'!A$3:$B$85,2, 0), 0)</f>
        <v>0</v>
      </c>
      <c r="E147" s="9">
        <f>IFERROR(VLOOKUP(B147, 'Duke 2'!A$3:$B$522,2, 0), 0)</f>
        <v>0</v>
      </c>
      <c r="F147" s="10">
        <f>IFERROR(VLOOKUP(B147, 'Duke 3'!A$3:$B1000,2, 0), 0)</f>
        <v>0</v>
      </c>
      <c r="G147" s="10">
        <f>IFERROR(VLOOKUP(B147, 'Duke 4'!A$3:$B1000,2, 0), 0)</f>
        <v>0</v>
      </c>
      <c r="H147" s="10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</row>
    <row r="148">
      <c r="A148" s="1">
        <f t="shared" si="1"/>
        <v>147</v>
      </c>
      <c r="B148" s="7" t="s">
        <v>116</v>
      </c>
      <c r="C148" s="8">
        <f t="shared" si="2"/>
        <v>0</v>
      </c>
      <c r="D148" s="9">
        <f>IFERROR(VLOOKUP(B148, 'Duke 1'!A$3:$B$85,2, 0), 0)</f>
        <v>0</v>
      </c>
      <c r="E148" s="9">
        <f>IFERROR(VLOOKUP(B148, 'Duke 2'!A$3:$B$522,2, 0), 0)</f>
        <v>0</v>
      </c>
      <c r="F148" s="10">
        <f>IFERROR(VLOOKUP(B148, 'Duke 3'!A$3:$B1000,2, 0), 0)</f>
        <v>0</v>
      </c>
      <c r="G148" s="10">
        <f>IFERROR(VLOOKUP(B148, 'Duke 4'!A$3:$B1000,2, 0), 0)</f>
        <v>0</v>
      </c>
      <c r="H148" s="10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</row>
    <row r="149">
      <c r="A149" s="1">
        <f t="shared" si="1"/>
        <v>148</v>
      </c>
      <c r="B149" s="7" t="s">
        <v>117</v>
      </c>
      <c r="C149" s="8">
        <f t="shared" si="2"/>
        <v>0</v>
      </c>
      <c r="D149" s="9">
        <f>IFERROR(VLOOKUP(B149, 'Duke 1'!A$3:$B$85,2, 0), 0)</f>
        <v>0</v>
      </c>
      <c r="E149" s="9">
        <f>IFERROR(VLOOKUP(B149, 'Duke 2'!A$3:$B$522,2, 0), 0)</f>
        <v>0</v>
      </c>
      <c r="F149" s="10">
        <f>IFERROR(VLOOKUP(B149, 'Duke 3'!A$3:$B1000,2, 0), 0)</f>
        <v>0</v>
      </c>
      <c r="G149" s="10">
        <f>IFERROR(VLOOKUP(B149, 'Duke 4'!A$3:$B1000,2, 0), 0)</f>
        <v>0</v>
      </c>
      <c r="H149" s="10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</row>
    <row r="150">
      <c r="A150" s="1">
        <f t="shared" si="1"/>
        <v>149</v>
      </c>
      <c r="B150" s="7" t="s">
        <v>118</v>
      </c>
      <c r="C150" s="8">
        <f t="shared" si="2"/>
        <v>0</v>
      </c>
      <c r="D150" s="9">
        <f>IFERROR(VLOOKUP(B150, 'Duke 1'!A$3:$B$85,2, 0), 0)</f>
        <v>0</v>
      </c>
      <c r="E150" s="9">
        <f>IFERROR(VLOOKUP(B150, 'Duke 2'!A$3:$B$522,2, 0), 0)</f>
        <v>0</v>
      </c>
      <c r="F150" s="10">
        <f>IFERROR(VLOOKUP(B150, 'Duke 3'!A$3:$B1000,2, 0), 0)</f>
        <v>0</v>
      </c>
      <c r="G150" s="10">
        <f>IFERROR(VLOOKUP(B150, 'Duke 4'!A$3:$B1000,2, 0), 0)</f>
        <v>0</v>
      </c>
      <c r="H150" s="10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</row>
    <row r="151">
      <c r="A151" s="1">
        <f t="shared" si="1"/>
        <v>150</v>
      </c>
      <c r="B151" s="7" t="s">
        <v>119</v>
      </c>
      <c r="C151" s="8">
        <f t="shared" si="2"/>
        <v>0</v>
      </c>
      <c r="D151" s="9">
        <f>IFERROR(VLOOKUP(B151, 'Duke 1'!A$3:$B$85,2, 0), 0)</f>
        <v>0</v>
      </c>
      <c r="E151" s="9">
        <f>IFERROR(VLOOKUP(B151, 'Duke 2'!A$3:$B$522,2, 0), 0)</f>
        <v>0</v>
      </c>
      <c r="F151" s="10">
        <f>IFERROR(VLOOKUP(B151, 'Duke 3'!A$3:$B1000,2, 0), 0)</f>
        <v>0</v>
      </c>
      <c r="G151" s="10">
        <f>IFERROR(VLOOKUP(B151, 'Duke 4'!A$3:$B1000,2, 0), 0)</f>
        <v>0</v>
      </c>
      <c r="H151" s="10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</row>
    <row r="152">
      <c r="A152" s="1">
        <f t="shared" si="1"/>
        <v>151</v>
      </c>
      <c r="B152" s="7" t="s">
        <v>120</v>
      </c>
      <c r="C152" s="8">
        <f t="shared" si="2"/>
        <v>0</v>
      </c>
      <c r="D152" s="9">
        <f>IFERROR(VLOOKUP(B152, 'Duke 1'!A$3:$B$85,2, 0), 0)</f>
        <v>0</v>
      </c>
      <c r="E152" s="9">
        <f>IFERROR(VLOOKUP(B152, 'Duke 2'!A$3:$B$522,2, 0), 0)</f>
        <v>0</v>
      </c>
      <c r="F152" s="10">
        <f>IFERROR(VLOOKUP(B152, 'Duke 3'!A$3:$B1000,2, 0), 0)</f>
        <v>0</v>
      </c>
      <c r="G152" s="10">
        <f>IFERROR(VLOOKUP(B152, 'Duke 4'!A$3:$B1000,2, 0), 0)</f>
        <v>0</v>
      </c>
      <c r="H152" s="10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</row>
    <row r="153">
      <c r="A153" s="1">
        <f t="shared" si="1"/>
        <v>152</v>
      </c>
      <c r="B153" s="7" t="s">
        <v>121</v>
      </c>
      <c r="C153" s="8">
        <f t="shared" si="2"/>
        <v>0</v>
      </c>
      <c r="D153" s="9">
        <f>IFERROR(VLOOKUP(B153, 'Duke 1'!A$3:$B$85,2, 0), 0)</f>
        <v>0</v>
      </c>
      <c r="E153" s="9">
        <f>IFERROR(VLOOKUP(B153, 'Duke 2'!A$3:$B$522,2, 0), 0)</f>
        <v>0</v>
      </c>
      <c r="F153" s="10">
        <f>IFERROR(VLOOKUP(B153, 'Duke 3'!A$3:$B1000,2, 0), 0)</f>
        <v>0</v>
      </c>
      <c r="G153" s="10">
        <f>IFERROR(VLOOKUP(B153, 'Duke 4'!A$3:$B1000,2, 0), 0)</f>
        <v>0</v>
      </c>
      <c r="H153" s="10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</row>
    <row r="154">
      <c r="A154" s="1">
        <f t="shared" si="1"/>
        <v>153</v>
      </c>
      <c r="B154" s="7" t="s">
        <v>122</v>
      </c>
      <c r="C154" s="8">
        <f t="shared" si="2"/>
        <v>0</v>
      </c>
      <c r="D154" s="9">
        <f>IFERROR(VLOOKUP(B154, 'Duke 1'!A$3:$B$85,2, 0), 0)</f>
        <v>0</v>
      </c>
      <c r="E154" s="9">
        <f>IFERROR(VLOOKUP(B154, 'Duke 2'!A$3:$B$522,2, 0), 0)</f>
        <v>0</v>
      </c>
      <c r="F154" s="10">
        <f>IFERROR(VLOOKUP(B154, 'Duke 3'!A$3:$B1000,2, 0), 0)</f>
        <v>0</v>
      </c>
      <c r="G154" s="10">
        <f>IFERROR(VLOOKUP(B154, 'Duke 4'!A$3:$B1000,2, 0), 0)</f>
        <v>0</v>
      </c>
      <c r="H154" s="10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</row>
    <row r="155">
      <c r="A155" s="1">
        <f t="shared" si="1"/>
        <v>154</v>
      </c>
      <c r="B155" s="7" t="s">
        <v>123</v>
      </c>
      <c r="C155" s="8">
        <f t="shared" si="2"/>
        <v>0</v>
      </c>
      <c r="D155" s="9">
        <f>IFERROR(VLOOKUP(B155, 'Duke 1'!A$3:$B$85,2, 0), 0)</f>
        <v>0</v>
      </c>
      <c r="E155" s="9">
        <f>IFERROR(VLOOKUP(B155, 'Duke 2'!A$3:$B$522,2, 0), 0)</f>
        <v>0</v>
      </c>
      <c r="F155" s="10">
        <f>IFERROR(VLOOKUP(B155, 'Duke 3'!A$3:$B1000,2, 0), 0)</f>
        <v>0</v>
      </c>
      <c r="G155" s="10">
        <f>IFERROR(VLOOKUP(B155, 'Duke 4'!A$3:$B1000,2, 0), 0)</f>
        <v>0</v>
      </c>
      <c r="H155" s="10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</row>
    <row r="156">
      <c r="A156" s="1">
        <f t="shared" si="1"/>
        <v>155</v>
      </c>
      <c r="B156" s="7" t="s">
        <v>124</v>
      </c>
      <c r="C156" s="8">
        <f t="shared" si="2"/>
        <v>0</v>
      </c>
      <c r="D156" s="9">
        <f>IFERROR(VLOOKUP(B156, 'Duke 1'!A$3:$B$85,2, 0), 0)</f>
        <v>0</v>
      </c>
      <c r="E156" s="9">
        <f>IFERROR(VLOOKUP(B156, 'Duke 2'!A$3:$B$522,2, 0), 0)</f>
        <v>0</v>
      </c>
      <c r="F156" s="10">
        <f>IFERROR(VLOOKUP(B156, 'Duke 3'!A$3:$B1000,2, 0), 0)</f>
        <v>0</v>
      </c>
      <c r="G156" s="10">
        <f>IFERROR(VLOOKUP(B156, 'Duke 4'!A$3:$B1000,2, 0), 0)</f>
        <v>0</v>
      </c>
      <c r="H156" s="10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</row>
    <row r="157">
      <c r="A157" s="1">
        <f t="shared" si="1"/>
        <v>156</v>
      </c>
      <c r="B157" s="7" t="s">
        <v>125</v>
      </c>
      <c r="C157" s="8">
        <f t="shared" si="2"/>
        <v>0</v>
      </c>
      <c r="D157" s="9">
        <f>IFERROR(VLOOKUP(B157, 'Duke 1'!A$3:$B$85,2, 0), 0)</f>
        <v>0</v>
      </c>
      <c r="E157" s="9">
        <f>IFERROR(VLOOKUP(B157, 'Duke 2'!A$3:$B$522,2, 0), 0)</f>
        <v>0</v>
      </c>
      <c r="F157" s="10">
        <f>IFERROR(VLOOKUP(B157, 'Duke 3'!A$3:$B1000,2, 0), 0)</f>
        <v>0</v>
      </c>
      <c r="G157" s="10">
        <f>IFERROR(VLOOKUP(B157, 'Duke 4'!A$3:$B1000,2, 0), 0)</f>
        <v>0</v>
      </c>
      <c r="H157" s="10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</row>
    <row r="158">
      <c r="A158" s="1">
        <f t="shared" si="1"/>
        <v>157</v>
      </c>
      <c r="B158" s="7" t="s">
        <v>126</v>
      </c>
      <c r="C158" s="8">
        <f t="shared" si="2"/>
        <v>0</v>
      </c>
      <c r="D158" s="9">
        <f>IFERROR(VLOOKUP(B158, 'Duke 1'!A$3:$B$85,2, 0), 0)</f>
        <v>0</v>
      </c>
      <c r="E158" s="9">
        <f>IFERROR(VLOOKUP(B158, 'Duke 2'!A$3:$B$522,2, 0), 0)</f>
        <v>0</v>
      </c>
      <c r="F158" s="10">
        <f>IFERROR(VLOOKUP(B158, 'Duke 3'!A$3:$B1000,2, 0), 0)</f>
        <v>0</v>
      </c>
      <c r="G158" s="10">
        <f>IFERROR(VLOOKUP(B158, 'Duke 4'!A$3:$B1000,2, 0), 0)</f>
        <v>0</v>
      </c>
      <c r="H158" s="10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</row>
    <row r="159">
      <c r="A159" s="1">
        <f t="shared" si="1"/>
        <v>158</v>
      </c>
      <c r="B159" s="7" t="s">
        <v>127</v>
      </c>
      <c r="C159" s="8">
        <f t="shared" si="2"/>
        <v>0</v>
      </c>
      <c r="D159" s="9">
        <f>IFERROR(VLOOKUP(B159, 'Duke 1'!A$3:$B$85,2, 0), 0)</f>
        <v>0</v>
      </c>
      <c r="E159" s="9">
        <f>IFERROR(VLOOKUP(B159, 'Duke 2'!A$3:$B$522,2, 0), 0)</f>
        <v>0</v>
      </c>
      <c r="F159" s="10">
        <f>IFERROR(VLOOKUP(B159, 'Duke 3'!A$3:$B1000,2, 0), 0)</f>
        <v>0</v>
      </c>
      <c r="G159" s="10">
        <f>IFERROR(VLOOKUP(B159, 'Duke 4'!A$3:$B1000,2, 0), 0)</f>
        <v>0</v>
      </c>
      <c r="H159" s="10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</row>
    <row r="160">
      <c r="A160" s="1">
        <f t="shared" si="1"/>
        <v>159</v>
      </c>
      <c r="B160" s="7" t="s">
        <v>128</v>
      </c>
      <c r="C160" s="8">
        <f t="shared" si="2"/>
        <v>0</v>
      </c>
      <c r="D160" s="9">
        <f>IFERROR(VLOOKUP(B160, 'Duke 1'!A$3:$B$85,2, 0), 0)</f>
        <v>0</v>
      </c>
      <c r="E160" s="9">
        <f>IFERROR(VLOOKUP(B160, 'Duke 2'!A$3:$B$522,2, 0), 0)</f>
        <v>0</v>
      </c>
      <c r="F160" s="10">
        <f>IFERROR(VLOOKUP(B160, 'Duke 3'!A$3:$B1000,2, 0), 0)</f>
        <v>0</v>
      </c>
      <c r="G160" s="10">
        <f>IFERROR(VLOOKUP(B160, 'Duke 4'!A$3:$B1000,2, 0), 0)</f>
        <v>0</v>
      </c>
      <c r="H160" s="10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</row>
    <row r="161">
      <c r="A161" s="1">
        <f t="shared" si="1"/>
        <v>160</v>
      </c>
      <c r="B161" s="7" t="s">
        <v>129</v>
      </c>
      <c r="C161" s="8">
        <f t="shared" si="2"/>
        <v>0</v>
      </c>
      <c r="D161" s="9">
        <f>IFERROR(VLOOKUP(B161, 'Duke 1'!A$3:$B$85,2, 0), 0)</f>
        <v>0</v>
      </c>
      <c r="E161" s="9">
        <f>IFERROR(VLOOKUP(B161, 'Duke 2'!A$3:$B$522,2, 0), 0)</f>
        <v>0</v>
      </c>
      <c r="F161" s="10">
        <f>IFERROR(VLOOKUP(B161, 'Duke 3'!A$3:$B1000,2, 0), 0)</f>
        <v>0</v>
      </c>
      <c r="G161" s="10">
        <f>IFERROR(VLOOKUP(B161, 'Duke 4'!A$3:$B1000,2, 0), 0)</f>
        <v>0</v>
      </c>
      <c r="H161" s="10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</row>
    <row r="162">
      <c r="A162" s="1">
        <f t="shared" si="1"/>
        <v>161</v>
      </c>
      <c r="B162" s="7" t="s">
        <v>130</v>
      </c>
      <c r="C162" s="8">
        <f t="shared" si="2"/>
        <v>0</v>
      </c>
      <c r="D162" s="9">
        <f>IFERROR(VLOOKUP(B162, 'Duke 1'!A$3:$B$85,2, 0), 0)</f>
        <v>0</v>
      </c>
      <c r="E162" s="9">
        <f>IFERROR(VLOOKUP(B162, 'Duke 2'!A$3:$B$522,2, 0), 0)</f>
        <v>0</v>
      </c>
      <c r="F162" s="10">
        <f>IFERROR(VLOOKUP(B162, 'Duke 3'!A$3:$B1000,2, 0), 0)</f>
        <v>0</v>
      </c>
      <c r="G162" s="10">
        <f>IFERROR(VLOOKUP(B162, 'Duke 4'!A$3:$B1000,2, 0), 0)</f>
        <v>0</v>
      </c>
      <c r="H162" s="10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</row>
    <row r="163">
      <c r="A163" s="1">
        <f t="shared" si="1"/>
        <v>162</v>
      </c>
      <c r="B163" s="7" t="s">
        <v>131</v>
      </c>
      <c r="C163" s="8">
        <f t="shared" si="2"/>
        <v>0</v>
      </c>
      <c r="D163" s="9">
        <f>IFERROR(VLOOKUP(B163, 'Duke 1'!A$3:$B$85,2, 0), 0)</f>
        <v>0</v>
      </c>
      <c r="E163" s="9">
        <f>IFERROR(VLOOKUP(B163, 'Duke 2'!A$3:$B$522,2, 0), 0)</f>
        <v>0</v>
      </c>
      <c r="F163" s="10">
        <f>IFERROR(VLOOKUP(B163, 'Duke 3'!A$3:$B1000,2, 0), 0)</f>
        <v>0</v>
      </c>
      <c r="G163" s="10">
        <f>IFERROR(VLOOKUP(B163, 'Duke 4'!A$3:$B1000,2, 0), 0)</f>
        <v>0</v>
      </c>
      <c r="H163" s="10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</row>
    <row r="164">
      <c r="A164" s="1">
        <f t="shared" si="1"/>
        <v>163</v>
      </c>
      <c r="B164" s="7" t="s">
        <v>132</v>
      </c>
      <c r="C164" s="8">
        <f t="shared" si="2"/>
        <v>0</v>
      </c>
      <c r="D164" s="9">
        <f>IFERROR(VLOOKUP(B164, 'Duke 1'!A$3:$B$85,2, 0), 0)</f>
        <v>0</v>
      </c>
      <c r="E164" s="9">
        <f>IFERROR(VLOOKUP(B164, 'Duke 2'!A$3:$B$522,2, 0), 0)</f>
        <v>0</v>
      </c>
      <c r="F164" s="10">
        <f>IFERROR(VLOOKUP(B164, 'Duke 3'!A$3:$B1000,2, 0), 0)</f>
        <v>0</v>
      </c>
      <c r="G164" s="10">
        <f>IFERROR(VLOOKUP(B164, 'Duke 4'!A$3:$B1000,2, 0), 0)</f>
        <v>0</v>
      </c>
      <c r="H164" s="10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</row>
    <row r="165">
      <c r="A165" s="1">
        <f t="shared" si="1"/>
        <v>164</v>
      </c>
      <c r="B165" s="7" t="s">
        <v>133</v>
      </c>
      <c r="C165" s="8">
        <f t="shared" si="2"/>
        <v>0</v>
      </c>
      <c r="D165" s="9">
        <f>IFERROR(VLOOKUP(B165, 'Duke 1'!A$3:$B$85,2, 0), 0)</f>
        <v>0</v>
      </c>
      <c r="E165" s="9">
        <f>IFERROR(VLOOKUP(B165, 'Duke 2'!A$3:$B$522,2, 0), 0)</f>
        <v>0</v>
      </c>
      <c r="F165" s="10">
        <f>IFERROR(VLOOKUP(B165, 'Duke 3'!A$3:$B1000,2, 0), 0)</f>
        <v>0</v>
      </c>
      <c r="G165" s="10">
        <f>IFERROR(VLOOKUP(B165, 'Duke 4'!A$3:$B1000,2, 0), 0)</f>
        <v>0</v>
      </c>
      <c r="H165" s="10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</row>
    <row r="166">
      <c r="A166" s="1">
        <f t="shared" si="1"/>
        <v>165</v>
      </c>
      <c r="B166" s="7" t="s">
        <v>134</v>
      </c>
      <c r="C166" s="8">
        <f t="shared" si="2"/>
        <v>0</v>
      </c>
      <c r="D166" s="9">
        <f>IFERROR(VLOOKUP(B166, 'Duke 1'!A$3:$B$85,2, 0), 0)</f>
        <v>0</v>
      </c>
      <c r="E166" s="9">
        <f>IFERROR(VLOOKUP(B166, 'Duke 2'!A$3:$B$522,2, 0), 0)</f>
        <v>0</v>
      </c>
      <c r="F166" s="10">
        <f>IFERROR(VLOOKUP(B166, 'Duke 3'!A$3:$B1000,2, 0), 0)</f>
        <v>0</v>
      </c>
      <c r="G166" s="10">
        <f>IFERROR(VLOOKUP(B166, 'Duke 4'!A$3:$B1000,2, 0), 0)</f>
        <v>0</v>
      </c>
      <c r="H166" s="10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</row>
    <row r="167">
      <c r="A167" s="1">
        <f t="shared" si="1"/>
        <v>166</v>
      </c>
      <c r="B167" s="7" t="s">
        <v>135</v>
      </c>
      <c r="C167" s="8">
        <f t="shared" si="2"/>
        <v>0</v>
      </c>
      <c r="D167" s="9">
        <f>IFERROR(VLOOKUP(B167, 'Duke 1'!A$3:$B$85,2, 0), 0)</f>
        <v>0</v>
      </c>
      <c r="E167" s="9">
        <f>IFERROR(VLOOKUP(B167, 'Duke 2'!A$3:$B$522,2, 0), 0)</f>
        <v>0</v>
      </c>
      <c r="F167" s="10">
        <f>IFERROR(VLOOKUP(B167, 'Duke 3'!A$3:$B1000,2, 0), 0)</f>
        <v>0</v>
      </c>
      <c r="G167" s="10">
        <f>IFERROR(VLOOKUP(B167, 'Duke 4'!A$3:$B1000,2, 0), 0)</f>
        <v>0</v>
      </c>
      <c r="H167" s="10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</row>
    <row r="168">
      <c r="A168" s="1">
        <f t="shared" si="1"/>
        <v>167</v>
      </c>
      <c r="B168" s="7" t="s">
        <v>136</v>
      </c>
      <c r="C168" s="8">
        <f t="shared" si="2"/>
        <v>0</v>
      </c>
      <c r="D168" s="9">
        <f>IFERROR(VLOOKUP(B168, 'Duke 1'!A$3:$B$85,2, 0), 0)</f>
        <v>0</v>
      </c>
      <c r="E168" s="9">
        <f>IFERROR(VLOOKUP(B168, 'Duke 2'!A$3:$B$522,2, 0), 0)</f>
        <v>0</v>
      </c>
      <c r="F168" s="10">
        <f>IFERROR(VLOOKUP(B168, 'Duke 3'!A$3:$B1000,2, 0), 0)</f>
        <v>0</v>
      </c>
      <c r="G168" s="10">
        <f>IFERROR(VLOOKUP(B168, 'Duke 4'!A$3:$B1000,2, 0), 0)</f>
        <v>0</v>
      </c>
      <c r="H168" s="10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</row>
    <row r="169">
      <c r="A169" s="1">
        <f t="shared" si="1"/>
        <v>168</v>
      </c>
      <c r="B169" s="7" t="s">
        <v>137</v>
      </c>
      <c r="C169" s="8">
        <f t="shared" si="2"/>
        <v>0</v>
      </c>
      <c r="D169" s="9">
        <f>IFERROR(VLOOKUP(B169, 'Duke 1'!A$3:$B$85,2, 0), 0)</f>
        <v>0</v>
      </c>
      <c r="E169" s="9">
        <f>IFERROR(VLOOKUP(B169, 'Duke 2'!A$3:$B$522,2, 0), 0)</f>
        <v>0</v>
      </c>
      <c r="F169" s="10">
        <f>IFERROR(VLOOKUP(B169, 'Duke 3'!A$3:$B1000,2, 0), 0)</f>
        <v>0</v>
      </c>
      <c r="G169" s="10">
        <f>IFERROR(VLOOKUP(B169, 'Duke 4'!A$3:$B1000,2, 0), 0)</f>
        <v>0</v>
      </c>
      <c r="H169" s="10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</row>
    <row r="170">
      <c r="A170" s="1">
        <f t="shared" si="1"/>
        <v>169</v>
      </c>
      <c r="B170" s="7" t="s">
        <v>138</v>
      </c>
      <c r="C170" s="8">
        <f t="shared" si="2"/>
        <v>0</v>
      </c>
      <c r="D170" s="9">
        <f>IFERROR(VLOOKUP(B170, 'Duke 1'!A$3:$B$85,2, 0), 0)</f>
        <v>0</v>
      </c>
      <c r="E170" s="9">
        <f>IFERROR(VLOOKUP(B170, 'Duke 2'!A$3:$B$522,2, 0), 0)</f>
        <v>0</v>
      </c>
      <c r="F170" s="10">
        <f>IFERROR(VLOOKUP(B170, 'Duke 3'!A$3:$B1000,2, 0), 0)</f>
        <v>0</v>
      </c>
      <c r="G170" s="10">
        <f>IFERROR(VLOOKUP(B170, 'Duke 4'!A$3:$B1000,2, 0), 0)</f>
        <v>0</v>
      </c>
      <c r="H170" s="10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</row>
    <row r="171">
      <c r="A171" s="1">
        <f t="shared" si="1"/>
        <v>170</v>
      </c>
      <c r="B171" s="7" t="s">
        <v>139</v>
      </c>
      <c r="C171" s="8">
        <f t="shared" si="2"/>
        <v>0</v>
      </c>
      <c r="D171" s="9">
        <f>IFERROR(VLOOKUP(B171, 'Duke 1'!A$3:$B$85,2, 0), 0)</f>
        <v>0</v>
      </c>
      <c r="E171" s="9">
        <f>IFERROR(VLOOKUP(B171, 'Duke 2'!A$3:$B$522,2, 0), 0)</f>
        <v>0</v>
      </c>
      <c r="F171" s="10">
        <f>IFERROR(VLOOKUP(B171, 'Duke 3'!A$3:$B1000,2, 0), 0)</f>
        <v>0</v>
      </c>
      <c r="G171" s="10">
        <f>IFERROR(VLOOKUP(B171, 'Duke 4'!A$3:$B1000,2, 0), 0)</f>
        <v>0</v>
      </c>
      <c r="H171" s="10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</row>
    <row r="172">
      <c r="A172" s="1">
        <f t="shared" si="1"/>
        <v>171</v>
      </c>
      <c r="B172" s="7" t="s">
        <v>140</v>
      </c>
      <c r="C172" s="8">
        <f t="shared" si="2"/>
        <v>0</v>
      </c>
      <c r="D172" s="9">
        <f>IFERROR(VLOOKUP(B172, 'Duke 1'!A$3:$B$85,2, 0), 0)</f>
        <v>0</v>
      </c>
      <c r="E172" s="9">
        <f>IFERROR(VLOOKUP(B172, 'Duke 2'!A$3:$B$522,2, 0), 0)</f>
        <v>0</v>
      </c>
      <c r="F172" s="10">
        <f>IFERROR(VLOOKUP(B172, 'Duke 3'!A$3:$B1000,2, 0), 0)</f>
        <v>0</v>
      </c>
      <c r="G172" s="10">
        <f>IFERROR(VLOOKUP(B172, 'Duke 4'!A$3:$B1000,2, 0), 0)</f>
        <v>0</v>
      </c>
      <c r="H172" s="10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</row>
    <row r="173">
      <c r="A173" s="1">
        <f t="shared" si="1"/>
        <v>172</v>
      </c>
      <c r="B173" s="7" t="s">
        <v>141</v>
      </c>
      <c r="C173" s="8">
        <f t="shared" si="2"/>
        <v>0</v>
      </c>
      <c r="D173" s="9">
        <f>IFERROR(VLOOKUP(B173, 'Duke 1'!A$3:$B$85,2, 0), 0)</f>
        <v>0</v>
      </c>
      <c r="E173" s="9">
        <f>IFERROR(VLOOKUP(B173, 'Duke 2'!A$3:$B$522,2, 0), 0)</f>
        <v>0</v>
      </c>
      <c r="F173" s="10">
        <f>IFERROR(VLOOKUP(B173, 'Duke 3'!A$3:$B1000,2, 0), 0)</f>
        <v>0</v>
      </c>
      <c r="G173" s="10">
        <f>IFERROR(VLOOKUP(B173, 'Duke 4'!A$3:$B1000,2, 0), 0)</f>
        <v>0</v>
      </c>
      <c r="H173" s="10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</row>
    <row r="174">
      <c r="A174" s="1">
        <f t="shared" si="1"/>
        <v>173</v>
      </c>
      <c r="B174" s="7" t="s">
        <v>142</v>
      </c>
      <c r="C174" s="8">
        <f t="shared" si="2"/>
        <v>0</v>
      </c>
      <c r="D174" s="9">
        <f>IFERROR(VLOOKUP(B174, 'Duke 1'!A$3:$B$85,2, 0), 0)</f>
        <v>0</v>
      </c>
      <c r="E174" s="9">
        <f>IFERROR(VLOOKUP(B174, 'Duke 2'!A$3:$B$522,2, 0), 0)</f>
        <v>0</v>
      </c>
      <c r="F174" s="10">
        <f>IFERROR(VLOOKUP(B174, 'Duke 3'!A$3:$B1000,2, 0), 0)</f>
        <v>0</v>
      </c>
      <c r="G174" s="10">
        <f>IFERROR(VLOOKUP(B174, 'Duke 4'!A$3:$B1000,2, 0), 0)</f>
        <v>0</v>
      </c>
      <c r="H174" s="10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</row>
    <row r="175">
      <c r="A175" s="1">
        <f t="shared" si="1"/>
        <v>174</v>
      </c>
      <c r="B175" s="7" t="s">
        <v>143</v>
      </c>
      <c r="C175" s="8">
        <f t="shared" si="2"/>
        <v>0</v>
      </c>
      <c r="D175" s="9">
        <f>IFERROR(VLOOKUP(B175, 'Duke 1'!A$3:$B$85,2, 0), 0)</f>
        <v>0</v>
      </c>
      <c r="E175" s="9">
        <f>IFERROR(VLOOKUP(B175, 'Duke 2'!A$3:$B$522,2, 0), 0)</f>
        <v>0</v>
      </c>
      <c r="F175" s="10">
        <f>IFERROR(VLOOKUP(B175, 'Duke 3'!A$3:$B1000,2, 0), 0)</f>
        <v>0</v>
      </c>
      <c r="G175" s="10">
        <f>IFERROR(VLOOKUP(B175, 'Duke 4'!A$3:$B1000,2, 0), 0)</f>
        <v>0</v>
      </c>
      <c r="H175" s="10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</row>
    <row r="176">
      <c r="A176" s="1">
        <f t="shared" si="1"/>
        <v>175</v>
      </c>
      <c r="B176" s="7" t="s">
        <v>144</v>
      </c>
      <c r="C176" s="8">
        <f t="shared" si="2"/>
        <v>0</v>
      </c>
      <c r="D176" s="9">
        <f>IFERROR(VLOOKUP(B176, 'Duke 1'!A$3:$B$85,2, 0), 0)</f>
        <v>0</v>
      </c>
      <c r="E176" s="9">
        <f>IFERROR(VLOOKUP(B176, 'Duke 2'!A$3:$B$522,2, 0), 0)</f>
        <v>0</v>
      </c>
      <c r="F176" s="10">
        <f>IFERROR(VLOOKUP(B176, 'Duke 3'!A$3:$B1000,2, 0), 0)</f>
        <v>0</v>
      </c>
      <c r="G176" s="10">
        <f>IFERROR(VLOOKUP(B176, 'Duke 4'!A$3:$B1000,2, 0), 0)</f>
        <v>0</v>
      </c>
      <c r="H176" s="10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</row>
    <row r="177">
      <c r="A177" s="1">
        <f t="shared" si="1"/>
        <v>176</v>
      </c>
      <c r="B177" s="7" t="s">
        <v>145</v>
      </c>
      <c r="C177" s="8">
        <f t="shared" si="2"/>
        <v>0</v>
      </c>
      <c r="D177" s="9">
        <f>IFERROR(VLOOKUP(B177, 'Duke 1'!A$3:$B$85,2, 0), 0)</f>
        <v>0</v>
      </c>
      <c r="E177" s="9">
        <f>IFERROR(VLOOKUP(B177, 'Duke 2'!A$3:$B$522,2, 0), 0)</f>
        <v>0</v>
      </c>
      <c r="F177" s="10">
        <f>IFERROR(VLOOKUP(B177, 'Duke 3'!A$3:$B1000,2, 0), 0)</f>
        <v>0</v>
      </c>
      <c r="G177" s="10">
        <f>IFERROR(VLOOKUP(B177, 'Duke 4'!A$3:$B1000,2, 0), 0)</f>
        <v>0</v>
      </c>
      <c r="H177" s="10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</row>
    <row r="178">
      <c r="A178" s="1">
        <f t="shared" si="1"/>
        <v>177</v>
      </c>
      <c r="B178" s="7" t="s">
        <v>146</v>
      </c>
      <c r="C178" s="8">
        <f t="shared" si="2"/>
        <v>0</v>
      </c>
      <c r="D178" s="9">
        <f>IFERROR(VLOOKUP(B178, 'Duke 1'!A$3:$B$85,2, 0), 0)</f>
        <v>0</v>
      </c>
      <c r="E178" s="9">
        <f>IFERROR(VLOOKUP(B178, 'Duke 2'!A$3:$B$522,2, 0), 0)</f>
        <v>0</v>
      </c>
      <c r="F178" s="10">
        <f>IFERROR(VLOOKUP(B178, 'Duke 3'!A$3:$B1000,2, 0), 0)</f>
        <v>0</v>
      </c>
      <c r="G178" s="10">
        <f>IFERROR(VLOOKUP(B178, 'Duke 4'!A$3:$B1000,2, 0), 0)</f>
        <v>0</v>
      </c>
      <c r="H178" s="10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</row>
    <row r="179">
      <c r="A179" s="1">
        <f t="shared" si="1"/>
        <v>178</v>
      </c>
      <c r="B179" s="7" t="s">
        <v>147</v>
      </c>
      <c r="C179" s="8">
        <f t="shared" si="2"/>
        <v>0</v>
      </c>
      <c r="D179" s="9">
        <f>IFERROR(VLOOKUP(B179, 'Duke 1'!A$3:$B$85,2, 0), 0)</f>
        <v>0</v>
      </c>
      <c r="E179" s="9">
        <f>IFERROR(VLOOKUP(B179, 'Duke 2'!A$3:$B$522,2, 0), 0)</f>
        <v>0</v>
      </c>
      <c r="F179" s="10">
        <f>IFERROR(VLOOKUP(B179, 'Duke 3'!A$3:$B1000,2, 0), 0)</f>
        <v>0</v>
      </c>
      <c r="G179" s="10">
        <f>IFERROR(VLOOKUP(B179, 'Duke 4'!A$3:$B1000,2, 0), 0)</f>
        <v>0</v>
      </c>
      <c r="H179" s="10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</row>
    <row r="180">
      <c r="A180" s="1">
        <f t="shared" si="1"/>
        <v>179</v>
      </c>
      <c r="B180" s="7" t="s">
        <v>148</v>
      </c>
      <c r="C180" s="8">
        <f t="shared" si="2"/>
        <v>0</v>
      </c>
      <c r="D180" s="9">
        <f>IFERROR(VLOOKUP(B180, 'Duke 1'!A$3:$B$85,2, 0), 0)</f>
        <v>0</v>
      </c>
      <c r="E180" s="9">
        <f>IFERROR(VLOOKUP(B180, 'Duke 2'!A$3:$B$522,2, 0), 0)</f>
        <v>0</v>
      </c>
      <c r="F180" s="10">
        <f>IFERROR(VLOOKUP(B180, 'Duke 3'!A$3:$B1000,2, 0), 0)</f>
        <v>0</v>
      </c>
      <c r="G180" s="10">
        <f>IFERROR(VLOOKUP(B180, 'Duke 4'!A$3:$B1000,2, 0), 0)</f>
        <v>0</v>
      </c>
      <c r="H180" s="10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</row>
    <row r="181">
      <c r="A181" s="1">
        <f t="shared" si="1"/>
        <v>180</v>
      </c>
      <c r="B181" s="7" t="s">
        <v>149</v>
      </c>
      <c r="C181" s="8">
        <f t="shared" si="2"/>
        <v>0</v>
      </c>
      <c r="D181" s="9">
        <f>IFERROR(VLOOKUP(B181, 'Duke 1'!A$3:$B$85,2, 0), 0)</f>
        <v>0</v>
      </c>
      <c r="E181" s="9">
        <f>IFERROR(VLOOKUP(B181, 'Duke 2'!A$3:$B$522,2, 0), 0)</f>
        <v>0</v>
      </c>
      <c r="F181" s="10">
        <f>IFERROR(VLOOKUP(B181, 'Duke 3'!A$3:$B1000,2, 0), 0)</f>
        <v>0</v>
      </c>
      <c r="G181" s="10">
        <f>IFERROR(VLOOKUP(B181, 'Duke 4'!A$3:$B1000,2, 0), 0)</f>
        <v>0</v>
      </c>
      <c r="H181" s="10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</row>
    <row r="182">
      <c r="A182" s="1">
        <f t="shared" si="1"/>
        <v>181</v>
      </c>
      <c r="B182" s="7" t="s">
        <v>150</v>
      </c>
      <c r="C182" s="8">
        <f t="shared" si="2"/>
        <v>0</v>
      </c>
      <c r="D182" s="9">
        <f>IFERROR(VLOOKUP(B182, 'Duke 1'!A$3:$B$85,2, 0), 0)</f>
        <v>0</v>
      </c>
      <c r="E182" s="9">
        <f>IFERROR(VLOOKUP(B182, 'Duke 2'!A$3:$B$522,2, 0), 0)</f>
        <v>0</v>
      </c>
      <c r="F182" s="10">
        <f>IFERROR(VLOOKUP(B182, 'Duke 3'!A$3:$B1000,2, 0), 0)</f>
        <v>0</v>
      </c>
      <c r="G182" s="10">
        <f>IFERROR(VLOOKUP(B182, 'Duke 4'!A$3:$B1000,2, 0), 0)</f>
        <v>0</v>
      </c>
      <c r="H182" s="10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</row>
    <row r="183">
      <c r="A183" s="1">
        <f t="shared" si="1"/>
        <v>182</v>
      </c>
      <c r="B183" s="7" t="s">
        <v>151</v>
      </c>
      <c r="C183" s="8">
        <f t="shared" si="2"/>
        <v>0</v>
      </c>
      <c r="D183" s="9">
        <f>IFERROR(VLOOKUP(B183, 'Duke 1'!A$3:$B$85,2, 0), 0)</f>
        <v>0</v>
      </c>
      <c r="E183" s="9">
        <f>IFERROR(VLOOKUP(B183, 'Duke 2'!A$3:$B$522,2, 0), 0)</f>
        <v>0</v>
      </c>
      <c r="F183" s="10">
        <f>IFERROR(VLOOKUP(B183, 'Duke 3'!A$3:$B1000,2, 0), 0)</f>
        <v>0</v>
      </c>
      <c r="G183" s="10">
        <f>IFERROR(VLOOKUP(B183, 'Duke 4'!A$3:$B1000,2, 0), 0)</f>
        <v>0</v>
      </c>
      <c r="H183" s="10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</row>
    <row r="184">
      <c r="A184" s="1">
        <f t="shared" si="1"/>
        <v>183</v>
      </c>
      <c r="B184" s="7" t="s">
        <v>152</v>
      </c>
      <c r="C184" s="8">
        <f t="shared" si="2"/>
        <v>0</v>
      </c>
      <c r="D184" s="9">
        <f>IFERROR(VLOOKUP(B184, 'Duke 1'!A$3:$B$85,2, 0), 0)</f>
        <v>0</v>
      </c>
      <c r="E184" s="9">
        <f>IFERROR(VLOOKUP(B184, 'Duke 2'!A$3:$B$522,2, 0), 0)</f>
        <v>0</v>
      </c>
      <c r="F184" s="10">
        <f>IFERROR(VLOOKUP(B184, 'Duke 3'!A$3:$B1000,2, 0), 0)</f>
        <v>0</v>
      </c>
      <c r="G184" s="10">
        <f>IFERROR(VLOOKUP(B184, 'Duke 4'!A$3:$B1000,2, 0), 0)</f>
        <v>0</v>
      </c>
      <c r="H184" s="10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</row>
    <row r="185">
      <c r="A185" s="1">
        <f t="shared" si="1"/>
        <v>184</v>
      </c>
      <c r="B185" s="7" t="s">
        <v>153</v>
      </c>
      <c r="C185" s="8">
        <f t="shared" si="2"/>
        <v>0</v>
      </c>
      <c r="D185" s="9">
        <f>IFERROR(VLOOKUP(B185, 'Duke 1'!A$3:$B$85,2, 0), 0)</f>
        <v>0</v>
      </c>
      <c r="E185" s="9">
        <f>IFERROR(VLOOKUP(B185, 'Duke 2'!A$3:$B$522,2, 0), 0)</f>
        <v>0</v>
      </c>
      <c r="F185" s="10">
        <f>IFERROR(VLOOKUP(B185, 'Duke 3'!A$3:$B1000,2, 0), 0)</f>
        <v>0</v>
      </c>
      <c r="G185" s="10">
        <f>IFERROR(VLOOKUP(B185, 'Duke 4'!A$3:$B1000,2, 0), 0)</f>
        <v>0</v>
      </c>
      <c r="H185" s="10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</row>
    <row r="186">
      <c r="A186" s="1">
        <f t="shared" si="1"/>
        <v>185</v>
      </c>
      <c r="B186" s="7" t="s">
        <v>154</v>
      </c>
      <c r="C186" s="8">
        <f t="shared" si="2"/>
        <v>0</v>
      </c>
      <c r="D186" s="9">
        <f>IFERROR(VLOOKUP(B186, 'Duke 1'!A$3:$B$85,2, 0), 0)</f>
        <v>0</v>
      </c>
      <c r="E186" s="9">
        <f>IFERROR(VLOOKUP(B186, 'Duke 2'!A$3:$B$522,2, 0), 0)</f>
        <v>0</v>
      </c>
      <c r="F186" s="10">
        <f>IFERROR(VLOOKUP(B186, 'Duke 3'!A$3:$B1000,2, 0), 0)</f>
        <v>0</v>
      </c>
      <c r="G186" s="10">
        <f>IFERROR(VLOOKUP(B186, 'Duke 4'!A$3:$B1000,2, 0), 0)</f>
        <v>0</v>
      </c>
      <c r="H186" s="10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</row>
    <row r="187">
      <c r="A187" s="1">
        <f t="shared" si="1"/>
        <v>186</v>
      </c>
      <c r="B187" s="7" t="s">
        <v>155</v>
      </c>
      <c r="C187" s="8">
        <f t="shared" si="2"/>
        <v>0</v>
      </c>
      <c r="D187" s="9">
        <f>IFERROR(VLOOKUP(B187, 'Duke 1'!A$3:$B$85,2, 0), 0)</f>
        <v>0</v>
      </c>
      <c r="E187" s="9">
        <f>IFERROR(VLOOKUP(B187, 'Duke 2'!A$3:$B$522,2, 0), 0)</f>
        <v>0</v>
      </c>
      <c r="F187" s="10">
        <f>IFERROR(VLOOKUP(B187, 'Duke 3'!A$3:$B1000,2, 0), 0)</f>
        <v>0</v>
      </c>
      <c r="G187" s="10">
        <f>IFERROR(VLOOKUP(B187, 'Duke 4'!A$3:$B1000,2, 0), 0)</f>
        <v>0</v>
      </c>
      <c r="H187" s="10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</row>
    <row r="188">
      <c r="A188" s="1">
        <f t="shared" si="1"/>
        <v>187</v>
      </c>
      <c r="B188" s="7" t="s">
        <v>156</v>
      </c>
      <c r="C188" s="8">
        <f t="shared" si="2"/>
        <v>0</v>
      </c>
      <c r="D188" s="9">
        <f>IFERROR(VLOOKUP(B188, 'Duke 1'!A$3:$B$85,2, 0), 0)</f>
        <v>0</v>
      </c>
      <c r="E188" s="9">
        <f>IFERROR(VLOOKUP(B188, 'Duke 2'!A$3:$B$522,2, 0), 0)</f>
        <v>0</v>
      </c>
      <c r="F188" s="10">
        <f>IFERROR(VLOOKUP(B188, 'Duke 3'!A$3:$B1000,2, 0), 0)</f>
        <v>0</v>
      </c>
      <c r="G188" s="10">
        <f>IFERROR(VLOOKUP(B188, 'Duke 4'!A$3:$B1000,2, 0), 0)</f>
        <v>0</v>
      </c>
      <c r="H188" s="10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</row>
    <row r="189">
      <c r="A189" s="1">
        <f t="shared" si="1"/>
        <v>188</v>
      </c>
      <c r="B189" s="7" t="s">
        <v>157</v>
      </c>
      <c r="C189" s="8">
        <f t="shared" si="2"/>
        <v>0</v>
      </c>
      <c r="D189" s="9">
        <f>IFERROR(VLOOKUP(B189, 'Duke 1'!A$3:$B$85,2, 0), 0)</f>
        <v>0</v>
      </c>
      <c r="E189" s="9">
        <f>IFERROR(VLOOKUP(B189, 'Duke 2'!A$3:$B$522,2, 0), 0)</f>
        <v>0</v>
      </c>
      <c r="F189" s="10">
        <f>IFERROR(VLOOKUP(B189, 'Duke 3'!A$3:$B1000,2, 0), 0)</f>
        <v>0</v>
      </c>
      <c r="G189" s="10">
        <f>IFERROR(VLOOKUP(B189, 'Duke 4'!A$3:$B1000,2, 0), 0)</f>
        <v>0</v>
      </c>
      <c r="H189" s="10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</row>
    <row r="190">
      <c r="A190" s="1">
        <f t="shared" si="1"/>
        <v>189</v>
      </c>
      <c r="B190" s="7" t="s">
        <v>158</v>
      </c>
      <c r="C190" s="8">
        <f t="shared" si="2"/>
        <v>0</v>
      </c>
      <c r="D190" s="9">
        <f>IFERROR(VLOOKUP(B190, 'Duke 1'!A$3:$B$85,2, 0), 0)</f>
        <v>0</v>
      </c>
      <c r="E190" s="9">
        <f>IFERROR(VLOOKUP(B190, 'Duke 2'!A$3:$B$522,2, 0), 0)</f>
        <v>0</v>
      </c>
      <c r="F190" s="10">
        <f>IFERROR(VLOOKUP(B190, 'Duke 3'!A$3:$B1000,2, 0), 0)</f>
        <v>0</v>
      </c>
      <c r="G190" s="10">
        <f>IFERROR(VLOOKUP(B190, 'Duke 4'!A$3:$B1000,2, 0), 0)</f>
        <v>0</v>
      </c>
      <c r="H190" s="10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</row>
    <row r="191">
      <c r="A191" s="1">
        <f t="shared" si="1"/>
        <v>190</v>
      </c>
      <c r="B191" s="7" t="s">
        <v>159</v>
      </c>
      <c r="C191" s="8">
        <f t="shared" si="2"/>
        <v>0</v>
      </c>
      <c r="D191" s="9">
        <f>IFERROR(VLOOKUP(B191, 'Duke 1'!A$3:$B$85,2, 0), 0)</f>
        <v>0</v>
      </c>
      <c r="E191" s="9">
        <f>IFERROR(VLOOKUP(B191, 'Duke 2'!A$3:$B$522,2, 0), 0)</f>
        <v>0</v>
      </c>
      <c r="F191" s="10">
        <f>IFERROR(VLOOKUP(B191, 'Duke 3'!A$3:$B1000,2, 0), 0)</f>
        <v>0</v>
      </c>
      <c r="G191" s="10">
        <f>IFERROR(VLOOKUP(B191, 'Duke 4'!A$3:$B1000,2, 0), 0)</f>
        <v>0</v>
      </c>
      <c r="H191" s="10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</row>
    <row r="192">
      <c r="A192" s="1">
        <f t="shared" si="1"/>
        <v>191</v>
      </c>
      <c r="B192" s="7" t="s">
        <v>160</v>
      </c>
      <c r="C192" s="8">
        <f t="shared" si="2"/>
        <v>0</v>
      </c>
      <c r="D192" s="9">
        <f>IFERROR(VLOOKUP(B192, 'Duke 1'!A$3:$B$85,2, 0), 0)</f>
        <v>0</v>
      </c>
      <c r="E192" s="9">
        <f>IFERROR(VLOOKUP(B192, 'Duke 2'!A$3:$B$522,2, 0), 0)</f>
        <v>0</v>
      </c>
      <c r="F192" s="10">
        <f>IFERROR(VLOOKUP(B192, 'Duke 3'!A$3:$B1000,2, 0), 0)</f>
        <v>0</v>
      </c>
      <c r="G192" s="10">
        <f>IFERROR(VLOOKUP(B192, 'Duke 4'!A$3:$B1000,2, 0), 0)</f>
        <v>0</v>
      </c>
      <c r="H192" s="10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</row>
    <row r="193">
      <c r="A193" s="1">
        <f t="shared" si="1"/>
        <v>192</v>
      </c>
      <c r="B193" s="7" t="s">
        <v>161</v>
      </c>
      <c r="C193" s="8">
        <f t="shared" si="2"/>
        <v>0</v>
      </c>
      <c r="D193" s="9">
        <f>IFERROR(VLOOKUP(B193, 'Duke 1'!A$3:$B$85,2, 0), 0)</f>
        <v>0</v>
      </c>
      <c r="E193" s="9">
        <f>IFERROR(VLOOKUP(B193, 'Duke 2'!A$3:$B$522,2, 0), 0)</f>
        <v>0</v>
      </c>
      <c r="F193" s="10">
        <f>IFERROR(VLOOKUP(B193, 'Duke 3'!A$3:$B1000,2, 0), 0)</f>
        <v>0</v>
      </c>
      <c r="G193" s="10">
        <f>IFERROR(VLOOKUP(B193, 'Duke 4'!A$3:$B1000,2, 0), 0)</f>
        <v>0</v>
      </c>
      <c r="H193" s="10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</row>
    <row r="194">
      <c r="A194" s="1">
        <f t="shared" si="1"/>
        <v>193</v>
      </c>
      <c r="B194" s="7" t="s">
        <v>162</v>
      </c>
      <c r="C194" s="8">
        <f t="shared" si="2"/>
        <v>0</v>
      </c>
      <c r="D194" s="9">
        <f>IFERROR(VLOOKUP(B194, 'Duke 1'!A$3:$B$85,2, 0), 0)</f>
        <v>0</v>
      </c>
      <c r="E194" s="9">
        <f>IFERROR(VLOOKUP(B194, 'Duke 2'!A$3:$B$522,2, 0), 0)</f>
        <v>0</v>
      </c>
      <c r="F194" s="10">
        <f>IFERROR(VLOOKUP(B194, 'Duke 3'!A$3:$B1000,2, 0), 0)</f>
        <v>0</v>
      </c>
      <c r="G194" s="10">
        <f>IFERROR(VLOOKUP(B194, 'Duke 4'!A$3:$B1000,2, 0), 0)</f>
        <v>0</v>
      </c>
      <c r="H194" s="10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</row>
    <row r="195">
      <c r="A195" s="1">
        <f t="shared" si="1"/>
        <v>194</v>
      </c>
      <c r="B195" s="7" t="s">
        <v>163</v>
      </c>
      <c r="C195" s="8">
        <f t="shared" si="2"/>
        <v>0</v>
      </c>
      <c r="D195" s="9">
        <f>IFERROR(VLOOKUP(B195, 'Duke 1'!A$3:$B$85,2, 0), 0)</f>
        <v>0</v>
      </c>
      <c r="E195" s="9">
        <f>IFERROR(VLOOKUP(B195, 'Duke 2'!A$3:$B$522,2, 0), 0)</f>
        <v>0</v>
      </c>
      <c r="F195" s="10">
        <f>IFERROR(VLOOKUP(B195, 'Duke 3'!A$3:$B1000,2, 0), 0)</f>
        <v>0</v>
      </c>
      <c r="G195" s="10">
        <f>IFERROR(VLOOKUP(B195, 'Duke 4'!A$3:$B1000,2, 0), 0)</f>
        <v>0</v>
      </c>
      <c r="H195" s="10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</row>
    <row r="196">
      <c r="A196" s="1">
        <f t="shared" si="1"/>
        <v>195</v>
      </c>
      <c r="B196" s="7" t="s">
        <v>164</v>
      </c>
      <c r="C196" s="8">
        <f t="shared" si="2"/>
        <v>0</v>
      </c>
      <c r="D196" s="9">
        <f>IFERROR(VLOOKUP(B196, 'Duke 1'!A$3:$B$85,2, 0), 0)</f>
        <v>0</v>
      </c>
      <c r="E196" s="9">
        <f>IFERROR(VLOOKUP(B196, 'Duke 2'!A$3:$B$522,2, 0), 0)</f>
        <v>0</v>
      </c>
      <c r="F196" s="10">
        <f>IFERROR(VLOOKUP(B196, 'Duke 3'!A$3:$B1000,2, 0), 0)</f>
        <v>0</v>
      </c>
      <c r="G196" s="10">
        <f>IFERROR(VLOOKUP(B196, 'Duke 4'!A$3:$B1000,2, 0), 0)</f>
        <v>0</v>
      </c>
      <c r="H196" s="10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</row>
    <row r="197">
      <c r="A197" s="1">
        <f t="shared" si="1"/>
        <v>196</v>
      </c>
      <c r="B197" s="7" t="s">
        <v>165</v>
      </c>
      <c r="C197" s="8">
        <f t="shared" si="2"/>
        <v>0</v>
      </c>
      <c r="D197" s="9">
        <f>IFERROR(VLOOKUP(B197, 'Duke 1'!A$3:$B$85,2, 0), 0)</f>
        <v>0</v>
      </c>
      <c r="E197" s="9">
        <f>IFERROR(VLOOKUP(B197, 'Duke 2'!A$3:$B$522,2, 0), 0)</f>
        <v>0</v>
      </c>
      <c r="F197" s="10">
        <f>IFERROR(VLOOKUP(B197, 'Duke 3'!A$3:$B1000,2, 0), 0)</f>
        <v>0</v>
      </c>
      <c r="G197" s="10">
        <f>IFERROR(VLOOKUP(B197, 'Duke 4'!A$3:$B1000,2, 0), 0)</f>
        <v>0</v>
      </c>
      <c r="H197" s="10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</row>
    <row r="198">
      <c r="A198" s="1">
        <f t="shared" si="1"/>
        <v>197</v>
      </c>
      <c r="B198" s="7" t="s">
        <v>166</v>
      </c>
      <c r="C198" s="8">
        <f t="shared" si="2"/>
        <v>0</v>
      </c>
      <c r="D198" s="9">
        <f>IFERROR(VLOOKUP(B198, 'Duke 1'!A$3:$B$85,2, 0), 0)</f>
        <v>0</v>
      </c>
      <c r="E198" s="9">
        <f>IFERROR(VLOOKUP(B198, 'Duke 2'!A$3:$B$522,2, 0), 0)</f>
        <v>0</v>
      </c>
      <c r="F198" s="10">
        <f>IFERROR(VLOOKUP(B198, 'Duke 3'!A$3:$B1000,2, 0), 0)</f>
        <v>0</v>
      </c>
      <c r="G198" s="10">
        <f>IFERROR(VLOOKUP(B198, 'Duke 4'!A$3:$B1000,2, 0), 0)</f>
        <v>0</v>
      </c>
      <c r="H198" s="10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</row>
    <row r="199">
      <c r="A199" s="1">
        <f t="shared" si="1"/>
        <v>198</v>
      </c>
      <c r="B199" s="7" t="s">
        <v>167</v>
      </c>
      <c r="C199" s="8">
        <f t="shared" si="2"/>
        <v>0</v>
      </c>
      <c r="D199" s="9">
        <f>IFERROR(VLOOKUP(B199, 'Duke 1'!A$3:$B$85,2, 0), 0)</f>
        <v>0</v>
      </c>
      <c r="E199" s="9">
        <f>IFERROR(VLOOKUP(B199, 'Duke 2'!A$3:$B$522,2, 0), 0)</f>
        <v>0</v>
      </c>
      <c r="F199" s="10">
        <f>IFERROR(VLOOKUP(B199, 'Duke 3'!A$3:$B1000,2, 0), 0)</f>
        <v>0</v>
      </c>
      <c r="G199" s="10">
        <f>IFERROR(VLOOKUP(B199, 'Duke 4'!A$3:$B1000,2, 0), 0)</f>
        <v>0</v>
      </c>
      <c r="H199" s="10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</row>
    <row r="200">
      <c r="A200" s="1">
        <f t="shared" si="1"/>
        <v>199</v>
      </c>
      <c r="B200" s="7" t="s">
        <v>168</v>
      </c>
      <c r="C200" s="8">
        <f t="shared" si="2"/>
        <v>0</v>
      </c>
      <c r="D200" s="9">
        <f>IFERROR(VLOOKUP(B200, 'Duke 1'!A$3:$B$85,2, 0), 0)</f>
        <v>0</v>
      </c>
      <c r="E200" s="9">
        <f>IFERROR(VLOOKUP(B200, 'Duke 2'!A$3:$B$522,2, 0), 0)</f>
        <v>0</v>
      </c>
      <c r="F200" s="10">
        <f>IFERROR(VLOOKUP(B200, 'Duke 3'!A$3:$B1000,2, 0), 0)</f>
        <v>0</v>
      </c>
      <c r="G200" s="10">
        <f>IFERROR(VLOOKUP(B200, 'Duke 4'!A$3:$B1000,2, 0), 0)</f>
        <v>0</v>
      </c>
      <c r="H200" s="10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</row>
    <row r="201">
      <c r="A201" s="1">
        <f t="shared" si="1"/>
        <v>200</v>
      </c>
      <c r="B201" s="17" t="s">
        <v>169</v>
      </c>
      <c r="C201" s="8">
        <f t="shared" si="2"/>
        <v>0</v>
      </c>
      <c r="D201" s="9">
        <f>IFERROR(VLOOKUP(B201, 'Duke 1'!A$3:$B$85,2, 0), 0)</f>
        <v>0</v>
      </c>
      <c r="E201" s="9">
        <f>IFERROR(VLOOKUP(B201, 'Duke 2'!A$3:$B$522,2, 0), 0)</f>
        <v>0</v>
      </c>
      <c r="F201" s="10">
        <f>IFERROR(VLOOKUP(B201, 'Duke 3'!A$3:$B1000,2, 0), 0)</f>
        <v>0</v>
      </c>
      <c r="G201" s="10">
        <f>IFERROR(VLOOKUP(B201, 'Duke 4'!A$3:$B1000,2, 0), 0)</f>
        <v>0</v>
      </c>
      <c r="H201" s="10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</row>
    <row r="202">
      <c r="A202" s="1">
        <f t="shared" si="1"/>
        <v>201</v>
      </c>
      <c r="B202" s="7" t="s">
        <v>170</v>
      </c>
      <c r="C202" s="8">
        <f t="shared" si="2"/>
        <v>0</v>
      </c>
      <c r="D202" s="9">
        <f>IFERROR(VLOOKUP(B202, 'Duke 1'!A$3:$B$85,2, 0), 0)</f>
        <v>0</v>
      </c>
      <c r="E202" s="9">
        <f>IFERROR(VLOOKUP(B202, 'Duke 2'!A$3:$B$522,2, 0), 0)</f>
        <v>0</v>
      </c>
      <c r="F202" s="10">
        <f>IFERROR(VLOOKUP(B202, 'Duke 3'!A$3:$B1000,2, 0), 0)</f>
        <v>0</v>
      </c>
      <c r="G202" s="10">
        <f>IFERROR(VLOOKUP(B202, 'Duke 4'!A$3:$B1000,2, 0), 0)</f>
        <v>0</v>
      </c>
      <c r="H202" s="10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</row>
    <row r="203">
      <c r="A203" s="1">
        <f t="shared" si="1"/>
        <v>202</v>
      </c>
      <c r="B203" s="7" t="s">
        <v>171</v>
      </c>
      <c r="C203" s="8">
        <f t="shared" si="2"/>
        <v>0</v>
      </c>
      <c r="D203" s="9">
        <f>IFERROR(VLOOKUP(B203, 'Duke 1'!A$3:$B$85,2, 0), 0)</f>
        <v>0</v>
      </c>
      <c r="E203" s="9">
        <f>IFERROR(VLOOKUP(B203, 'Duke 2'!A$3:$B$522,2, 0), 0)</f>
        <v>0</v>
      </c>
      <c r="F203" s="10">
        <f>IFERROR(VLOOKUP(B203, 'Duke 3'!A$3:$B1000,2, 0), 0)</f>
        <v>0</v>
      </c>
      <c r="G203" s="10">
        <f>IFERROR(VLOOKUP(B203, 'Duke 4'!A$3:$B1000,2, 0), 0)</f>
        <v>0</v>
      </c>
      <c r="H203" s="10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</row>
    <row r="204">
      <c r="A204" s="1">
        <f t="shared" si="1"/>
        <v>203</v>
      </c>
      <c r="B204" s="7" t="s">
        <v>172</v>
      </c>
      <c r="C204" s="8">
        <f t="shared" si="2"/>
        <v>0</v>
      </c>
      <c r="D204" s="9">
        <f>IFERROR(VLOOKUP(B204, 'Duke 1'!A$3:$B$85,2, 0), 0)</f>
        <v>0</v>
      </c>
      <c r="E204" s="9">
        <f>IFERROR(VLOOKUP(B204, 'Duke 2'!A$3:$B$522,2, 0), 0)</f>
        <v>0</v>
      </c>
      <c r="F204" s="10">
        <f>IFERROR(VLOOKUP(B204, 'Duke 3'!A$3:$B1000,2, 0), 0)</f>
        <v>0</v>
      </c>
      <c r="G204" s="10">
        <f>IFERROR(VLOOKUP(B204, 'Duke 4'!A$3:$B1000,2, 0), 0)</f>
        <v>0</v>
      </c>
      <c r="H204" s="10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</row>
    <row r="205">
      <c r="A205" s="1">
        <f t="shared" si="1"/>
        <v>204</v>
      </c>
      <c r="B205" s="7" t="s">
        <v>173</v>
      </c>
      <c r="C205" s="8">
        <f t="shared" si="2"/>
        <v>0</v>
      </c>
      <c r="D205" s="9">
        <f>IFERROR(VLOOKUP(B205, 'Duke 1'!A$3:$B$85,2, 0), 0)</f>
        <v>0</v>
      </c>
      <c r="E205" s="9">
        <f>IFERROR(VLOOKUP(B205, 'Duke 2'!A$3:$B$522,2, 0), 0)</f>
        <v>0</v>
      </c>
      <c r="F205" s="10">
        <f>IFERROR(VLOOKUP(B205, 'Duke 3'!A$3:$B1000,2, 0), 0)</f>
        <v>0</v>
      </c>
      <c r="G205" s="10">
        <f>IFERROR(VLOOKUP(B205, 'Duke 4'!A$3:$B1000,2, 0), 0)</f>
        <v>0</v>
      </c>
      <c r="H205" s="10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</row>
    <row r="206">
      <c r="A206" s="1">
        <f t="shared" si="1"/>
        <v>205</v>
      </c>
      <c r="B206" s="7" t="s">
        <v>174</v>
      </c>
      <c r="C206" s="8">
        <f t="shared" si="2"/>
        <v>0</v>
      </c>
      <c r="D206" s="9">
        <f>IFERROR(VLOOKUP(B206, 'Duke 1'!A$3:$B$85,2, 0), 0)</f>
        <v>0</v>
      </c>
      <c r="E206" s="9">
        <f>IFERROR(VLOOKUP(B206, 'Duke 2'!A$3:$B$522,2, 0), 0)</f>
        <v>0</v>
      </c>
      <c r="F206" s="10">
        <f>IFERROR(VLOOKUP(B206, 'Duke 3'!A$3:$B1000,2, 0), 0)</f>
        <v>0</v>
      </c>
      <c r="G206" s="10">
        <f>IFERROR(VLOOKUP(B206, 'Duke 4'!A$3:$B1000,2, 0), 0)</f>
        <v>0</v>
      </c>
      <c r="H206" s="10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</row>
    <row r="207">
      <c r="A207" s="1">
        <f t="shared" si="1"/>
        <v>206</v>
      </c>
      <c r="B207" s="7" t="s">
        <v>175</v>
      </c>
      <c r="C207" s="8">
        <f t="shared" si="2"/>
        <v>0</v>
      </c>
      <c r="D207" s="9">
        <f>IFERROR(VLOOKUP(B207, 'Duke 1'!A$3:$B$85,2, 0), 0)</f>
        <v>0</v>
      </c>
      <c r="E207" s="9">
        <f>IFERROR(VLOOKUP(B207, 'Duke 2'!A$3:$B$522,2, 0), 0)</f>
        <v>0</v>
      </c>
      <c r="F207" s="10">
        <f>IFERROR(VLOOKUP(B207, 'Duke 3'!A$3:$B1000,2, 0), 0)</f>
        <v>0</v>
      </c>
      <c r="G207" s="10">
        <f>IFERROR(VLOOKUP(B207, 'Duke 4'!A$3:$B1000,2, 0), 0)</f>
        <v>0</v>
      </c>
      <c r="H207" s="10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</row>
    <row r="208">
      <c r="A208" s="1">
        <f t="shared" si="1"/>
        <v>207</v>
      </c>
      <c r="B208" s="7" t="s">
        <v>176</v>
      </c>
      <c r="C208" s="8">
        <f t="shared" si="2"/>
        <v>0</v>
      </c>
      <c r="D208" s="9">
        <f>IFERROR(VLOOKUP(B208, 'Duke 1'!A$3:$B$85,2, 0), 0)</f>
        <v>0</v>
      </c>
      <c r="E208" s="9">
        <f>IFERROR(VLOOKUP(B208, 'Duke 2'!A$3:$B$522,2, 0), 0)</f>
        <v>0</v>
      </c>
      <c r="F208" s="10">
        <f>IFERROR(VLOOKUP(B208, 'Duke 3'!A$3:$B1000,2, 0), 0)</f>
        <v>0</v>
      </c>
      <c r="G208" s="10">
        <f>IFERROR(VLOOKUP(B208, 'Duke 4'!A$3:$B1000,2, 0), 0)</f>
        <v>0</v>
      </c>
      <c r="H208" s="10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</row>
    <row r="209">
      <c r="A209" s="1">
        <f t="shared" si="1"/>
        <v>208</v>
      </c>
      <c r="B209" s="7" t="s">
        <v>177</v>
      </c>
      <c r="C209" s="8">
        <f t="shared" si="2"/>
        <v>0</v>
      </c>
      <c r="D209" s="9">
        <f>IFERROR(VLOOKUP(B209, 'Duke 1'!A$3:$B$85,2, 0), 0)</f>
        <v>0</v>
      </c>
      <c r="E209" s="9">
        <f>IFERROR(VLOOKUP(B209, 'Duke 2'!A$3:$B$522,2, 0), 0)</f>
        <v>0</v>
      </c>
      <c r="F209" s="10">
        <f>IFERROR(VLOOKUP(B209, 'Duke 3'!A$3:$B1000,2, 0), 0)</f>
        <v>0</v>
      </c>
      <c r="G209" s="10">
        <f>IFERROR(VLOOKUP(B209, 'Duke 4'!A$3:$B1000,2, 0), 0)</f>
        <v>0</v>
      </c>
      <c r="H209" s="10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</row>
    <row r="210">
      <c r="A210" s="1">
        <f t="shared" si="1"/>
        <v>209</v>
      </c>
      <c r="B210" s="7" t="s">
        <v>178</v>
      </c>
      <c r="C210" s="8">
        <f t="shared" si="2"/>
        <v>0</v>
      </c>
      <c r="D210" s="9">
        <f>IFERROR(VLOOKUP(B210, 'Duke 1'!A$3:$B$85,2, 0), 0)</f>
        <v>0</v>
      </c>
      <c r="E210" s="9">
        <f>IFERROR(VLOOKUP(B210, 'Duke 2'!A$3:$B$522,2, 0), 0)</f>
        <v>0</v>
      </c>
      <c r="F210" s="10">
        <f>IFERROR(VLOOKUP(B210, 'Duke 3'!A$3:$B1000,2, 0), 0)</f>
        <v>0</v>
      </c>
      <c r="G210" s="10">
        <f>IFERROR(VLOOKUP(B210, 'Duke 4'!A$3:$B1000,2, 0), 0)</f>
        <v>0</v>
      </c>
      <c r="H210" s="10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</row>
    <row r="211">
      <c r="A211" s="1">
        <f t="shared" si="1"/>
        <v>210</v>
      </c>
      <c r="B211" s="7" t="s">
        <v>179</v>
      </c>
      <c r="C211" s="8">
        <f t="shared" si="2"/>
        <v>0</v>
      </c>
      <c r="D211" s="9">
        <f>IFERROR(VLOOKUP(B211, 'Duke 1'!A$3:$B$85,2, 0), 0)</f>
        <v>0</v>
      </c>
      <c r="E211" s="9">
        <f>IFERROR(VLOOKUP(B211, 'Duke 2'!A$3:$B$522,2, 0), 0)</f>
        <v>0</v>
      </c>
      <c r="F211" s="10">
        <f>IFERROR(VLOOKUP(B211, 'Duke 3'!A$3:$B1000,2, 0), 0)</f>
        <v>0</v>
      </c>
      <c r="G211" s="10">
        <f>IFERROR(VLOOKUP(B211, 'Duke 4'!A$3:$B1000,2, 0), 0)</f>
        <v>0</v>
      </c>
      <c r="H211" s="10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</row>
    <row r="212">
      <c r="A212" s="1">
        <f t="shared" si="1"/>
        <v>211</v>
      </c>
      <c r="B212" s="7" t="s">
        <v>180</v>
      </c>
      <c r="C212" s="8">
        <f t="shared" si="2"/>
        <v>0</v>
      </c>
      <c r="D212" s="9">
        <f>IFERROR(VLOOKUP(B212, 'Duke 1'!A$3:$B$85,2, 0), 0)</f>
        <v>0</v>
      </c>
      <c r="E212" s="9">
        <f>IFERROR(VLOOKUP(B212, 'Duke 2'!A$3:$B$522,2, 0), 0)</f>
        <v>0</v>
      </c>
      <c r="F212" s="10">
        <f>IFERROR(VLOOKUP(B212, 'Duke 3'!A$3:$B1000,2, 0), 0)</f>
        <v>0</v>
      </c>
      <c r="G212" s="10">
        <f>IFERROR(VLOOKUP(B212, 'Duke 4'!A$3:$B1000,2, 0), 0)</f>
        <v>0</v>
      </c>
      <c r="H212" s="10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</row>
    <row r="213">
      <c r="A213" s="1">
        <f t="shared" si="1"/>
        <v>212</v>
      </c>
      <c r="B213" s="7" t="s">
        <v>181</v>
      </c>
      <c r="C213" s="8">
        <f t="shared" si="2"/>
        <v>0</v>
      </c>
      <c r="D213" s="9">
        <f>IFERROR(VLOOKUP(B213, 'Duke 1'!A$3:$B$85,2, 0), 0)</f>
        <v>0</v>
      </c>
      <c r="E213" s="9">
        <f>IFERROR(VLOOKUP(B213, 'Duke 2'!A$3:$B$522,2, 0), 0)</f>
        <v>0</v>
      </c>
      <c r="F213" s="10">
        <f>IFERROR(VLOOKUP(B213, 'Duke 3'!A$3:$B1000,2, 0), 0)</f>
        <v>0</v>
      </c>
      <c r="G213" s="10">
        <f>IFERROR(VLOOKUP(B213, 'Duke 4'!A$3:$B1000,2, 0), 0)</f>
        <v>0</v>
      </c>
      <c r="H213" s="10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</row>
    <row r="214">
      <c r="A214" s="1">
        <f t="shared" si="1"/>
        <v>213</v>
      </c>
      <c r="B214" s="7" t="s">
        <v>182</v>
      </c>
      <c r="C214" s="8">
        <f t="shared" si="2"/>
        <v>0</v>
      </c>
      <c r="D214" s="9">
        <f>IFERROR(VLOOKUP(B214, 'Duke 1'!A$3:$B$85,2, 0), 0)</f>
        <v>0</v>
      </c>
      <c r="E214" s="9">
        <f>IFERROR(VLOOKUP(B214, 'Duke 2'!A$3:$B$522,2, 0), 0)</f>
        <v>0</v>
      </c>
      <c r="F214" s="10">
        <f>IFERROR(VLOOKUP(B214, 'Duke 3'!A$3:$B1000,2, 0), 0)</f>
        <v>0</v>
      </c>
      <c r="G214" s="10">
        <f>IFERROR(VLOOKUP(B214, 'Duke 4'!A$3:$B1000,2, 0), 0)</f>
        <v>0</v>
      </c>
      <c r="H214" s="10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</row>
    <row r="215">
      <c r="A215" s="1">
        <f t="shared" si="1"/>
        <v>214</v>
      </c>
      <c r="B215" s="7" t="s">
        <v>183</v>
      </c>
      <c r="C215" s="8">
        <f t="shared" si="2"/>
        <v>0</v>
      </c>
      <c r="D215" s="9">
        <f>IFERROR(VLOOKUP(B215, 'Duke 1'!A$3:$B$85,2, 0), 0)</f>
        <v>0</v>
      </c>
      <c r="E215" s="9">
        <f>IFERROR(VLOOKUP(B215, 'Duke 2'!A$3:$B$522,2, 0), 0)</f>
        <v>0</v>
      </c>
      <c r="F215" s="10">
        <f>IFERROR(VLOOKUP(B215, 'Duke 3'!A$3:$B1000,2, 0), 0)</f>
        <v>0</v>
      </c>
      <c r="G215" s="10">
        <f>IFERROR(VLOOKUP(B215, 'Duke 4'!A$3:$B1000,2, 0), 0)</f>
        <v>0</v>
      </c>
      <c r="H215" s="10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</row>
    <row r="216">
      <c r="A216" s="1">
        <f t="shared" si="1"/>
        <v>215</v>
      </c>
      <c r="B216" s="7" t="s">
        <v>184</v>
      </c>
      <c r="C216" s="8">
        <f t="shared" si="2"/>
        <v>0</v>
      </c>
      <c r="D216" s="9">
        <f>IFERROR(VLOOKUP(B216, 'Duke 1'!A$3:$B$85,2, 0), 0)</f>
        <v>0</v>
      </c>
      <c r="E216" s="9">
        <f>IFERROR(VLOOKUP(B216, 'Duke 2'!A$3:$B$522,2, 0), 0)</f>
        <v>0</v>
      </c>
      <c r="F216" s="10">
        <f>IFERROR(VLOOKUP(B216, 'Duke 3'!A$3:$B1000,2, 0), 0)</f>
        <v>0</v>
      </c>
      <c r="G216" s="10">
        <f>IFERROR(VLOOKUP(B216, 'Duke 4'!A$3:$B1000,2, 0), 0)</f>
        <v>0</v>
      </c>
      <c r="H216" s="10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</row>
    <row r="217">
      <c r="A217" s="1">
        <f t="shared" si="1"/>
        <v>216</v>
      </c>
      <c r="B217" s="7" t="s">
        <v>185</v>
      </c>
      <c r="C217" s="8">
        <f t="shared" si="2"/>
        <v>0</v>
      </c>
      <c r="D217" s="9">
        <f>IFERROR(VLOOKUP(B217, 'Duke 1'!A$3:$B$85,2, 0), 0)</f>
        <v>0</v>
      </c>
      <c r="E217" s="9">
        <f>IFERROR(VLOOKUP(B217, 'Duke 2'!A$3:$B$522,2, 0), 0)</f>
        <v>0</v>
      </c>
      <c r="F217" s="10">
        <f>IFERROR(VLOOKUP(B217, 'Duke 3'!A$3:$B1000,2, 0), 0)</f>
        <v>0</v>
      </c>
      <c r="G217" s="10">
        <f>IFERROR(VLOOKUP(B217, 'Duke 4'!A$3:$B1000,2, 0), 0)</f>
        <v>0</v>
      </c>
      <c r="H217" s="10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</row>
    <row r="218">
      <c r="A218" s="1">
        <f t="shared" si="1"/>
        <v>217</v>
      </c>
      <c r="B218" s="7" t="s">
        <v>186</v>
      </c>
      <c r="C218" s="8">
        <f t="shared" si="2"/>
        <v>0</v>
      </c>
      <c r="D218" s="9">
        <f>IFERROR(VLOOKUP(B218, 'Duke 1'!A$3:$B$85,2, 0), 0)</f>
        <v>0</v>
      </c>
      <c r="E218" s="9">
        <f>IFERROR(VLOOKUP(B218, 'Duke 2'!A$3:$B$522,2, 0), 0)</f>
        <v>0</v>
      </c>
      <c r="F218" s="10">
        <f>IFERROR(VLOOKUP(B218, 'Duke 3'!A$3:$B1000,2, 0), 0)</f>
        <v>0</v>
      </c>
      <c r="G218" s="10">
        <f>IFERROR(VLOOKUP(B218, 'Duke 4'!A$3:$B1000,2, 0), 0)</f>
        <v>0</v>
      </c>
      <c r="H218" s="10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</row>
    <row r="219">
      <c r="A219" s="1">
        <f t="shared" si="1"/>
        <v>218</v>
      </c>
      <c r="B219" s="7" t="s">
        <v>187</v>
      </c>
      <c r="C219" s="8">
        <f t="shared" si="2"/>
        <v>0</v>
      </c>
      <c r="D219" s="9">
        <f>IFERROR(VLOOKUP(B219, 'Duke 1'!A$3:$B$85,2, 0), 0)</f>
        <v>0</v>
      </c>
      <c r="E219" s="9">
        <f>IFERROR(VLOOKUP(B219, 'Duke 2'!A$3:$B$522,2, 0), 0)</f>
        <v>0</v>
      </c>
      <c r="F219" s="10">
        <f>IFERROR(VLOOKUP(B219, 'Duke 3'!A$3:$B1000,2, 0), 0)</f>
        <v>0</v>
      </c>
      <c r="G219" s="10">
        <f>IFERROR(VLOOKUP(B219, 'Duke 4'!A$3:$B1000,2, 0), 0)</f>
        <v>0</v>
      </c>
      <c r="H219" s="10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</row>
    <row r="220">
      <c r="A220" s="1">
        <f t="shared" si="1"/>
        <v>219</v>
      </c>
      <c r="B220" s="7" t="s">
        <v>188</v>
      </c>
      <c r="C220" s="8">
        <f t="shared" si="2"/>
        <v>0</v>
      </c>
      <c r="D220" s="9">
        <f>IFERROR(VLOOKUP(B220, 'Duke 1'!A$3:$B$85,2, 0), 0)</f>
        <v>0</v>
      </c>
      <c r="E220" s="9">
        <f>IFERROR(VLOOKUP(B220, 'Duke 2'!A$3:$B$522,2, 0), 0)</f>
        <v>0</v>
      </c>
      <c r="F220" s="10">
        <f>IFERROR(VLOOKUP(B220, 'Duke 3'!A$3:$B1000,2, 0), 0)</f>
        <v>0</v>
      </c>
      <c r="G220" s="10">
        <f>IFERROR(VLOOKUP(B220, 'Duke 4'!A$3:$B1000,2, 0), 0)</f>
        <v>0</v>
      </c>
      <c r="H220" s="10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</row>
    <row r="221">
      <c r="A221" s="1">
        <f t="shared" si="1"/>
        <v>220</v>
      </c>
      <c r="B221" s="7" t="s">
        <v>189</v>
      </c>
      <c r="C221" s="8">
        <f t="shared" si="2"/>
        <v>0</v>
      </c>
      <c r="D221" s="9">
        <f>IFERROR(VLOOKUP(B221, 'Duke 1'!A$3:$B$85,2, 0), 0)</f>
        <v>0</v>
      </c>
      <c r="E221" s="9">
        <f>IFERROR(VLOOKUP(B221, 'Duke 2'!A$3:$B$522,2, 0), 0)</f>
        <v>0</v>
      </c>
      <c r="F221" s="10">
        <f>IFERROR(VLOOKUP(B221, 'Duke 3'!A$3:$B1000,2, 0), 0)</f>
        <v>0</v>
      </c>
      <c r="G221" s="10">
        <f>IFERROR(VLOOKUP(B221, 'Duke 4'!A$3:$B1000,2, 0), 0)</f>
        <v>0</v>
      </c>
      <c r="H221" s="10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</row>
    <row r="222">
      <c r="A222" s="1">
        <f t="shared" si="1"/>
        <v>221</v>
      </c>
      <c r="B222" s="7" t="s">
        <v>190</v>
      </c>
      <c r="C222" s="8">
        <f t="shared" si="2"/>
        <v>0</v>
      </c>
      <c r="D222" s="9">
        <f>IFERROR(VLOOKUP(B222, 'Duke 1'!A$3:$B$85,2, 0), 0)</f>
        <v>0</v>
      </c>
      <c r="E222" s="9">
        <f>IFERROR(VLOOKUP(B222, 'Duke 2'!A$3:$B$522,2, 0), 0)</f>
        <v>0</v>
      </c>
      <c r="F222" s="10">
        <f>IFERROR(VLOOKUP(B222, 'Duke 3'!A$3:$B1000,2, 0), 0)</f>
        <v>0</v>
      </c>
      <c r="G222" s="10">
        <f>IFERROR(VLOOKUP(B222, 'Duke 4'!A$3:$B1000,2, 0), 0)</f>
        <v>0</v>
      </c>
      <c r="H222" s="10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</row>
    <row r="223">
      <c r="A223" s="1">
        <f t="shared" si="1"/>
        <v>222</v>
      </c>
      <c r="B223" s="7" t="s">
        <v>191</v>
      </c>
      <c r="C223" s="8">
        <f t="shared" si="2"/>
        <v>0</v>
      </c>
      <c r="D223" s="9">
        <f>IFERROR(VLOOKUP(B223, 'Duke 1'!A$3:$B$85,2, 0), 0)</f>
        <v>0</v>
      </c>
      <c r="E223" s="9">
        <f>IFERROR(VLOOKUP(B223, 'Duke 2'!A$3:$B$522,2, 0), 0)</f>
        <v>0</v>
      </c>
      <c r="F223" s="10">
        <f>IFERROR(VLOOKUP(B223, 'Duke 3'!A$3:$B1000,2, 0), 0)</f>
        <v>0</v>
      </c>
      <c r="G223" s="10">
        <f>IFERROR(VLOOKUP(B223, 'Duke 4'!A$3:$B1000,2, 0), 0)</f>
        <v>0</v>
      </c>
      <c r="H223" s="10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</row>
    <row r="224">
      <c r="A224" s="1">
        <f t="shared" si="1"/>
        <v>223</v>
      </c>
      <c r="B224" s="7" t="s">
        <v>192</v>
      </c>
      <c r="C224" s="8">
        <f t="shared" si="2"/>
        <v>0</v>
      </c>
      <c r="D224" s="9">
        <f>IFERROR(VLOOKUP(B224, 'Duke 1'!A$3:$B$85,2, 0), 0)</f>
        <v>0</v>
      </c>
      <c r="E224" s="9">
        <f>IFERROR(VLOOKUP(B224, 'Duke 2'!A$3:$B$522,2, 0), 0)</f>
        <v>0</v>
      </c>
      <c r="F224" s="10">
        <f>IFERROR(VLOOKUP(B224, 'Duke 3'!A$3:$B1000,2, 0), 0)</f>
        <v>0</v>
      </c>
      <c r="G224" s="10">
        <f>IFERROR(VLOOKUP(B224, 'Duke 4'!A$3:$B1000,2, 0), 0)</f>
        <v>0</v>
      </c>
      <c r="H224" s="10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</row>
    <row r="225">
      <c r="A225" s="1">
        <f t="shared" si="1"/>
        <v>224</v>
      </c>
      <c r="B225" s="7" t="s">
        <v>193</v>
      </c>
      <c r="C225" s="8">
        <f t="shared" si="2"/>
        <v>0</v>
      </c>
      <c r="D225" s="9">
        <f>IFERROR(VLOOKUP(B225, 'Duke 1'!A$3:$B$85,2, 0), 0)</f>
        <v>0</v>
      </c>
      <c r="E225" s="9">
        <f>IFERROR(VLOOKUP(B225, 'Duke 2'!A$3:$B$522,2, 0), 0)</f>
        <v>0</v>
      </c>
      <c r="F225" s="10">
        <f>IFERROR(VLOOKUP(B225, 'Duke 3'!A$3:$B1000,2, 0), 0)</f>
        <v>0</v>
      </c>
      <c r="G225" s="10">
        <f>IFERROR(VLOOKUP(B225, 'Duke 4'!A$3:$B1000,2, 0), 0)</f>
        <v>0</v>
      </c>
      <c r="H225" s="10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</row>
    <row r="226">
      <c r="A226" s="1">
        <f t="shared" si="1"/>
        <v>225</v>
      </c>
      <c r="B226" s="7" t="s">
        <v>194</v>
      </c>
      <c r="C226" s="8">
        <f t="shared" si="2"/>
        <v>0</v>
      </c>
      <c r="D226" s="9">
        <f>IFERROR(VLOOKUP(B226, 'Duke 1'!A$3:$B$85,2, 0), 0)</f>
        <v>0</v>
      </c>
      <c r="E226" s="9">
        <f>IFERROR(VLOOKUP(B226, 'Duke 2'!A$3:$B$522,2, 0), 0)</f>
        <v>0</v>
      </c>
      <c r="F226" s="10">
        <f>IFERROR(VLOOKUP(B226, 'Duke 3'!A$3:$B1000,2, 0), 0)</f>
        <v>0</v>
      </c>
      <c r="G226" s="10">
        <f>IFERROR(VLOOKUP(B226, 'Duke 4'!A$3:$B1000,2, 0), 0)</f>
        <v>0</v>
      </c>
      <c r="H226" s="10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</row>
    <row r="227">
      <c r="A227" s="1">
        <f t="shared" si="1"/>
        <v>226</v>
      </c>
      <c r="B227" s="7" t="s">
        <v>195</v>
      </c>
      <c r="C227" s="8">
        <f t="shared" si="2"/>
        <v>0</v>
      </c>
      <c r="D227" s="9">
        <f>IFERROR(VLOOKUP(B227, 'Duke 1'!A$3:$B$85,2, 0), 0)</f>
        <v>0</v>
      </c>
      <c r="E227" s="9">
        <f>IFERROR(VLOOKUP(B227, 'Duke 2'!A$3:$B$522,2, 0), 0)</f>
        <v>0</v>
      </c>
      <c r="F227" s="10">
        <f>IFERROR(VLOOKUP(B227, 'Duke 3'!A$3:$B1000,2, 0), 0)</f>
        <v>0</v>
      </c>
      <c r="G227" s="10">
        <f>IFERROR(VLOOKUP(B227, 'Duke 4'!A$3:$B1000,2, 0), 0)</f>
        <v>0</v>
      </c>
      <c r="H227" s="10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</row>
    <row r="228">
      <c r="A228" s="1">
        <f t="shared" si="1"/>
        <v>227</v>
      </c>
      <c r="B228" s="7" t="s">
        <v>196</v>
      </c>
      <c r="C228" s="8">
        <f t="shared" si="2"/>
        <v>0</v>
      </c>
      <c r="D228" s="9">
        <f>IFERROR(VLOOKUP(B228, 'Duke 1'!A$3:$B$85,2, 0), 0)</f>
        <v>0</v>
      </c>
      <c r="E228" s="9">
        <f>IFERROR(VLOOKUP(B228, 'Duke 2'!A$3:$B$522,2, 0), 0)</f>
        <v>0</v>
      </c>
      <c r="F228" s="10">
        <f>IFERROR(VLOOKUP(B228, 'Duke 3'!A$3:$B1000,2, 0), 0)</f>
        <v>0</v>
      </c>
      <c r="G228" s="10">
        <f>IFERROR(VLOOKUP(B228, 'Duke 4'!A$3:$B1000,2, 0), 0)</f>
        <v>0</v>
      </c>
      <c r="H228" s="10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</row>
    <row r="229">
      <c r="A229" s="1">
        <f t="shared" si="1"/>
        <v>228</v>
      </c>
      <c r="B229" s="7" t="s">
        <v>197</v>
      </c>
      <c r="C229" s="8">
        <f t="shared" si="2"/>
        <v>0</v>
      </c>
      <c r="D229" s="9">
        <f>IFERROR(VLOOKUP(B229, 'Duke 1'!A$3:$B$85,2, 0), 0)</f>
        <v>0</v>
      </c>
      <c r="E229" s="9">
        <f>IFERROR(VLOOKUP(B229, 'Duke 2'!A$3:$B$522,2, 0), 0)</f>
        <v>0</v>
      </c>
      <c r="F229" s="10">
        <f>IFERROR(VLOOKUP(B229, 'Duke 3'!A$3:$B1000,2, 0), 0)</f>
        <v>0</v>
      </c>
      <c r="G229" s="10">
        <f>IFERROR(VLOOKUP(B229, 'Duke 4'!A$3:$B1000,2, 0), 0)</f>
        <v>0</v>
      </c>
      <c r="H229" s="10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</row>
    <row r="230">
      <c r="A230" s="1">
        <f t="shared" si="1"/>
        <v>229</v>
      </c>
      <c r="B230" s="7" t="s">
        <v>198</v>
      </c>
      <c r="C230" s="8">
        <f t="shared" si="2"/>
        <v>0</v>
      </c>
      <c r="D230" s="9">
        <f>IFERROR(VLOOKUP(B230, 'Duke 1'!A$3:$B$85,2, 0), 0)</f>
        <v>0</v>
      </c>
      <c r="E230" s="9">
        <f>IFERROR(VLOOKUP(B230, 'Duke 2'!A$3:$B$522,2, 0), 0)</f>
        <v>0</v>
      </c>
      <c r="F230" s="10">
        <f>IFERROR(VLOOKUP(B230, 'Duke 3'!A$3:$B1000,2, 0), 0)</f>
        <v>0</v>
      </c>
      <c r="G230" s="10">
        <f>IFERROR(VLOOKUP(B230, 'Duke 4'!A$3:$B1000,2, 0), 0)</f>
        <v>0</v>
      </c>
      <c r="H230" s="10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</row>
    <row r="231">
      <c r="A231" s="1">
        <f t="shared" si="1"/>
        <v>230</v>
      </c>
      <c r="B231" s="7" t="s">
        <v>199</v>
      </c>
      <c r="C231" s="8">
        <f t="shared" si="2"/>
        <v>0</v>
      </c>
      <c r="D231" s="9">
        <f>IFERROR(VLOOKUP(B231, 'Duke 1'!A$3:$B$85,2, 0), 0)</f>
        <v>0</v>
      </c>
      <c r="E231" s="9">
        <f>IFERROR(VLOOKUP(B231, 'Duke 2'!A$3:$B$522,2, 0), 0)</f>
        <v>0</v>
      </c>
      <c r="F231" s="10">
        <f>IFERROR(VLOOKUP(B231, 'Duke 3'!A$3:$B1000,2, 0), 0)</f>
        <v>0</v>
      </c>
      <c r="G231" s="10">
        <f>IFERROR(VLOOKUP(B231, 'Duke 4'!A$3:$B1000,2, 0), 0)</f>
        <v>0</v>
      </c>
      <c r="H231" s="10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</row>
    <row r="232">
      <c r="A232" s="1">
        <f t="shared" si="1"/>
        <v>231</v>
      </c>
      <c r="B232" s="7" t="s">
        <v>200</v>
      </c>
      <c r="C232" s="8">
        <f t="shared" si="2"/>
        <v>0</v>
      </c>
      <c r="D232" s="9">
        <f>IFERROR(VLOOKUP(B232, 'Duke 1'!A$3:$B$85,2, 0), 0)</f>
        <v>0</v>
      </c>
      <c r="E232" s="9">
        <f>IFERROR(VLOOKUP(B232, 'Duke 2'!A$3:$B$522,2, 0), 0)</f>
        <v>0</v>
      </c>
      <c r="F232" s="10">
        <f>IFERROR(VLOOKUP(B232, 'Duke 3'!A$3:$B1000,2, 0), 0)</f>
        <v>0</v>
      </c>
      <c r="G232" s="10">
        <f>IFERROR(VLOOKUP(B232, 'Duke 4'!A$3:$B1000,2, 0), 0)</f>
        <v>0</v>
      </c>
      <c r="H232" s="10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</row>
    <row r="233">
      <c r="A233" s="1">
        <f t="shared" si="1"/>
        <v>232</v>
      </c>
      <c r="B233" s="7" t="s">
        <v>201</v>
      </c>
      <c r="C233" s="8">
        <f t="shared" si="2"/>
        <v>0</v>
      </c>
      <c r="D233" s="9">
        <f>IFERROR(VLOOKUP(B233, 'Duke 1'!A$3:$B$85,2, 0), 0)</f>
        <v>0</v>
      </c>
      <c r="E233" s="9">
        <f>IFERROR(VLOOKUP(B233, 'Duke 2'!A$3:$B$522,2, 0), 0)</f>
        <v>0</v>
      </c>
      <c r="F233" s="10">
        <f>IFERROR(VLOOKUP(B233, 'Duke 3'!A$3:$B1000,2, 0), 0)</f>
        <v>0</v>
      </c>
      <c r="G233" s="10">
        <f>IFERROR(VLOOKUP(B233, 'Duke 4'!A$3:$B1000,2, 0), 0)</f>
        <v>0</v>
      </c>
      <c r="H233" s="10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</row>
    <row r="234">
      <c r="A234" s="1">
        <f t="shared" si="1"/>
        <v>233</v>
      </c>
      <c r="B234" s="7" t="s">
        <v>202</v>
      </c>
      <c r="C234" s="8">
        <f t="shared" si="2"/>
        <v>0</v>
      </c>
      <c r="D234" s="9">
        <f>IFERROR(VLOOKUP(B234, 'Duke 1'!A$3:$B$85,2, 0), 0)</f>
        <v>0</v>
      </c>
      <c r="E234" s="9">
        <f>IFERROR(VLOOKUP(B234, 'Duke 2'!A$3:$B$522,2, 0), 0)</f>
        <v>0</v>
      </c>
      <c r="F234" s="10">
        <f>IFERROR(VLOOKUP(B234, 'Duke 3'!A$3:$B1000,2, 0), 0)</f>
        <v>0</v>
      </c>
      <c r="G234" s="10">
        <f>IFERROR(VLOOKUP(B234, 'Duke 4'!A$3:$B1000,2, 0), 0)</f>
        <v>0</v>
      </c>
      <c r="H234" s="10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</row>
    <row r="235">
      <c r="A235" s="1">
        <f t="shared" si="1"/>
        <v>234</v>
      </c>
      <c r="B235" s="7" t="s">
        <v>203</v>
      </c>
      <c r="C235" s="8">
        <f t="shared" si="2"/>
        <v>0</v>
      </c>
      <c r="D235" s="9">
        <f>IFERROR(VLOOKUP(B235, 'Duke 1'!A$3:$B$85,2, 0), 0)</f>
        <v>0</v>
      </c>
      <c r="E235" s="9">
        <f>IFERROR(VLOOKUP(B235, 'Duke 2'!A$3:$B$522,2, 0), 0)</f>
        <v>0</v>
      </c>
      <c r="F235" s="10">
        <f>IFERROR(VLOOKUP(B235, 'Duke 3'!A$3:$B1000,2, 0), 0)</f>
        <v>0</v>
      </c>
      <c r="G235" s="10">
        <f>IFERROR(VLOOKUP(B235, 'Duke 4'!A$3:$B1000,2, 0), 0)</f>
        <v>0</v>
      </c>
      <c r="H235" s="10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</row>
    <row r="236">
      <c r="A236" s="1">
        <f t="shared" si="1"/>
        <v>235</v>
      </c>
      <c r="B236" s="7" t="s">
        <v>204</v>
      </c>
      <c r="C236" s="8">
        <f t="shared" si="2"/>
        <v>0</v>
      </c>
      <c r="D236" s="9">
        <f>IFERROR(VLOOKUP(B236, 'Duke 1'!A$3:$B$85,2, 0), 0)</f>
        <v>0</v>
      </c>
      <c r="E236" s="9">
        <f>IFERROR(VLOOKUP(B236, 'Duke 2'!A$3:$B$522,2, 0), 0)</f>
        <v>0</v>
      </c>
      <c r="F236" s="10">
        <f>IFERROR(VLOOKUP(B236, 'Duke 3'!A$3:$B1000,2, 0), 0)</f>
        <v>0</v>
      </c>
      <c r="G236" s="10">
        <f>IFERROR(VLOOKUP(B236, 'Duke 4'!A$3:$B1000,2, 0), 0)</f>
        <v>0</v>
      </c>
      <c r="H236" s="10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</row>
    <row r="237">
      <c r="A237" s="1">
        <f t="shared" si="1"/>
        <v>236</v>
      </c>
      <c r="B237" s="7" t="s">
        <v>205</v>
      </c>
      <c r="C237" s="8">
        <f t="shared" si="2"/>
        <v>0</v>
      </c>
      <c r="D237" s="9">
        <f>IFERROR(VLOOKUP(B237, 'Duke 1'!A$3:$B$85,2, 0), 0)</f>
        <v>0</v>
      </c>
      <c r="E237" s="9">
        <f>IFERROR(VLOOKUP(B237, 'Duke 2'!A$3:$B$522,2, 0), 0)</f>
        <v>0</v>
      </c>
      <c r="F237" s="10">
        <f>IFERROR(VLOOKUP(B237, 'Duke 3'!A$3:$B1000,2, 0), 0)</f>
        <v>0</v>
      </c>
      <c r="G237" s="10">
        <f>IFERROR(VLOOKUP(B237, 'Duke 4'!A$3:$B1000,2, 0), 0)</f>
        <v>0</v>
      </c>
      <c r="H237" s="10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</row>
    <row r="238">
      <c r="A238" s="1">
        <f t="shared" si="1"/>
        <v>237</v>
      </c>
      <c r="B238" s="7" t="s">
        <v>206</v>
      </c>
      <c r="C238" s="8">
        <f t="shared" si="2"/>
        <v>0</v>
      </c>
      <c r="D238" s="9">
        <f>IFERROR(VLOOKUP(B238, 'Duke 1'!A$3:$B$85,2, 0), 0)</f>
        <v>0</v>
      </c>
      <c r="E238" s="9">
        <f>IFERROR(VLOOKUP(B238, 'Duke 2'!A$3:$B$522,2, 0), 0)</f>
        <v>0</v>
      </c>
      <c r="F238" s="10">
        <f>IFERROR(VLOOKUP(B238, 'Duke 3'!A$3:$B1000,2, 0), 0)</f>
        <v>0</v>
      </c>
      <c r="G238" s="10">
        <f>IFERROR(VLOOKUP(B238, 'Duke 4'!A$3:$B1000,2, 0), 0)</f>
        <v>0</v>
      </c>
      <c r="H238" s="10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</row>
    <row r="239">
      <c r="A239" s="1">
        <f t="shared" si="1"/>
        <v>238</v>
      </c>
      <c r="B239" s="7" t="s">
        <v>207</v>
      </c>
      <c r="C239" s="8">
        <f t="shared" si="2"/>
        <v>0</v>
      </c>
      <c r="D239" s="9">
        <f>IFERROR(VLOOKUP(B239, 'Duke 1'!A$3:$B$85,2, 0), 0)</f>
        <v>0</v>
      </c>
      <c r="E239" s="9">
        <f>IFERROR(VLOOKUP(B239, 'Duke 2'!A$3:$B$522,2, 0), 0)</f>
        <v>0</v>
      </c>
      <c r="F239" s="10">
        <f>IFERROR(VLOOKUP(B239, 'Duke 3'!A$3:$B1000,2, 0), 0)</f>
        <v>0</v>
      </c>
      <c r="G239" s="10">
        <f>IFERROR(VLOOKUP(B239, 'Duke 4'!A$3:$B1000,2, 0), 0)</f>
        <v>0</v>
      </c>
      <c r="H239" s="10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</row>
    <row r="240">
      <c r="A240" s="1">
        <f t="shared" si="1"/>
        <v>239</v>
      </c>
      <c r="B240" s="7" t="s">
        <v>208</v>
      </c>
      <c r="C240" s="8">
        <f t="shared" si="2"/>
        <v>0</v>
      </c>
      <c r="D240" s="9">
        <f>IFERROR(VLOOKUP(B240, 'Duke 1'!A$3:$B$85,2, 0), 0)</f>
        <v>0</v>
      </c>
      <c r="E240" s="9">
        <f>IFERROR(VLOOKUP(B240, 'Duke 2'!A$3:$B$522,2, 0), 0)</f>
        <v>0</v>
      </c>
      <c r="F240" s="10">
        <f>IFERROR(VLOOKUP(B240, 'Duke 3'!A$3:$B1000,2, 0), 0)</f>
        <v>0</v>
      </c>
      <c r="G240" s="10">
        <f>IFERROR(VLOOKUP(B240, 'Duke 4'!A$3:$B1000,2, 0), 0)</f>
        <v>0</v>
      </c>
      <c r="H240" s="10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</row>
    <row r="241">
      <c r="A241" s="1">
        <f t="shared" si="1"/>
        <v>240</v>
      </c>
      <c r="B241" s="7" t="s">
        <v>209</v>
      </c>
      <c r="C241" s="8">
        <f t="shared" si="2"/>
        <v>0</v>
      </c>
      <c r="D241" s="9">
        <f>IFERROR(VLOOKUP(B241, 'Duke 1'!A$3:$B$85,2, 0), 0)</f>
        <v>0</v>
      </c>
      <c r="E241" s="9">
        <f>IFERROR(VLOOKUP(B241, 'Duke 2'!A$3:$B$522,2, 0), 0)</f>
        <v>0</v>
      </c>
      <c r="F241" s="10">
        <f>IFERROR(VLOOKUP(B241, 'Duke 3'!A$3:$B1000,2, 0), 0)</f>
        <v>0</v>
      </c>
      <c r="G241" s="10">
        <f>IFERROR(VLOOKUP(B241, 'Duke 4'!A$3:$B1000,2, 0), 0)</f>
        <v>0</v>
      </c>
      <c r="H241" s="10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</row>
    <row r="242">
      <c r="A242" s="1">
        <f t="shared" si="1"/>
        <v>241</v>
      </c>
      <c r="B242" s="7" t="s">
        <v>210</v>
      </c>
      <c r="C242" s="8">
        <f t="shared" si="2"/>
        <v>0</v>
      </c>
      <c r="D242" s="9">
        <f>IFERROR(VLOOKUP(B242, 'Duke 1'!A$3:$B$85,2, 0), 0)</f>
        <v>0</v>
      </c>
      <c r="E242" s="9">
        <f>IFERROR(VLOOKUP(B242, 'Duke 2'!A$3:$B$522,2, 0), 0)</f>
        <v>0</v>
      </c>
      <c r="F242" s="10">
        <f>IFERROR(VLOOKUP(B242, 'Duke 3'!A$3:$B1000,2, 0), 0)</f>
        <v>0</v>
      </c>
      <c r="G242" s="10">
        <f>IFERROR(VLOOKUP(B242, 'Duke 4'!A$3:$B1000,2, 0), 0)</f>
        <v>0</v>
      </c>
      <c r="H242" s="10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</row>
    <row r="243">
      <c r="A243" s="1">
        <f t="shared" si="1"/>
        <v>242</v>
      </c>
      <c r="B243" s="7" t="s">
        <v>211</v>
      </c>
      <c r="C243" s="8">
        <f t="shared" si="2"/>
        <v>0</v>
      </c>
      <c r="D243" s="9">
        <f>IFERROR(VLOOKUP(B243, 'Duke 1'!A$3:$B$85,2, 0), 0)</f>
        <v>0</v>
      </c>
      <c r="E243" s="9">
        <f>IFERROR(VLOOKUP(B243, 'Duke 2'!A$3:$B$522,2, 0), 0)</f>
        <v>0</v>
      </c>
      <c r="F243" s="10">
        <f>IFERROR(VLOOKUP(B243, 'Duke 3'!A$3:$B1000,2, 0), 0)</f>
        <v>0</v>
      </c>
      <c r="G243" s="10">
        <f>IFERROR(VLOOKUP(B243, 'Duke 4'!A$3:$B1000,2, 0), 0)</f>
        <v>0</v>
      </c>
      <c r="H243" s="10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</row>
    <row r="244">
      <c r="A244" s="1">
        <f t="shared" si="1"/>
        <v>243</v>
      </c>
      <c r="B244" s="7" t="s">
        <v>212</v>
      </c>
      <c r="C244" s="8">
        <f t="shared" si="2"/>
        <v>0</v>
      </c>
      <c r="D244" s="9">
        <f>IFERROR(VLOOKUP(B244, 'Duke 1'!A$3:$B$85,2, 0), 0)</f>
        <v>0</v>
      </c>
      <c r="E244" s="9">
        <f>IFERROR(VLOOKUP(B244, 'Duke 2'!A$3:$B$522,2, 0), 0)</f>
        <v>0</v>
      </c>
      <c r="F244" s="10">
        <f>IFERROR(VLOOKUP(B244, 'Duke 3'!A$3:$B1000,2, 0), 0)</f>
        <v>0</v>
      </c>
      <c r="G244" s="10">
        <f>IFERROR(VLOOKUP(B244, 'Duke 4'!A$3:$B1000,2, 0), 0)</f>
        <v>0</v>
      </c>
      <c r="H244" s="10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</row>
    <row r="245">
      <c r="A245" s="1">
        <f t="shared" si="1"/>
        <v>244</v>
      </c>
      <c r="B245" s="17" t="s">
        <v>213</v>
      </c>
      <c r="C245" s="8">
        <f t="shared" si="2"/>
        <v>0</v>
      </c>
      <c r="D245" s="9">
        <f>IFERROR(VLOOKUP(B245, 'Duke 1'!A$3:$B$85,2, 0), 0)</f>
        <v>0</v>
      </c>
      <c r="E245" s="9">
        <f>IFERROR(VLOOKUP(B245, 'Duke 2'!A$3:$B$522,2, 0), 0)</f>
        <v>0</v>
      </c>
      <c r="F245" s="10">
        <f>IFERROR(VLOOKUP(B245, 'Duke 3'!A$3:$B1000,2, 0), 0)</f>
        <v>0</v>
      </c>
      <c r="G245" s="10">
        <f>IFERROR(VLOOKUP(B245, 'Duke 4'!A$3:$B1000,2, 0), 0)</f>
        <v>0</v>
      </c>
      <c r="H245" s="10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</row>
    <row r="246">
      <c r="A246" s="1">
        <f t="shared" si="1"/>
        <v>245</v>
      </c>
      <c r="B246" s="7" t="s">
        <v>214</v>
      </c>
      <c r="C246" s="8">
        <f t="shared" si="2"/>
        <v>0</v>
      </c>
      <c r="D246" s="9">
        <f>IFERROR(VLOOKUP(B246, 'Duke 1'!A$3:$B$85,2, 0), 0)</f>
        <v>0</v>
      </c>
      <c r="E246" s="9">
        <f>IFERROR(VLOOKUP(B246, 'Duke 2'!A$3:$B$522,2, 0), 0)</f>
        <v>0</v>
      </c>
      <c r="F246" s="10">
        <f>IFERROR(VLOOKUP(B246, 'Duke 3'!A$3:$B1000,2, 0), 0)</f>
        <v>0</v>
      </c>
      <c r="G246" s="10">
        <f>IFERROR(VLOOKUP(B246, 'Duke 4'!A$3:$B1000,2, 0), 0)</f>
        <v>0</v>
      </c>
      <c r="H246" s="10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</row>
    <row r="247">
      <c r="A247" s="1">
        <f t="shared" si="1"/>
        <v>246</v>
      </c>
      <c r="B247" s="7" t="s">
        <v>215</v>
      </c>
      <c r="C247" s="8">
        <f t="shared" si="2"/>
        <v>0</v>
      </c>
      <c r="D247" s="9">
        <f>IFERROR(VLOOKUP(B247, 'Duke 1'!A$3:$B$85,2, 0), 0)</f>
        <v>0</v>
      </c>
      <c r="E247" s="9">
        <f>IFERROR(VLOOKUP(B247, 'Duke 2'!A$3:$B$522,2, 0), 0)</f>
        <v>0</v>
      </c>
      <c r="F247" s="10">
        <f>IFERROR(VLOOKUP(B247, 'Duke 3'!A$3:$B1000,2, 0), 0)</f>
        <v>0</v>
      </c>
      <c r="G247" s="10">
        <f>IFERROR(VLOOKUP(B247, 'Duke 4'!A$3:$B1000,2, 0), 0)</f>
        <v>0</v>
      </c>
      <c r="H247" s="10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</row>
    <row r="248">
      <c r="A248" s="1">
        <f t="shared" si="1"/>
        <v>247</v>
      </c>
      <c r="B248" s="7" t="s">
        <v>216</v>
      </c>
      <c r="C248" s="8">
        <f t="shared" si="2"/>
        <v>0</v>
      </c>
      <c r="D248" s="9">
        <f>IFERROR(VLOOKUP(B248, 'Duke 1'!A$3:$B$85,2, 0), 0)</f>
        <v>0</v>
      </c>
      <c r="E248" s="9">
        <f>IFERROR(VLOOKUP(B248, 'Duke 2'!A$3:$B$522,2, 0), 0)</f>
        <v>0</v>
      </c>
      <c r="F248" s="10">
        <f>IFERROR(VLOOKUP(B248, 'Duke 3'!A$3:$B1000,2, 0), 0)</f>
        <v>0</v>
      </c>
      <c r="G248" s="10">
        <f>IFERROR(VLOOKUP(B248, 'Duke 4'!A$3:$B1000,2, 0), 0)</f>
        <v>0</v>
      </c>
      <c r="H248" s="10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</row>
    <row r="249">
      <c r="A249" s="1">
        <f t="shared" si="1"/>
        <v>248</v>
      </c>
      <c r="B249" s="7" t="s">
        <v>217</v>
      </c>
      <c r="C249" s="8">
        <f t="shared" si="2"/>
        <v>0</v>
      </c>
      <c r="D249" s="9">
        <f>IFERROR(VLOOKUP(B249, 'Duke 1'!A$3:$B$85,2, 0), 0)</f>
        <v>0</v>
      </c>
      <c r="E249" s="9">
        <f>IFERROR(VLOOKUP(B249, 'Duke 2'!A$3:$B$522,2, 0), 0)</f>
        <v>0</v>
      </c>
      <c r="F249" s="10">
        <f>IFERROR(VLOOKUP(B249, 'Duke 3'!A$3:$B1000,2, 0), 0)</f>
        <v>0</v>
      </c>
      <c r="G249" s="10">
        <f>IFERROR(VLOOKUP(B249, 'Duke 4'!A$3:$B1000,2, 0), 0)</f>
        <v>0</v>
      </c>
      <c r="H249" s="10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</row>
    <row r="250">
      <c r="A250" s="1">
        <f t="shared" si="1"/>
        <v>249</v>
      </c>
      <c r="B250" s="7" t="s">
        <v>218</v>
      </c>
      <c r="C250" s="8">
        <f t="shared" si="2"/>
        <v>0</v>
      </c>
      <c r="D250" s="9">
        <f>IFERROR(VLOOKUP(B250, 'Duke 1'!A$3:$B$85,2, 0), 0)</f>
        <v>0</v>
      </c>
      <c r="E250" s="9">
        <f>IFERROR(VLOOKUP(B250, 'Duke 2'!A$3:$B$522,2, 0), 0)</f>
        <v>0</v>
      </c>
      <c r="F250" s="10">
        <f>IFERROR(VLOOKUP(B250, 'Duke 3'!A$3:$B1000,2, 0), 0)</f>
        <v>0</v>
      </c>
      <c r="G250" s="10">
        <f>IFERROR(VLOOKUP(B250, 'Duke 4'!A$3:$B1000,2, 0), 0)</f>
        <v>0</v>
      </c>
      <c r="H250" s="10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</row>
    <row r="251">
      <c r="A251" s="1">
        <f t="shared" si="1"/>
        <v>250</v>
      </c>
      <c r="B251" s="7" t="s">
        <v>219</v>
      </c>
      <c r="C251" s="8">
        <f t="shared" si="2"/>
        <v>0</v>
      </c>
      <c r="D251" s="9">
        <f>IFERROR(VLOOKUP(B251, 'Duke 1'!A$3:$B$85,2, 0), 0)</f>
        <v>0</v>
      </c>
      <c r="E251" s="9">
        <f>IFERROR(VLOOKUP(B251, 'Duke 2'!A$3:$B$522,2, 0), 0)</f>
        <v>0</v>
      </c>
      <c r="F251" s="10">
        <f>IFERROR(VLOOKUP(B251, 'Duke 3'!A$3:$B1000,2, 0), 0)</f>
        <v>0</v>
      </c>
      <c r="G251" s="10">
        <f>IFERROR(VLOOKUP(B251, 'Duke 4'!A$3:$B1000,2, 0), 0)</f>
        <v>0</v>
      </c>
      <c r="H251" s="10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</row>
    <row r="252">
      <c r="A252" s="1">
        <f t="shared" si="1"/>
        <v>251</v>
      </c>
      <c r="B252" s="7" t="s">
        <v>220</v>
      </c>
      <c r="C252" s="8">
        <f t="shared" si="2"/>
        <v>0</v>
      </c>
      <c r="D252" s="9">
        <f>IFERROR(VLOOKUP(B252, 'Duke 1'!A$3:$B$85,2, 0), 0)</f>
        <v>0</v>
      </c>
      <c r="E252" s="9">
        <f>IFERROR(VLOOKUP(B252, 'Duke 2'!A$3:$B$522,2, 0), 0)</f>
        <v>0</v>
      </c>
      <c r="F252" s="10">
        <f>IFERROR(VLOOKUP(B252, 'Duke 3'!A$3:$B1000,2, 0), 0)</f>
        <v>0</v>
      </c>
      <c r="G252" s="10">
        <f>IFERROR(VLOOKUP(B252, 'Duke 4'!A$3:$B1000,2, 0), 0)</f>
        <v>0</v>
      </c>
      <c r="H252" s="10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</row>
    <row r="253">
      <c r="A253" s="1">
        <f t="shared" si="1"/>
        <v>252</v>
      </c>
      <c r="B253" s="7" t="s">
        <v>221</v>
      </c>
      <c r="C253" s="8">
        <f t="shared" si="2"/>
        <v>0</v>
      </c>
      <c r="D253" s="9">
        <f>IFERROR(VLOOKUP(B253, 'Duke 1'!A$3:$B$85,2, 0), 0)</f>
        <v>0</v>
      </c>
      <c r="E253" s="9">
        <f>IFERROR(VLOOKUP(B253, 'Duke 2'!A$3:$B$522,2, 0), 0)</f>
        <v>0</v>
      </c>
      <c r="F253" s="10">
        <f>IFERROR(VLOOKUP(B253, 'Duke 3'!A$3:$B1000,2, 0), 0)</f>
        <v>0</v>
      </c>
      <c r="G253" s="10">
        <f>IFERROR(VLOOKUP(B253, 'Duke 4'!A$3:$B1000,2, 0), 0)</f>
        <v>0</v>
      </c>
      <c r="H253" s="10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</row>
    <row r="254">
      <c r="A254" s="1">
        <f t="shared" si="1"/>
        <v>253</v>
      </c>
      <c r="B254" s="7" t="s">
        <v>222</v>
      </c>
      <c r="C254" s="8">
        <f t="shared" si="2"/>
        <v>0</v>
      </c>
      <c r="D254" s="9">
        <f>IFERROR(VLOOKUP(B254, 'Duke 1'!A$3:$B$85,2, 0), 0)</f>
        <v>0</v>
      </c>
      <c r="E254" s="9">
        <f>IFERROR(VLOOKUP(B254, 'Duke 2'!A$3:$B$522,2, 0), 0)</f>
        <v>0</v>
      </c>
      <c r="F254" s="10">
        <f>IFERROR(VLOOKUP(B254, 'Duke 3'!A$3:$B1000,2, 0), 0)</f>
        <v>0</v>
      </c>
      <c r="G254" s="10">
        <f>IFERROR(VLOOKUP(B254, 'Duke 4'!A$3:$B1000,2, 0), 0)</f>
        <v>0</v>
      </c>
      <c r="H254" s="10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</row>
    <row r="255">
      <c r="A255" s="1">
        <f t="shared" si="1"/>
        <v>254</v>
      </c>
      <c r="B255" s="7" t="s">
        <v>223</v>
      </c>
      <c r="C255" s="8">
        <f t="shared" si="2"/>
        <v>0</v>
      </c>
      <c r="D255" s="9">
        <f>IFERROR(VLOOKUP(B255, 'Duke 1'!A$3:$B$85,2, 0), 0)</f>
        <v>0</v>
      </c>
      <c r="E255" s="9">
        <f>IFERROR(VLOOKUP(B255, 'Duke 2'!A$3:$B$522,2, 0), 0)</f>
        <v>0</v>
      </c>
      <c r="F255" s="10">
        <f>IFERROR(VLOOKUP(B255, 'Duke 3'!A$3:$B1000,2, 0), 0)</f>
        <v>0</v>
      </c>
      <c r="G255" s="10">
        <f>IFERROR(VLOOKUP(B255, 'Duke 4'!A$3:$B1000,2, 0), 0)</f>
        <v>0</v>
      </c>
      <c r="H255" s="10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</row>
    <row r="256">
      <c r="A256" s="1">
        <f t="shared" si="1"/>
        <v>255</v>
      </c>
      <c r="B256" s="7" t="s">
        <v>224</v>
      </c>
      <c r="C256" s="8">
        <f t="shared" si="2"/>
        <v>0</v>
      </c>
      <c r="D256" s="9">
        <f>IFERROR(VLOOKUP(B256, 'Duke 1'!A$3:$B$85,2, 0), 0)</f>
        <v>0</v>
      </c>
      <c r="E256" s="9">
        <f>IFERROR(VLOOKUP(B256, 'Duke 2'!A$3:$B$522,2, 0), 0)</f>
        <v>0</v>
      </c>
      <c r="F256" s="10">
        <f>IFERROR(VLOOKUP(B256, 'Duke 3'!A$3:$B1000,2, 0), 0)</f>
        <v>0</v>
      </c>
      <c r="G256" s="10">
        <f>IFERROR(VLOOKUP(B256, 'Duke 4'!A$3:$B1000,2, 0), 0)</f>
        <v>0</v>
      </c>
      <c r="H256" s="10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</row>
    <row r="257">
      <c r="A257" s="1">
        <f t="shared" si="1"/>
        <v>256</v>
      </c>
      <c r="B257" s="7" t="s">
        <v>225</v>
      </c>
      <c r="C257" s="8">
        <f t="shared" si="2"/>
        <v>0</v>
      </c>
      <c r="D257" s="9">
        <f>IFERROR(VLOOKUP(B257, 'Duke 1'!A$3:$B$85,2, 0), 0)</f>
        <v>0</v>
      </c>
      <c r="E257" s="9">
        <f>IFERROR(VLOOKUP(B257, 'Duke 2'!A$3:$B$522,2, 0), 0)</f>
        <v>0</v>
      </c>
      <c r="F257" s="10">
        <f>IFERROR(VLOOKUP(B257, 'Duke 3'!A$3:$B1000,2, 0), 0)</f>
        <v>0</v>
      </c>
      <c r="G257" s="10">
        <f>IFERROR(VLOOKUP(B257, 'Duke 4'!A$3:$B1000,2, 0), 0)</f>
        <v>0</v>
      </c>
      <c r="H257" s="10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</row>
    <row r="258">
      <c r="A258" s="1">
        <f t="shared" si="1"/>
        <v>257</v>
      </c>
      <c r="B258" s="7" t="s">
        <v>226</v>
      </c>
      <c r="C258" s="8">
        <f t="shared" si="2"/>
        <v>0</v>
      </c>
      <c r="D258" s="9">
        <f>IFERROR(VLOOKUP(B258, 'Duke 1'!A$3:$B$85,2, 0), 0)</f>
        <v>0</v>
      </c>
      <c r="E258" s="9">
        <f>IFERROR(VLOOKUP(B258, 'Duke 2'!A$3:$B$522,2, 0), 0)</f>
        <v>0</v>
      </c>
      <c r="F258" s="10">
        <f>IFERROR(VLOOKUP(B258, 'Duke 3'!A$3:$B1000,2, 0), 0)</f>
        <v>0</v>
      </c>
      <c r="G258" s="10">
        <f>IFERROR(VLOOKUP(B258, 'Duke 4'!A$3:$B1000,2, 0), 0)</f>
        <v>0</v>
      </c>
      <c r="H258" s="10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</row>
    <row r="259">
      <c r="A259" s="1">
        <f t="shared" si="1"/>
        <v>258</v>
      </c>
      <c r="B259" s="7" t="s">
        <v>227</v>
      </c>
      <c r="C259" s="8">
        <f t="shared" si="2"/>
        <v>0</v>
      </c>
      <c r="D259" s="9">
        <f>IFERROR(VLOOKUP(B259, 'Duke 1'!A$3:$B$85,2, 0), 0)</f>
        <v>0</v>
      </c>
      <c r="E259" s="9">
        <f>IFERROR(VLOOKUP(B259, 'Duke 2'!A$3:$B$522,2, 0), 0)</f>
        <v>0</v>
      </c>
      <c r="F259" s="10">
        <f>IFERROR(VLOOKUP(B259, 'Duke 3'!A$3:$B1000,2, 0), 0)</f>
        <v>0</v>
      </c>
      <c r="G259" s="10">
        <f>IFERROR(VLOOKUP(B259, 'Duke 4'!A$3:$B1000,2, 0), 0)</f>
        <v>0</v>
      </c>
      <c r="H259" s="10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</row>
    <row r="260">
      <c r="A260" s="1">
        <f t="shared" si="1"/>
        <v>259</v>
      </c>
      <c r="B260" s="17" t="s">
        <v>228</v>
      </c>
      <c r="C260" s="8">
        <f t="shared" si="2"/>
        <v>0</v>
      </c>
      <c r="D260" s="9">
        <f>IFERROR(VLOOKUP(B260, 'Duke 1'!A$3:$B$85,2, 0), 0)</f>
        <v>0</v>
      </c>
      <c r="E260" s="9">
        <f>IFERROR(VLOOKUP(B260, 'Duke 2'!A$3:$B$522,2, 0), 0)</f>
        <v>0</v>
      </c>
      <c r="F260" s="10">
        <f>IFERROR(VLOOKUP(B260, 'Duke 3'!A$3:$B1000,2, 0), 0)</f>
        <v>0</v>
      </c>
      <c r="G260" s="10">
        <f>IFERROR(VLOOKUP(B260, 'Duke 4'!A$3:$B1000,2, 0), 0)</f>
        <v>0</v>
      </c>
      <c r="H260" s="10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</row>
    <row r="261">
      <c r="A261" s="1">
        <f t="shared" si="1"/>
        <v>260</v>
      </c>
      <c r="B261" s="7" t="s">
        <v>229</v>
      </c>
      <c r="C261" s="8">
        <f t="shared" si="2"/>
        <v>0</v>
      </c>
      <c r="D261" s="9">
        <f>IFERROR(VLOOKUP(B261, 'Duke 1'!A$3:$B$85,2, 0), 0)</f>
        <v>0</v>
      </c>
      <c r="E261" s="9">
        <f>IFERROR(VLOOKUP(B261, 'Duke 2'!A$3:$B$522,2, 0), 0)</f>
        <v>0</v>
      </c>
      <c r="F261" s="10">
        <f>IFERROR(VLOOKUP(B261, 'Duke 3'!A$3:$B1000,2, 0), 0)</f>
        <v>0</v>
      </c>
      <c r="G261" s="10">
        <f>IFERROR(VLOOKUP(B261, 'Duke 4'!A$3:$B1000,2, 0), 0)</f>
        <v>0</v>
      </c>
      <c r="H261" s="10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</row>
    <row r="262">
      <c r="A262" s="1">
        <f t="shared" si="1"/>
        <v>261</v>
      </c>
      <c r="B262" s="7" t="s">
        <v>230</v>
      </c>
      <c r="C262" s="8">
        <f t="shared" si="2"/>
        <v>0</v>
      </c>
      <c r="D262" s="9">
        <f>IFERROR(VLOOKUP(B262, 'Duke 1'!A$3:$B$85,2, 0), 0)</f>
        <v>0</v>
      </c>
      <c r="E262" s="9">
        <f>IFERROR(VLOOKUP(B262, 'Duke 2'!A$3:$B$522,2, 0), 0)</f>
        <v>0</v>
      </c>
      <c r="F262" s="10">
        <f>IFERROR(VLOOKUP(B262, 'Duke 3'!A$3:$B1000,2, 0), 0)</f>
        <v>0</v>
      </c>
      <c r="G262" s="10">
        <f>IFERROR(VLOOKUP(B262, 'Duke 4'!A$3:$B1000,2, 0), 0)</f>
        <v>0</v>
      </c>
      <c r="H262" s="10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</row>
    <row r="263">
      <c r="A263" s="1">
        <f t="shared" si="1"/>
        <v>262</v>
      </c>
      <c r="B263" s="7" t="s">
        <v>231</v>
      </c>
      <c r="C263" s="8">
        <f t="shared" si="2"/>
        <v>0</v>
      </c>
      <c r="D263" s="9">
        <f>IFERROR(VLOOKUP(B263, 'Duke 1'!A$3:$B$85,2, 0), 0)</f>
        <v>0</v>
      </c>
      <c r="E263" s="9">
        <f>IFERROR(VLOOKUP(B263, 'Duke 2'!A$3:$B$522,2, 0), 0)</f>
        <v>0</v>
      </c>
      <c r="F263" s="10">
        <f>IFERROR(VLOOKUP(B263, 'Duke 3'!A$3:$B1000,2, 0), 0)</f>
        <v>0</v>
      </c>
      <c r="G263" s="10">
        <f>IFERROR(VLOOKUP(B263, 'Duke 4'!A$3:$B1000,2, 0), 0)</f>
        <v>0</v>
      </c>
      <c r="H263" s="10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</row>
    <row r="264">
      <c r="A264" s="1">
        <f t="shared" si="1"/>
        <v>263</v>
      </c>
      <c r="B264" s="7" t="s">
        <v>232</v>
      </c>
      <c r="C264" s="8">
        <f t="shared" si="2"/>
        <v>0</v>
      </c>
      <c r="D264" s="9">
        <f>IFERROR(VLOOKUP(B264, 'Duke 1'!A$3:$B$85,2, 0), 0)</f>
        <v>0</v>
      </c>
      <c r="E264" s="9">
        <f>IFERROR(VLOOKUP(B264, 'Duke 2'!A$3:$B$522,2, 0), 0)</f>
        <v>0</v>
      </c>
      <c r="F264" s="10">
        <f>IFERROR(VLOOKUP(B264, 'Duke 3'!A$3:$B1000,2, 0), 0)</f>
        <v>0</v>
      </c>
      <c r="G264" s="10">
        <f>IFERROR(VLOOKUP(B264, 'Duke 4'!A$3:$B1000,2, 0), 0)</f>
        <v>0</v>
      </c>
      <c r="H264" s="10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</row>
    <row r="265">
      <c r="A265" s="1">
        <f t="shared" si="1"/>
        <v>264</v>
      </c>
      <c r="B265" s="7" t="s">
        <v>233</v>
      </c>
      <c r="C265" s="8">
        <f t="shared" si="2"/>
        <v>0</v>
      </c>
      <c r="D265" s="9">
        <f>IFERROR(VLOOKUP(B265, 'Duke 1'!A$3:$B$85,2, 0), 0)</f>
        <v>0</v>
      </c>
      <c r="E265" s="9">
        <f>IFERROR(VLOOKUP(B265, 'Duke 2'!A$3:$B$522,2, 0), 0)</f>
        <v>0</v>
      </c>
      <c r="F265" s="10">
        <f>IFERROR(VLOOKUP(B265, 'Duke 3'!A$3:$B1000,2, 0), 0)</f>
        <v>0</v>
      </c>
      <c r="G265" s="10">
        <f>IFERROR(VLOOKUP(B265, 'Duke 4'!A$3:$B1000,2, 0), 0)</f>
        <v>0</v>
      </c>
      <c r="H265" s="10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</row>
    <row r="266">
      <c r="A266" s="1">
        <f t="shared" si="1"/>
        <v>265</v>
      </c>
      <c r="B266" s="7" t="s">
        <v>234</v>
      </c>
      <c r="C266" s="8">
        <f t="shared" si="2"/>
        <v>0</v>
      </c>
      <c r="D266" s="9">
        <f>IFERROR(VLOOKUP(B266, 'Duke 1'!A$3:$B$85,2, 0), 0)</f>
        <v>0</v>
      </c>
      <c r="E266" s="9">
        <f>IFERROR(VLOOKUP(B266, 'Duke 2'!A$3:$B$522,2, 0), 0)</f>
        <v>0</v>
      </c>
      <c r="F266" s="10">
        <f>IFERROR(VLOOKUP(B266, 'Duke 3'!A$3:$B1000,2, 0), 0)</f>
        <v>0</v>
      </c>
      <c r="G266" s="10">
        <f>IFERROR(VLOOKUP(B266, 'Duke 4'!A$3:$B1000,2, 0), 0)</f>
        <v>0</v>
      </c>
      <c r="H266" s="10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</row>
    <row r="267">
      <c r="A267" s="1">
        <f t="shared" si="1"/>
        <v>266</v>
      </c>
      <c r="B267" s="7" t="s">
        <v>235</v>
      </c>
      <c r="C267" s="8">
        <f t="shared" si="2"/>
        <v>0</v>
      </c>
      <c r="D267" s="9">
        <f>IFERROR(VLOOKUP(B267, 'Duke 1'!A$3:$B$85,2, 0), 0)</f>
        <v>0</v>
      </c>
      <c r="E267" s="9">
        <f>IFERROR(VLOOKUP(B267, 'Duke 2'!A$3:$B$522,2, 0), 0)</f>
        <v>0</v>
      </c>
      <c r="F267" s="10">
        <f>IFERROR(VLOOKUP(B267, 'Duke 3'!A$3:$B1000,2, 0), 0)</f>
        <v>0</v>
      </c>
      <c r="G267" s="10">
        <f>IFERROR(VLOOKUP(B267, 'Duke 4'!A$3:$B1000,2, 0), 0)</f>
        <v>0</v>
      </c>
      <c r="H267" s="10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</row>
    <row r="268">
      <c r="A268" s="1">
        <f t="shared" si="1"/>
        <v>267</v>
      </c>
      <c r="B268" s="7" t="s">
        <v>236</v>
      </c>
      <c r="C268" s="8">
        <f t="shared" si="2"/>
        <v>0</v>
      </c>
      <c r="D268" s="9">
        <f>IFERROR(VLOOKUP(B268, 'Duke 1'!A$3:$B$85,2, 0), 0)</f>
        <v>0</v>
      </c>
      <c r="E268" s="9">
        <f>IFERROR(VLOOKUP(B268, 'Duke 2'!A$3:$B$522,2, 0), 0)</f>
        <v>0</v>
      </c>
      <c r="F268" s="10">
        <f>IFERROR(VLOOKUP(B268, 'Duke 3'!A$3:$B1000,2, 0), 0)</f>
        <v>0</v>
      </c>
      <c r="G268" s="10">
        <f>IFERROR(VLOOKUP(B268, 'Duke 4'!A$3:$B1000,2, 0), 0)</f>
        <v>0</v>
      </c>
      <c r="H268" s="10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</row>
    <row r="269">
      <c r="A269" s="1">
        <f t="shared" si="1"/>
        <v>268</v>
      </c>
      <c r="B269" s="7" t="s">
        <v>237</v>
      </c>
      <c r="C269" s="8">
        <f t="shared" si="2"/>
        <v>0</v>
      </c>
      <c r="D269" s="9">
        <f>IFERROR(VLOOKUP(B269, 'Duke 1'!A$3:$B$85,2, 0), 0)</f>
        <v>0</v>
      </c>
      <c r="E269" s="9">
        <f>IFERROR(VLOOKUP(B269, 'Duke 2'!A$3:$B$522,2, 0), 0)</f>
        <v>0</v>
      </c>
      <c r="F269" s="10">
        <f>IFERROR(VLOOKUP(B269, 'Duke 3'!A$3:$B1000,2, 0), 0)</f>
        <v>0</v>
      </c>
      <c r="G269" s="10">
        <f>IFERROR(VLOOKUP(B269, 'Duke 4'!A$3:$B1000,2, 0), 0)</f>
        <v>0</v>
      </c>
      <c r="H269" s="10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</row>
    <row r="270">
      <c r="A270" s="1">
        <f t="shared" si="1"/>
        <v>269</v>
      </c>
      <c r="B270" s="7" t="s">
        <v>238</v>
      </c>
      <c r="C270" s="8">
        <f t="shared" si="2"/>
        <v>0</v>
      </c>
      <c r="D270" s="9">
        <f>IFERROR(VLOOKUP(B270, 'Duke 1'!A$3:$B$85,2, 0), 0)</f>
        <v>0</v>
      </c>
      <c r="E270" s="9">
        <f>IFERROR(VLOOKUP(B270, 'Duke 2'!A$3:$B$522,2, 0), 0)</f>
        <v>0</v>
      </c>
      <c r="F270" s="10">
        <f>IFERROR(VLOOKUP(B270, 'Duke 3'!A$3:$B1000,2, 0), 0)</f>
        <v>0</v>
      </c>
      <c r="G270" s="10">
        <f>IFERROR(VLOOKUP(B270, 'Duke 4'!A$3:$B1000,2, 0), 0)</f>
        <v>0</v>
      </c>
      <c r="H270" s="10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</row>
    <row r="271">
      <c r="A271" s="1">
        <f t="shared" si="1"/>
        <v>270</v>
      </c>
      <c r="B271" s="7" t="s">
        <v>239</v>
      </c>
      <c r="C271" s="8">
        <f t="shared" si="2"/>
        <v>0</v>
      </c>
      <c r="D271" s="9">
        <f>IFERROR(VLOOKUP(B271, 'Duke 1'!A$3:$B$85,2, 0), 0)</f>
        <v>0</v>
      </c>
      <c r="E271" s="9">
        <f>IFERROR(VLOOKUP(B271, 'Duke 2'!A$3:$B$522,2, 0), 0)</f>
        <v>0</v>
      </c>
      <c r="F271" s="10">
        <f>IFERROR(VLOOKUP(B271, 'Duke 3'!A$3:$B1000,2, 0), 0)</f>
        <v>0</v>
      </c>
      <c r="G271" s="10">
        <f>IFERROR(VLOOKUP(B271, 'Duke 4'!A$3:$B1000,2, 0), 0)</f>
        <v>0</v>
      </c>
      <c r="H271" s="10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</row>
    <row r="272">
      <c r="A272" s="1">
        <f t="shared" si="1"/>
        <v>271</v>
      </c>
      <c r="B272" s="7" t="s">
        <v>240</v>
      </c>
      <c r="C272" s="8">
        <f t="shared" si="2"/>
        <v>0</v>
      </c>
      <c r="D272" s="9">
        <f>IFERROR(VLOOKUP(B272, 'Duke 1'!A$3:$B$85,2, 0), 0)</f>
        <v>0</v>
      </c>
      <c r="E272" s="9">
        <f>IFERROR(VLOOKUP(B272, 'Duke 2'!A$3:$B$522,2, 0), 0)</f>
        <v>0</v>
      </c>
      <c r="F272" s="10">
        <f>IFERROR(VLOOKUP(B272, 'Duke 3'!A$3:$B1000,2, 0), 0)</f>
        <v>0</v>
      </c>
      <c r="G272" s="10">
        <f>IFERROR(VLOOKUP(B272, 'Duke 4'!A$3:$B1000,2, 0), 0)</f>
        <v>0</v>
      </c>
      <c r="H272" s="10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</row>
    <row r="273">
      <c r="A273" s="1">
        <f t="shared" si="1"/>
        <v>272</v>
      </c>
      <c r="B273" s="7" t="s">
        <v>241</v>
      </c>
      <c r="C273" s="8">
        <f t="shared" si="2"/>
        <v>0</v>
      </c>
      <c r="D273" s="9">
        <f>IFERROR(VLOOKUP(B273, 'Duke 1'!A$3:$B$85,2, 0), 0)</f>
        <v>0</v>
      </c>
      <c r="E273" s="9">
        <f>IFERROR(VLOOKUP(B273, 'Duke 2'!A$3:$B$522,2, 0), 0)</f>
        <v>0</v>
      </c>
      <c r="F273" s="10">
        <f>IFERROR(VLOOKUP(B273, 'Duke 3'!A$3:$B1000,2, 0), 0)</f>
        <v>0</v>
      </c>
      <c r="G273" s="10">
        <f>IFERROR(VLOOKUP(B273, 'Duke 4'!A$3:$B1000,2, 0), 0)</f>
        <v>0</v>
      </c>
      <c r="H273" s="10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</row>
    <row r="274">
      <c r="A274" s="1">
        <f t="shared" si="1"/>
        <v>273</v>
      </c>
      <c r="B274" s="7" t="s">
        <v>242</v>
      </c>
      <c r="C274" s="8">
        <f t="shared" si="2"/>
        <v>0</v>
      </c>
      <c r="D274" s="9">
        <f>IFERROR(VLOOKUP(B274, 'Duke 1'!A$3:$B$85,2, 0), 0)</f>
        <v>0</v>
      </c>
      <c r="E274" s="9">
        <f>IFERROR(VLOOKUP(B274, 'Duke 2'!A$3:$B$522,2, 0), 0)</f>
        <v>0</v>
      </c>
      <c r="F274" s="10">
        <f>IFERROR(VLOOKUP(B274, 'Duke 3'!A$3:$B1000,2, 0), 0)</f>
        <v>0</v>
      </c>
      <c r="G274" s="10">
        <f>IFERROR(VLOOKUP(B274, 'Duke 4'!A$3:$B1000,2, 0), 0)</f>
        <v>0</v>
      </c>
      <c r="H274" s="10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</row>
    <row r="275">
      <c r="A275" s="1">
        <f t="shared" si="1"/>
        <v>274</v>
      </c>
      <c r="B275" s="7" t="s">
        <v>243</v>
      </c>
      <c r="C275" s="8">
        <f t="shared" si="2"/>
        <v>0</v>
      </c>
      <c r="D275" s="9">
        <f>IFERROR(VLOOKUP(B275, 'Duke 1'!A$3:$B$85,2, 0), 0)</f>
        <v>0</v>
      </c>
      <c r="E275" s="9">
        <f>IFERROR(VLOOKUP(B275, 'Duke 2'!A$3:$B$522,2, 0), 0)</f>
        <v>0</v>
      </c>
      <c r="F275" s="10">
        <f>IFERROR(VLOOKUP(B275, 'Duke 3'!A$3:$B1000,2, 0), 0)</f>
        <v>0</v>
      </c>
      <c r="G275" s="10">
        <f>IFERROR(VLOOKUP(B275, 'Duke 4'!A$3:$B1000,2, 0), 0)</f>
        <v>0</v>
      </c>
      <c r="H275" s="10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</row>
    <row r="276">
      <c r="A276" s="1">
        <f t="shared" si="1"/>
        <v>275</v>
      </c>
      <c r="B276" s="7" t="s">
        <v>244</v>
      </c>
      <c r="C276" s="8">
        <f t="shared" si="2"/>
        <v>0</v>
      </c>
      <c r="D276" s="9">
        <f>IFERROR(VLOOKUP(B276, 'Duke 1'!A$3:$B$85,2, 0), 0)</f>
        <v>0</v>
      </c>
      <c r="E276" s="9">
        <f>IFERROR(VLOOKUP(B276, 'Duke 2'!A$3:$B$522,2, 0), 0)</f>
        <v>0</v>
      </c>
      <c r="F276" s="10">
        <f>IFERROR(VLOOKUP(B276, 'Duke 3'!A$3:$B1000,2, 0), 0)</f>
        <v>0</v>
      </c>
      <c r="G276" s="10">
        <f>IFERROR(VLOOKUP(B276, 'Duke 4'!A$3:$B1000,2, 0), 0)</f>
        <v>0</v>
      </c>
      <c r="H276" s="10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</row>
    <row r="277">
      <c r="A277" s="1">
        <f t="shared" si="1"/>
        <v>276</v>
      </c>
      <c r="B277" s="7" t="s">
        <v>245</v>
      </c>
      <c r="C277" s="8">
        <f t="shared" si="2"/>
        <v>0</v>
      </c>
      <c r="D277" s="9">
        <f>IFERROR(VLOOKUP(B277, 'Duke 1'!A$3:$B$85,2, 0), 0)</f>
        <v>0</v>
      </c>
      <c r="E277" s="9">
        <f>IFERROR(VLOOKUP(B277, 'Duke 2'!A$3:$B$522,2, 0), 0)</f>
        <v>0</v>
      </c>
      <c r="F277" s="10">
        <f>IFERROR(VLOOKUP(B277, 'Duke 3'!A$3:$B1000,2, 0), 0)</f>
        <v>0</v>
      </c>
      <c r="G277" s="10">
        <f>IFERROR(VLOOKUP(B277, 'Duke 4'!A$3:$B1000,2, 0), 0)</f>
        <v>0</v>
      </c>
      <c r="H277" s="10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</row>
    <row r="278">
      <c r="A278" s="1">
        <f t="shared" si="1"/>
        <v>277</v>
      </c>
      <c r="B278" s="7" t="s">
        <v>246</v>
      </c>
      <c r="C278" s="8">
        <f t="shared" si="2"/>
        <v>0</v>
      </c>
      <c r="D278" s="9">
        <f>IFERROR(VLOOKUP(B278, 'Duke 1'!A$3:$B$85,2, 0), 0)</f>
        <v>0</v>
      </c>
      <c r="E278" s="9">
        <f>IFERROR(VLOOKUP(B278, 'Duke 2'!A$3:$B$522,2, 0), 0)</f>
        <v>0</v>
      </c>
      <c r="F278" s="10">
        <f>IFERROR(VLOOKUP(B278, 'Duke 3'!A$3:$B1000,2, 0), 0)</f>
        <v>0</v>
      </c>
      <c r="G278" s="10">
        <f>IFERROR(VLOOKUP(B278, 'Duke 4'!A$3:$B1000,2, 0), 0)</f>
        <v>0</v>
      </c>
      <c r="H278" s="10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</row>
    <row r="279">
      <c r="A279" s="1">
        <f t="shared" si="1"/>
        <v>278</v>
      </c>
      <c r="B279" s="7" t="s">
        <v>247</v>
      </c>
      <c r="C279" s="8">
        <f t="shared" si="2"/>
        <v>0</v>
      </c>
      <c r="D279" s="9">
        <f>IFERROR(VLOOKUP(B279, 'Duke 1'!A$3:$B$85,2, 0), 0)</f>
        <v>0</v>
      </c>
      <c r="E279" s="9">
        <f>IFERROR(VLOOKUP(B279, 'Duke 2'!A$3:$B$522,2, 0), 0)</f>
        <v>0</v>
      </c>
      <c r="F279" s="10">
        <f>IFERROR(VLOOKUP(B279, 'Duke 3'!A$3:$B1000,2, 0), 0)</f>
        <v>0</v>
      </c>
      <c r="G279" s="10">
        <f>IFERROR(VLOOKUP(B279, 'Duke 4'!A$3:$B1000,2, 0), 0)</f>
        <v>0</v>
      </c>
      <c r="H279" s="10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</row>
    <row r="280">
      <c r="A280" s="1">
        <f t="shared" si="1"/>
        <v>279</v>
      </c>
      <c r="B280" s="7" t="s">
        <v>248</v>
      </c>
      <c r="C280" s="8">
        <f t="shared" si="2"/>
        <v>0</v>
      </c>
      <c r="D280" s="9">
        <f>IFERROR(VLOOKUP(B280, 'Duke 1'!A$3:$B$85,2, 0), 0)</f>
        <v>0</v>
      </c>
      <c r="E280" s="9">
        <f>IFERROR(VLOOKUP(B280, 'Duke 2'!A$3:$B$522,2, 0), 0)</f>
        <v>0</v>
      </c>
      <c r="F280" s="10">
        <f>IFERROR(VLOOKUP(B280, 'Duke 3'!A$3:$B1000,2, 0), 0)</f>
        <v>0</v>
      </c>
      <c r="G280" s="10">
        <f>IFERROR(VLOOKUP(B280, 'Duke 4'!A$3:$B1000,2, 0), 0)</f>
        <v>0</v>
      </c>
      <c r="H280" s="10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</row>
    <row r="281">
      <c r="A281" s="1">
        <f t="shared" si="1"/>
        <v>280</v>
      </c>
      <c r="B281" s="7" t="s">
        <v>249</v>
      </c>
      <c r="C281" s="8">
        <f t="shared" si="2"/>
        <v>0</v>
      </c>
      <c r="D281" s="9">
        <f>IFERROR(VLOOKUP(B281, 'Duke 1'!A$3:$B$85,2, 0), 0)</f>
        <v>0</v>
      </c>
      <c r="E281" s="9">
        <f>IFERROR(VLOOKUP(B281, 'Duke 2'!A$3:$B$522,2, 0), 0)</f>
        <v>0</v>
      </c>
      <c r="F281" s="10">
        <f>IFERROR(VLOOKUP(B281, 'Duke 3'!A$3:$B1000,2, 0), 0)</f>
        <v>0</v>
      </c>
      <c r="G281" s="10">
        <f>IFERROR(VLOOKUP(B281, 'Duke 4'!A$3:$B1000,2, 0), 0)</f>
        <v>0</v>
      </c>
      <c r="H281" s="10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</row>
    <row r="282">
      <c r="A282" s="1">
        <f t="shared" si="1"/>
        <v>281</v>
      </c>
      <c r="B282" s="7" t="s">
        <v>250</v>
      </c>
      <c r="C282" s="8">
        <f t="shared" si="2"/>
        <v>0</v>
      </c>
      <c r="D282" s="9">
        <f>IFERROR(VLOOKUP(B282, 'Duke 1'!A$3:$B$85,2, 0), 0)</f>
        <v>0</v>
      </c>
      <c r="E282" s="9">
        <f>IFERROR(VLOOKUP(B282, 'Duke 2'!A$3:$B$522,2, 0), 0)</f>
        <v>0</v>
      </c>
      <c r="F282" s="10">
        <f>IFERROR(VLOOKUP(B282, 'Duke 3'!A$3:$B1000,2, 0), 0)</f>
        <v>0</v>
      </c>
      <c r="G282" s="10">
        <f>IFERROR(VLOOKUP(B282, 'Duke 4'!A$3:$B1000,2, 0), 0)</f>
        <v>0</v>
      </c>
      <c r="H282" s="10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</row>
    <row r="283">
      <c r="A283" s="1">
        <f t="shared" si="1"/>
        <v>282</v>
      </c>
      <c r="B283" s="7" t="s">
        <v>251</v>
      </c>
      <c r="C283" s="8">
        <f t="shared" si="2"/>
        <v>0</v>
      </c>
      <c r="D283" s="9">
        <f>IFERROR(VLOOKUP(B283, 'Duke 1'!A$3:$B$85,2, 0), 0)</f>
        <v>0</v>
      </c>
      <c r="E283" s="9">
        <f>IFERROR(VLOOKUP(B283, 'Duke 2'!A$3:$B$522,2, 0), 0)</f>
        <v>0</v>
      </c>
      <c r="F283" s="10">
        <f>IFERROR(VLOOKUP(B283, 'Duke 3'!A$3:$B1000,2, 0), 0)</f>
        <v>0</v>
      </c>
      <c r="G283" s="10">
        <f>IFERROR(VLOOKUP(B283, 'Duke 4'!A$3:$B1000,2, 0), 0)</f>
        <v>0</v>
      </c>
      <c r="H283" s="10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</row>
    <row r="284">
      <c r="A284" s="1">
        <f t="shared" si="1"/>
        <v>283</v>
      </c>
      <c r="B284" s="7" t="s">
        <v>252</v>
      </c>
      <c r="C284" s="8">
        <f t="shared" si="2"/>
        <v>0</v>
      </c>
      <c r="D284" s="9">
        <f>IFERROR(VLOOKUP(B284, 'Duke 1'!A$3:$B$85,2, 0), 0)</f>
        <v>0</v>
      </c>
      <c r="E284" s="9">
        <f>IFERROR(VLOOKUP(B284, 'Duke 2'!A$3:$B$522,2, 0), 0)</f>
        <v>0</v>
      </c>
      <c r="F284" s="10">
        <f>IFERROR(VLOOKUP(B284, 'Duke 3'!A$3:$B1000,2, 0), 0)</f>
        <v>0</v>
      </c>
      <c r="G284" s="10">
        <f>IFERROR(VLOOKUP(B284, 'Duke 4'!A$3:$B1000,2, 0), 0)</f>
        <v>0</v>
      </c>
      <c r="H284" s="10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</row>
    <row r="285">
      <c r="A285" s="1">
        <f t="shared" si="1"/>
        <v>284</v>
      </c>
      <c r="B285" s="7" t="s">
        <v>253</v>
      </c>
      <c r="C285" s="8">
        <f t="shared" si="2"/>
        <v>0</v>
      </c>
      <c r="D285" s="9">
        <f>IFERROR(VLOOKUP(B285, 'Duke 1'!A$3:$B$85,2, 0), 0)</f>
        <v>0</v>
      </c>
      <c r="E285" s="9">
        <f>IFERROR(VLOOKUP(B285, 'Duke 2'!A$3:$B$522,2, 0), 0)</f>
        <v>0</v>
      </c>
      <c r="F285" s="10">
        <f>IFERROR(VLOOKUP(B285, 'Duke 3'!A$3:$B1000,2, 0), 0)</f>
        <v>0</v>
      </c>
      <c r="G285" s="10">
        <f>IFERROR(VLOOKUP(B285, 'Duke 4'!A$3:$B1000,2, 0), 0)</f>
        <v>0</v>
      </c>
      <c r="H285" s="10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</row>
    <row r="286">
      <c r="A286" s="1">
        <f t="shared" si="1"/>
        <v>285</v>
      </c>
      <c r="B286" s="7" t="s">
        <v>254</v>
      </c>
      <c r="C286" s="8">
        <f t="shared" si="2"/>
        <v>0</v>
      </c>
      <c r="D286" s="9">
        <f>IFERROR(VLOOKUP(B286, 'Duke 1'!A$3:$B$85,2, 0), 0)</f>
        <v>0</v>
      </c>
      <c r="E286" s="9">
        <f>IFERROR(VLOOKUP(B286, 'Duke 2'!A$3:$B$522,2, 0), 0)</f>
        <v>0</v>
      </c>
      <c r="F286" s="10">
        <f>IFERROR(VLOOKUP(B286, 'Duke 3'!A$3:$B1000,2, 0), 0)</f>
        <v>0</v>
      </c>
      <c r="G286" s="10">
        <f>IFERROR(VLOOKUP(B286, 'Duke 4'!A$3:$B1000,2, 0), 0)</f>
        <v>0</v>
      </c>
      <c r="H286" s="10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</row>
    <row r="287">
      <c r="A287" s="1">
        <f t="shared" si="1"/>
        <v>286</v>
      </c>
      <c r="B287" s="7" t="s">
        <v>255</v>
      </c>
      <c r="C287" s="8">
        <f t="shared" si="2"/>
        <v>0</v>
      </c>
      <c r="D287" s="9">
        <f>IFERROR(VLOOKUP(B287, 'Duke 1'!A$3:$B$85,2, 0), 0)</f>
        <v>0</v>
      </c>
      <c r="E287" s="9">
        <f>IFERROR(VLOOKUP(B287, 'Duke 2'!A$3:$B$522,2, 0), 0)</f>
        <v>0</v>
      </c>
      <c r="F287" s="10">
        <f>IFERROR(VLOOKUP(B287, 'Duke 3'!A$3:$B1000,2, 0), 0)</f>
        <v>0</v>
      </c>
      <c r="G287" s="10">
        <f>IFERROR(VLOOKUP(B287, 'Duke 4'!A$3:$B1000,2, 0), 0)</f>
        <v>0</v>
      </c>
      <c r="H287" s="10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</row>
    <row r="288">
      <c r="A288" s="1">
        <f t="shared" si="1"/>
        <v>287</v>
      </c>
      <c r="B288" s="7" t="s">
        <v>256</v>
      </c>
      <c r="C288" s="8">
        <f t="shared" si="2"/>
        <v>0</v>
      </c>
      <c r="D288" s="9">
        <f>IFERROR(VLOOKUP(B288, 'Duke 1'!A$3:$B$85,2, 0), 0)</f>
        <v>0</v>
      </c>
      <c r="E288" s="9">
        <f>IFERROR(VLOOKUP(B288, 'Duke 2'!A$3:$B$522,2, 0), 0)</f>
        <v>0</v>
      </c>
      <c r="F288" s="10">
        <f>IFERROR(VLOOKUP(B288, 'Duke 3'!A$3:$B1000,2, 0), 0)</f>
        <v>0</v>
      </c>
      <c r="G288" s="10">
        <f>IFERROR(VLOOKUP(B288, 'Duke 4'!A$3:$B1000,2, 0), 0)</f>
        <v>0</v>
      </c>
      <c r="H288" s="10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</row>
    <row r="289">
      <c r="A289" s="1">
        <f t="shared" si="1"/>
        <v>288</v>
      </c>
      <c r="B289" s="7" t="s">
        <v>257</v>
      </c>
      <c r="C289" s="8">
        <f t="shared" si="2"/>
        <v>0</v>
      </c>
      <c r="D289" s="9">
        <f>IFERROR(VLOOKUP(B289, 'Duke 1'!A$3:$B$85,2, 0), 0)</f>
        <v>0</v>
      </c>
      <c r="E289" s="9">
        <f>IFERROR(VLOOKUP(B289, 'Duke 2'!A$3:$B$522,2, 0), 0)</f>
        <v>0</v>
      </c>
      <c r="F289" s="10">
        <f>IFERROR(VLOOKUP(B289, 'Duke 3'!A$3:$B1000,2, 0), 0)</f>
        <v>0</v>
      </c>
      <c r="G289" s="10">
        <f>IFERROR(VLOOKUP(B289, 'Duke 4'!A$3:$B1000,2, 0), 0)</f>
        <v>0</v>
      </c>
      <c r="H289" s="10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</row>
    <row r="290">
      <c r="A290" s="1">
        <f t="shared" si="1"/>
        <v>289</v>
      </c>
      <c r="B290" s="7" t="s">
        <v>258</v>
      </c>
      <c r="C290" s="8">
        <f t="shared" si="2"/>
        <v>0</v>
      </c>
      <c r="D290" s="9">
        <f>IFERROR(VLOOKUP(B290, 'Duke 1'!A$3:$B$85,2, 0), 0)</f>
        <v>0</v>
      </c>
      <c r="E290" s="9">
        <f>IFERROR(VLOOKUP(B290, 'Duke 2'!A$3:$B$522,2, 0), 0)</f>
        <v>0</v>
      </c>
      <c r="F290" s="10">
        <f>IFERROR(VLOOKUP(B290, 'Duke 3'!A$3:$B1000,2, 0), 0)</f>
        <v>0</v>
      </c>
      <c r="G290" s="10">
        <f>IFERROR(VLOOKUP(B290, 'Duke 4'!A$3:$B1000,2, 0), 0)</f>
        <v>0</v>
      </c>
      <c r="H290" s="10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</row>
    <row r="291">
      <c r="A291" s="1">
        <f t="shared" si="1"/>
        <v>290</v>
      </c>
      <c r="B291" s="7" t="s">
        <v>259</v>
      </c>
      <c r="C291" s="8">
        <f t="shared" si="2"/>
        <v>0</v>
      </c>
      <c r="D291" s="9">
        <f>IFERROR(VLOOKUP(B291, 'Duke 1'!A$3:$B$85,2, 0), 0)</f>
        <v>0</v>
      </c>
      <c r="E291" s="9">
        <f>IFERROR(VLOOKUP(B291, 'Duke 2'!A$3:$B$522,2, 0), 0)</f>
        <v>0</v>
      </c>
      <c r="F291" s="10">
        <f>IFERROR(VLOOKUP(B291, 'Duke 3'!A$3:$B1000,2, 0), 0)</f>
        <v>0</v>
      </c>
      <c r="G291" s="10">
        <f>IFERROR(VLOOKUP(B291, 'Duke 4'!A$3:$B1000,2, 0), 0)</f>
        <v>0</v>
      </c>
      <c r="H291" s="10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</row>
    <row r="292">
      <c r="A292" s="1">
        <f t="shared" si="1"/>
        <v>291</v>
      </c>
      <c r="B292" s="7" t="s">
        <v>260</v>
      </c>
      <c r="C292" s="8">
        <f t="shared" si="2"/>
        <v>0</v>
      </c>
      <c r="D292" s="9">
        <f>IFERROR(VLOOKUP(B292, 'Duke 1'!A$3:$B$85,2, 0), 0)</f>
        <v>0</v>
      </c>
      <c r="E292" s="9">
        <f>IFERROR(VLOOKUP(B292, 'Duke 2'!A$3:$B$522,2, 0), 0)</f>
        <v>0</v>
      </c>
      <c r="F292" s="10">
        <f>IFERROR(VLOOKUP(B292, 'Duke 3'!A$3:$B1000,2, 0), 0)</f>
        <v>0</v>
      </c>
      <c r="G292" s="10">
        <f>IFERROR(VLOOKUP(B292, 'Duke 4'!A$3:$B1000,2, 0), 0)</f>
        <v>0</v>
      </c>
      <c r="H292" s="10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</row>
    <row r="293">
      <c r="A293" s="1">
        <f t="shared" si="1"/>
        <v>292</v>
      </c>
      <c r="B293" s="7" t="s">
        <v>261</v>
      </c>
      <c r="C293" s="8">
        <f t="shared" si="2"/>
        <v>0</v>
      </c>
      <c r="D293" s="9">
        <f>IFERROR(VLOOKUP(B293, 'Duke 1'!A$3:$B$85,2, 0), 0)</f>
        <v>0</v>
      </c>
      <c r="E293" s="9">
        <f>IFERROR(VLOOKUP(B293, 'Duke 2'!A$3:$B$522,2, 0), 0)</f>
        <v>0</v>
      </c>
      <c r="F293" s="10">
        <f>IFERROR(VLOOKUP(B293, 'Duke 3'!A$3:$B1000,2, 0), 0)</f>
        <v>0</v>
      </c>
      <c r="G293" s="10">
        <f>IFERROR(VLOOKUP(B293, 'Duke 4'!A$3:$B1000,2, 0), 0)</f>
        <v>0</v>
      </c>
      <c r="H293" s="10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</row>
    <row r="294">
      <c r="A294" s="1">
        <f t="shared" si="1"/>
        <v>293</v>
      </c>
      <c r="B294" s="7" t="s">
        <v>262</v>
      </c>
      <c r="C294" s="8">
        <f t="shared" si="2"/>
        <v>0</v>
      </c>
      <c r="D294" s="9">
        <f>IFERROR(VLOOKUP(B294, 'Duke 1'!A$3:$B$85,2, 0), 0)</f>
        <v>0</v>
      </c>
      <c r="E294" s="9">
        <f>IFERROR(VLOOKUP(B294, 'Duke 2'!A$3:$B$522,2, 0), 0)</f>
        <v>0</v>
      </c>
      <c r="F294" s="10">
        <f>IFERROR(VLOOKUP(B294, 'Duke 3'!A$3:$B1000,2, 0), 0)</f>
        <v>0</v>
      </c>
      <c r="G294" s="10">
        <f>IFERROR(VLOOKUP(B294, 'Duke 4'!A$3:$B1000,2, 0), 0)</f>
        <v>0</v>
      </c>
      <c r="H294" s="10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</row>
    <row r="295">
      <c r="A295" s="1">
        <f t="shared" si="1"/>
        <v>294</v>
      </c>
      <c r="B295" s="7" t="s">
        <v>263</v>
      </c>
      <c r="C295" s="8">
        <f t="shared" si="2"/>
        <v>0</v>
      </c>
      <c r="D295" s="9">
        <f>IFERROR(VLOOKUP(B295, 'Duke 1'!A$3:$B$85,2, 0), 0)</f>
        <v>0</v>
      </c>
      <c r="E295" s="9">
        <f>IFERROR(VLOOKUP(B295, 'Duke 2'!A$3:$B$522,2, 0), 0)</f>
        <v>0</v>
      </c>
      <c r="F295" s="10">
        <f>IFERROR(VLOOKUP(B295, 'Duke 3'!A$3:$B1000,2, 0), 0)</f>
        <v>0</v>
      </c>
      <c r="G295" s="10">
        <f>IFERROR(VLOOKUP(B295, 'Duke 4'!A$3:$B1000,2, 0), 0)</f>
        <v>0</v>
      </c>
      <c r="H295" s="10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</row>
    <row r="296">
      <c r="A296" s="1">
        <f t="shared" si="1"/>
        <v>295</v>
      </c>
      <c r="B296" s="7" t="s">
        <v>264</v>
      </c>
      <c r="C296" s="8">
        <f t="shared" si="2"/>
        <v>0</v>
      </c>
      <c r="D296" s="9">
        <f>IFERROR(VLOOKUP(B296, 'Duke 1'!A$3:$B$85,2, 0), 0)</f>
        <v>0</v>
      </c>
      <c r="E296" s="9">
        <f>IFERROR(VLOOKUP(B296, 'Duke 2'!A$3:$B$522,2, 0), 0)</f>
        <v>0</v>
      </c>
      <c r="F296" s="10">
        <f>IFERROR(VLOOKUP(B296, 'Duke 3'!A$3:$B1000,2, 0), 0)</f>
        <v>0</v>
      </c>
      <c r="G296" s="10">
        <f>IFERROR(VLOOKUP(B296, 'Duke 4'!A$3:$B1000,2, 0), 0)</f>
        <v>0</v>
      </c>
      <c r="H296" s="10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</row>
    <row r="297">
      <c r="A297" s="1">
        <f t="shared" si="1"/>
        <v>296</v>
      </c>
      <c r="B297" s="7" t="s">
        <v>265</v>
      </c>
      <c r="C297" s="8">
        <f t="shared" si="2"/>
        <v>0</v>
      </c>
      <c r="D297" s="9">
        <f>IFERROR(VLOOKUP(B297, 'Duke 1'!A$3:$B$85,2, 0), 0)</f>
        <v>0</v>
      </c>
      <c r="E297" s="9">
        <f>IFERROR(VLOOKUP(B297, 'Duke 2'!A$3:$B$522,2, 0), 0)</f>
        <v>0</v>
      </c>
      <c r="F297" s="10">
        <f>IFERROR(VLOOKUP(B297, 'Duke 3'!A$3:$B1000,2, 0), 0)</f>
        <v>0</v>
      </c>
      <c r="G297" s="10">
        <f>IFERROR(VLOOKUP(B297, 'Duke 4'!A$3:$B1000,2, 0), 0)</f>
        <v>0</v>
      </c>
      <c r="H297" s="10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</row>
    <row r="298">
      <c r="A298" s="1">
        <f t="shared" si="1"/>
        <v>297</v>
      </c>
      <c r="B298" s="7" t="s">
        <v>266</v>
      </c>
      <c r="C298" s="8">
        <f t="shared" si="2"/>
        <v>0</v>
      </c>
      <c r="D298" s="9">
        <f>IFERROR(VLOOKUP(B298, 'Duke 1'!A$3:$B$85,2, 0), 0)</f>
        <v>0</v>
      </c>
      <c r="E298" s="9">
        <f>IFERROR(VLOOKUP(B298, 'Duke 2'!A$3:$B$522,2, 0), 0)</f>
        <v>0</v>
      </c>
      <c r="F298" s="10">
        <f>IFERROR(VLOOKUP(B298, 'Duke 3'!A$3:$B1000,2, 0), 0)</f>
        <v>0</v>
      </c>
      <c r="G298" s="10">
        <f>IFERROR(VLOOKUP(B298, 'Duke 4'!A$3:$B1000,2, 0), 0)</f>
        <v>0</v>
      </c>
      <c r="H298" s="10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</row>
    <row r="299">
      <c r="A299" s="1">
        <f t="shared" si="1"/>
        <v>298</v>
      </c>
      <c r="B299" s="7" t="s">
        <v>267</v>
      </c>
      <c r="C299" s="8">
        <f t="shared" si="2"/>
        <v>0</v>
      </c>
      <c r="D299" s="9">
        <f>IFERROR(VLOOKUP(B299, 'Duke 1'!A$3:$B$85,2, 0), 0)</f>
        <v>0</v>
      </c>
      <c r="E299" s="9">
        <f>IFERROR(VLOOKUP(B299, 'Duke 2'!A$3:$B$522,2, 0), 0)</f>
        <v>0</v>
      </c>
      <c r="F299" s="10">
        <f>IFERROR(VLOOKUP(B299, 'Duke 3'!A$3:$B1000,2, 0), 0)</f>
        <v>0</v>
      </c>
      <c r="G299" s="10">
        <f>IFERROR(VLOOKUP(B299, 'Duke 4'!A$3:$B1000,2, 0), 0)</f>
        <v>0</v>
      </c>
      <c r="H299" s="10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</row>
    <row r="300">
      <c r="A300" s="1">
        <f t="shared" si="1"/>
        <v>299</v>
      </c>
      <c r="B300" s="7" t="s">
        <v>268</v>
      </c>
      <c r="C300" s="8">
        <f t="shared" si="2"/>
        <v>0</v>
      </c>
      <c r="D300" s="9">
        <f>IFERROR(VLOOKUP(B300, 'Duke 1'!A$3:$B$85,2, 0), 0)</f>
        <v>0</v>
      </c>
      <c r="E300" s="9">
        <f>IFERROR(VLOOKUP(B300, 'Duke 2'!A$3:$B$522,2, 0), 0)</f>
        <v>0</v>
      </c>
      <c r="F300" s="10">
        <f>IFERROR(VLOOKUP(B300, 'Duke 3'!A$3:$B1000,2, 0), 0)</f>
        <v>0</v>
      </c>
      <c r="G300" s="10">
        <f>IFERROR(VLOOKUP(B300, 'Duke 4'!A$3:$B1000,2, 0), 0)</f>
        <v>0</v>
      </c>
      <c r="H300" s="10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</row>
    <row r="301">
      <c r="A301" s="1">
        <f t="shared" si="1"/>
        <v>300</v>
      </c>
      <c r="B301" s="7" t="s">
        <v>269</v>
      </c>
      <c r="C301" s="8">
        <f t="shared" si="2"/>
        <v>0</v>
      </c>
      <c r="D301" s="9">
        <f>IFERROR(VLOOKUP(B301, 'Duke 1'!A$3:$B$85,2, 0), 0)</f>
        <v>0</v>
      </c>
      <c r="E301" s="9">
        <f>IFERROR(VLOOKUP(B301, 'Duke 2'!A$3:$B$522,2, 0), 0)</f>
        <v>0</v>
      </c>
      <c r="F301" s="10">
        <f>IFERROR(VLOOKUP(B301, 'Duke 3'!A$3:$B1000,2, 0), 0)</f>
        <v>0</v>
      </c>
      <c r="G301" s="10">
        <f>IFERROR(VLOOKUP(B301, 'Duke 4'!A$3:$B1000,2, 0), 0)</f>
        <v>0</v>
      </c>
      <c r="H301" s="10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</row>
    <row r="302">
      <c r="A302" s="1">
        <f t="shared" si="1"/>
        <v>301</v>
      </c>
      <c r="B302" s="7" t="s">
        <v>270</v>
      </c>
      <c r="C302" s="8">
        <f t="shared" si="2"/>
        <v>0</v>
      </c>
      <c r="D302" s="9">
        <f>IFERROR(VLOOKUP(B302, 'Duke 1'!A$3:$B$85,2, 0), 0)</f>
        <v>0</v>
      </c>
      <c r="E302" s="9">
        <f>IFERROR(VLOOKUP(B302, 'Duke 2'!A$3:$B$522,2, 0), 0)</f>
        <v>0</v>
      </c>
      <c r="F302" s="10">
        <f>IFERROR(VLOOKUP(B302, 'Duke 3'!A$3:$B1000,2, 0), 0)</f>
        <v>0</v>
      </c>
      <c r="G302" s="10">
        <f>IFERROR(VLOOKUP(B302, 'Duke 4'!A$3:$B1000,2, 0), 0)</f>
        <v>0</v>
      </c>
      <c r="H302" s="10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</row>
    <row r="303">
      <c r="A303" s="1">
        <f t="shared" si="1"/>
        <v>302</v>
      </c>
      <c r="B303" s="7" t="s">
        <v>271</v>
      </c>
      <c r="C303" s="8">
        <f t="shared" si="2"/>
        <v>0</v>
      </c>
      <c r="D303" s="9">
        <f>IFERROR(VLOOKUP(B303, 'Duke 1'!A$3:$B$85,2, 0), 0)</f>
        <v>0</v>
      </c>
      <c r="E303" s="9">
        <f>IFERROR(VLOOKUP(B303, 'Duke 2'!A$3:$B$522,2, 0), 0)</f>
        <v>0</v>
      </c>
      <c r="F303" s="10">
        <f>IFERROR(VLOOKUP(B303, 'Duke 3'!A$3:$B1000,2, 0), 0)</f>
        <v>0</v>
      </c>
      <c r="G303" s="10">
        <f>IFERROR(VLOOKUP(B303, 'Duke 4'!A$3:$B1000,2, 0), 0)</f>
        <v>0</v>
      </c>
      <c r="H303" s="10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</row>
    <row r="304">
      <c r="A304" s="1">
        <f t="shared" si="1"/>
        <v>303</v>
      </c>
      <c r="B304" s="7" t="s">
        <v>272</v>
      </c>
      <c r="C304" s="8">
        <f t="shared" si="2"/>
        <v>0</v>
      </c>
      <c r="D304" s="9">
        <f>IFERROR(VLOOKUP(B304, 'Duke 1'!A$3:$B$85,2, 0), 0)</f>
        <v>0</v>
      </c>
      <c r="E304" s="9">
        <f>IFERROR(VLOOKUP(B304, 'Duke 2'!A$3:$B$522,2, 0), 0)</f>
        <v>0</v>
      </c>
      <c r="F304" s="10">
        <f>IFERROR(VLOOKUP(B304, 'Duke 3'!A$3:$B1000,2, 0), 0)</f>
        <v>0</v>
      </c>
      <c r="G304" s="10">
        <f>IFERROR(VLOOKUP(B304, 'Duke 4'!A$3:$B1000,2, 0), 0)</f>
        <v>0</v>
      </c>
      <c r="H304" s="10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</row>
    <row r="305">
      <c r="A305" s="1">
        <f t="shared" si="1"/>
        <v>304</v>
      </c>
      <c r="B305" s="7" t="s">
        <v>273</v>
      </c>
      <c r="C305" s="8">
        <f t="shared" si="2"/>
        <v>0</v>
      </c>
      <c r="D305" s="9">
        <f>IFERROR(VLOOKUP(B305, 'Duke 1'!A$3:$B$85,2, 0), 0)</f>
        <v>0</v>
      </c>
      <c r="E305" s="9">
        <f>IFERROR(VLOOKUP(B305, 'Duke 2'!A$3:$B$522,2, 0), 0)</f>
        <v>0</v>
      </c>
      <c r="F305" s="10">
        <f>IFERROR(VLOOKUP(B305, 'Duke 3'!A$3:$B1000,2, 0), 0)</f>
        <v>0</v>
      </c>
      <c r="G305" s="10">
        <f>IFERROR(VLOOKUP(B305, 'Duke 4'!A$3:$B1000,2, 0), 0)</f>
        <v>0</v>
      </c>
      <c r="H305" s="10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</row>
    <row r="306">
      <c r="A306" s="1">
        <f t="shared" si="1"/>
        <v>305</v>
      </c>
      <c r="B306" s="7" t="s">
        <v>274</v>
      </c>
      <c r="C306" s="8">
        <f t="shared" si="2"/>
        <v>0</v>
      </c>
      <c r="D306" s="9">
        <f>IFERROR(VLOOKUP(B306, 'Duke 1'!A$3:$B$85,2, 0), 0)</f>
        <v>0</v>
      </c>
      <c r="E306" s="9">
        <f>IFERROR(VLOOKUP(B306, 'Duke 2'!A$3:$B$522,2, 0), 0)</f>
        <v>0</v>
      </c>
      <c r="F306" s="10">
        <f>IFERROR(VLOOKUP(B306, 'Duke 3'!A$3:$B1000,2, 0), 0)</f>
        <v>0</v>
      </c>
      <c r="G306" s="10">
        <f>IFERROR(VLOOKUP(B306, 'Duke 4'!A$3:$B1000,2, 0), 0)</f>
        <v>0</v>
      </c>
      <c r="H306" s="10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</row>
    <row r="307">
      <c r="A307" s="1">
        <f t="shared" si="1"/>
        <v>306</v>
      </c>
      <c r="B307" s="7" t="s">
        <v>275</v>
      </c>
      <c r="C307" s="8">
        <f t="shared" si="2"/>
        <v>0</v>
      </c>
      <c r="D307" s="9">
        <f>IFERROR(VLOOKUP(B307, 'Duke 1'!A$3:$B$85,2, 0), 0)</f>
        <v>0</v>
      </c>
      <c r="E307" s="9">
        <f>IFERROR(VLOOKUP(B307, 'Duke 2'!A$3:$B$522,2, 0), 0)</f>
        <v>0</v>
      </c>
      <c r="F307" s="10">
        <f>IFERROR(VLOOKUP(B307, 'Duke 3'!A$3:$B1000,2, 0), 0)</f>
        <v>0</v>
      </c>
      <c r="G307" s="10">
        <f>IFERROR(VLOOKUP(B307, 'Duke 4'!A$3:$B1000,2, 0), 0)</f>
        <v>0</v>
      </c>
      <c r="H307" s="10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</row>
    <row r="308">
      <c r="A308" s="1">
        <f t="shared" si="1"/>
        <v>307</v>
      </c>
      <c r="B308" s="7" t="s">
        <v>276</v>
      </c>
      <c r="C308" s="8">
        <f t="shared" si="2"/>
        <v>0</v>
      </c>
      <c r="D308" s="9">
        <f>IFERROR(VLOOKUP(B308, 'Duke 1'!A$3:$B$85,2, 0), 0)</f>
        <v>0</v>
      </c>
      <c r="E308" s="9">
        <f>IFERROR(VLOOKUP(B308, 'Duke 2'!A$3:$B$522,2, 0), 0)</f>
        <v>0</v>
      </c>
      <c r="F308" s="10">
        <f>IFERROR(VLOOKUP(B308, 'Duke 3'!A$3:$B1000,2, 0), 0)</f>
        <v>0</v>
      </c>
      <c r="G308" s="10">
        <f>IFERROR(VLOOKUP(B308, 'Duke 4'!A$3:$B1000,2, 0), 0)</f>
        <v>0</v>
      </c>
      <c r="H308" s="10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</row>
    <row r="309">
      <c r="A309" s="1">
        <f t="shared" si="1"/>
        <v>308</v>
      </c>
      <c r="B309" s="7" t="s">
        <v>277</v>
      </c>
      <c r="C309" s="8">
        <f t="shared" si="2"/>
        <v>0</v>
      </c>
      <c r="D309" s="9">
        <f>IFERROR(VLOOKUP(B309, 'Duke 1'!A$3:$B$85,2, 0), 0)</f>
        <v>0</v>
      </c>
      <c r="E309" s="9">
        <f>IFERROR(VLOOKUP(B309, 'Duke 2'!A$3:$B$522,2, 0), 0)</f>
        <v>0</v>
      </c>
      <c r="F309" s="10">
        <f>IFERROR(VLOOKUP(B309, 'Duke 3'!A$3:$B1000,2, 0), 0)</f>
        <v>0</v>
      </c>
      <c r="G309" s="10">
        <f>IFERROR(VLOOKUP(B309, 'Duke 4'!A$3:$B1000,2, 0), 0)</f>
        <v>0</v>
      </c>
      <c r="H309" s="10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</row>
    <row r="310">
      <c r="A310" s="1">
        <f t="shared" si="1"/>
        <v>309</v>
      </c>
      <c r="B310" s="7" t="s">
        <v>278</v>
      </c>
      <c r="C310" s="8">
        <f t="shared" si="2"/>
        <v>0</v>
      </c>
      <c r="D310" s="9">
        <f>IFERROR(VLOOKUP(B310, 'Duke 1'!A$3:$B$85,2, 0), 0)</f>
        <v>0</v>
      </c>
      <c r="E310" s="9">
        <f>IFERROR(VLOOKUP(B310, 'Duke 2'!A$3:$B$522,2, 0), 0)</f>
        <v>0</v>
      </c>
      <c r="F310" s="10">
        <f>IFERROR(VLOOKUP(B310, 'Duke 3'!A$3:$B1000,2, 0), 0)</f>
        <v>0</v>
      </c>
      <c r="G310" s="10">
        <f>IFERROR(VLOOKUP(B310, 'Duke 4'!A$3:$B1000,2, 0), 0)</f>
        <v>0</v>
      </c>
      <c r="H310" s="10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</row>
    <row r="311">
      <c r="A311" s="1">
        <f t="shared" si="1"/>
        <v>310</v>
      </c>
      <c r="B311" s="7" t="s">
        <v>279</v>
      </c>
      <c r="C311" s="8">
        <f t="shared" si="2"/>
        <v>0</v>
      </c>
      <c r="D311" s="9">
        <f>IFERROR(VLOOKUP(B311, 'Duke 1'!A$3:$B$85,2, 0), 0)</f>
        <v>0</v>
      </c>
      <c r="E311" s="9">
        <f>IFERROR(VLOOKUP(B311, 'Duke 2'!A$3:$B$522,2, 0), 0)</f>
        <v>0</v>
      </c>
      <c r="F311" s="10">
        <f>IFERROR(VLOOKUP(B311, 'Duke 3'!A$3:$B1000,2, 0), 0)</f>
        <v>0</v>
      </c>
      <c r="G311" s="10">
        <f>IFERROR(VLOOKUP(B311, 'Duke 4'!A$3:$B1000,2, 0), 0)</f>
        <v>0</v>
      </c>
      <c r="H311" s="10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</row>
    <row r="312">
      <c r="A312" s="1">
        <f t="shared" si="1"/>
        <v>311</v>
      </c>
      <c r="B312" s="7" t="s">
        <v>280</v>
      </c>
      <c r="C312" s="8">
        <f t="shared" si="2"/>
        <v>0</v>
      </c>
      <c r="D312" s="9">
        <f>IFERROR(VLOOKUP(B312, 'Duke 1'!A$3:$B$85,2, 0), 0)</f>
        <v>0</v>
      </c>
      <c r="E312" s="9">
        <f>IFERROR(VLOOKUP(B312, 'Duke 2'!A$3:$B$522,2, 0), 0)</f>
        <v>0</v>
      </c>
      <c r="F312" s="10">
        <f>IFERROR(VLOOKUP(B312, 'Duke 3'!A$3:$B1000,2, 0), 0)</f>
        <v>0</v>
      </c>
      <c r="G312" s="10">
        <f>IFERROR(VLOOKUP(B312, 'Duke 4'!A$3:$B1000,2, 0), 0)</f>
        <v>0</v>
      </c>
      <c r="H312" s="10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</row>
    <row r="313">
      <c r="A313" s="1">
        <f t="shared" si="1"/>
        <v>312</v>
      </c>
      <c r="B313" s="7" t="s">
        <v>281</v>
      </c>
      <c r="C313" s="8">
        <f t="shared" si="2"/>
        <v>0</v>
      </c>
      <c r="D313" s="9">
        <f>IFERROR(VLOOKUP(B313, 'Duke 1'!A$3:$B$85,2, 0), 0)</f>
        <v>0</v>
      </c>
      <c r="E313" s="9">
        <f>IFERROR(VLOOKUP(B313, 'Duke 2'!A$3:$B$522,2, 0), 0)</f>
        <v>0</v>
      </c>
      <c r="F313" s="10">
        <f>IFERROR(VLOOKUP(B313, 'Duke 3'!A$3:$B1000,2, 0), 0)</f>
        <v>0</v>
      </c>
      <c r="G313" s="10">
        <f>IFERROR(VLOOKUP(B313, 'Duke 4'!A$3:$B1000,2, 0), 0)</f>
        <v>0</v>
      </c>
      <c r="H313" s="10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</row>
    <row r="314">
      <c r="A314" s="1">
        <f t="shared" si="1"/>
        <v>313</v>
      </c>
      <c r="B314" s="7" t="s">
        <v>282</v>
      </c>
      <c r="C314" s="8">
        <f t="shared" si="2"/>
        <v>0</v>
      </c>
      <c r="D314" s="9">
        <f>IFERROR(VLOOKUP(B314, 'Duke 1'!A$3:$B$85,2, 0), 0)</f>
        <v>0</v>
      </c>
      <c r="E314" s="9">
        <f>IFERROR(VLOOKUP(B314, 'Duke 2'!A$3:$B$522,2, 0), 0)</f>
        <v>0</v>
      </c>
      <c r="F314" s="10">
        <f>IFERROR(VLOOKUP(B314, 'Duke 3'!A$3:$B1000,2, 0), 0)</f>
        <v>0</v>
      </c>
      <c r="G314" s="10">
        <f>IFERROR(VLOOKUP(B314, 'Duke 4'!A$3:$B1000,2, 0), 0)</f>
        <v>0</v>
      </c>
      <c r="H314" s="10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</row>
    <row r="315">
      <c r="A315" s="1">
        <f t="shared" si="1"/>
        <v>314</v>
      </c>
      <c r="B315" s="7" t="s">
        <v>283</v>
      </c>
      <c r="C315" s="8">
        <f t="shared" si="2"/>
        <v>0</v>
      </c>
      <c r="D315" s="9">
        <f>IFERROR(VLOOKUP(B315, 'Duke 1'!A$3:$B$85,2, 0), 0)</f>
        <v>0</v>
      </c>
      <c r="E315" s="9">
        <f>IFERROR(VLOOKUP(B315, 'Duke 2'!A$3:$B$522,2, 0), 0)</f>
        <v>0</v>
      </c>
      <c r="F315" s="10">
        <f>IFERROR(VLOOKUP(B315, 'Duke 3'!A$3:$B1000,2, 0), 0)</f>
        <v>0</v>
      </c>
      <c r="G315" s="10">
        <f>IFERROR(VLOOKUP(B315, 'Duke 4'!A$3:$B1000,2, 0), 0)</f>
        <v>0</v>
      </c>
      <c r="H315" s="10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</row>
    <row r="316">
      <c r="A316" s="1">
        <f t="shared" si="1"/>
        <v>315</v>
      </c>
      <c r="B316" s="7" t="s">
        <v>89</v>
      </c>
      <c r="C316" s="8">
        <f t="shared" si="2"/>
        <v>0</v>
      </c>
      <c r="D316" s="9">
        <f>IFERROR(VLOOKUP(B316, 'Duke 1'!A$3:$B$85,2, 0), 0)</f>
        <v>0</v>
      </c>
      <c r="E316" s="9">
        <f>IFERROR(VLOOKUP(B316, 'Duke 2'!A$3:$B$522,2, 0), 0)</f>
        <v>0</v>
      </c>
      <c r="F316" s="10">
        <f>IFERROR(VLOOKUP(B316, 'Duke 3'!A$3:$B1000,2, 0), 0)</f>
        <v>0</v>
      </c>
      <c r="G316" s="10">
        <f>IFERROR(VLOOKUP(B316, 'Duke 4'!A$3:$B1000,2, 0), 0)</f>
        <v>0</v>
      </c>
      <c r="H316" s="10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</row>
    <row r="317">
      <c r="A317" s="1">
        <f t="shared" si="1"/>
        <v>316</v>
      </c>
      <c r="B317" s="7" t="s">
        <v>284</v>
      </c>
      <c r="C317" s="8">
        <f t="shared" si="2"/>
        <v>0</v>
      </c>
      <c r="D317" s="9">
        <f>IFERROR(VLOOKUP(B317, 'Duke 1'!A$3:$B$85,2, 0), 0)</f>
        <v>0</v>
      </c>
      <c r="E317" s="9">
        <f>IFERROR(VLOOKUP(B317, 'Duke 2'!A$3:$B$522,2, 0), 0)</f>
        <v>0</v>
      </c>
      <c r="F317" s="10">
        <f>IFERROR(VLOOKUP(B317, 'Duke 3'!A$3:$B1000,2, 0), 0)</f>
        <v>0</v>
      </c>
      <c r="G317" s="10">
        <f>IFERROR(VLOOKUP(B317, 'Duke 4'!A$3:$B1000,2, 0), 0)</f>
        <v>0</v>
      </c>
      <c r="H317" s="10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</row>
    <row r="318">
      <c r="A318" s="1">
        <f t="shared" si="1"/>
        <v>317</v>
      </c>
      <c r="B318" s="7" t="s">
        <v>285</v>
      </c>
      <c r="C318" s="8">
        <f t="shared" si="2"/>
        <v>0</v>
      </c>
      <c r="D318" s="9">
        <f>IFERROR(VLOOKUP(B318, 'Duke 1'!A$3:$B$85,2, 0), 0)</f>
        <v>0</v>
      </c>
      <c r="E318" s="9">
        <f>IFERROR(VLOOKUP(B318, 'Duke 2'!A$3:$B$522,2, 0), 0)</f>
        <v>0</v>
      </c>
      <c r="F318" s="10">
        <f>IFERROR(VLOOKUP(B318, 'Duke 3'!A$3:$B1000,2, 0), 0)</f>
        <v>0</v>
      </c>
      <c r="G318" s="10">
        <f>IFERROR(VLOOKUP(B318, 'Duke 4'!A$3:$B1000,2, 0), 0)</f>
        <v>0</v>
      </c>
      <c r="H318" s="10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</row>
    <row r="319">
      <c r="A319" s="1">
        <f t="shared" si="1"/>
        <v>318</v>
      </c>
      <c r="B319" s="7" t="s">
        <v>286</v>
      </c>
      <c r="C319" s="8">
        <f t="shared" si="2"/>
        <v>0</v>
      </c>
      <c r="D319" s="9">
        <f>IFERROR(VLOOKUP(B319, 'Duke 1'!A$3:$B$85,2, 0), 0)</f>
        <v>0</v>
      </c>
      <c r="E319" s="9">
        <f>IFERROR(VLOOKUP(B319, 'Duke 2'!A$3:$B$522,2, 0), 0)</f>
        <v>0</v>
      </c>
      <c r="F319" s="10">
        <f>IFERROR(VLOOKUP(B319, 'Duke 3'!A$3:$B1000,2, 0), 0)</f>
        <v>0</v>
      </c>
      <c r="G319" s="10">
        <f>IFERROR(VLOOKUP(B319, 'Duke 4'!A$3:$B1000,2, 0), 0)</f>
        <v>0</v>
      </c>
      <c r="H319" s="10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</row>
    <row r="320">
      <c r="A320" s="1">
        <f t="shared" si="1"/>
        <v>319</v>
      </c>
      <c r="B320" s="7" t="s">
        <v>287</v>
      </c>
      <c r="C320" s="8">
        <f t="shared" si="2"/>
        <v>0</v>
      </c>
      <c r="D320" s="9">
        <f>IFERROR(VLOOKUP(B320, 'Duke 1'!A$3:$B$85,2, 0), 0)</f>
        <v>0</v>
      </c>
      <c r="E320" s="9">
        <f>IFERROR(VLOOKUP(B320, 'Duke 2'!A$3:$B$522,2, 0), 0)</f>
        <v>0</v>
      </c>
      <c r="F320" s="10">
        <f>IFERROR(VLOOKUP(B320, 'Duke 3'!A$3:$B1000,2, 0), 0)</f>
        <v>0</v>
      </c>
      <c r="G320" s="10">
        <f>IFERROR(VLOOKUP(B320, 'Duke 4'!A$3:$B1000,2, 0), 0)</f>
        <v>0</v>
      </c>
      <c r="H320" s="10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</row>
    <row r="321">
      <c r="A321" s="1">
        <f t="shared" si="1"/>
        <v>320</v>
      </c>
      <c r="B321" s="7" t="s">
        <v>288</v>
      </c>
      <c r="C321" s="8">
        <f t="shared" si="2"/>
        <v>0</v>
      </c>
      <c r="D321" s="9">
        <f>IFERROR(VLOOKUP(B321, 'Duke 1'!A$3:$B$85,2, 0), 0)</f>
        <v>0</v>
      </c>
      <c r="E321" s="9">
        <f>IFERROR(VLOOKUP(B321, 'Duke 2'!A$3:$B$522,2, 0), 0)</f>
        <v>0</v>
      </c>
      <c r="F321" s="10">
        <f>IFERROR(VLOOKUP(B321, 'Duke 3'!A$3:$B1000,2, 0), 0)</f>
        <v>0</v>
      </c>
      <c r="G321" s="10">
        <f>IFERROR(VLOOKUP(B321, 'Duke 4'!A$3:$B1000,2, 0), 0)</f>
        <v>0</v>
      </c>
      <c r="H321" s="10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</row>
    <row r="322">
      <c r="A322" s="1">
        <f t="shared" si="1"/>
        <v>321</v>
      </c>
      <c r="B322" s="7" t="s">
        <v>289</v>
      </c>
      <c r="C322" s="8">
        <f t="shared" si="2"/>
        <v>0</v>
      </c>
      <c r="D322" s="9">
        <f>IFERROR(VLOOKUP(B322, 'Duke 1'!A$3:$B$85,2, 0), 0)</f>
        <v>0</v>
      </c>
      <c r="E322" s="9">
        <f>IFERROR(VLOOKUP(B322, 'Duke 2'!A$3:$B$522,2, 0), 0)</f>
        <v>0</v>
      </c>
      <c r="F322" s="10">
        <f>IFERROR(VLOOKUP(B322, 'Duke 3'!A$3:$B1000,2, 0), 0)</f>
        <v>0</v>
      </c>
      <c r="G322" s="10">
        <f>IFERROR(VLOOKUP(B322, 'Duke 4'!A$3:$B1000,2, 0), 0)</f>
        <v>0</v>
      </c>
      <c r="H322" s="10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</row>
    <row r="323">
      <c r="A323" s="1">
        <f t="shared" si="1"/>
        <v>322</v>
      </c>
      <c r="B323" s="7" t="s">
        <v>290</v>
      </c>
      <c r="C323" s="8">
        <f t="shared" si="2"/>
        <v>0</v>
      </c>
      <c r="D323" s="9">
        <f>IFERROR(VLOOKUP(B323, 'Duke 1'!A$3:$B$85,2, 0), 0)</f>
        <v>0</v>
      </c>
      <c r="E323" s="9">
        <f>IFERROR(VLOOKUP(B323, 'Duke 2'!A$3:$B$522,2, 0), 0)</f>
        <v>0</v>
      </c>
      <c r="F323" s="10">
        <f>IFERROR(VLOOKUP(B323, 'Duke 3'!A$3:$B1000,2, 0), 0)</f>
        <v>0</v>
      </c>
      <c r="G323" s="10">
        <f>IFERROR(VLOOKUP(B323, 'Duke 4'!A$3:$B1000,2, 0), 0)</f>
        <v>0</v>
      </c>
      <c r="H323" s="10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</row>
    <row r="324">
      <c r="A324" s="1">
        <f t="shared" si="1"/>
        <v>323</v>
      </c>
      <c r="B324" s="7" t="s">
        <v>291</v>
      </c>
      <c r="C324" s="8">
        <f t="shared" si="2"/>
        <v>0</v>
      </c>
      <c r="D324" s="9">
        <f>IFERROR(VLOOKUP(B324, 'Duke 1'!A$3:$B$85,2, 0), 0)</f>
        <v>0</v>
      </c>
      <c r="E324" s="9">
        <f>IFERROR(VLOOKUP(B324, 'Duke 2'!A$3:$B$522,2, 0), 0)</f>
        <v>0</v>
      </c>
      <c r="F324" s="10">
        <f>IFERROR(VLOOKUP(B324, 'Duke 3'!A$3:$B1000,2, 0), 0)</f>
        <v>0</v>
      </c>
      <c r="G324" s="10">
        <f>IFERROR(VLOOKUP(B324, 'Duke 4'!A$3:$B1000,2, 0), 0)</f>
        <v>0</v>
      </c>
      <c r="H324" s="10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</row>
    <row r="325">
      <c r="A325" s="1">
        <f t="shared" si="1"/>
        <v>324</v>
      </c>
      <c r="B325" s="7" t="s">
        <v>292</v>
      </c>
      <c r="C325" s="8">
        <f t="shared" si="2"/>
        <v>0</v>
      </c>
      <c r="D325" s="9">
        <f>IFERROR(VLOOKUP(B325, 'Duke 1'!A$3:$B$85,2, 0), 0)</f>
        <v>0</v>
      </c>
      <c r="E325" s="9">
        <f>IFERROR(VLOOKUP(B325, 'Duke 2'!A$3:$B$522,2, 0), 0)</f>
        <v>0</v>
      </c>
      <c r="F325" s="10">
        <f>IFERROR(VLOOKUP(B325, 'Duke 3'!A$3:$B1000,2, 0), 0)</f>
        <v>0</v>
      </c>
      <c r="G325" s="10">
        <f>IFERROR(VLOOKUP(B325, 'Duke 4'!A$3:$B1000,2, 0), 0)</f>
        <v>0</v>
      </c>
      <c r="H325" s="10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</row>
    <row r="326">
      <c r="A326" s="1">
        <f t="shared" si="1"/>
        <v>325</v>
      </c>
      <c r="B326" s="7" t="s">
        <v>293</v>
      </c>
      <c r="C326" s="8">
        <f t="shared" si="2"/>
        <v>0</v>
      </c>
      <c r="D326" s="9">
        <f>IFERROR(VLOOKUP(B326, 'Duke 1'!A$3:$B$85,2, 0), 0)</f>
        <v>0</v>
      </c>
      <c r="E326" s="9">
        <f>IFERROR(VLOOKUP(B326, 'Duke 2'!A$3:$B$522,2, 0), 0)</f>
        <v>0</v>
      </c>
      <c r="F326" s="10">
        <f>IFERROR(VLOOKUP(B326, 'Duke 3'!A$3:$B1000,2, 0), 0)</f>
        <v>0</v>
      </c>
      <c r="G326" s="10">
        <f>IFERROR(VLOOKUP(B326, 'Duke 4'!A$3:$B1000,2, 0), 0)</f>
        <v>0</v>
      </c>
      <c r="H326" s="10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</row>
    <row r="327">
      <c r="A327" s="1">
        <f t="shared" si="1"/>
        <v>326</v>
      </c>
      <c r="B327" s="7" t="s">
        <v>294</v>
      </c>
      <c r="C327" s="8">
        <f t="shared" si="2"/>
        <v>0</v>
      </c>
      <c r="D327" s="9">
        <f>IFERROR(VLOOKUP(B327, 'Duke 1'!A$3:$B$85,2, 0), 0)</f>
        <v>0</v>
      </c>
      <c r="E327" s="9">
        <f>IFERROR(VLOOKUP(B327, 'Duke 2'!A$3:$B$522,2, 0), 0)</f>
        <v>0</v>
      </c>
      <c r="F327" s="10">
        <f>IFERROR(VLOOKUP(B327, 'Duke 3'!A$3:$B1000,2, 0), 0)</f>
        <v>0</v>
      </c>
      <c r="G327" s="10">
        <f>IFERROR(VLOOKUP(B327, 'Duke 4'!A$3:$B1000,2, 0), 0)</f>
        <v>0</v>
      </c>
      <c r="H327" s="10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</row>
    <row r="328">
      <c r="A328" s="1">
        <f t="shared" si="1"/>
        <v>327</v>
      </c>
      <c r="B328" s="7" t="s">
        <v>295</v>
      </c>
      <c r="C328" s="8">
        <f t="shared" si="2"/>
        <v>0</v>
      </c>
      <c r="D328" s="9">
        <f>IFERROR(VLOOKUP(B328, 'Duke 1'!A$3:$B$85,2, 0), 0)</f>
        <v>0</v>
      </c>
      <c r="E328" s="9">
        <f>IFERROR(VLOOKUP(B328, 'Duke 2'!A$3:$B$522,2, 0), 0)</f>
        <v>0</v>
      </c>
      <c r="F328" s="10">
        <f>IFERROR(VLOOKUP(B328, 'Duke 3'!A$3:$B1000,2, 0), 0)</f>
        <v>0</v>
      </c>
      <c r="G328" s="10">
        <f>IFERROR(VLOOKUP(B328, 'Duke 4'!A$3:$B1000,2, 0), 0)</f>
        <v>0</v>
      </c>
      <c r="H328" s="10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</row>
    <row r="329">
      <c r="A329" s="1">
        <f t="shared" si="1"/>
        <v>328</v>
      </c>
      <c r="B329" s="7" t="s">
        <v>296</v>
      </c>
      <c r="C329" s="8">
        <f t="shared" si="2"/>
        <v>0</v>
      </c>
      <c r="D329" s="9">
        <f>IFERROR(VLOOKUP(B329, 'Duke 1'!A$3:$B$85,2, 0), 0)</f>
        <v>0</v>
      </c>
      <c r="E329" s="9">
        <f>IFERROR(VLOOKUP(B329, 'Duke 2'!A$3:$B$522,2, 0), 0)</f>
        <v>0</v>
      </c>
      <c r="F329" s="10">
        <f>IFERROR(VLOOKUP(B329, 'Duke 3'!A$3:$B1000,2, 0), 0)</f>
        <v>0</v>
      </c>
      <c r="G329" s="10">
        <f>IFERROR(VLOOKUP(B329, 'Duke 4'!A$3:$B1000,2, 0), 0)</f>
        <v>0</v>
      </c>
      <c r="H329" s="10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</row>
    <row r="330">
      <c r="A330" s="1">
        <f t="shared" si="1"/>
        <v>329</v>
      </c>
      <c r="B330" s="7" t="s">
        <v>297</v>
      </c>
      <c r="C330" s="8">
        <f t="shared" si="2"/>
        <v>0</v>
      </c>
      <c r="D330" s="9">
        <f>IFERROR(VLOOKUP(B330, 'Duke 1'!A$3:$B$85,2, 0), 0)</f>
        <v>0</v>
      </c>
      <c r="E330" s="9">
        <f>IFERROR(VLOOKUP(B330, 'Duke 2'!A$3:$B$522,2, 0), 0)</f>
        <v>0</v>
      </c>
      <c r="F330" s="10">
        <f>IFERROR(VLOOKUP(B330, 'Duke 3'!A$3:$B1000,2, 0), 0)</f>
        <v>0</v>
      </c>
      <c r="G330" s="10">
        <f>IFERROR(VLOOKUP(B330, 'Duke 4'!A$3:$B1000,2, 0), 0)</f>
        <v>0</v>
      </c>
      <c r="H330" s="10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</row>
    <row r="331">
      <c r="A331" s="1">
        <f t="shared" si="1"/>
        <v>330</v>
      </c>
      <c r="B331" s="7" t="s">
        <v>298</v>
      </c>
      <c r="C331" s="8">
        <f t="shared" si="2"/>
        <v>0</v>
      </c>
      <c r="D331" s="9">
        <f>IFERROR(VLOOKUP(B331, 'Duke 1'!A$3:$B$85,2, 0), 0)</f>
        <v>0</v>
      </c>
      <c r="E331" s="9">
        <f>IFERROR(VLOOKUP(B331, 'Duke 2'!A$3:$B$522,2, 0), 0)</f>
        <v>0</v>
      </c>
      <c r="F331" s="10">
        <f>IFERROR(VLOOKUP(B331, 'Duke 3'!A$3:$B1000,2, 0), 0)</f>
        <v>0</v>
      </c>
      <c r="G331" s="10">
        <f>IFERROR(VLOOKUP(B331, 'Duke 4'!A$3:$B1000,2, 0), 0)</f>
        <v>0</v>
      </c>
      <c r="H331" s="10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</row>
    <row r="332">
      <c r="A332" s="1">
        <f t="shared" si="1"/>
        <v>331</v>
      </c>
      <c r="B332" s="7" t="s">
        <v>299</v>
      </c>
      <c r="C332" s="8">
        <f t="shared" si="2"/>
        <v>0</v>
      </c>
      <c r="D332" s="9">
        <f>IFERROR(VLOOKUP(B332, 'Duke 1'!A$3:$B$85,2, 0), 0)</f>
        <v>0</v>
      </c>
      <c r="E332" s="9">
        <f>IFERROR(VLOOKUP(B332, 'Duke 2'!A$3:$B$522,2, 0), 0)</f>
        <v>0</v>
      </c>
      <c r="F332" s="10">
        <f>IFERROR(VLOOKUP(B332, 'Duke 3'!A$3:$B1000,2, 0), 0)</f>
        <v>0</v>
      </c>
      <c r="G332" s="10">
        <f>IFERROR(VLOOKUP(B332, 'Duke 4'!A$3:$B1000,2, 0), 0)</f>
        <v>0</v>
      </c>
      <c r="H332" s="10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</row>
    <row r="333">
      <c r="A333" s="1">
        <f t="shared" si="1"/>
        <v>332</v>
      </c>
      <c r="B333" s="7" t="s">
        <v>300</v>
      </c>
      <c r="C333" s="8">
        <f t="shared" si="2"/>
        <v>0</v>
      </c>
      <c r="D333" s="9">
        <f>IFERROR(VLOOKUP(B333, 'Duke 1'!A$3:$B$85,2, 0), 0)</f>
        <v>0</v>
      </c>
      <c r="E333" s="9">
        <f>IFERROR(VLOOKUP(B333, 'Duke 2'!A$3:$B$522,2, 0), 0)</f>
        <v>0</v>
      </c>
      <c r="F333" s="10">
        <f>IFERROR(VLOOKUP(B333, 'Duke 3'!A$3:$B1000,2, 0), 0)</f>
        <v>0</v>
      </c>
      <c r="G333" s="10">
        <f>IFERROR(VLOOKUP(B333, 'Duke 4'!A$3:$B1000,2, 0), 0)</f>
        <v>0</v>
      </c>
      <c r="H333" s="10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</row>
    <row r="334">
      <c r="A334" s="1">
        <f t="shared" si="1"/>
        <v>333</v>
      </c>
      <c r="B334" s="7" t="s">
        <v>301</v>
      </c>
      <c r="C334" s="8">
        <f t="shared" si="2"/>
        <v>0</v>
      </c>
      <c r="D334" s="9">
        <f>IFERROR(VLOOKUP(B334, 'Duke 1'!A$3:$B$85,2, 0), 0)</f>
        <v>0</v>
      </c>
      <c r="E334" s="9">
        <f>IFERROR(VLOOKUP(B334, 'Duke 2'!A$3:$B$522,2, 0), 0)</f>
        <v>0</v>
      </c>
      <c r="F334" s="10">
        <f>IFERROR(VLOOKUP(B334, 'Duke 3'!A$3:$B1000,2, 0), 0)</f>
        <v>0</v>
      </c>
      <c r="G334" s="10">
        <f>IFERROR(VLOOKUP(B334, 'Duke 4'!A$3:$B1000,2, 0), 0)</f>
        <v>0</v>
      </c>
      <c r="H334" s="10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</row>
    <row r="335">
      <c r="A335" s="1">
        <f t="shared" si="1"/>
        <v>334</v>
      </c>
      <c r="B335" s="7" t="s">
        <v>302</v>
      </c>
      <c r="C335" s="8">
        <f t="shared" si="2"/>
        <v>0</v>
      </c>
      <c r="D335" s="9">
        <f>IFERROR(VLOOKUP(B335, 'Duke 1'!A$3:$B$85,2, 0), 0)</f>
        <v>0</v>
      </c>
      <c r="E335" s="9">
        <f>IFERROR(VLOOKUP(B335, 'Duke 2'!A$3:$B$522,2, 0), 0)</f>
        <v>0</v>
      </c>
      <c r="F335" s="10">
        <f>IFERROR(VLOOKUP(B335, 'Duke 3'!A$3:$B1000,2, 0), 0)</f>
        <v>0</v>
      </c>
      <c r="G335" s="10">
        <f>IFERROR(VLOOKUP(B335, 'Duke 4'!A$3:$B1000,2, 0), 0)</f>
        <v>0</v>
      </c>
      <c r="H335" s="10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</row>
    <row r="336">
      <c r="A336" s="1">
        <f t="shared" si="1"/>
        <v>335</v>
      </c>
      <c r="B336" s="7" t="s">
        <v>303</v>
      </c>
      <c r="C336" s="8">
        <f t="shared" si="2"/>
        <v>0</v>
      </c>
      <c r="D336" s="9">
        <f>IFERROR(VLOOKUP(B336, 'Duke 1'!A$3:$B$85,2, 0), 0)</f>
        <v>0</v>
      </c>
      <c r="E336" s="9">
        <f>IFERROR(VLOOKUP(B336, 'Duke 2'!A$3:$B$522,2, 0), 0)</f>
        <v>0</v>
      </c>
      <c r="F336" s="10">
        <f>IFERROR(VLOOKUP(B336, 'Duke 3'!A$3:$B1000,2, 0), 0)</f>
        <v>0</v>
      </c>
      <c r="G336" s="10">
        <f>IFERROR(VLOOKUP(B336, 'Duke 4'!A$3:$B1000,2, 0), 0)</f>
        <v>0</v>
      </c>
      <c r="H336" s="10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</row>
    <row r="337">
      <c r="A337" s="1">
        <f t="shared" si="1"/>
        <v>336</v>
      </c>
      <c r="B337" s="7" t="s">
        <v>304</v>
      </c>
      <c r="C337" s="8">
        <f t="shared" si="2"/>
        <v>0</v>
      </c>
      <c r="D337" s="9">
        <f>IFERROR(VLOOKUP(B337, 'Duke 1'!A$3:$B$85,2, 0), 0)</f>
        <v>0</v>
      </c>
      <c r="E337" s="9">
        <f>IFERROR(VLOOKUP(B337, 'Duke 2'!A$3:$B$522,2, 0), 0)</f>
        <v>0</v>
      </c>
      <c r="F337" s="10">
        <f>IFERROR(VLOOKUP(B337, 'Duke 3'!A$3:$B1000,2, 0), 0)</f>
        <v>0</v>
      </c>
      <c r="G337" s="10">
        <f>IFERROR(VLOOKUP(B337, 'Duke 4'!A$3:$B1000,2, 0), 0)</f>
        <v>0</v>
      </c>
      <c r="H337" s="10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</row>
    <row r="338">
      <c r="A338" s="1">
        <f t="shared" si="1"/>
        <v>337</v>
      </c>
      <c r="B338" s="7" t="s">
        <v>305</v>
      </c>
      <c r="C338" s="8">
        <f t="shared" si="2"/>
        <v>0</v>
      </c>
      <c r="D338" s="9">
        <f>IFERROR(VLOOKUP(B338, 'Duke 1'!A$3:$B$85,2, 0), 0)</f>
        <v>0</v>
      </c>
      <c r="E338" s="9">
        <f>IFERROR(VLOOKUP(B338, 'Duke 2'!A$3:$B$522,2, 0), 0)</f>
        <v>0</v>
      </c>
      <c r="F338" s="10">
        <f>IFERROR(VLOOKUP(B338, 'Duke 3'!A$3:$B1000,2, 0), 0)</f>
        <v>0</v>
      </c>
      <c r="G338" s="10">
        <f>IFERROR(VLOOKUP(B338, 'Duke 4'!A$3:$B1000,2, 0), 0)</f>
        <v>0</v>
      </c>
      <c r="H338" s="10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</row>
    <row r="339">
      <c r="A339" s="1">
        <f t="shared" si="1"/>
        <v>338</v>
      </c>
      <c r="B339" s="7" t="s">
        <v>306</v>
      </c>
      <c r="C339" s="8">
        <f t="shared" si="2"/>
        <v>0</v>
      </c>
      <c r="D339" s="9">
        <f>IFERROR(VLOOKUP(B339, 'Duke 1'!A$3:$B$85,2, 0), 0)</f>
        <v>0</v>
      </c>
      <c r="E339" s="9">
        <f>IFERROR(VLOOKUP(B339, 'Duke 2'!A$3:$B$522,2, 0), 0)</f>
        <v>0</v>
      </c>
      <c r="F339" s="10">
        <f>IFERROR(VLOOKUP(B339, 'Duke 3'!A$3:$B1000,2, 0), 0)</f>
        <v>0</v>
      </c>
      <c r="G339" s="10">
        <f>IFERROR(VLOOKUP(B339, 'Duke 4'!A$3:$B1000,2, 0), 0)</f>
        <v>0</v>
      </c>
      <c r="H339" s="10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</row>
    <row r="340">
      <c r="A340" s="1">
        <f t="shared" si="1"/>
        <v>339</v>
      </c>
      <c r="B340" s="7" t="s">
        <v>307</v>
      </c>
      <c r="C340" s="8">
        <f t="shared" si="2"/>
        <v>0</v>
      </c>
      <c r="D340" s="9">
        <f>IFERROR(VLOOKUP(B340, 'Duke 1'!A$3:$B$85,2, 0), 0)</f>
        <v>0</v>
      </c>
      <c r="E340" s="9">
        <f>IFERROR(VLOOKUP(B340, 'Duke 2'!A$3:$B$522,2, 0), 0)</f>
        <v>0</v>
      </c>
      <c r="F340" s="10">
        <f>IFERROR(VLOOKUP(B340, 'Duke 3'!A$3:$B1000,2, 0), 0)</f>
        <v>0</v>
      </c>
      <c r="G340" s="10">
        <f>IFERROR(VLOOKUP(B340, 'Duke 4'!A$3:$B1000,2, 0), 0)</f>
        <v>0</v>
      </c>
      <c r="H340" s="10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</row>
    <row r="341">
      <c r="A341" s="1">
        <f t="shared" si="1"/>
        <v>340</v>
      </c>
      <c r="B341" s="7" t="s">
        <v>308</v>
      </c>
      <c r="C341" s="8">
        <f t="shared" si="2"/>
        <v>0</v>
      </c>
      <c r="D341" s="9">
        <f>IFERROR(VLOOKUP(B341, 'Duke 1'!A$3:$B$85,2, 0), 0)</f>
        <v>0</v>
      </c>
      <c r="E341" s="9">
        <f>IFERROR(VLOOKUP(B341, 'Duke 2'!A$3:$B$522,2, 0), 0)</f>
        <v>0</v>
      </c>
      <c r="F341" s="10">
        <f>IFERROR(VLOOKUP(B341, 'Duke 3'!A$3:$B1000,2, 0), 0)</f>
        <v>0</v>
      </c>
      <c r="G341" s="10">
        <f>IFERROR(VLOOKUP(B341, 'Duke 4'!A$3:$B1000,2, 0), 0)</f>
        <v>0</v>
      </c>
      <c r="H341" s="10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</row>
    <row r="342">
      <c r="A342" s="1">
        <f t="shared" si="1"/>
        <v>341</v>
      </c>
      <c r="B342" s="7" t="s">
        <v>309</v>
      </c>
      <c r="C342" s="8">
        <f t="shared" si="2"/>
        <v>0</v>
      </c>
      <c r="D342" s="9">
        <f>IFERROR(VLOOKUP(B342, 'Duke 1'!A$3:$B$85,2, 0), 0)</f>
        <v>0</v>
      </c>
      <c r="E342" s="9">
        <f>IFERROR(VLOOKUP(B342, 'Duke 2'!A$3:$B$522,2, 0), 0)</f>
        <v>0</v>
      </c>
      <c r="F342" s="10">
        <f>IFERROR(VLOOKUP(B342, 'Duke 3'!A$3:$B1000,2, 0), 0)</f>
        <v>0</v>
      </c>
      <c r="G342" s="10">
        <f>IFERROR(VLOOKUP(B342, 'Duke 4'!A$3:$B1000,2, 0), 0)</f>
        <v>0</v>
      </c>
      <c r="H342" s="10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</row>
    <row r="343">
      <c r="A343" s="1">
        <f t="shared" si="1"/>
        <v>342</v>
      </c>
      <c r="B343" s="7" t="s">
        <v>310</v>
      </c>
      <c r="C343" s="8">
        <f t="shared" si="2"/>
        <v>0</v>
      </c>
      <c r="D343" s="9">
        <f>IFERROR(VLOOKUP(B343, 'Duke 1'!A$3:$B$85,2, 0), 0)</f>
        <v>0</v>
      </c>
      <c r="E343" s="9">
        <f>IFERROR(VLOOKUP(B343, 'Duke 2'!A$3:$B$522,2, 0), 0)</f>
        <v>0</v>
      </c>
      <c r="F343" s="10">
        <f>IFERROR(VLOOKUP(B343, 'Duke 3'!A$3:$B1000,2, 0), 0)</f>
        <v>0</v>
      </c>
      <c r="G343" s="10">
        <f>IFERROR(VLOOKUP(B343, 'Duke 4'!A$3:$B1000,2, 0), 0)</f>
        <v>0</v>
      </c>
      <c r="H343" s="10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</row>
    <row r="344">
      <c r="A344" s="1">
        <f t="shared" si="1"/>
        <v>343</v>
      </c>
      <c r="B344" s="7" t="s">
        <v>311</v>
      </c>
      <c r="C344" s="8">
        <f t="shared" si="2"/>
        <v>0</v>
      </c>
      <c r="D344" s="9">
        <f>IFERROR(VLOOKUP(B344, 'Duke 1'!A$3:$B$85,2, 0), 0)</f>
        <v>0</v>
      </c>
      <c r="E344" s="9">
        <f>IFERROR(VLOOKUP(B344, 'Duke 2'!A$3:$B$522,2, 0), 0)</f>
        <v>0</v>
      </c>
      <c r="F344" s="10">
        <f>IFERROR(VLOOKUP(B344, 'Duke 3'!A$3:$B1000,2, 0), 0)</f>
        <v>0</v>
      </c>
      <c r="G344" s="10">
        <f>IFERROR(VLOOKUP(B344, 'Duke 4'!A$3:$B1000,2, 0), 0)</f>
        <v>0</v>
      </c>
      <c r="H344" s="10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</row>
    <row r="345">
      <c r="A345" s="1">
        <f t="shared" si="1"/>
        <v>344</v>
      </c>
      <c r="B345" s="7" t="s">
        <v>312</v>
      </c>
      <c r="C345" s="8">
        <f t="shared" si="2"/>
        <v>0</v>
      </c>
      <c r="D345" s="9">
        <f>IFERROR(VLOOKUP(B345, 'Duke 1'!A$3:$B$85,2, 0), 0)</f>
        <v>0</v>
      </c>
      <c r="E345" s="9">
        <f>IFERROR(VLOOKUP(B345, 'Duke 2'!A$3:$B$522,2, 0), 0)</f>
        <v>0</v>
      </c>
      <c r="F345" s="10">
        <f>IFERROR(VLOOKUP(B345, 'Duke 3'!A$3:$B1000,2, 0), 0)</f>
        <v>0</v>
      </c>
      <c r="G345" s="10">
        <f>IFERROR(VLOOKUP(B345, 'Duke 4'!A$3:$B1000,2, 0), 0)</f>
        <v>0</v>
      </c>
      <c r="H345" s="10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</row>
    <row r="346">
      <c r="A346" s="1">
        <f t="shared" si="1"/>
        <v>345</v>
      </c>
      <c r="B346" s="7" t="s">
        <v>313</v>
      </c>
      <c r="C346" s="8">
        <f t="shared" si="2"/>
        <v>0</v>
      </c>
      <c r="D346" s="9">
        <f>IFERROR(VLOOKUP(B346, 'Duke 1'!A$3:$B$85,2, 0), 0)</f>
        <v>0</v>
      </c>
      <c r="E346" s="9">
        <f>IFERROR(VLOOKUP(B346, 'Duke 2'!A$3:$B$522,2, 0), 0)</f>
        <v>0</v>
      </c>
      <c r="F346" s="10">
        <f>IFERROR(VLOOKUP(B346, 'Duke 3'!A$3:$B1000,2, 0), 0)</f>
        <v>0</v>
      </c>
      <c r="G346" s="10">
        <f>IFERROR(VLOOKUP(B346, 'Duke 4'!A$3:$B1000,2, 0), 0)</f>
        <v>0</v>
      </c>
      <c r="H346" s="10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</row>
    <row r="347">
      <c r="A347" s="1">
        <f t="shared" si="1"/>
        <v>346</v>
      </c>
      <c r="B347" s="7" t="s">
        <v>314</v>
      </c>
      <c r="C347" s="8">
        <f t="shared" si="2"/>
        <v>0</v>
      </c>
      <c r="D347" s="9">
        <f>IFERROR(VLOOKUP(B347, 'Duke 1'!A$3:$B$85,2, 0), 0)</f>
        <v>0</v>
      </c>
      <c r="E347" s="9">
        <f>IFERROR(VLOOKUP(B347, 'Duke 2'!A$3:$B$522,2, 0), 0)</f>
        <v>0</v>
      </c>
      <c r="F347" s="10">
        <f>IFERROR(VLOOKUP(B347, 'Duke 3'!A$3:$B1000,2, 0), 0)</f>
        <v>0</v>
      </c>
      <c r="G347" s="10">
        <f>IFERROR(VLOOKUP(B347, 'Duke 4'!A$3:$B1000,2, 0), 0)</f>
        <v>0</v>
      </c>
      <c r="H347" s="10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</row>
    <row r="348">
      <c r="A348" s="1">
        <f t="shared" si="1"/>
        <v>347</v>
      </c>
      <c r="B348" s="7" t="s">
        <v>315</v>
      </c>
      <c r="C348" s="8">
        <f t="shared" si="2"/>
        <v>0</v>
      </c>
      <c r="D348" s="9">
        <f>IFERROR(VLOOKUP(B348, 'Duke 1'!A$3:$B$85,2, 0), 0)</f>
        <v>0</v>
      </c>
      <c r="E348" s="9">
        <f>IFERROR(VLOOKUP(B348, 'Duke 2'!A$3:$B$522,2, 0), 0)</f>
        <v>0</v>
      </c>
      <c r="F348" s="10">
        <f>IFERROR(VLOOKUP(B348, 'Duke 3'!A$3:$B1000,2, 0), 0)</f>
        <v>0</v>
      </c>
      <c r="G348" s="10">
        <f>IFERROR(VLOOKUP(B348, 'Duke 4'!A$3:$B1000,2, 0), 0)</f>
        <v>0</v>
      </c>
      <c r="H348" s="10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</row>
    <row r="349">
      <c r="A349" s="1">
        <f t="shared" si="1"/>
        <v>348</v>
      </c>
      <c r="B349" s="7" t="s">
        <v>316</v>
      </c>
      <c r="C349" s="8">
        <f t="shared" si="2"/>
        <v>0</v>
      </c>
      <c r="D349" s="9">
        <f>IFERROR(VLOOKUP(B349, 'Duke 1'!A$3:$B$85,2, 0), 0)</f>
        <v>0</v>
      </c>
      <c r="E349" s="9">
        <f>IFERROR(VLOOKUP(B349, 'Duke 2'!A$3:$B$522,2, 0), 0)</f>
        <v>0</v>
      </c>
      <c r="F349" s="10">
        <f>IFERROR(VLOOKUP(B349, 'Duke 3'!A$3:$B1000,2, 0), 0)</f>
        <v>0</v>
      </c>
      <c r="G349" s="10">
        <f>IFERROR(VLOOKUP(B349, 'Duke 4'!A$3:$B1000,2, 0), 0)</f>
        <v>0</v>
      </c>
      <c r="H349" s="10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</row>
    <row r="350">
      <c r="A350" s="1">
        <f t="shared" si="1"/>
        <v>349</v>
      </c>
      <c r="B350" s="7" t="s">
        <v>317</v>
      </c>
      <c r="C350" s="8">
        <f t="shared" si="2"/>
        <v>0</v>
      </c>
      <c r="D350" s="9">
        <f>IFERROR(VLOOKUP(B350, 'Duke 1'!A$3:$B$85,2, 0), 0)</f>
        <v>0</v>
      </c>
      <c r="E350" s="9">
        <f>IFERROR(VLOOKUP(B350, 'Duke 2'!A$3:$B$522,2, 0), 0)</f>
        <v>0</v>
      </c>
      <c r="F350" s="10">
        <f>IFERROR(VLOOKUP(B350, 'Duke 3'!A$3:$B1000,2, 0), 0)</f>
        <v>0</v>
      </c>
      <c r="G350" s="10">
        <f>IFERROR(VLOOKUP(B350, 'Duke 4'!A$3:$B1000,2, 0), 0)</f>
        <v>0</v>
      </c>
      <c r="H350" s="10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</row>
    <row r="351">
      <c r="A351" s="1">
        <f t="shared" si="1"/>
        <v>350</v>
      </c>
      <c r="B351" s="7" t="s">
        <v>318</v>
      </c>
      <c r="C351" s="8">
        <f t="shared" si="2"/>
        <v>0</v>
      </c>
      <c r="D351" s="9">
        <f>IFERROR(VLOOKUP(B351, 'Duke 1'!A$3:$B$85,2, 0), 0)</f>
        <v>0</v>
      </c>
      <c r="E351" s="9">
        <f>IFERROR(VLOOKUP(B351, 'Duke 2'!A$3:$B$522,2, 0), 0)</f>
        <v>0</v>
      </c>
      <c r="F351" s="10">
        <f>IFERROR(VLOOKUP(B351, 'Duke 3'!A$3:$B1000,2, 0), 0)</f>
        <v>0</v>
      </c>
      <c r="G351" s="10">
        <f>IFERROR(VLOOKUP(B351, 'Duke 4'!A$3:$B1000,2, 0), 0)</f>
        <v>0</v>
      </c>
      <c r="H351" s="10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</row>
    <row r="352">
      <c r="A352" s="1">
        <f t="shared" si="1"/>
        <v>351</v>
      </c>
      <c r="B352" s="7" t="s">
        <v>319</v>
      </c>
      <c r="C352" s="8">
        <f t="shared" si="2"/>
        <v>0</v>
      </c>
      <c r="D352" s="9">
        <f>IFERROR(VLOOKUP(B352, 'Duke 1'!A$3:$B$85,2, 0), 0)</f>
        <v>0</v>
      </c>
      <c r="E352" s="9">
        <f>IFERROR(VLOOKUP(B352, 'Duke 2'!A$3:$B$522,2, 0), 0)</f>
        <v>0</v>
      </c>
      <c r="F352" s="10">
        <f>IFERROR(VLOOKUP(B352, 'Duke 3'!A$3:$B1000,2, 0), 0)</f>
        <v>0</v>
      </c>
      <c r="G352" s="10">
        <f>IFERROR(VLOOKUP(B352, 'Duke 4'!A$3:$B1000,2, 0), 0)</f>
        <v>0</v>
      </c>
      <c r="H352" s="10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</row>
    <row r="353">
      <c r="A353" s="1">
        <f t="shared" si="1"/>
        <v>352</v>
      </c>
      <c r="B353" s="7" t="s">
        <v>320</v>
      </c>
      <c r="C353" s="8">
        <f t="shared" si="2"/>
        <v>0</v>
      </c>
      <c r="D353" s="9">
        <f>IFERROR(VLOOKUP(B353, 'Duke 1'!A$3:$B$85,2, 0), 0)</f>
        <v>0</v>
      </c>
      <c r="E353" s="9">
        <f>IFERROR(VLOOKUP(B353, 'Duke 2'!A$3:$B$522,2, 0), 0)</f>
        <v>0</v>
      </c>
      <c r="F353" s="10">
        <f>IFERROR(VLOOKUP(B353, 'Duke 3'!A$3:$B1000,2, 0), 0)</f>
        <v>0</v>
      </c>
      <c r="G353" s="10">
        <f>IFERROR(VLOOKUP(B353, 'Duke 4'!A$3:$B1000,2, 0), 0)</f>
        <v>0</v>
      </c>
      <c r="H353" s="10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</row>
    <row r="354">
      <c r="A354" s="1">
        <f t="shared" si="1"/>
        <v>353</v>
      </c>
      <c r="B354" s="7" t="s">
        <v>321</v>
      </c>
      <c r="C354" s="8">
        <f t="shared" si="2"/>
        <v>0</v>
      </c>
      <c r="D354" s="9">
        <f>IFERROR(VLOOKUP(B354, 'Duke 1'!A$3:$B$85,2, 0), 0)</f>
        <v>0</v>
      </c>
      <c r="E354" s="9">
        <f>IFERROR(VLOOKUP(B354, 'Duke 2'!A$3:$B$522,2, 0), 0)</f>
        <v>0</v>
      </c>
      <c r="F354" s="10">
        <f>IFERROR(VLOOKUP(B354, 'Duke 3'!A$3:$B1000,2, 0), 0)</f>
        <v>0</v>
      </c>
      <c r="G354" s="10">
        <f>IFERROR(VLOOKUP(B354, 'Duke 4'!A$3:$B1000,2, 0), 0)</f>
        <v>0</v>
      </c>
      <c r="H354" s="10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</row>
    <row r="355">
      <c r="A355" s="1">
        <f t="shared" si="1"/>
        <v>354</v>
      </c>
      <c r="B355" s="7" t="s">
        <v>322</v>
      </c>
      <c r="C355" s="8">
        <f t="shared" si="2"/>
        <v>0</v>
      </c>
      <c r="D355" s="9">
        <f>IFERROR(VLOOKUP(B355, 'Duke 1'!A$3:$B$85,2, 0), 0)</f>
        <v>0</v>
      </c>
      <c r="E355" s="9">
        <f>IFERROR(VLOOKUP(B355, 'Duke 2'!A$3:$B$522,2, 0), 0)</f>
        <v>0</v>
      </c>
      <c r="F355" s="10">
        <f>IFERROR(VLOOKUP(B355, 'Duke 3'!A$3:$B1000,2, 0), 0)</f>
        <v>0</v>
      </c>
      <c r="G355" s="10">
        <f>IFERROR(VLOOKUP(B355, 'Duke 4'!A$3:$B1000,2, 0), 0)</f>
        <v>0</v>
      </c>
      <c r="H355" s="10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</row>
    <row r="356">
      <c r="A356" s="1">
        <f t="shared" si="1"/>
        <v>355</v>
      </c>
      <c r="B356" s="7" t="s">
        <v>323</v>
      </c>
      <c r="C356" s="8">
        <f t="shared" si="2"/>
        <v>0</v>
      </c>
      <c r="D356" s="9">
        <f>IFERROR(VLOOKUP(B356, 'Duke 1'!A$3:$B$85,2, 0), 0)</f>
        <v>0</v>
      </c>
      <c r="E356" s="9">
        <f>IFERROR(VLOOKUP(B356, 'Duke 2'!A$3:$B$522,2, 0), 0)</f>
        <v>0</v>
      </c>
      <c r="F356" s="10">
        <f>IFERROR(VLOOKUP(B356, 'Duke 3'!A$3:$B1000,2, 0), 0)</f>
        <v>0</v>
      </c>
      <c r="G356" s="10">
        <f>IFERROR(VLOOKUP(B356, 'Duke 4'!A$3:$B1000,2, 0), 0)</f>
        <v>0</v>
      </c>
      <c r="H356" s="10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</row>
    <row r="357">
      <c r="A357" s="1">
        <f t="shared" si="1"/>
        <v>356</v>
      </c>
      <c r="B357" s="7" t="s">
        <v>324</v>
      </c>
      <c r="C357" s="8">
        <f t="shared" si="2"/>
        <v>0</v>
      </c>
      <c r="D357" s="9">
        <f>IFERROR(VLOOKUP(B357, 'Duke 1'!A$3:$B$85,2, 0), 0)</f>
        <v>0</v>
      </c>
      <c r="E357" s="9">
        <f>IFERROR(VLOOKUP(B357, 'Duke 2'!A$3:$B$522,2, 0), 0)</f>
        <v>0</v>
      </c>
      <c r="F357" s="10">
        <f>IFERROR(VLOOKUP(B357, 'Duke 3'!A$3:$B1000,2, 0), 0)</f>
        <v>0</v>
      </c>
      <c r="G357" s="10">
        <f>IFERROR(VLOOKUP(B357, 'Duke 4'!A$3:$B1000,2, 0), 0)</f>
        <v>0</v>
      </c>
      <c r="H357" s="10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</row>
    <row r="358">
      <c r="A358" s="1">
        <f t="shared" si="1"/>
        <v>357</v>
      </c>
      <c r="B358" s="7" t="s">
        <v>325</v>
      </c>
      <c r="C358" s="8">
        <f t="shared" si="2"/>
        <v>0</v>
      </c>
      <c r="D358" s="9">
        <f>IFERROR(VLOOKUP(B358, 'Duke 1'!A$3:$B$85,2, 0), 0)</f>
        <v>0</v>
      </c>
      <c r="E358" s="9">
        <f>IFERROR(VLOOKUP(B358, 'Duke 2'!A$3:$B$522,2, 0), 0)</f>
        <v>0</v>
      </c>
      <c r="F358" s="10">
        <f>IFERROR(VLOOKUP(B358, 'Duke 3'!A$3:$B1000,2, 0), 0)</f>
        <v>0</v>
      </c>
      <c r="G358" s="10">
        <f>IFERROR(VLOOKUP(B358, 'Duke 4'!A$3:$B1000,2, 0), 0)</f>
        <v>0</v>
      </c>
      <c r="H358" s="10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</row>
    <row r="359">
      <c r="A359" s="1">
        <f t="shared" si="1"/>
        <v>358</v>
      </c>
      <c r="B359" s="7" t="s">
        <v>326</v>
      </c>
      <c r="C359" s="8">
        <f t="shared" si="2"/>
        <v>0</v>
      </c>
      <c r="D359" s="9">
        <f>IFERROR(VLOOKUP(B359, 'Duke 1'!A$3:$B$85,2, 0), 0)</f>
        <v>0</v>
      </c>
      <c r="E359" s="9">
        <f>IFERROR(VLOOKUP(B359, 'Duke 2'!A$3:$B$522,2, 0), 0)</f>
        <v>0</v>
      </c>
      <c r="F359" s="10">
        <f>IFERROR(VLOOKUP(B359, 'Duke 3'!A$3:$B1000,2, 0), 0)</f>
        <v>0</v>
      </c>
      <c r="G359" s="10">
        <f>IFERROR(VLOOKUP(B359, 'Duke 4'!A$3:$B1000,2, 0), 0)</f>
        <v>0</v>
      </c>
      <c r="H359" s="10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</row>
    <row r="360">
      <c r="A360" s="1">
        <f t="shared" si="1"/>
        <v>359</v>
      </c>
      <c r="B360" s="7" t="s">
        <v>327</v>
      </c>
      <c r="C360" s="8">
        <f t="shared" si="2"/>
        <v>0</v>
      </c>
      <c r="D360" s="9">
        <f>IFERROR(VLOOKUP(B360, 'Duke 1'!A$3:$B$85,2, 0), 0)</f>
        <v>0</v>
      </c>
      <c r="E360" s="9">
        <f>IFERROR(VLOOKUP(B360, 'Duke 2'!A$3:$B$522,2, 0), 0)</f>
        <v>0</v>
      </c>
      <c r="F360" s="10">
        <f>IFERROR(VLOOKUP(B360, 'Duke 3'!A$3:$B1000,2, 0), 0)</f>
        <v>0</v>
      </c>
      <c r="G360" s="10">
        <f>IFERROR(VLOOKUP(B360, 'Duke 4'!A$3:$B1000,2, 0), 0)</f>
        <v>0</v>
      </c>
      <c r="H360" s="10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</row>
    <row r="361">
      <c r="A361" s="1">
        <f t="shared" si="1"/>
        <v>360</v>
      </c>
      <c r="B361" s="7" t="s">
        <v>328</v>
      </c>
      <c r="C361" s="8">
        <f t="shared" si="2"/>
        <v>0</v>
      </c>
      <c r="D361" s="9">
        <f>IFERROR(VLOOKUP(B361, 'Duke 1'!A$3:$B$85,2, 0), 0)</f>
        <v>0</v>
      </c>
      <c r="E361" s="9">
        <f>IFERROR(VLOOKUP(B361, 'Duke 2'!A$3:$B$522,2, 0), 0)</f>
        <v>0</v>
      </c>
      <c r="F361" s="10">
        <f>IFERROR(VLOOKUP(B361, 'Duke 3'!A$3:$B1000,2, 0), 0)</f>
        <v>0</v>
      </c>
      <c r="G361" s="10">
        <f>IFERROR(VLOOKUP(B361, 'Duke 4'!A$3:$B1000,2, 0), 0)</f>
        <v>0</v>
      </c>
      <c r="H361" s="10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</row>
    <row r="362">
      <c r="A362" s="1">
        <f t="shared" si="1"/>
        <v>361</v>
      </c>
      <c r="B362" s="7" t="s">
        <v>329</v>
      </c>
      <c r="C362" s="8">
        <f t="shared" si="2"/>
        <v>0</v>
      </c>
      <c r="D362" s="9">
        <f>IFERROR(VLOOKUP(B362, 'Duke 1'!A$3:$B$85,2, 0), 0)</f>
        <v>0</v>
      </c>
      <c r="E362" s="9">
        <f>IFERROR(VLOOKUP(B362, 'Duke 2'!A$3:$B$522,2, 0), 0)</f>
        <v>0</v>
      </c>
      <c r="F362" s="10">
        <f>IFERROR(VLOOKUP(B362, 'Duke 3'!A$3:$B1000,2, 0), 0)</f>
        <v>0</v>
      </c>
      <c r="G362" s="10">
        <f>IFERROR(VLOOKUP(B362, 'Duke 4'!A$3:$B1000,2, 0), 0)</f>
        <v>0</v>
      </c>
      <c r="H362" s="10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</row>
    <row r="363">
      <c r="A363" s="1">
        <f t="shared" si="1"/>
        <v>362</v>
      </c>
      <c r="B363" s="7" t="s">
        <v>330</v>
      </c>
      <c r="C363" s="8">
        <f t="shared" si="2"/>
        <v>0</v>
      </c>
      <c r="D363" s="9">
        <f>IFERROR(VLOOKUP(B363, 'Duke 1'!A$3:$B$85,2, 0), 0)</f>
        <v>0</v>
      </c>
      <c r="E363" s="9">
        <f>IFERROR(VLOOKUP(B363, 'Duke 2'!A$3:$B$522,2, 0), 0)</f>
        <v>0</v>
      </c>
      <c r="F363" s="10">
        <f>IFERROR(VLOOKUP(B363, 'Duke 3'!A$3:$B1000,2, 0), 0)</f>
        <v>0</v>
      </c>
      <c r="G363" s="10">
        <f>IFERROR(VLOOKUP(B363, 'Duke 4'!A$3:$B1000,2, 0), 0)</f>
        <v>0</v>
      </c>
      <c r="H363" s="10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</row>
    <row r="364">
      <c r="A364" s="1">
        <f t="shared" si="1"/>
        <v>363</v>
      </c>
      <c r="B364" s="7" t="s">
        <v>331</v>
      </c>
      <c r="C364" s="8">
        <f t="shared" si="2"/>
        <v>0</v>
      </c>
      <c r="D364" s="9">
        <f>IFERROR(VLOOKUP(B364, 'Duke 1'!A$3:$B$85,2, 0), 0)</f>
        <v>0</v>
      </c>
      <c r="E364" s="9">
        <f>IFERROR(VLOOKUP(B364, 'Duke 2'!A$3:$B$522,2, 0), 0)</f>
        <v>0</v>
      </c>
      <c r="F364" s="10">
        <f>IFERROR(VLOOKUP(B364, 'Duke 3'!A$3:$B1000,2, 0), 0)</f>
        <v>0</v>
      </c>
      <c r="G364" s="10">
        <f>IFERROR(VLOOKUP(B364, 'Duke 4'!A$3:$B1000,2, 0), 0)</f>
        <v>0</v>
      </c>
      <c r="H364" s="10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</row>
    <row r="365">
      <c r="A365" s="1">
        <f t="shared" si="1"/>
        <v>364</v>
      </c>
      <c r="B365" s="7" t="s">
        <v>332</v>
      </c>
      <c r="C365" s="8">
        <f t="shared" si="2"/>
        <v>0</v>
      </c>
      <c r="D365" s="9">
        <f>IFERROR(VLOOKUP(B365, 'Duke 1'!A$3:$B$85,2, 0), 0)</f>
        <v>0</v>
      </c>
      <c r="E365" s="9">
        <f>IFERROR(VLOOKUP(B365, 'Duke 2'!A$3:$B$522,2, 0), 0)</f>
        <v>0</v>
      </c>
      <c r="F365" s="10">
        <f>IFERROR(VLOOKUP(B365, 'Duke 3'!A$3:$B1000,2, 0), 0)</f>
        <v>0</v>
      </c>
      <c r="G365" s="10">
        <f>IFERROR(VLOOKUP(B365, 'Duke 4'!A$3:$B1000,2, 0), 0)</f>
        <v>0</v>
      </c>
      <c r="H365" s="10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</row>
    <row r="366">
      <c r="A366" s="1">
        <f t="shared" si="1"/>
        <v>365</v>
      </c>
      <c r="B366" s="7" t="s">
        <v>333</v>
      </c>
      <c r="C366" s="8">
        <f t="shared" si="2"/>
        <v>0</v>
      </c>
      <c r="D366" s="9">
        <f>IFERROR(VLOOKUP(B366, 'Duke 1'!A$3:$B$85,2, 0), 0)</f>
        <v>0</v>
      </c>
      <c r="E366" s="9">
        <f>IFERROR(VLOOKUP(B366, 'Duke 2'!A$3:$B$522,2, 0), 0)</f>
        <v>0</v>
      </c>
      <c r="F366" s="10">
        <f>IFERROR(VLOOKUP(B366, 'Duke 3'!A$3:$B1000,2, 0), 0)</f>
        <v>0</v>
      </c>
      <c r="G366" s="10">
        <f>IFERROR(VLOOKUP(B366, 'Duke 4'!A$3:$B1000,2, 0), 0)</f>
        <v>0</v>
      </c>
      <c r="H366" s="10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</row>
    <row r="367">
      <c r="A367" s="1">
        <f t="shared" si="1"/>
        <v>366</v>
      </c>
      <c r="B367" s="7" t="s">
        <v>90</v>
      </c>
      <c r="C367" s="8">
        <f t="shared" si="2"/>
        <v>0</v>
      </c>
      <c r="D367" s="9">
        <f>IFERROR(VLOOKUP(B367, 'Duke 1'!A$3:$B$85,2, 0), 0)</f>
        <v>0</v>
      </c>
      <c r="E367" s="9">
        <f>IFERROR(VLOOKUP(B367, 'Duke 2'!A$3:$B$522,2, 0), 0)</f>
        <v>0</v>
      </c>
      <c r="F367" s="10">
        <f>IFERROR(VLOOKUP(B367, 'Duke 3'!A$3:$B1000,2, 0), 0)</f>
        <v>0</v>
      </c>
      <c r="G367" s="10">
        <f>IFERROR(VLOOKUP(B367, 'Duke 4'!A$3:$B1000,2, 0), 0)</f>
        <v>0</v>
      </c>
      <c r="H367" s="10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</row>
    <row r="368">
      <c r="A368" s="1">
        <f t="shared" si="1"/>
        <v>367</v>
      </c>
      <c r="B368" s="7" t="s">
        <v>334</v>
      </c>
      <c r="C368" s="8">
        <f t="shared" si="2"/>
        <v>0</v>
      </c>
      <c r="D368" s="9">
        <f>IFERROR(VLOOKUP(B368, 'Duke 1'!A$3:$B$85,2, 0), 0)</f>
        <v>0</v>
      </c>
      <c r="E368" s="9">
        <f>IFERROR(VLOOKUP(B368, 'Duke 2'!A$3:$B$522,2, 0), 0)</f>
        <v>0</v>
      </c>
      <c r="F368" s="10">
        <f>IFERROR(VLOOKUP(B368, 'Duke 3'!A$3:$B1000,2, 0), 0)</f>
        <v>0</v>
      </c>
      <c r="G368" s="10">
        <f>IFERROR(VLOOKUP(B368, 'Duke 4'!A$3:$B1000,2, 0), 0)</f>
        <v>0</v>
      </c>
      <c r="H368" s="10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</row>
    <row r="369">
      <c r="A369" s="1">
        <f t="shared" si="1"/>
        <v>368</v>
      </c>
      <c r="B369" s="7" t="s">
        <v>335</v>
      </c>
      <c r="C369" s="8">
        <f t="shared" si="2"/>
        <v>0</v>
      </c>
      <c r="D369" s="9">
        <f>IFERROR(VLOOKUP(B369, 'Duke 1'!A$3:$B$85,2, 0), 0)</f>
        <v>0</v>
      </c>
      <c r="E369" s="9">
        <f>IFERROR(VLOOKUP(B369, 'Duke 2'!A$3:$B$522,2, 0), 0)</f>
        <v>0</v>
      </c>
      <c r="F369" s="10">
        <f>IFERROR(VLOOKUP(B369, 'Duke 3'!A$3:$B1000,2, 0), 0)</f>
        <v>0</v>
      </c>
      <c r="G369" s="10">
        <f>IFERROR(VLOOKUP(B369, 'Duke 4'!A$3:$B1000,2, 0), 0)</f>
        <v>0</v>
      </c>
      <c r="H369" s="10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</row>
    <row r="370">
      <c r="A370" s="1">
        <f t="shared" si="1"/>
        <v>369</v>
      </c>
      <c r="B370" s="7" t="s">
        <v>336</v>
      </c>
      <c r="C370" s="8">
        <f t="shared" si="2"/>
        <v>0</v>
      </c>
      <c r="D370" s="9">
        <f>IFERROR(VLOOKUP(B370, 'Duke 1'!A$3:$B$85,2, 0), 0)</f>
        <v>0</v>
      </c>
      <c r="E370" s="9">
        <f>IFERROR(VLOOKUP(B370, 'Duke 2'!A$3:$B$522,2, 0), 0)</f>
        <v>0</v>
      </c>
      <c r="F370" s="10">
        <f>IFERROR(VLOOKUP(B370, 'Duke 3'!A$3:$B1000,2, 0), 0)</f>
        <v>0</v>
      </c>
      <c r="G370" s="10">
        <f>IFERROR(VLOOKUP(B370, 'Duke 4'!A$3:$B1000,2, 0), 0)</f>
        <v>0</v>
      </c>
      <c r="H370" s="10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</row>
    <row r="371">
      <c r="A371" s="1">
        <f t="shared" si="1"/>
        <v>370</v>
      </c>
      <c r="B371" s="7" t="s">
        <v>337</v>
      </c>
      <c r="C371" s="8">
        <f t="shared" si="2"/>
        <v>0</v>
      </c>
      <c r="D371" s="9">
        <f>IFERROR(VLOOKUP(B371, 'Duke 1'!A$3:$B$85,2, 0), 0)</f>
        <v>0</v>
      </c>
      <c r="E371" s="9">
        <f>IFERROR(VLOOKUP(B371, 'Duke 2'!A$3:$B$522,2, 0), 0)</f>
        <v>0</v>
      </c>
      <c r="F371" s="10">
        <f>IFERROR(VLOOKUP(B371, 'Duke 3'!A$3:$B1000,2, 0), 0)</f>
        <v>0</v>
      </c>
      <c r="G371" s="10">
        <f>IFERROR(VLOOKUP(B371, 'Duke 4'!A$3:$B1000,2, 0), 0)</f>
        <v>0</v>
      </c>
      <c r="H371" s="10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</row>
    <row r="372">
      <c r="A372" s="1">
        <f t="shared" si="1"/>
        <v>371</v>
      </c>
      <c r="B372" s="7" t="s">
        <v>338</v>
      </c>
      <c r="C372" s="8">
        <f t="shared" si="2"/>
        <v>0</v>
      </c>
      <c r="D372" s="9">
        <f>IFERROR(VLOOKUP(B372, 'Duke 1'!A$3:$B$85,2, 0), 0)</f>
        <v>0</v>
      </c>
      <c r="E372" s="9">
        <f>IFERROR(VLOOKUP(B372, 'Duke 2'!A$3:$B$522,2, 0), 0)</f>
        <v>0</v>
      </c>
      <c r="F372" s="10">
        <f>IFERROR(VLOOKUP(B372, 'Duke 3'!A$3:$B1000,2, 0), 0)</f>
        <v>0</v>
      </c>
      <c r="G372" s="10">
        <f>IFERROR(VLOOKUP(B372, 'Duke 4'!A$3:$B1000,2, 0), 0)</f>
        <v>0</v>
      </c>
      <c r="H372" s="10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</row>
    <row r="373">
      <c r="A373" s="1">
        <f t="shared" si="1"/>
        <v>372</v>
      </c>
      <c r="B373" s="7" t="s">
        <v>339</v>
      </c>
      <c r="C373" s="8">
        <f t="shared" si="2"/>
        <v>0</v>
      </c>
      <c r="D373" s="9">
        <f>IFERROR(VLOOKUP(B373, 'Duke 1'!A$3:$B$85,2, 0), 0)</f>
        <v>0</v>
      </c>
      <c r="E373" s="9">
        <f>IFERROR(VLOOKUP(B373, 'Duke 2'!A$3:$B$522,2, 0), 0)</f>
        <v>0</v>
      </c>
      <c r="F373" s="10">
        <f>IFERROR(VLOOKUP(B373, 'Duke 3'!A$3:$B1000,2, 0), 0)</f>
        <v>0</v>
      </c>
      <c r="G373" s="10">
        <f>IFERROR(VLOOKUP(B373, 'Duke 4'!A$3:$B1000,2, 0), 0)</f>
        <v>0</v>
      </c>
      <c r="H373" s="10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</row>
    <row r="374">
      <c r="A374" s="1">
        <f t="shared" si="1"/>
        <v>373</v>
      </c>
      <c r="B374" s="7" t="s">
        <v>340</v>
      </c>
      <c r="C374" s="8">
        <f t="shared" si="2"/>
        <v>0</v>
      </c>
      <c r="D374" s="9">
        <f>IFERROR(VLOOKUP(B374, 'Duke 1'!A$3:$B$85,2, 0), 0)</f>
        <v>0</v>
      </c>
      <c r="E374" s="9">
        <f>IFERROR(VLOOKUP(B374, 'Duke 2'!A$3:$B$522,2, 0), 0)</f>
        <v>0</v>
      </c>
      <c r="F374" s="10">
        <f>IFERROR(VLOOKUP(B374, 'Duke 3'!A$3:$B1000,2, 0), 0)</f>
        <v>0</v>
      </c>
      <c r="G374" s="10">
        <f>IFERROR(VLOOKUP(B374, 'Duke 4'!A$3:$B1000,2, 0), 0)</f>
        <v>0</v>
      </c>
      <c r="H374" s="10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</row>
    <row r="375">
      <c r="A375" s="1">
        <f t="shared" si="1"/>
        <v>374</v>
      </c>
      <c r="B375" s="7" t="s">
        <v>341</v>
      </c>
      <c r="C375" s="8">
        <f t="shared" si="2"/>
        <v>0</v>
      </c>
      <c r="D375" s="9">
        <f>IFERROR(VLOOKUP(B375, 'Duke 1'!A$3:$B$85,2, 0), 0)</f>
        <v>0</v>
      </c>
      <c r="E375" s="9">
        <f>IFERROR(VLOOKUP(B375, 'Duke 2'!A$3:$B$522,2, 0), 0)</f>
        <v>0</v>
      </c>
      <c r="F375" s="10">
        <f>IFERROR(VLOOKUP(B375, 'Duke 3'!A$3:$B1000,2, 0), 0)</f>
        <v>0</v>
      </c>
      <c r="G375" s="10">
        <f>IFERROR(VLOOKUP(B375, 'Duke 4'!A$3:$B1000,2, 0), 0)</f>
        <v>0</v>
      </c>
      <c r="H375" s="10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</row>
    <row r="376">
      <c r="A376" s="1">
        <f t="shared" si="1"/>
        <v>375</v>
      </c>
      <c r="B376" s="7" t="s">
        <v>342</v>
      </c>
      <c r="C376" s="8">
        <f t="shared" si="2"/>
        <v>0</v>
      </c>
      <c r="D376" s="9">
        <f>IFERROR(VLOOKUP(B376, 'Duke 1'!A$3:$B$85,2, 0), 0)</f>
        <v>0</v>
      </c>
      <c r="E376" s="9">
        <f>IFERROR(VLOOKUP(B376, 'Duke 2'!A$3:$B$522,2, 0), 0)</f>
        <v>0</v>
      </c>
      <c r="F376" s="10">
        <f>IFERROR(VLOOKUP(B376, 'Duke 3'!A$3:$B1000,2, 0), 0)</f>
        <v>0</v>
      </c>
      <c r="G376" s="10">
        <f>IFERROR(VLOOKUP(B376, 'Duke 4'!A$3:$B1000,2, 0), 0)</f>
        <v>0</v>
      </c>
      <c r="H376" s="10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</row>
    <row r="377">
      <c r="A377" s="1">
        <f t="shared" si="1"/>
        <v>376</v>
      </c>
      <c r="B377" s="7" t="s">
        <v>343</v>
      </c>
      <c r="C377" s="8">
        <f t="shared" si="2"/>
        <v>0</v>
      </c>
      <c r="D377" s="9">
        <f>IFERROR(VLOOKUP(B377, 'Duke 1'!A$3:$B$85,2, 0), 0)</f>
        <v>0</v>
      </c>
      <c r="E377" s="9">
        <f>IFERROR(VLOOKUP(B377, 'Duke 2'!A$3:$B$522,2, 0), 0)</f>
        <v>0</v>
      </c>
      <c r="F377" s="10">
        <f>IFERROR(VLOOKUP(B377, 'Duke 3'!A$3:$B1000,2, 0), 0)</f>
        <v>0</v>
      </c>
      <c r="G377" s="10">
        <f>IFERROR(VLOOKUP(B377, 'Duke 4'!A$3:$B1000,2, 0), 0)</f>
        <v>0</v>
      </c>
      <c r="H377" s="10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</row>
    <row r="378">
      <c r="A378" s="1">
        <f t="shared" si="1"/>
        <v>377</v>
      </c>
      <c r="B378" s="7" t="s">
        <v>344</v>
      </c>
      <c r="C378" s="8">
        <f t="shared" si="2"/>
        <v>0</v>
      </c>
      <c r="D378" s="9">
        <f>IFERROR(VLOOKUP(B378, 'Duke 1'!A$3:$B$85,2, 0), 0)</f>
        <v>0</v>
      </c>
      <c r="E378" s="9">
        <f>IFERROR(VLOOKUP(B378, 'Duke 2'!A$3:$B$522,2, 0), 0)</f>
        <v>0</v>
      </c>
      <c r="F378" s="10">
        <f>IFERROR(VLOOKUP(B378, 'Duke 3'!A$3:$B1000,2, 0), 0)</f>
        <v>0</v>
      </c>
      <c r="G378" s="10">
        <f>IFERROR(VLOOKUP(B378, 'Duke 4'!A$3:$B1000,2, 0), 0)</f>
        <v>0</v>
      </c>
      <c r="H378" s="10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</row>
    <row r="379">
      <c r="A379" s="1">
        <f t="shared" si="1"/>
        <v>378</v>
      </c>
      <c r="B379" s="7" t="s">
        <v>345</v>
      </c>
      <c r="C379" s="8">
        <f t="shared" si="2"/>
        <v>0</v>
      </c>
      <c r="D379" s="9">
        <f>IFERROR(VLOOKUP(B379, 'Duke 1'!A$3:$B$85,2, 0), 0)</f>
        <v>0</v>
      </c>
      <c r="E379" s="9">
        <f>IFERROR(VLOOKUP(B379, 'Duke 2'!A$3:$B$522,2, 0), 0)</f>
        <v>0</v>
      </c>
      <c r="F379" s="10">
        <f>IFERROR(VLOOKUP(B379, 'Duke 3'!A$3:$B1000,2, 0), 0)</f>
        <v>0</v>
      </c>
      <c r="G379" s="10">
        <f>IFERROR(VLOOKUP(B379, 'Duke 4'!A$3:$B1000,2, 0), 0)</f>
        <v>0</v>
      </c>
      <c r="H379" s="10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</row>
    <row r="380">
      <c r="A380" s="1">
        <f t="shared" si="1"/>
        <v>379</v>
      </c>
      <c r="B380" s="7" t="s">
        <v>346</v>
      </c>
      <c r="C380" s="8">
        <f t="shared" si="2"/>
        <v>0</v>
      </c>
      <c r="D380" s="9">
        <f>IFERROR(VLOOKUP(B380, 'Duke 1'!A$3:$B$85,2, 0), 0)</f>
        <v>0</v>
      </c>
      <c r="E380" s="9">
        <f>IFERROR(VLOOKUP(B380, 'Duke 2'!A$3:$B$522,2, 0), 0)</f>
        <v>0</v>
      </c>
      <c r="F380" s="10">
        <f>IFERROR(VLOOKUP(B380, 'Duke 3'!A$3:$B1000,2, 0), 0)</f>
        <v>0</v>
      </c>
      <c r="G380" s="10">
        <f>IFERROR(VLOOKUP(B380, 'Duke 4'!A$3:$B1000,2, 0), 0)</f>
        <v>0</v>
      </c>
      <c r="H380" s="10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</row>
    <row r="381">
      <c r="A381" s="1">
        <f t="shared" si="1"/>
        <v>380</v>
      </c>
      <c r="B381" s="7" t="s">
        <v>347</v>
      </c>
      <c r="C381" s="8">
        <f t="shared" si="2"/>
        <v>0</v>
      </c>
      <c r="D381" s="9">
        <f>IFERROR(VLOOKUP(B381, 'Duke 1'!A$3:$B$85,2, 0), 0)</f>
        <v>0</v>
      </c>
      <c r="E381" s="9">
        <f>IFERROR(VLOOKUP(B381, 'Duke 2'!A$3:$B$522,2, 0), 0)</f>
        <v>0</v>
      </c>
      <c r="F381" s="10">
        <f>IFERROR(VLOOKUP(B381, 'Duke 3'!A$3:$B1000,2, 0), 0)</f>
        <v>0</v>
      </c>
      <c r="G381" s="10">
        <f>IFERROR(VLOOKUP(B381, 'Duke 4'!A$3:$B1000,2, 0), 0)</f>
        <v>0</v>
      </c>
      <c r="H381" s="10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</row>
    <row r="382">
      <c r="A382" s="1">
        <f t="shared" si="1"/>
        <v>381</v>
      </c>
      <c r="B382" s="7" t="s">
        <v>348</v>
      </c>
      <c r="C382" s="8">
        <f t="shared" si="2"/>
        <v>0</v>
      </c>
      <c r="D382" s="9">
        <f>IFERROR(VLOOKUP(B382, 'Duke 1'!A$3:$B$85,2, 0), 0)</f>
        <v>0</v>
      </c>
      <c r="E382" s="9">
        <f>IFERROR(VLOOKUP(B382, 'Duke 2'!A$3:$B$522,2, 0), 0)</f>
        <v>0</v>
      </c>
      <c r="F382" s="10">
        <f>IFERROR(VLOOKUP(B382, 'Duke 3'!A$3:$B1000,2, 0), 0)</f>
        <v>0</v>
      </c>
      <c r="G382" s="10">
        <f>IFERROR(VLOOKUP(B382, 'Duke 4'!A$3:$B1000,2, 0), 0)</f>
        <v>0</v>
      </c>
      <c r="H382" s="10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</row>
    <row r="383">
      <c r="A383" s="1">
        <f t="shared" si="1"/>
        <v>382</v>
      </c>
      <c r="B383" s="7" t="s">
        <v>349</v>
      </c>
      <c r="C383" s="8">
        <f t="shared" si="2"/>
        <v>0</v>
      </c>
      <c r="D383" s="9">
        <f>IFERROR(VLOOKUP(B383, 'Duke 1'!A$3:$B$85,2, 0), 0)</f>
        <v>0</v>
      </c>
      <c r="E383" s="9">
        <f>IFERROR(VLOOKUP(B383, 'Duke 2'!A$3:$B$522,2, 0), 0)</f>
        <v>0</v>
      </c>
      <c r="F383" s="10">
        <f>IFERROR(VLOOKUP(B383, 'Duke 3'!A$3:$B1000,2, 0), 0)</f>
        <v>0</v>
      </c>
      <c r="G383" s="10">
        <f>IFERROR(VLOOKUP(B383, 'Duke 4'!A$3:$B1000,2, 0), 0)</f>
        <v>0</v>
      </c>
      <c r="H383" s="10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</row>
    <row r="384">
      <c r="A384" s="1">
        <f t="shared" si="1"/>
        <v>383</v>
      </c>
      <c r="B384" s="7" t="s">
        <v>350</v>
      </c>
      <c r="C384" s="8">
        <f t="shared" si="2"/>
        <v>0</v>
      </c>
      <c r="D384" s="9">
        <f>IFERROR(VLOOKUP(B384, 'Duke 1'!A$3:$B$85,2, 0), 0)</f>
        <v>0</v>
      </c>
      <c r="E384" s="9">
        <f>IFERROR(VLOOKUP(B384, 'Duke 2'!A$3:$B$522,2, 0), 0)</f>
        <v>0</v>
      </c>
      <c r="F384" s="10">
        <f>IFERROR(VLOOKUP(B384, 'Duke 3'!A$3:$B1000,2, 0), 0)</f>
        <v>0</v>
      </c>
      <c r="G384" s="10">
        <f>IFERROR(VLOOKUP(B384, 'Duke 4'!A$3:$B1000,2, 0), 0)</f>
        <v>0</v>
      </c>
      <c r="H384" s="10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</row>
    <row r="385">
      <c r="A385" s="1">
        <f t="shared" si="1"/>
        <v>384</v>
      </c>
      <c r="B385" s="7" t="s">
        <v>351</v>
      </c>
      <c r="C385" s="8">
        <f t="shared" si="2"/>
        <v>0</v>
      </c>
      <c r="D385" s="9">
        <f>IFERROR(VLOOKUP(B385, 'Duke 1'!A$3:$B$85,2, 0), 0)</f>
        <v>0</v>
      </c>
      <c r="E385" s="9">
        <f>IFERROR(VLOOKUP(B385, 'Duke 2'!A$3:$B$522,2, 0), 0)</f>
        <v>0</v>
      </c>
      <c r="F385" s="10">
        <f>IFERROR(VLOOKUP(B385, 'Duke 3'!A$3:$B1000,2, 0), 0)</f>
        <v>0</v>
      </c>
      <c r="G385" s="10">
        <f>IFERROR(VLOOKUP(B385, 'Duke 4'!A$3:$B1000,2, 0), 0)</f>
        <v>0</v>
      </c>
      <c r="H385" s="10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</row>
    <row r="386">
      <c r="A386" s="1">
        <f t="shared" si="1"/>
        <v>385</v>
      </c>
      <c r="B386" s="7" t="s">
        <v>352</v>
      </c>
      <c r="C386" s="8">
        <f t="shared" si="2"/>
        <v>0</v>
      </c>
      <c r="D386" s="9">
        <f>IFERROR(VLOOKUP(B386, 'Duke 1'!A$3:$B$85,2, 0), 0)</f>
        <v>0</v>
      </c>
      <c r="E386" s="9">
        <f>IFERROR(VLOOKUP(B386, 'Duke 2'!A$3:$B$522,2, 0), 0)</f>
        <v>0</v>
      </c>
      <c r="F386" s="10">
        <f>IFERROR(VLOOKUP(B386, 'Duke 3'!A$3:$B1000,2, 0), 0)</f>
        <v>0</v>
      </c>
      <c r="G386" s="10">
        <f>IFERROR(VLOOKUP(B386, 'Duke 4'!A$3:$B1000,2, 0), 0)</f>
        <v>0</v>
      </c>
      <c r="H386" s="10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</row>
    <row r="387">
      <c r="A387" s="1">
        <f t="shared" si="1"/>
        <v>386</v>
      </c>
      <c r="B387" s="7" t="s">
        <v>353</v>
      </c>
      <c r="C387" s="8">
        <f t="shared" si="2"/>
        <v>0</v>
      </c>
      <c r="D387" s="9">
        <f>IFERROR(VLOOKUP(B387, 'Duke 1'!A$3:$B$85,2, 0), 0)</f>
        <v>0</v>
      </c>
      <c r="E387" s="9">
        <f>IFERROR(VLOOKUP(B387, 'Duke 2'!A$3:$B$522,2, 0), 0)</f>
        <v>0</v>
      </c>
      <c r="F387" s="10">
        <f>IFERROR(VLOOKUP(B387, 'Duke 3'!A$3:$B1000,2, 0), 0)</f>
        <v>0</v>
      </c>
      <c r="G387" s="10">
        <f>IFERROR(VLOOKUP(B387, 'Duke 4'!A$3:$B1000,2, 0), 0)</f>
        <v>0</v>
      </c>
      <c r="H387" s="10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</row>
    <row r="388">
      <c r="A388" s="1">
        <f t="shared" si="1"/>
        <v>387</v>
      </c>
      <c r="B388" s="7" t="s">
        <v>354</v>
      </c>
      <c r="C388" s="8">
        <f t="shared" si="2"/>
        <v>0</v>
      </c>
      <c r="D388" s="9">
        <f>IFERROR(VLOOKUP(B388, 'Duke 1'!A$3:$B$85,2, 0), 0)</f>
        <v>0</v>
      </c>
      <c r="E388" s="9">
        <f>IFERROR(VLOOKUP(B388, 'Duke 2'!A$3:$B$522,2, 0), 0)</f>
        <v>0</v>
      </c>
      <c r="F388" s="10">
        <f>IFERROR(VLOOKUP(B388, 'Duke 3'!A$3:$B1000,2, 0), 0)</f>
        <v>0</v>
      </c>
      <c r="G388" s="10">
        <f>IFERROR(VLOOKUP(B388, 'Duke 4'!A$3:$B1000,2, 0), 0)</f>
        <v>0</v>
      </c>
      <c r="H388" s="10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</row>
    <row r="389">
      <c r="A389" s="1">
        <f t="shared" si="1"/>
        <v>388</v>
      </c>
      <c r="B389" s="7" t="s">
        <v>355</v>
      </c>
      <c r="C389" s="8">
        <f t="shared" si="2"/>
        <v>0</v>
      </c>
      <c r="D389" s="9">
        <f>IFERROR(VLOOKUP(B389, 'Duke 1'!A$3:$B$85,2, 0), 0)</f>
        <v>0</v>
      </c>
      <c r="E389" s="9">
        <f>IFERROR(VLOOKUP(B389, 'Duke 2'!A$3:$B$522,2, 0), 0)</f>
        <v>0</v>
      </c>
      <c r="F389" s="10">
        <f>IFERROR(VLOOKUP(B389, 'Duke 3'!A$3:$B1000,2, 0), 0)</f>
        <v>0</v>
      </c>
      <c r="G389" s="10">
        <f>IFERROR(VLOOKUP(B389, 'Duke 4'!A$3:$B1000,2, 0), 0)</f>
        <v>0</v>
      </c>
      <c r="H389" s="10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</row>
    <row r="390">
      <c r="A390" s="1">
        <f t="shared" si="1"/>
        <v>389</v>
      </c>
      <c r="B390" s="7" t="s">
        <v>356</v>
      </c>
      <c r="C390" s="8">
        <f t="shared" si="2"/>
        <v>0</v>
      </c>
      <c r="D390" s="9">
        <f>IFERROR(VLOOKUP(B390, 'Duke 1'!A$3:$B$85,2, 0), 0)</f>
        <v>0</v>
      </c>
      <c r="E390" s="9">
        <f>IFERROR(VLOOKUP(B390, 'Duke 2'!A$3:$B$522,2, 0), 0)</f>
        <v>0</v>
      </c>
      <c r="F390" s="10">
        <f>IFERROR(VLOOKUP(B390, 'Duke 3'!A$3:$B1000,2, 0), 0)</f>
        <v>0</v>
      </c>
      <c r="G390" s="10">
        <f>IFERROR(VLOOKUP(B390, 'Duke 4'!A$3:$B1000,2, 0), 0)</f>
        <v>0</v>
      </c>
      <c r="H390" s="10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</row>
    <row r="391">
      <c r="A391" s="1">
        <f t="shared" si="1"/>
        <v>390</v>
      </c>
      <c r="B391" s="7" t="s">
        <v>357</v>
      </c>
      <c r="C391" s="8">
        <f t="shared" si="2"/>
        <v>0</v>
      </c>
      <c r="D391" s="9">
        <f>IFERROR(VLOOKUP(B391, 'Duke 1'!A$3:$B$85,2, 0), 0)</f>
        <v>0</v>
      </c>
      <c r="E391" s="9">
        <f>IFERROR(VLOOKUP(B391, 'Duke 2'!A$3:$B$522,2, 0), 0)</f>
        <v>0</v>
      </c>
      <c r="F391" s="10">
        <f>IFERROR(VLOOKUP(B391, 'Duke 3'!A$3:$B1000,2, 0), 0)</f>
        <v>0</v>
      </c>
      <c r="G391" s="10">
        <f>IFERROR(VLOOKUP(B391, 'Duke 4'!A$3:$B1000,2, 0), 0)</f>
        <v>0</v>
      </c>
      <c r="H391" s="10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</row>
    <row r="392">
      <c r="A392" s="1">
        <f t="shared" si="1"/>
        <v>391</v>
      </c>
      <c r="B392" s="7" t="s">
        <v>358</v>
      </c>
      <c r="C392" s="8">
        <f t="shared" si="2"/>
        <v>0</v>
      </c>
      <c r="D392" s="9">
        <f>IFERROR(VLOOKUP(B392, 'Duke 1'!A$3:$B$85,2, 0), 0)</f>
        <v>0</v>
      </c>
      <c r="E392" s="9">
        <f>IFERROR(VLOOKUP(B392, 'Duke 2'!A$3:$B$522,2, 0), 0)</f>
        <v>0</v>
      </c>
      <c r="F392" s="10">
        <f>IFERROR(VLOOKUP(B392, 'Duke 3'!A$3:$B1000,2, 0), 0)</f>
        <v>0</v>
      </c>
      <c r="G392" s="10">
        <f>IFERROR(VLOOKUP(B392, 'Duke 4'!A$3:$B1000,2, 0), 0)</f>
        <v>0</v>
      </c>
      <c r="H392" s="10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</row>
    <row r="393">
      <c r="A393" s="1">
        <f t="shared" si="1"/>
        <v>392</v>
      </c>
      <c r="B393" s="7" t="s">
        <v>359</v>
      </c>
      <c r="C393" s="8">
        <f t="shared" si="2"/>
        <v>0</v>
      </c>
      <c r="D393" s="9">
        <f>IFERROR(VLOOKUP(B393, 'Duke 1'!A$3:$B$85,2, 0), 0)</f>
        <v>0</v>
      </c>
      <c r="E393" s="9">
        <f>IFERROR(VLOOKUP(B393, 'Duke 2'!A$3:$B$522,2, 0), 0)</f>
        <v>0</v>
      </c>
      <c r="F393" s="10">
        <f>IFERROR(VLOOKUP(B393, 'Duke 3'!A$3:$B1000,2, 0), 0)</f>
        <v>0</v>
      </c>
      <c r="G393" s="10">
        <f>IFERROR(VLOOKUP(B393, 'Duke 4'!A$3:$B1000,2, 0), 0)</f>
        <v>0</v>
      </c>
      <c r="H393" s="10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</row>
    <row r="394">
      <c r="A394" s="1">
        <f t="shared" si="1"/>
        <v>393</v>
      </c>
      <c r="B394" s="7" t="s">
        <v>360</v>
      </c>
      <c r="C394" s="8">
        <f t="shared" si="2"/>
        <v>0</v>
      </c>
      <c r="D394" s="9">
        <f>IFERROR(VLOOKUP(B394, 'Duke 1'!A$3:$B$85,2, 0), 0)</f>
        <v>0</v>
      </c>
      <c r="E394" s="9">
        <f>IFERROR(VLOOKUP(B394, 'Duke 2'!A$3:$B$522,2, 0), 0)</f>
        <v>0</v>
      </c>
      <c r="F394" s="10">
        <f>IFERROR(VLOOKUP(B394, 'Duke 3'!A$3:$B1000,2, 0), 0)</f>
        <v>0</v>
      </c>
      <c r="G394" s="10">
        <f>IFERROR(VLOOKUP(B394, 'Duke 4'!A$3:$B1000,2, 0), 0)</f>
        <v>0</v>
      </c>
      <c r="H394" s="10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</row>
    <row r="395">
      <c r="A395" s="1">
        <f t="shared" si="1"/>
        <v>394</v>
      </c>
      <c r="B395" s="7" t="s">
        <v>361</v>
      </c>
      <c r="C395" s="8">
        <f t="shared" si="2"/>
        <v>0</v>
      </c>
      <c r="D395" s="9">
        <f>IFERROR(VLOOKUP(B395, 'Duke 1'!A$3:$B$85,2, 0), 0)</f>
        <v>0</v>
      </c>
      <c r="E395" s="9">
        <f>IFERROR(VLOOKUP(B395, 'Duke 2'!A$3:$B$522,2, 0), 0)</f>
        <v>0</v>
      </c>
      <c r="F395" s="10">
        <f>IFERROR(VLOOKUP(B395, 'Duke 3'!A$3:$B1000,2, 0), 0)</f>
        <v>0</v>
      </c>
      <c r="G395" s="10">
        <f>IFERROR(VLOOKUP(B395, 'Duke 4'!A$3:$B1000,2, 0), 0)</f>
        <v>0</v>
      </c>
      <c r="H395" s="10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</row>
    <row r="396">
      <c r="A396" s="1">
        <f t="shared" si="1"/>
        <v>395</v>
      </c>
      <c r="B396" s="7" t="s">
        <v>362</v>
      </c>
      <c r="C396" s="8">
        <f t="shared" si="2"/>
        <v>0</v>
      </c>
      <c r="D396" s="9">
        <f>IFERROR(VLOOKUP(B396, 'Duke 1'!A$3:$B$85,2, 0), 0)</f>
        <v>0</v>
      </c>
      <c r="E396" s="9">
        <f>IFERROR(VLOOKUP(B396, 'Duke 2'!A$3:$B$522,2, 0), 0)</f>
        <v>0</v>
      </c>
      <c r="F396" s="10">
        <f>IFERROR(VLOOKUP(B396, 'Duke 3'!A$3:$B1000,2, 0), 0)</f>
        <v>0</v>
      </c>
      <c r="G396" s="10">
        <f>IFERROR(VLOOKUP(B396, 'Duke 4'!A$3:$B1000,2, 0), 0)</f>
        <v>0</v>
      </c>
      <c r="H396" s="10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</row>
    <row r="397">
      <c r="A397" s="1">
        <f t="shared" si="1"/>
        <v>396</v>
      </c>
      <c r="B397" s="7" t="s">
        <v>363</v>
      </c>
      <c r="C397" s="8">
        <f t="shared" si="2"/>
        <v>0</v>
      </c>
      <c r="D397" s="9">
        <f>IFERROR(VLOOKUP(B397, 'Duke 1'!A$3:$B$85,2, 0), 0)</f>
        <v>0</v>
      </c>
      <c r="E397" s="9">
        <f>IFERROR(VLOOKUP(B397, 'Duke 2'!A$3:$B$522,2, 0), 0)</f>
        <v>0</v>
      </c>
      <c r="F397" s="10">
        <f>IFERROR(VLOOKUP(B397, 'Duke 3'!A$3:$B1000,2, 0), 0)</f>
        <v>0</v>
      </c>
      <c r="G397" s="10">
        <f>IFERROR(VLOOKUP(B397, 'Duke 4'!A$3:$B1000,2, 0), 0)</f>
        <v>0</v>
      </c>
      <c r="H397" s="10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</row>
    <row r="398">
      <c r="A398" s="1">
        <f t="shared" si="1"/>
        <v>397</v>
      </c>
      <c r="B398" s="7" t="s">
        <v>364</v>
      </c>
      <c r="C398" s="8">
        <f t="shared" si="2"/>
        <v>0</v>
      </c>
      <c r="D398" s="9">
        <f>IFERROR(VLOOKUP(B398, 'Duke 1'!A$3:$B$85,2, 0), 0)</f>
        <v>0</v>
      </c>
      <c r="E398" s="9">
        <f>IFERROR(VLOOKUP(B398, 'Duke 2'!A$3:$B$522,2, 0), 0)</f>
        <v>0</v>
      </c>
      <c r="F398" s="10">
        <f>IFERROR(VLOOKUP(B398, 'Duke 3'!A$3:$B1000,2, 0), 0)</f>
        <v>0</v>
      </c>
      <c r="G398" s="10">
        <f>IFERROR(VLOOKUP(B398, 'Duke 4'!A$3:$B1000,2, 0), 0)</f>
        <v>0</v>
      </c>
      <c r="H398" s="10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</row>
    <row r="399">
      <c r="A399" s="1">
        <f t="shared" si="1"/>
        <v>398</v>
      </c>
      <c r="B399" s="7" t="s">
        <v>365</v>
      </c>
      <c r="C399" s="8">
        <f t="shared" si="2"/>
        <v>0</v>
      </c>
      <c r="D399" s="9">
        <f>IFERROR(VLOOKUP(B399, 'Duke 1'!A$3:$B$85,2, 0), 0)</f>
        <v>0</v>
      </c>
      <c r="E399" s="9">
        <f>IFERROR(VLOOKUP(B399, 'Duke 2'!A$3:$B$522,2, 0), 0)</f>
        <v>0</v>
      </c>
      <c r="F399" s="10">
        <f>IFERROR(VLOOKUP(B399, 'Duke 3'!A$3:$B1000,2, 0), 0)</f>
        <v>0</v>
      </c>
      <c r="G399" s="10">
        <f>IFERROR(VLOOKUP(B399, 'Duke 4'!A$3:$B1000,2, 0), 0)</f>
        <v>0</v>
      </c>
      <c r="H399" s="10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</row>
    <row r="400">
      <c r="A400" s="1">
        <f t="shared" si="1"/>
        <v>399</v>
      </c>
      <c r="B400" s="7" t="s">
        <v>366</v>
      </c>
      <c r="C400" s="8">
        <f t="shared" si="2"/>
        <v>0</v>
      </c>
      <c r="D400" s="9">
        <f>IFERROR(VLOOKUP(B400, 'Duke 1'!A$3:$B$85,2, 0), 0)</f>
        <v>0</v>
      </c>
      <c r="E400" s="9">
        <f>IFERROR(VLOOKUP(B400, 'Duke 2'!A$3:$B$522,2, 0), 0)</f>
        <v>0</v>
      </c>
      <c r="F400" s="10">
        <f>IFERROR(VLOOKUP(B400, 'Duke 3'!A$3:$B1000,2, 0), 0)</f>
        <v>0</v>
      </c>
      <c r="G400" s="10">
        <f>IFERROR(VLOOKUP(B400, 'Duke 4'!A$3:$B1000,2, 0), 0)</f>
        <v>0</v>
      </c>
      <c r="H400" s="10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</row>
    <row r="401">
      <c r="A401" s="1">
        <f t="shared" si="1"/>
        <v>400</v>
      </c>
      <c r="B401" s="7" t="s">
        <v>367</v>
      </c>
      <c r="C401" s="8">
        <f t="shared" si="2"/>
        <v>0</v>
      </c>
      <c r="D401" s="9">
        <f>IFERROR(VLOOKUP(B401, 'Duke 1'!A$3:$B$85,2, 0), 0)</f>
        <v>0</v>
      </c>
      <c r="E401" s="9">
        <f>IFERROR(VLOOKUP(B401, 'Duke 2'!A$3:$B$522,2, 0), 0)</f>
        <v>0</v>
      </c>
      <c r="F401" s="10">
        <f>IFERROR(VLOOKUP(B401, 'Duke 3'!A$3:$B1000,2, 0), 0)</f>
        <v>0</v>
      </c>
      <c r="G401" s="10">
        <f>IFERROR(VLOOKUP(B401, 'Duke 4'!A$3:$B1000,2, 0), 0)</f>
        <v>0</v>
      </c>
      <c r="H401" s="10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</row>
    <row r="402">
      <c r="A402" s="1">
        <f t="shared" si="1"/>
        <v>401</v>
      </c>
      <c r="B402" s="7" t="s">
        <v>368</v>
      </c>
      <c r="C402" s="8">
        <f t="shared" si="2"/>
        <v>0</v>
      </c>
      <c r="D402" s="9">
        <f>IFERROR(VLOOKUP(B402, 'Duke 1'!A$3:$B$85,2, 0), 0)</f>
        <v>0</v>
      </c>
      <c r="E402" s="9">
        <f>IFERROR(VLOOKUP(B402, 'Duke 2'!A$3:$B$522,2, 0), 0)</f>
        <v>0</v>
      </c>
      <c r="F402" s="10">
        <f>IFERROR(VLOOKUP(B402, 'Duke 3'!A$3:$B1000,2, 0), 0)</f>
        <v>0</v>
      </c>
      <c r="G402" s="10">
        <f>IFERROR(VLOOKUP(B402, 'Duke 4'!A$3:$B1000,2, 0), 0)</f>
        <v>0</v>
      </c>
      <c r="H402" s="10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</row>
    <row r="403">
      <c r="A403" s="1">
        <f t="shared" si="1"/>
        <v>402</v>
      </c>
      <c r="B403" s="7" t="s">
        <v>369</v>
      </c>
      <c r="C403" s="8">
        <f t="shared" si="2"/>
        <v>0</v>
      </c>
      <c r="D403" s="9">
        <f>IFERROR(VLOOKUP(B403, 'Duke 1'!A$3:$B$85,2, 0), 0)</f>
        <v>0</v>
      </c>
      <c r="E403" s="9">
        <f>IFERROR(VLOOKUP(B403, 'Duke 2'!A$3:$B$522,2, 0), 0)</f>
        <v>0</v>
      </c>
      <c r="F403" s="10">
        <f>IFERROR(VLOOKUP(B403, 'Duke 3'!A$3:$B1000,2, 0), 0)</f>
        <v>0</v>
      </c>
      <c r="G403" s="10">
        <f>IFERROR(VLOOKUP(B403, 'Duke 4'!A$3:$B1000,2, 0), 0)</f>
        <v>0</v>
      </c>
      <c r="H403" s="10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</row>
    <row r="404">
      <c r="A404" s="1">
        <f t="shared" si="1"/>
        <v>403</v>
      </c>
      <c r="B404" s="7" t="s">
        <v>370</v>
      </c>
      <c r="C404" s="8">
        <f t="shared" si="2"/>
        <v>0</v>
      </c>
      <c r="D404" s="9">
        <f>IFERROR(VLOOKUP(B404, 'Duke 1'!A$3:$B$85,2, 0), 0)</f>
        <v>0</v>
      </c>
      <c r="E404" s="9">
        <f>IFERROR(VLOOKUP(B404, 'Duke 2'!A$3:$B$522,2, 0), 0)</f>
        <v>0</v>
      </c>
      <c r="F404" s="10">
        <f>IFERROR(VLOOKUP(B404, 'Duke 3'!A$3:$B1000,2, 0), 0)</f>
        <v>0</v>
      </c>
      <c r="G404" s="10">
        <f>IFERROR(VLOOKUP(B404, 'Duke 4'!A$3:$B1000,2, 0), 0)</f>
        <v>0</v>
      </c>
      <c r="H404" s="10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</row>
    <row r="405">
      <c r="A405" s="1">
        <f t="shared" si="1"/>
        <v>404</v>
      </c>
      <c r="B405" s="7" t="s">
        <v>371</v>
      </c>
      <c r="C405" s="8">
        <f t="shared" si="2"/>
        <v>0</v>
      </c>
      <c r="D405" s="9">
        <f>IFERROR(VLOOKUP(B405, 'Duke 1'!A$3:$B$85,2, 0), 0)</f>
        <v>0</v>
      </c>
      <c r="E405" s="9">
        <f>IFERROR(VLOOKUP(B405, 'Duke 2'!A$3:$B$522,2, 0), 0)</f>
        <v>0</v>
      </c>
      <c r="F405" s="10">
        <f>IFERROR(VLOOKUP(B405, 'Duke 3'!A$3:$B1000,2, 0), 0)</f>
        <v>0</v>
      </c>
      <c r="G405" s="10">
        <f>IFERROR(VLOOKUP(B405, 'Duke 4'!A$3:$B1000,2, 0), 0)</f>
        <v>0</v>
      </c>
      <c r="H405" s="10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</row>
    <row r="406">
      <c r="A406" s="1">
        <f t="shared" si="1"/>
        <v>405</v>
      </c>
      <c r="B406" s="7" t="s">
        <v>372</v>
      </c>
      <c r="C406" s="8">
        <f t="shared" si="2"/>
        <v>0</v>
      </c>
      <c r="D406" s="9">
        <f>IFERROR(VLOOKUP(B406, 'Duke 1'!A$3:$B$85,2, 0), 0)</f>
        <v>0</v>
      </c>
      <c r="E406" s="9">
        <f>IFERROR(VLOOKUP(B406, 'Duke 2'!A$3:$B$522,2, 0), 0)</f>
        <v>0</v>
      </c>
      <c r="F406" s="10">
        <f>IFERROR(VLOOKUP(B406, 'Duke 3'!A$3:$B1000,2, 0), 0)</f>
        <v>0</v>
      </c>
      <c r="G406" s="10">
        <f>IFERROR(VLOOKUP(B406, 'Duke 4'!A$3:$B1000,2, 0), 0)</f>
        <v>0</v>
      </c>
      <c r="H406" s="10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</row>
    <row r="407">
      <c r="A407" s="1">
        <f t="shared" si="1"/>
        <v>406</v>
      </c>
      <c r="B407" s="7" t="s">
        <v>373</v>
      </c>
      <c r="C407" s="8">
        <f t="shared" si="2"/>
        <v>0</v>
      </c>
      <c r="D407" s="9">
        <f>IFERROR(VLOOKUP(B407, 'Duke 1'!A$3:$B$85,2, 0), 0)</f>
        <v>0</v>
      </c>
      <c r="E407" s="9">
        <f>IFERROR(VLOOKUP(B407, 'Duke 2'!A$3:$B$522,2, 0), 0)</f>
        <v>0</v>
      </c>
      <c r="F407" s="10">
        <f>IFERROR(VLOOKUP(B407, 'Duke 3'!A$3:$B1000,2, 0), 0)</f>
        <v>0</v>
      </c>
      <c r="G407" s="10">
        <f>IFERROR(VLOOKUP(B407, 'Duke 4'!A$3:$B1000,2, 0), 0)</f>
        <v>0</v>
      </c>
      <c r="H407" s="10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</row>
    <row r="408">
      <c r="A408" s="1">
        <f t="shared" si="1"/>
        <v>407</v>
      </c>
      <c r="B408" s="7" t="s">
        <v>374</v>
      </c>
      <c r="C408" s="8">
        <f t="shared" si="2"/>
        <v>0</v>
      </c>
      <c r="D408" s="9">
        <f>IFERROR(VLOOKUP(B408, 'Duke 1'!A$3:$B$85,2, 0), 0)</f>
        <v>0</v>
      </c>
      <c r="E408" s="9">
        <f>IFERROR(VLOOKUP(B408, 'Duke 2'!A$3:$B$522,2, 0), 0)</f>
        <v>0</v>
      </c>
      <c r="F408" s="10">
        <f>IFERROR(VLOOKUP(B408, 'Duke 3'!A$3:$B1000,2, 0), 0)</f>
        <v>0</v>
      </c>
      <c r="G408" s="10">
        <f>IFERROR(VLOOKUP(B408, 'Duke 4'!A$3:$B1000,2, 0), 0)</f>
        <v>0</v>
      </c>
      <c r="H408" s="10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</row>
    <row r="409">
      <c r="A409" s="1">
        <f t="shared" si="1"/>
        <v>408</v>
      </c>
      <c r="B409" s="7" t="s">
        <v>375</v>
      </c>
      <c r="C409" s="8">
        <f t="shared" si="2"/>
        <v>0</v>
      </c>
      <c r="D409" s="9">
        <f>IFERROR(VLOOKUP(B409, 'Duke 1'!A$3:$B$85,2, 0), 0)</f>
        <v>0</v>
      </c>
      <c r="E409" s="9">
        <f>IFERROR(VLOOKUP(B409, 'Duke 2'!A$3:$B$522,2, 0), 0)</f>
        <v>0</v>
      </c>
      <c r="F409" s="10">
        <f>IFERROR(VLOOKUP(B409, 'Duke 3'!A$3:$B1000,2, 0), 0)</f>
        <v>0</v>
      </c>
      <c r="G409" s="10">
        <f>IFERROR(VLOOKUP(B409, 'Duke 4'!A$3:$B1000,2, 0), 0)</f>
        <v>0</v>
      </c>
      <c r="H409" s="10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</row>
    <row r="410">
      <c r="A410" s="1">
        <f t="shared" si="1"/>
        <v>409</v>
      </c>
      <c r="B410" s="7" t="s">
        <v>376</v>
      </c>
      <c r="C410" s="8">
        <f t="shared" si="2"/>
        <v>0</v>
      </c>
      <c r="D410" s="9">
        <f>IFERROR(VLOOKUP(B410, 'Duke 1'!A$3:$B$85,2, 0), 0)</f>
        <v>0</v>
      </c>
      <c r="E410" s="9">
        <f>IFERROR(VLOOKUP(B410, 'Duke 2'!A$3:$B$522,2, 0), 0)</f>
        <v>0</v>
      </c>
      <c r="F410" s="10">
        <f>IFERROR(VLOOKUP(B410, 'Duke 3'!A$3:$B1000,2, 0), 0)</f>
        <v>0</v>
      </c>
      <c r="G410" s="10">
        <f>IFERROR(VLOOKUP(B410, 'Duke 4'!A$3:$B1000,2, 0), 0)</f>
        <v>0</v>
      </c>
      <c r="H410" s="10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</row>
    <row r="411">
      <c r="A411" s="1">
        <f t="shared" si="1"/>
        <v>410</v>
      </c>
      <c r="B411" s="7" t="s">
        <v>377</v>
      </c>
      <c r="C411" s="8">
        <f t="shared" si="2"/>
        <v>0</v>
      </c>
      <c r="D411" s="9">
        <f>IFERROR(VLOOKUP(B411, 'Duke 1'!A$3:$B$85,2, 0), 0)</f>
        <v>0</v>
      </c>
      <c r="E411" s="9">
        <f>IFERROR(VLOOKUP(B411, 'Duke 2'!A$3:$B$522,2, 0), 0)</f>
        <v>0</v>
      </c>
      <c r="F411" s="10">
        <f>IFERROR(VLOOKUP(B411, 'Duke 3'!A$3:$B1000,2, 0), 0)</f>
        <v>0</v>
      </c>
      <c r="G411" s="10">
        <f>IFERROR(VLOOKUP(B411, 'Duke 4'!A$3:$B1000,2, 0), 0)</f>
        <v>0</v>
      </c>
      <c r="H411" s="10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</row>
    <row r="412">
      <c r="A412" s="1">
        <f t="shared" si="1"/>
        <v>411</v>
      </c>
      <c r="B412" s="7" t="s">
        <v>378</v>
      </c>
      <c r="C412" s="8">
        <f t="shared" si="2"/>
        <v>0</v>
      </c>
      <c r="D412" s="9">
        <f>IFERROR(VLOOKUP(B412, 'Duke 1'!A$3:$B$85,2, 0), 0)</f>
        <v>0</v>
      </c>
      <c r="E412" s="9">
        <f>IFERROR(VLOOKUP(B412, 'Duke 2'!A$3:$B$522,2, 0), 0)</f>
        <v>0</v>
      </c>
      <c r="F412" s="10">
        <f>IFERROR(VLOOKUP(B412, 'Duke 3'!A$3:$B1000,2, 0), 0)</f>
        <v>0</v>
      </c>
      <c r="G412" s="10">
        <f>IFERROR(VLOOKUP(B412, 'Duke 4'!A$3:$B1000,2, 0), 0)</f>
        <v>0</v>
      </c>
      <c r="H412" s="10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</row>
    <row r="413">
      <c r="A413" s="1">
        <f t="shared" si="1"/>
        <v>412</v>
      </c>
      <c r="B413" s="7" t="s">
        <v>379</v>
      </c>
      <c r="C413" s="8">
        <f t="shared" si="2"/>
        <v>0</v>
      </c>
      <c r="D413" s="9">
        <f>IFERROR(VLOOKUP(B413, 'Duke 1'!A$3:$B$85,2, 0), 0)</f>
        <v>0</v>
      </c>
      <c r="E413" s="9">
        <f>IFERROR(VLOOKUP(B413, 'Duke 2'!A$3:$B$522,2, 0), 0)</f>
        <v>0</v>
      </c>
      <c r="F413" s="10">
        <f>IFERROR(VLOOKUP(B413, 'Duke 3'!A$3:$B1000,2, 0), 0)</f>
        <v>0</v>
      </c>
      <c r="G413" s="10">
        <f>IFERROR(VLOOKUP(B413, 'Duke 4'!A$3:$B1000,2, 0), 0)</f>
        <v>0</v>
      </c>
      <c r="H413" s="10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</row>
    <row r="414">
      <c r="A414" s="1">
        <f t="shared" si="1"/>
        <v>413</v>
      </c>
      <c r="B414" s="7" t="s">
        <v>380</v>
      </c>
      <c r="C414" s="8">
        <f t="shared" si="2"/>
        <v>0</v>
      </c>
      <c r="D414" s="9">
        <f>IFERROR(VLOOKUP(B414, 'Duke 1'!A$3:$B$85,2, 0), 0)</f>
        <v>0</v>
      </c>
      <c r="E414" s="9">
        <f>IFERROR(VLOOKUP(B414, 'Duke 2'!A$3:$B$522,2, 0), 0)</f>
        <v>0</v>
      </c>
      <c r="F414" s="10">
        <f>IFERROR(VLOOKUP(B414, 'Duke 3'!A$3:$B1000,2, 0), 0)</f>
        <v>0</v>
      </c>
      <c r="G414" s="10">
        <f>IFERROR(VLOOKUP(B414, 'Duke 4'!A$3:$B1000,2, 0), 0)</f>
        <v>0</v>
      </c>
      <c r="H414" s="10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</row>
    <row r="415">
      <c r="A415" s="1">
        <f t="shared" si="1"/>
        <v>414</v>
      </c>
      <c r="B415" s="7" t="s">
        <v>381</v>
      </c>
      <c r="C415" s="8">
        <f t="shared" si="2"/>
        <v>0</v>
      </c>
      <c r="D415" s="9">
        <f>IFERROR(VLOOKUP(B415, 'Duke 1'!A$3:$B$85,2, 0), 0)</f>
        <v>0</v>
      </c>
      <c r="E415" s="9">
        <f>IFERROR(VLOOKUP(B415, 'Duke 2'!A$3:$B$522,2, 0), 0)</f>
        <v>0</v>
      </c>
      <c r="F415" s="10">
        <f>IFERROR(VLOOKUP(B415, 'Duke 3'!A$3:$B1000,2, 0), 0)</f>
        <v>0</v>
      </c>
      <c r="G415" s="10">
        <f>IFERROR(VLOOKUP(B415, 'Duke 4'!A$3:$B1000,2, 0), 0)</f>
        <v>0</v>
      </c>
      <c r="H415" s="10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</row>
    <row r="416">
      <c r="A416" s="1">
        <f t="shared" si="1"/>
        <v>415</v>
      </c>
      <c r="B416" s="7" t="s">
        <v>382</v>
      </c>
      <c r="C416" s="8">
        <f t="shared" si="2"/>
        <v>0</v>
      </c>
      <c r="D416" s="9">
        <f>IFERROR(VLOOKUP(B416, 'Duke 1'!A$3:$B$85,2, 0), 0)</f>
        <v>0</v>
      </c>
      <c r="E416" s="9">
        <f>IFERROR(VLOOKUP(B416, 'Duke 2'!A$3:$B$522,2, 0), 0)</f>
        <v>0</v>
      </c>
      <c r="F416" s="10">
        <f>IFERROR(VLOOKUP(B416, 'Duke 3'!A$3:$B1000,2, 0), 0)</f>
        <v>0</v>
      </c>
      <c r="G416" s="10">
        <f>IFERROR(VLOOKUP(B416, 'Duke 4'!A$3:$B1000,2, 0), 0)</f>
        <v>0</v>
      </c>
      <c r="H416" s="10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</row>
    <row r="417">
      <c r="A417" s="1">
        <f t="shared" si="1"/>
        <v>416</v>
      </c>
      <c r="B417" s="7" t="s">
        <v>383</v>
      </c>
      <c r="C417" s="8">
        <f t="shared" si="2"/>
        <v>0</v>
      </c>
      <c r="D417" s="9">
        <f>IFERROR(VLOOKUP(B417, 'Duke 1'!A$3:$B$85,2, 0), 0)</f>
        <v>0</v>
      </c>
      <c r="E417" s="9">
        <f>IFERROR(VLOOKUP(B417, 'Duke 2'!A$3:$B$522,2, 0), 0)</f>
        <v>0</v>
      </c>
      <c r="F417" s="10">
        <f>IFERROR(VLOOKUP(B417, 'Duke 3'!A$3:$B1000,2, 0), 0)</f>
        <v>0</v>
      </c>
      <c r="G417" s="10">
        <f>IFERROR(VLOOKUP(B417, 'Duke 4'!A$3:$B1000,2, 0), 0)</f>
        <v>0</v>
      </c>
      <c r="H417" s="10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</row>
    <row r="418">
      <c r="A418" s="1">
        <f t="shared" si="1"/>
        <v>417</v>
      </c>
      <c r="B418" s="7" t="s">
        <v>384</v>
      </c>
      <c r="C418" s="8">
        <f t="shared" si="2"/>
        <v>0</v>
      </c>
      <c r="D418" s="9">
        <f>IFERROR(VLOOKUP(B418, 'Duke 1'!A$3:$B$85,2, 0), 0)</f>
        <v>0</v>
      </c>
      <c r="E418" s="9">
        <f>IFERROR(VLOOKUP(B418, 'Duke 2'!A$3:$B$522,2, 0), 0)</f>
        <v>0</v>
      </c>
      <c r="F418" s="10">
        <f>IFERROR(VLOOKUP(B418, 'Duke 3'!A$3:$B1000,2, 0), 0)</f>
        <v>0</v>
      </c>
      <c r="G418" s="10">
        <f>IFERROR(VLOOKUP(B418, 'Duke 4'!A$3:$B1000,2, 0), 0)</f>
        <v>0</v>
      </c>
      <c r="H418" s="10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</row>
    <row r="419">
      <c r="A419" s="1">
        <f t="shared" si="1"/>
        <v>418</v>
      </c>
      <c r="B419" s="7" t="s">
        <v>385</v>
      </c>
      <c r="C419" s="8">
        <f t="shared" si="2"/>
        <v>0</v>
      </c>
      <c r="D419" s="9">
        <f>IFERROR(VLOOKUP(B419, 'Duke 1'!A$3:$B$85,2, 0), 0)</f>
        <v>0</v>
      </c>
      <c r="E419" s="9">
        <f>IFERROR(VLOOKUP(B419, 'Duke 2'!A$3:$B$522,2, 0), 0)</f>
        <v>0</v>
      </c>
      <c r="F419" s="10">
        <f>IFERROR(VLOOKUP(B419, 'Duke 3'!A$3:$B1000,2, 0), 0)</f>
        <v>0</v>
      </c>
      <c r="G419" s="10">
        <f>IFERROR(VLOOKUP(B419, 'Duke 4'!A$3:$B1000,2, 0), 0)</f>
        <v>0</v>
      </c>
      <c r="H419" s="10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</row>
    <row r="420">
      <c r="A420" s="1">
        <f t="shared" si="1"/>
        <v>419</v>
      </c>
      <c r="B420" s="7" t="s">
        <v>386</v>
      </c>
      <c r="C420" s="8">
        <f t="shared" si="2"/>
        <v>0</v>
      </c>
      <c r="D420" s="9">
        <f>IFERROR(VLOOKUP(B420, 'Duke 1'!A$3:$B$85,2, 0), 0)</f>
        <v>0</v>
      </c>
      <c r="E420" s="9">
        <f>IFERROR(VLOOKUP(B420, 'Duke 2'!A$3:$B$522,2, 0), 0)</f>
        <v>0</v>
      </c>
      <c r="F420" s="10">
        <f>IFERROR(VLOOKUP(B420, 'Duke 3'!A$3:$B1000,2, 0), 0)</f>
        <v>0</v>
      </c>
      <c r="G420" s="10">
        <f>IFERROR(VLOOKUP(B420, 'Duke 4'!A$3:$B1000,2, 0), 0)</f>
        <v>0</v>
      </c>
      <c r="H420" s="10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</row>
    <row r="421">
      <c r="A421" s="1">
        <f t="shared" si="1"/>
        <v>420</v>
      </c>
      <c r="B421" s="7" t="s">
        <v>387</v>
      </c>
      <c r="C421" s="8">
        <f t="shared" si="2"/>
        <v>0</v>
      </c>
      <c r="D421" s="9">
        <f>IFERROR(VLOOKUP(B421, 'Duke 1'!A$3:$B$85,2, 0), 0)</f>
        <v>0</v>
      </c>
      <c r="E421" s="9">
        <f>IFERROR(VLOOKUP(B421, 'Duke 2'!A$3:$B$522,2, 0), 0)</f>
        <v>0</v>
      </c>
      <c r="F421" s="10">
        <f>IFERROR(VLOOKUP(B421, 'Duke 3'!A$3:$B1000,2, 0), 0)</f>
        <v>0</v>
      </c>
      <c r="G421" s="10">
        <f>IFERROR(VLOOKUP(B421, 'Duke 4'!A$3:$B1000,2, 0), 0)</f>
        <v>0</v>
      </c>
      <c r="H421" s="10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</row>
    <row r="422">
      <c r="A422" s="1">
        <f t="shared" si="1"/>
        <v>421</v>
      </c>
      <c r="B422" s="7" t="s">
        <v>388</v>
      </c>
      <c r="C422" s="8">
        <f t="shared" si="2"/>
        <v>0</v>
      </c>
      <c r="D422" s="9">
        <f>IFERROR(VLOOKUP(B422, 'Duke 1'!A$3:$B$85,2, 0), 0)</f>
        <v>0</v>
      </c>
      <c r="E422" s="9">
        <f>IFERROR(VLOOKUP(B422, 'Duke 2'!A$3:$B$522,2, 0), 0)</f>
        <v>0</v>
      </c>
      <c r="F422" s="10">
        <f>IFERROR(VLOOKUP(B422, 'Duke 3'!A$3:$B1000,2, 0), 0)</f>
        <v>0</v>
      </c>
      <c r="G422" s="10">
        <f>IFERROR(VLOOKUP(B422, 'Duke 4'!A$3:$B1000,2, 0), 0)</f>
        <v>0</v>
      </c>
      <c r="H422" s="10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</row>
    <row r="423">
      <c r="A423" s="1">
        <f t="shared" si="1"/>
        <v>422</v>
      </c>
      <c r="B423" s="7" t="s">
        <v>389</v>
      </c>
      <c r="C423" s="8">
        <f t="shared" si="2"/>
        <v>0</v>
      </c>
      <c r="D423" s="9">
        <f>IFERROR(VLOOKUP(B423, 'Duke 1'!A$3:$B$85,2, 0), 0)</f>
        <v>0</v>
      </c>
      <c r="E423" s="9">
        <f>IFERROR(VLOOKUP(B423, 'Duke 2'!A$3:$B$522,2, 0), 0)</f>
        <v>0</v>
      </c>
      <c r="F423" s="10">
        <f>IFERROR(VLOOKUP(B423, 'Duke 3'!A$3:$B1000,2, 0), 0)</f>
        <v>0</v>
      </c>
      <c r="G423" s="10">
        <f>IFERROR(VLOOKUP(B423, 'Duke 4'!A$3:$B1000,2, 0), 0)</f>
        <v>0</v>
      </c>
      <c r="H423" s="10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</row>
    <row r="424">
      <c r="A424" s="1">
        <f t="shared" si="1"/>
        <v>423</v>
      </c>
      <c r="B424" s="7" t="s">
        <v>390</v>
      </c>
      <c r="C424" s="8">
        <f t="shared" si="2"/>
        <v>0</v>
      </c>
      <c r="D424" s="9">
        <f>IFERROR(VLOOKUP(B424, 'Duke 1'!A$3:$B$85,2, 0), 0)</f>
        <v>0</v>
      </c>
      <c r="E424" s="9">
        <f>IFERROR(VLOOKUP(B424, 'Duke 2'!A$3:$B$522,2, 0), 0)</f>
        <v>0</v>
      </c>
      <c r="F424" s="10">
        <f>IFERROR(VLOOKUP(B424, 'Duke 3'!A$3:$B1000,2, 0), 0)</f>
        <v>0</v>
      </c>
      <c r="G424" s="10">
        <f>IFERROR(VLOOKUP(B424, 'Duke 4'!A$3:$B1000,2, 0), 0)</f>
        <v>0</v>
      </c>
      <c r="H424" s="10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</row>
    <row r="425">
      <c r="A425" s="1">
        <f t="shared" si="1"/>
        <v>424</v>
      </c>
      <c r="B425" s="7" t="s">
        <v>391</v>
      </c>
      <c r="C425" s="8">
        <f t="shared" si="2"/>
        <v>0</v>
      </c>
      <c r="D425" s="9">
        <f>IFERROR(VLOOKUP(B425, 'Duke 1'!A$3:$B$85,2, 0), 0)</f>
        <v>0</v>
      </c>
      <c r="E425" s="9">
        <f>IFERROR(VLOOKUP(B425, 'Duke 2'!A$3:$B$522,2, 0), 0)</f>
        <v>0</v>
      </c>
      <c r="F425" s="10">
        <f>IFERROR(VLOOKUP(B425, 'Duke 3'!A$3:$B1000,2, 0), 0)</f>
        <v>0</v>
      </c>
      <c r="G425" s="10">
        <f>IFERROR(VLOOKUP(B425, 'Duke 4'!A$3:$B1000,2, 0), 0)</f>
        <v>0</v>
      </c>
      <c r="H425" s="10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</row>
    <row r="426">
      <c r="A426" s="1">
        <f t="shared" si="1"/>
        <v>425</v>
      </c>
      <c r="B426" s="7" t="s">
        <v>392</v>
      </c>
      <c r="C426" s="8">
        <f t="shared" si="2"/>
        <v>0</v>
      </c>
      <c r="D426" s="9">
        <f>IFERROR(VLOOKUP(B426, 'Duke 1'!A$3:$B$85,2, 0), 0)</f>
        <v>0</v>
      </c>
      <c r="E426" s="9">
        <f>IFERROR(VLOOKUP(B426, 'Duke 2'!A$3:$B$522,2, 0), 0)</f>
        <v>0</v>
      </c>
      <c r="F426" s="10">
        <f>IFERROR(VLOOKUP(B426, 'Duke 3'!A$3:$B1000,2, 0), 0)</f>
        <v>0</v>
      </c>
      <c r="G426" s="10">
        <f>IFERROR(VLOOKUP(B426, 'Duke 4'!A$3:$B1000,2, 0), 0)</f>
        <v>0</v>
      </c>
      <c r="H426" s="10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</row>
    <row r="427">
      <c r="A427" s="1">
        <f t="shared" si="1"/>
        <v>426</v>
      </c>
      <c r="B427" s="7" t="s">
        <v>393</v>
      </c>
      <c r="C427" s="8">
        <f t="shared" si="2"/>
        <v>0</v>
      </c>
      <c r="D427" s="9">
        <f>IFERROR(VLOOKUP(B427, 'Duke 1'!A$3:$B$85,2, 0), 0)</f>
        <v>0</v>
      </c>
      <c r="E427" s="9">
        <f>IFERROR(VLOOKUP(B427, 'Duke 2'!A$3:$B$522,2, 0), 0)</f>
        <v>0</v>
      </c>
      <c r="F427" s="10">
        <f>IFERROR(VLOOKUP(B427, 'Duke 3'!A$3:$B1000,2, 0), 0)</f>
        <v>0</v>
      </c>
      <c r="G427" s="10">
        <f>IFERROR(VLOOKUP(B427, 'Duke 4'!A$3:$B1000,2, 0), 0)</f>
        <v>0</v>
      </c>
      <c r="H427" s="10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</row>
    <row r="428">
      <c r="A428" s="1">
        <f t="shared" si="1"/>
        <v>427</v>
      </c>
      <c r="B428" s="7" t="s">
        <v>394</v>
      </c>
      <c r="C428" s="8">
        <f t="shared" si="2"/>
        <v>0</v>
      </c>
      <c r="D428" s="9">
        <f>IFERROR(VLOOKUP(B428, 'Duke 1'!A$3:$B$85,2, 0), 0)</f>
        <v>0</v>
      </c>
      <c r="E428" s="9">
        <f>IFERROR(VLOOKUP(B428, 'Duke 2'!A$3:$B$522,2, 0), 0)</f>
        <v>0</v>
      </c>
      <c r="F428" s="10">
        <f>IFERROR(VLOOKUP(B428, 'Duke 3'!A$3:$B1000,2, 0), 0)</f>
        <v>0</v>
      </c>
      <c r="G428" s="10">
        <f>IFERROR(VLOOKUP(B428, 'Duke 4'!A$3:$B1000,2, 0), 0)</f>
        <v>0</v>
      </c>
      <c r="H428" s="10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</row>
    <row r="429">
      <c r="A429" s="1">
        <f t="shared" si="1"/>
        <v>428</v>
      </c>
      <c r="B429" s="7" t="s">
        <v>395</v>
      </c>
      <c r="C429" s="8">
        <f t="shared" si="2"/>
        <v>0</v>
      </c>
      <c r="D429" s="9">
        <f>IFERROR(VLOOKUP(B429, 'Duke 1'!A$3:$B$85,2, 0), 0)</f>
        <v>0</v>
      </c>
      <c r="E429" s="9">
        <f>IFERROR(VLOOKUP(B429, 'Duke 2'!A$3:$B$522,2, 0), 0)</f>
        <v>0</v>
      </c>
      <c r="F429" s="10">
        <f>IFERROR(VLOOKUP(B429, 'Duke 3'!A$3:$B1000,2, 0), 0)</f>
        <v>0</v>
      </c>
      <c r="G429" s="10">
        <f>IFERROR(VLOOKUP(B429, 'Duke 4'!A$3:$B1000,2, 0), 0)</f>
        <v>0</v>
      </c>
      <c r="H429" s="10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</row>
    <row r="430">
      <c r="A430" s="1">
        <f t="shared" si="1"/>
        <v>429</v>
      </c>
      <c r="B430" s="7" t="s">
        <v>396</v>
      </c>
      <c r="C430" s="8">
        <f t="shared" si="2"/>
        <v>0</v>
      </c>
      <c r="D430" s="9">
        <f>IFERROR(VLOOKUP(B430, 'Duke 1'!A$3:$B$85,2, 0), 0)</f>
        <v>0</v>
      </c>
      <c r="E430" s="9">
        <f>IFERROR(VLOOKUP(B430, 'Duke 2'!A$3:$B$522,2, 0), 0)</f>
        <v>0</v>
      </c>
      <c r="F430" s="10">
        <f>IFERROR(VLOOKUP(B430, 'Duke 3'!A$3:$B1000,2, 0), 0)</f>
        <v>0</v>
      </c>
      <c r="G430" s="10">
        <f>IFERROR(VLOOKUP(B430, 'Duke 4'!A$3:$B1000,2, 0), 0)</f>
        <v>0</v>
      </c>
      <c r="H430" s="10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</row>
    <row r="431">
      <c r="A431" s="1">
        <f t="shared" si="1"/>
        <v>430</v>
      </c>
      <c r="B431" s="7" t="s">
        <v>397</v>
      </c>
      <c r="C431" s="8">
        <f t="shared" si="2"/>
        <v>0</v>
      </c>
      <c r="D431" s="9">
        <f>IFERROR(VLOOKUP(B431, 'Duke 1'!A$3:$B$85,2, 0), 0)</f>
        <v>0</v>
      </c>
      <c r="E431" s="9">
        <f>IFERROR(VLOOKUP(B431, 'Duke 2'!A$3:$B$522,2, 0), 0)</f>
        <v>0</v>
      </c>
      <c r="F431" s="10">
        <f>IFERROR(VLOOKUP(B431, 'Duke 3'!A$3:$B1000,2, 0), 0)</f>
        <v>0</v>
      </c>
      <c r="G431" s="10">
        <f>IFERROR(VLOOKUP(B431, 'Duke 4'!A$3:$B1000,2, 0), 0)</f>
        <v>0</v>
      </c>
      <c r="H431" s="10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</row>
    <row r="432">
      <c r="A432" s="1">
        <f t="shared" si="1"/>
        <v>431</v>
      </c>
      <c r="B432" s="7" t="s">
        <v>398</v>
      </c>
      <c r="C432" s="8">
        <f t="shared" si="2"/>
        <v>0</v>
      </c>
      <c r="D432" s="9">
        <f>IFERROR(VLOOKUP(B432, 'Duke 1'!A$3:$B$85,2, 0), 0)</f>
        <v>0</v>
      </c>
      <c r="E432" s="9">
        <f>IFERROR(VLOOKUP(B432, 'Duke 2'!A$3:$B$522,2, 0), 0)</f>
        <v>0</v>
      </c>
      <c r="F432" s="10">
        <f>IFERROR(VLOOKUP(B432, 'Duke 3'!A$3:$B1000,2, 0), 0)</f>
        <v>0</v>
      </c>
      <c r="G432" s="10">
        <f>IFERROR(VLOOKUP(B432, 'Duke 4'!A$3:$B1000,2, 0), 0)</f>
        <v>0</v>
      </c>
      <c r="H432" s="10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</row>
    <row r="433">
      <c r="A433" s="1">
        <f t="shared" si="1"/>
        <v>432</v>
      </c>
      <c r="B433" s="7" t="s">
        <v>399</v>
      </c>
      <c r="C433" s="8">
        <f t="shared" si="2"/>
        <v>0</v>
      </c>
      <c r="D433" s="9">
        <f>IFERROR(VLOOKUP(B433, 'Duke 1'!A$3:$B$85,2, 0), 0)</f>
        <v>0</v>
      </c>
      <c r="E433" s="9">
        <f>IFERROR(VLOOKUP(B433, 'Duke 2'!A$3:$B$522,2, 0), 0)</f>
        <v>0</v>
      </c>
      <c r="F433" s="10">
        <f>IFERROR(VLOOKUP(B433, 'Duke 3'!A$3:$B1000,2, 0), 0)</f>
        <v>0</v>
      </c>
      <c r="G433" s="10">
        <f>IFERROR(VLOOKUP(B433, 'Duke 4'!A$3:$B1000,2, 0), 0)</f>
        <v>0</v>
      </c>
      <c r="H433" s="10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</row>
    <row r="434">
      <c r="A434" s="1">
        <f t="shared" si="1"/>
        <v>433</v>
      </c>
      <c r="B434" s="7" t="s">
        <v>400</v>
      </c>
      <c r="C434" s="8">
        <f t="shared" si="2"/>
        <v>0</v>
      </c>
      <c r="D434" s="9">
        <f>IFERROR(VLOOKUP(B434, 'Duke 1'!A$3:$B$85,2, 0), 0)</f>
        <v>0</v>
      </c>
      <c r="E434" s="9">
        <f>IFERROR(VLOOKUP(B434, 'Duke 2'!A$3:$B$522,2, 0), 0)</f>
        <v>0</v>
      </c>
      <c r="F434" s="10">
        <f>IFERROR(VLOOKUP(B434, 'Duke 3'!A$3:$B1000,2, 0), 0)</f>
        <v>0</v>
      </c>
      <c r="G434" s="10">
        <f>IFERROR(VLOOKUP(B434, 'Duke 4'!A$3:$B1000,2, 0), 0)</f>
        <v>0</v>
      </c>
      <c r="H434" s="10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</row>
    <row r="435">
      <c r="A435" s="1">
        <f t="shared" si="1"/>
        <v>434</v>
      </c>
      <c r="B435" s="7" t="s">
        <v>401</v>
      </c>
      <c r="C435" s="8">
        <f t="shared" si="2"/>
        <v>0</v>
      </c>
      <c r="D435" s="9">
        <f>IFERROR(VLOOKUP(B435, 'Duke 1'!A$3:$B$85,2, 0), 0)</f>
        <v>0</v>
      </c>
      <c r="E435" s="9">
        <f>IFERROR(VLOOKUP(B435, 'Duke 2'!A$3:$B$522,2, 0), 0)</f>
        <v>0</v>
      </c>
      <c r="F435" s="10">
        <f>IFERROR(VLOOKUP(B435, 'Duke 3'!A$3:$B1000,2, 0), 0)</f>
        <v>0</v>
      </c>
      <c r="G435" s="10">
        <f>IFERROR(VLOOKUP(B435, 'Duke 4'!A$3:$B1000,2, 0), 0)</f>
        <v>0</v>
      </c>
      <c r="H435" s="10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</row>
    <row r="436">
      <c r="A436" s="1">
        <f t="shared" si="1"/>
        <v>435</v>
      </c>
      <c r="B436" s="7" t="s">
        <v>402</v>
      </c>
      <c r="C436" s="8">
        <f t="shared" si="2"/>
        <v>0</v>
      </c>
      <c r="D436" s="9">
        <f>IFERROR(VLOOKUP(B436, 'Duke 1'!A$3:$B$85,2, 0), 0)</f>
        <v>0</v>
      </c>
      <c r="E436" s="9">
        <f>IFERROR(VLOOKUP(B436, 'Duke 2'!A$3:$B$522,2, 0), 0)</f>
        <v>0</v>
      </c>
      <c r="F436" s="10">
        <f>IFERROR(VLOOKUP(B436, 'Duke 3'!A$3:$B1000,2, 0), 0)</f>
        <v>0</v>
      </c>
      <c r="G436" s="10">
        <f>IFERROR(VLOOKUP(B436, 'Duke 4'!A$3:$B1000,2, 0), 0)</f>
        <v>0</v>
      </c>
      <c r="H436" s="10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</row>
    <row r="437">
      <c r="A437" s="1">
        <f t="shared" si="1"/>
        <v>436</v>
      </c>
      <c r="B437" s="7" t="s">
        <v>403</v>
      </c>
      <c r="C437" s="8">
        <f t="shared" si="2"/>
        <v>0</v>
      </c>
      <c r="D437" s="9">
        <f>IFERROR(VLOOKUP(B437, 'Duke 1'!A$3:$B$85,2, 0), 0)</f>
        <v>0</v>
      </c>
      <c r="E437" s="9">
        <f>IFERROR(VLOOKUP(B437, 'Duke 2'!A$3:$B$522,2, 0), 0)</f>
        <v>0</v>
      </c>
      <c r="F437" s="10">
        <f>IFERROR(VLOOKUP(B437, 'Duke 3'!A$3:$B1000,2, 0), 0)</f>
        <v>0</v>
      </c>
      <c r="G437" s="10">
        <f>IFERROR(VLOOKUP(B437, 'Duke 4'!A$3:$B1000,2, 0), 0)</f>
        <v>0</v>
      </c>
      <c r="H437" s="10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</row>
    <row r="438">
      <c r="A438" s="1">
        <f t="shared" si="1"/>
        <v>437</v>
      </c>
      <c r="B438" s="7" t="s">
        <v>404</v>
      </c>
      <c r="C438" s="8">
        <f t="shared" si="2"/>
        <v>0</v>
      </c>
      <c r="D438" s="9">
        <f>IFERROR(VLOOKUP(B438, 'Duke 1'!A$3:$B$85,2, 0), 0)</f>
        <v>0</v>
      </c>
      <c r="E438" s="9">
        <f>IFERROR(VLOOKUP(B438, 'Duke 2'!A$3:$B$522,2, 0), 0)</f>
        <v>0</v>
      </c>
      <c r="F438" s="10">
        <f>IFERROR(VLOOKUP(B438, 'Duke 3'!A$3:$B1000,2, 0), 0)</f>
        <v>0</v>
      </c>
      <c r="G438" s="10">
        <f>IFERROR(VLOOKUP(B438, 'Duke 4'!A$3:$B1000,2, 0), 0)</f>
        <v>0</v>
      </c>
      <c r="H438" s="10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</row>
    <row r="439">
      <c r="A439" s="1">
        <f t="shared" si="1"/>
        <v>438</v>
      </c>
      <c r="B439" s="7" t="s">
        <v>405</v>
      </c>
      <c r="C439" s="8">
        <f t="shared" si="2"/>
        <v>0</v>
      </c>
      <c r="D439" s="9">
        <f>IFERROR(VLOOKUP(B439, 'Duke 1'!A$3:$B$85,2, 0), 0)</f>
        <v>0</v>
      </c>
      <c r="E439" s="9">
        <f>IFERROR(VLOOKUP(B439, 'Duke 2'!A$3:$B$522,2, 0), 0)</f>
        <v>0</v>
      </c>
      <c r="F439" s="10">
        <f>IFERROR(VLOOKUP(B439, 'Duke 3'!A$3:$B1000,2, 0), 0)</f>
        <v>0</v>
      </c>
      <c r="G439" s="10">
        <f>IFERROR(VLOOKUP(B439, 'Duke 4'!A$3:$B1000,2, 0), 0)</f>
        <v>0</v>
      </c>
      <c r="H439" s="10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</row>
    <row r="440">
      <c r="A440" s="1">
        <f t="shared" si="1"/>
        <v>439</v>
      </c>
      <c r="B440" s="7" t="s">
        <v>406</v>
      </c>
      <c r="C440" s="8">
        <f t="shared" si="2"/>
        <v>0</v>
      </c>
      <c r="D440" s="9">
        <f>IFERROR(VLOOKUP(B440, 'Duke 1'!A$3:$B$85,2, 0), 0)</f>
        <v>0</v>
      </c>
      <c r="E440" s="9">
        <f>IFERROR(VLOOKUP(B440, 'Duke 2'!A$3:$B$522,2, 0), 0)</f>
        <v>0</v>
      </c>
      <c r="F440" s="10">
        <f>IFERROR(VLOOKUP(B440, 'Duke 3'!A$3:$B1000,2, 0), 0)</f>
        <v>0</v>
      </c>
      <c r="G440" s="10">
        <f>IFERROR(VLOOKUP(B440, 'Duke 4'!A$3:$B1000,2, 0), 0)</f>
        <v>0</v>
      </c>
      <c r="H440" s="10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</row>
    <row r="441">
      <c r="A441" s="1">
        <f t="shared" si="1"/>
        <v>440</v>
      </c>
      <c r="B441" s="7" t="s">
        <v>407</v>
      </c>
      <c r="C441" s="8">
        <f t="shared" si="2"/>
        <v>0</v>
      </c>
      <c r="D441" s="9">
        <f>IFERROR(VLOOKUP(B441, 'Duke 1'!A$3:$B$85,2, 0), 0)</f>
        <v>0</v>
      </c>
      <c r="E441" s="9">
        <f>IFERROR(VLOOKUP(B441, 'Duke 2'!A$3:$B$522,2, 0), 0)</f>
        <v>0</v>
      </c>
      <c r="F441" s="10">
        <f>IFERROR(VLOOKUP(B441, 'Duke 3'!A$3:$B1000,2, 0), 0)</f>
        <v>0</v>
      </c>
      <c r="G441" s="10">
        <f>IFERROR(VLOOKUP(B441, 'Duke 4'!A$3:$B1000,2, 0), 0)</f>
        <v>0</v>
      </c>
      <c r="H441" s="10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</row>
    <row r="442">
      <c r="A442" s="1">
        <f t="shared" si="1"/>
        <v>441</v>
      </c>
      <c r="B442" s="7" t="s">
        <v>408</v>
      </c>
      <c r="C442" s="8">
        <f t="shared" si="2"/>
        <v>0</v>
      </c>
      <c r="D442" s="9">
        <f>IFERROR(VLOOKUP(B442, 'Duke 1'!A$3:$B$85,2, 0), 0)</f>
        <v>0</v>
      </c>
      <c r="E442" s="9">
        <f>IFERROR(VLOOKUP(B442, 'Duke 2'!A$3:$B$522,2, 0), 0)</f>
        <v>0</v>
      </c>
      <c r="F442" s="10">
        <f>IFERROR(VLOOKUP(B442, 'Duke 3'!A$3:$B1000,2, 0), 0)</f>
        <v>0</v>
      </c>
      <c r="G442" s="10">
        <f>IFERROR(VLOOKUP(B442, 'Duke 4'!A$3:$B1000,2, 0), 0)</f>
        <v>0</v>
      </c>
      <c r="H442" s="10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</row>
    <row r="443">
      <c r="A443" s="1">
        <f t="shared" si="1"/>
        <v>442</v>
      </c>
      <c r="B443" s="7" t="s">
        <v>409</v>
      </c>
      <c r="C443" s="8">
        <f t="shared" si="2"/>
        <v>0</v>
      </c>
      <c r="D443" s="9">
        <f>IFERROR(VLOOKUP(B443, 'Duke 1'!A$3:$B$85,2, 0), 0)</f>
        <v>0</v>
      </c>
      <c r="E443" s="9">
        <f>IFERROR(VLOOKUP(B443, 'Duke 2'!A$3:$B$522,2, 0), 0)</f>
        <v>0</v>
      </c>
      <c r="F443" s="10">
        <f>IFERROR(VLOOKUP(B443, 'Duke 3'!A$3:$B1000,2, 0), 0)</f>
        <v>0</v>
      </c>
      <c r="G443" s="10">
        <f>IFERROR(VLOOKUP(B443, 'Duke 4'!A$3:$B1000,2, 0), 0)</f>
        <v>0</v>
      </c>
      <c r="H443" s="10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</row>
    <row r="444">
      <c r="A444" s="1">
        <f t="shared" si="1"/>
        <v>443</v>
      </c>
      <c r="B444" s="7" t="s">
        <v>410</v>
      </c>
      <c r="C444" s="8">
        <f t="shared" si="2"/>
        <v>0</v>
      </c>
      <c r="D444" s="9">
        <f>IFERROR(VLOOKUP(B444, 'Duke 1'!A$3:$B$85,2, 0), 0)</f>
        <v>0</v>
      </c>
      <c r="E444" s="9">
        <f>IFERROR(VLOOKUP(B444, 'Duke 2'!A$3:$B$522,2, 0), 0)</f>
        <v>0</v>
      </c>
      <c r="F444" s="10">
        <f>IFERROR(VLOOKUP(B444, 'Duke 3'!A$3:$B1000,2, 0), 0)</f>
        <v>0</v>
      </c>
      <c r="G444" s="10">
        <f>IFERROR(VLOOKUP(B444, 'Duke 4'!A$3:$B1000,2, 0), 0)</f>
        <v>0</v>
      </c>
      <c r="H444" s="10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</row>
    <row r="445">
      <c r="A445" s="1">
        <f t="shared" si="1"/>
        <v>444</v>
      </c>
      <c r="B445" s="7" t="s">
        <v>411</v>
      </c>
      <c r="C445" s="8">
        <f t="shared" si="2"/>
        <v>0</v>
      </c>
      <c r="D445" s="9">
        <f>IFERROR(VLOOKUP(B445, 'Duke 1'!A$3:$B$85,2, 0), 0)</f>
        <v>0</v>
      </c>
      <c r="E445" s="9">
        <f>IFERROR(VLOOKUP(B445, 'Duke 2'!A$3:$B$522,2, 0), 0)</f>
        <v>0</v>
      </c>
      <c r="F445" s="10">
        <f>IFERROR(VLOOKUP(B445, 'Duke 3'!A$3:$B1000,2, 0), 0)</f>
        <v>0</v>
      </c>
      <c r="G445" s="10">
        <f>IFERROR(VLOOKUP(B445, 'Duke 4'!A$3:$B1000,2, 0), 0)</f>
        <v>0</v>
      </c>
      <c r="H445" s="10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</row>
    <row r="446">
      <c r="A446" s="1">
        <f t="shared" si="1"/>
        <v>445</v>
      </c>
      <c r="B446" s="7" t="s">
        <v>412</v>
      </c>
      <c r="C446" s="8">
        <f t="shared" si="2"/>
        <v>0</v>
      </c>
      <c r="D446" s="9">
        <f>IFERROR(VLOOKUP(B446, 'Duke 1'!A$3:$B$85,2, 0), 0)</f>
        <v>0</v>
      </c>
      <c r="E446" s="9">
        <f>IFERROR(VLOOKUP(B446, 'Duke 2'!A$3:$B$522,2, 0), 0)</f>
        <v>0</v>
      </c>
      <c r="F446" s="10">
        <f>IFERROR(VLOOKUP(B446, 'Duke 3'!A$3:$B1000,2, 0), 0)</f>
        <v>0</v>
      </c>
      <c r="G446" s="10">
        <f>IFERROR(VLOOKUP(B446, 'Duke 4'!A$3:$B1000,2, 0), 0)</f>
        <v>0</v>
      </c>
      <c r="H446" s="10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</row>
    <row r="447">
      <c r="A447" s="1">
        <f t="shared" si="1"/>
        <v>446</v>
      </c>
      <c r="B447" s="7" t="s">
        <v>413</v>
      </c>
      <c r="C447" s="8">
        <f t="shared" si="2"/>
        <v>0</v>
      </c>
      <c r="D447" s="9">
        <f>IFERROR(VLOOKUP(B447, 'Duke 1'!A$3:$B$85,2, 0), 0)</f>
        <v>0</v>
      </c>
      <c r="E447" s="9">
        <f>IFERROR(VLOOKUP(B447, 'Duke 2'!A$3:$B$522,2, 0), 0)</f>
        <v>0</v>
      </c>
      <c r="F447" s="10">
        <f>IFERROR(VLOOKUP(B447, 'Duke 3'!A$3:$B1000,2, 0), 0)</f>
        <v>0</v>
      </c>
      <c r="G447" s="10">
        <f>IFERROR(VLOOKUP(B447, 'Duke 4'!A$3:$B1000,2, 0), 0)</f>
        <v>0</v>
      </c>
      <c r="H447" s="10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</row>
    <row r="448">
      <c r="A448" s="1">
        <f t="shared" si="1"/>
        <v>447</v>
      </c>
      <c r="B448" s="7" t="s">
        <v>414</v>
      </c>
      <c r="C448" s="8">
        <f t="shared" si="2"/>
        <v>0</v>
      </c>
      <c r="D448" s="9">
        <f>IFERROR(VLOOKUP(B448, 'Duke 1'!A$3:$B$85,2, 0), 0)</f>
        <v>0</v>
      </c>
      <c r="E448" s="9">
        <f>IFERROR(VLOOKUP(B448, 'Duke 2'!A$3:$B$522,2, 0), 0)</f>
        <v>0</v>
      </c>
      <c r="F448" s="10">
        <f>IFERROR(VLOOKUP(B448, 'Duke 3'!A$3:$B1000,2, 0), 0)</f>
        <v>0</v>
      </c>
      <c r="G448" s="10">
        <f>IFERROR(VLOOKUP(B448, 'Duke 4'!A$3:$B1000,2, 0), 0)</f>
        <v>0</v>
      </c>
      <c r="H448" s="10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</row>
    <row r="449">
      <c r="A449" s="1">
        <f t="shared" si="1"/>
        <v>448</v>
      </c>
      <c r="B449" s="7" t="s">
        <v>415</v>
      </c>
      <c r="C449" s="8">
        <f t="shared" si="2"/>
        <v>0</v>
      </c>
      <c r="D449" s="9">
        <f>IFERROR(VLOOKUP(B449, 'Duke 1'!A$3:$B$85,2, 0), 0)</f>
        <v>0</v>
      </c>
      <c r="E449" s="9">
        <f>IFERROR(VLOOKUP(B449, 'Duke 2'!A$3:$B$522,2, 0), 0)</f>
        <v>0</v>
      </c>
      <c r="F449" s="10">
        <f>IFERROR(VLOOKUP(B449, 'Duke 3'!A$3:$B1000,2, 0), 0)</f>
        <v>0</v>
      </c>
      <c r="G449" s="10">
        <f>IFERROR(VLOOKUP(B449, 'Duke 4'!A$3:$B1000,2, 0), 0)</f>
        <v>0</v>
      </c>
      <c r="H449" s="10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</row>
    <row r="450">
      <c r="A450" s="1">
        <f t="shared" si="1"/>
        <v>449</v>
      </c>
      <c r="B450" s="7" t="s">
        <v>416</v>
      </c>
      <c r="C450" s="8">
        <f t="shared" si="2"/>
        <v>0</v>
      </c>
      <c r="D450" s="9">
        <f>IFERROR(VLOOKUP(B450, 'Duke 1'!A$3:$B$85,2, 0), 0)</f>
        <v>0</v>
      </c>
      <c r="E450" s="9">
        <f>IFERROR(VLOOKUP(B450, 'Duke 2'!A$3:$B$522,2, 0), 0)</f>
        <v>0</v>
      </c>
      <c r="F450" s="10">
        <f>IFERROR(VLOOKUP(B450, 'Duke 3'!A$3:$B1000,2, 0), 0)</f>
        <v>0</v>
      </c>
      <c r="G450" s="10">
        <f>IFERROR(VLOOKUP(B450, 'Duke 4'!A$3:$B1000,2, 0), 0)</f>
        <v>0</v>
      </c>
      <c r="H450" s="10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</row>
    <row r="451">
      <c r="A451" s="1">
        <f t="shared" si="1"/>
        <v>450</v>
      </c>
      <c r="B451" s="7" t="s">
        <v>417</v>
      </c>
      <c r="C451" s="8">
        <f t="shared" si="2"/>
        <v>0</v>
      </c>
      <c r="D451" s="9">
        <f>IFERROR(VLOOKUP(B451, 'Duke 1'!A$3:$B$85,2, 0), 0)</f>
        <v>0</v>
      </c>
      <c r="E451" s="9">
        <f>IFERROR(VLOOKUP(B451, 'Duke 2'!A$3:$B$522,2, 0), 0)</f>
        <v>0</v>
      </c>
      <c r="F451" s="10">
        <f>IFERROR(VLOOKUP(B451, 'Duke 3'!A$3:$B1000,2, 0), 0)</f>
        <v>0</v>
      </c>
      <c r="G451" s="10">
        <f>IFERROR(VLOOKUP(B451, 'Duke 4'!A$3:$B1000,2, 0), 0)</f>
        <v>0</v>
      </c>
      <c r="H451" s="10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</row>
    <row r="452">
      <c r="A452" s="1">
        <f t="shared" si="1"/>
        <v>451</v>
      </c>
      <c r="B452" s="7" t="s">
        <v>418</v>
      </c>
      <c r="C452" s="8">
        <f t="shared" si="2"/>
        <v>0</v>
      </c>
      <c r="D452" s="9">
        <f>IFERROR(VLOOKUP(B452, 'Duke 1'!A$3:$B$85,2, 0), 0)</f>
        <v>0</v>
      </c>
      <c r="E452" s="9">
        <f>IFERROR(VLOOKUP(B452, 'Duke 2'!A$3:$B$522,2, 0), 0)</f>
        <v>0</v>
      </c>
      <c r="F452" s="10">
        <f>IFERROR(VLOOKUP(B452, 'Duke 3'!A$3:$B1000,2, 0), 0)</f>
        <v>0</v>
      </c>
      <c r="G452" s="10">
        <f>IFERROR(VLOOKUP(B452, 'Duke 4'!A$3:$B1000,2, 0), 0)</f>
        <v>0</v>
      </c>
      <c r="H452" s="10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</row>
    <row r="453">
      <c r="A453" s="1">
        <f t="shared" si="1"/>
        <v>452</v>
      </c>
      <c r="B453" s="7" t="s">
        <v>419</v>
      </c>
      <c r="C453" s="8">
        <f t="shared" si="2"/>
        <v>0</v>
      </c>
      <c r="D453" s="9">
        <f>IFERROR(VLOOKUP(B453, 'Duke 1'!A$3:$B$85,2, 0), 0)</f>
        <v>0</v>
      </c>
      <c r="E453" s="9">
        <f>IFERROR(VLOOKUP(B453, 'Duke 2'!A$3:$B$522,2, 0), 0)</f>
        <v>0</v>
      </c>
      <c r="F453" s="10">
        <f>IFERROR(VLOOKUP(B453, 'Duke 3'!A$3:$B1000,2, 0), 0)</f>
        <v>0</v>
      </c>
      <c r="G453" s="10">
        <f>IFERROR(VLOOKUP(B453, 'Duke 4'!A$3:$B1000,2, 0), 0)</f>
        <v>0</v>
      </c>
      <c r="H453" s="10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</row>
    <row r="454">
      <c r="A454" s="1">
        <f t="shared" si="1"/>
        <v>453</v>
      </c>
      <c r="B454" s="7" t="s">
        <v>420</v>
      </c>
      <c r="C454" s="8">
        <f t="shared" si="2"/>
        <v>0</v>
      </c>
      <c r="D454" s="9">
        <f>IFERROR(VLOOKUP(B454, 'Duke 1'!A$3:$B$85,2, 0), 0)</f>
        <v>0</v>
      </c>
      <c r="E454" s="9">
        <f>IFERROR(VLOOKUP(B454, 'Duke 2'!A$3:$B$522,2, 0), 0)</f>
        <v>0</v>
      </c>
      <c r="F454" s="10">
        <f>IFERROR(VLOOKUP(B454, 'Duke 3'!A$3:$B1000,2, 0), 0)</f>
        <v>0</v>
      </c>
      <c r="G454" s="10">
        <f>IFERROR(VLOOKUP(B454, 'Duke 4'!A$3:$B1000,2, 0), 0)</f>
        <v>0</v>
      </c>
      <c r="H454" s="10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</row>
    <row r="455">
      <c r="A455" s="1">
        <f t="shared" si="1"/>
        <v>454</v>
      </c>
      <c r="B455" s="7" t="s">
        <v>421</v>
      </c>
      <c r="C455" s="8">
        <f t="shared" si="2"/>
        <v>0</v>
      </c>
      <c r="D455" s="9">
        <f>IFERROR(VLOOKUP(B455, 'Duke 1'!A$3:$B$85,2, 0), 0)</f>
        <v>0</v>
      </c>
      <c r="E455" s="9">
        <f>IFERROR(VLOOKUP(B455, 'Duke 2'!A$3:$B$522,2, 0), 0)</f>
        <v>0</v>
      </c>
      <c r="F455" s="10">
        <f>IFERROR(VLOOKUP(B455, 'Duke 3'!A$3:$B1000,2, 0), 0)</f>
        <v>0</v>
      </c>
      <c r="G455" s="10">
        <f>IFERROR(VLOOKUP(B455, 'Duke 4'!A$3:$B1000,2, 0), 0)</f>
        <v>0</v>
      </c>
      <c r="H455" s="10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</row>
    <row r="456">
      <c r="A456" s="1">
        <f t="shared" si="1"/>
        <v>455</v>
      </c>
      <c r="B456" s="7" t="s">
        <v>422</v>
      </c>
      <c r="C456" s="8">
        <f t="shared" si="2"/>
        <v>0</v>
      </c>
      <c r="D456" s="9">
        <f>IFERROR(VLOOKUP(B456, 'Duke 1'!A$3:$B$85,2, 0), 0)</f>
        <v>0</v>
      </c>
      <c r="E456" s="9">
        <f>IFERROR(VLOOKUP(B456, 'Duke 2'!A$3:$B$522,2, 0), 0)</f>
        <v>0</v>
      </c>
      <c r="F456" s="10">
        <f>IFERROR(VLOOKUP(B456, 'Duke 3'!A$3:$B1000,2, 0), 0)</f>
        <v>0</v>
      </c>
      <c r="G456" s="10">
        <f>IFERROR(VLOOKUP(B456, 'Duke 4'!A$3:$B1000,2, 0), 0)</f>
        <v>0</v>
      </c>
      <c r="H456" s="10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</row>
    <row r="457">
      <c r="A457" s="1">
        <f t="shared" si="1"/>
        <v>456</v>
      </c>
      <c r="B457" s="7" t="s">
        <v>423</v>
      </c>
      <c r="C457" s="8">
        <f t="shared" si="2"/>
        <v>0</v>
      </c>
      <c r="D457" s="9">
        <f>IFERROR(VLOOKUP(B457, 'Duke 1'!A$3:$B$85,2, 0), 0)</f>
        <v>0</v>
      </c>
      <c r="E457" s="9">
        <f>IFERROR(VLOOKUP(B457, 'Duke 2'!A$3:$B$522,2, 0), 0)</f>
        <v>0</v>
      </c>
      <c r="F457" s="10">
        <f>IFERROR(VLOOKUP(B457, 'Duke 3'!A$3:$B1000,2, 0), 0)</f>
        <v>0</v>
      </c>
      <c r="G457" s="10">
        <f>IFERROR(VLOOKUP(B457, 'Duke 4'!A$3:$B1000,2, 0), 0)</f>
        <v>0</v>
      </c>
      <c r="H457" s="10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</row>
    <row r="458">
      <c r="A458" s="1">
        <f t="shared" si="1"/>
        <v>457</v>
      </c>
      <c r="B458" s="7" t="s">
        <v>424</v>
      </c>
      <c r="C458" s="8">
        <f t="shared" si="2"/>
        <v>0</v>
      </c>
      <c r="D458" s="9">
        <f>IFERROR(VLOOKUP(B458, 'Duke 1'!A$3:$B$85,2, 0), 0)</f>
        <v>0</v>
      </c>
      <c r="E458" s="9">
        <f>IFERROR(VLOOKUP(B458, 'Duke 2'!A$3:$B$522,2, 0), 0)</f>
        <v>0</v>
      </c>
      <c r="F458" s="10">
        <f>IFERROR(VLOOKUP(B458, 'Duke 3'!A$3:$B1000,2, 0), 0)</f>
        <v>0</v>
      </c>
      <c r="G458" s="10">
        <f>IFERROR(VLOOKUP(B458, 'Duke 4'!A$3:$B1000,2, 0), 0)</f>
        <v>0</v>
      </c>
      <c r="H458" s="10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</row>
    <row r="459">
      <c r="A459" s="1">
        <f t="shared" si="1"/>
        <v>458</v>
      </c>
      <c r="B459" s="14" t="s">
        <v>425</v>
      </c>
      <c r="C459" s="8">
        <f t="shared" si="2"/>
        <v>0</v>
      </c>
      <c r="D459" s="9">
        <f>IFERROR(VLOOKUP(B459, 'Duke 1'!A$3:$B$85,2, 0), 0)</f>
        <v>0</v>
      </c>
      <c r="E459" s="9">
        <f>IFERROR(VLOOKUP(B459, 'Duke 2'!A$3:$B$522,2, 0), 0)</f>
        <v>0</v>
      </c>
      <c r="F459" s="10">
        <f>IFERROR(VLOOKUP(B459, 'Duke 3'!A$3:$B1000,2, 0), 0)</f>
        <v>0</v>
      </c>
      <c r="G459" s="10">
        <f>IFERROR(VLOOKUP(B459, 'Duke 4'!A$3:$B1000,2, 0), 0)</f>
        <v>0</v>
      </c>
      <c r="H459" s="10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</row>
    <row r="460">
      <c r="A460" s="1">
        <f t="shared" si="1"/>
        <v>459</v>
      </c>
      <c r="B460" s="14" t="s">
        <v>426</v>
      </c>
      <c r="C460" s="8">
        <f t="shared" si="2"/>
        <v>0</v>
      </c>
      <c r="D460" s="9">
        <f>IFERROR(VLOOKUP(B460, 'Duke 1'!A$3:$B$85,2, 0), 0)</f>
        <v>0</v>
      </c>
      <c r="E460" s="9">
        <f>IFERROR(VLOOKUP(B460, 'Duke 2'!A$3:$B$522,2, 0), 0)</f>
        <v>0</v>
      </c>
      <c r="F460" s="10">
        <f>IFERROR(VLOOKUP(B460, 'Duke 3'!A$3:$B1000,2, 0), 0)</f>
        <v>0</v>
      </c>
      <c r="G460" s="10">
        <f>IFERROR(VLOOKUP(B460, 'Duke 4'!A$3:$B1000,2, 0), 0)</f>
        <v>0</v>
      </c>
      <c r="H460" s="10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</row>
    <row r="461">
      <c r="A461" s="1">
        <f t="shared" si="1"/>
        <v>460</v>
      </c>
      <c r="B461" s="14" t="s">
        <v>427</v>
      </c>
      <c r="C461" s="8">
        <f t="shared" si="2"/>
        <v>0</v>
      </c>
      <c r="D461" s="9">
        <f>IFERROR(VLOOKUP(B461, 'Duke 1'!A$3:$B$85,2, 0), 0)</f>
        <v>0</v>
      </c>
      <c r="E461" s="9">
        <f>IFERROR(VLOOKUP(B461, 'Duke 2'!A$3:$B$522,2, 0), 0)</f>
        <v>0</v>
      </c>
      <c r="F461" s="10">
        <f>IFERROR(VLOOKUP(B461, 'Duke 3'!A$3:$B1000,2, 0), 0)</f>
        <v>0</v>
      </c>
      <c r="G461" s="10">
        <f>IFERROR(VLOOKUP(B461, 'Duke 4'!A$3:$B1000,2, 0), 0)</f>
        <v>0</v>
      </c>
      <c r="H461" s="10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</row>
    <row r="462">
      <c r="A462" s="1">
        <f t="shared" si="1"/>
        <v>461</v>
      </c>
      <c r="B462" s="14" t="s">
        <v>428</v>
      </c>
      <c r="C462" s="8">
        <f t="shared" si="2"/>
        <v>0</v>
      </c>
      <c r="D462" s="9">
        <f>IFERROR(VLOOKUP(B462, 'Duke 1'!A$3:$B$85,2, 0), 0)</f>
        <v>0</v>
      </c>
      <c r="E462" s="9">
        <f>IFERROR(VLOOKUP(B462, 'Duke 2'!A$3:$B$522,2, 0), 0)</f>
        <v>0</v>
      </c>
      <c r="F462" s="10">
        <f>IFERROR(VLOOKUP(B462, 'Duke 3'!A$3:$B1000,2, 0), 0)</f>
        <v>0</v>
      </c>
      <c r="G462" s="10">
        <f>IFERROR(VLOOKUP(B462, 'Duke 4'!A$3:$B1000,2, 0), 0)</f>
        <v>0</v>
      </c>
      <c r="H462" s="10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</row>
    <row r="463">
      <c r="A463" s="1">
        <f t="shared" si="1"/>
        <v>462</v>
      </c>
      <c r="B463" s="14" t="s">
        <v>429</v>
      </c>
      <c r="C463" s="8">
        <f t="shared" si="2"/>
        <v>0</v>
      </c>
      <c r="D463" s="9">
        <f>IFERROR(VLOOKUP(B463, 'Duke 1'!A$3:$B$85,2, 0), 0)</f>
        <v>0</v>
      </c>
      <c r="E463" s="9">
        <f>IFERROR(VLOOKUP(B463, 'Duke 2'!A$3:$B$522,2, 0), 0)</f>
        <v>0</v>
      </c>
      <c r="F463" s="10">
        <f>IFERROR(VLOOKUP(B463, 'Duke 3'!A$3:$B1000,2, 0), 0)</f>
        <v>0</v>
      </c>
      <c r="G463" s="10">
        <f>IFERROR(VLOOKUP(B463, 'Duke 4'!A$3:$B1000,2, 0), 0)</f>
        <v>0</v>
      </c>
      <c r="H463" s="10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</row>
    <row r="464">
      <c r="A464" s="1">
        <f t="shared" si="1"/>
        <v>463</v>
      </c>
      <c r="B464" s="7" t="s">
        <v>430</v>
      </c>
      <c r="C464" s="8">
        <f t="shared" si="2"/>
        <v>0</v>
      </c>
      <c r="D464" s="9">
        <f>IFERROR(VLOOKUP(B464, 'Duke 1'!A$3:$B$85,2, 0), 0)</f>
        <v>0</v>
      </c>
      <c r="E464" s="9">
        <f>IFERROR(VLOOKUP(B464, 'Duke 2'!A$3:$B$522,2, 0), 0)</f>
        <v>0</v>
      </c>
      <c r="F464" s="10">
        <f>IFERROR(VLOOKUP(B464, 'Duke 3'!A$3:$B1000,2, 0), 0)</f>
        <v>0</v>
      </c>
      <c r="G464" s="10">
        <f>IFERROR(VLOOKUP(B464, 'Duke 4'!A$3:$B1000,2, 0), 0)</f>
        <v>0</v>
      </c>
      <c r="H464" s="10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</row>
    <row r="465">
      <c r="A465" s="1">
        <f t="shared" si="1"/>
        <v>464</v>
      </c>
      <c r="B465" s="7" t="s">
        <v>431</v>
      </c>
      <c r="C465" s="8">
        <f t="shared" si="2"/>
        <v>0</v>
      </c>
      <c r="D465" s="9">
        <f>IFERROR(VLOOKUP(B465, 'Duke 1'!A$3:$B$85,2, 0), 0)</f>
        <v>0</v>
      </c>
      <c r="E465" s="9">
        <f>IFERROR(VLOOKUP(B465, 'Duke 2'!A$3:$B$522,2, 0), 0)</f>
        <v>0</v>
      </c>
      <c r="F465" s="10">
        <f>IFERROR(VLOOKUP(B465, 'Duke 3'!A$3:$B1000,2, 0), 0)</f>
        <v>0</v>
      </c>
      <c r="G465" s="10">
        <f>IFERROR(VLOOKUP(B465, 'Duke 4'!A$3:$B1000,2, 0), 0)</f>
        <v>0</v>
      </c>
      <c r="H465" s="10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</row>
    <row r="466">
      <c r="A466" s="1">
        <f t="shared" si="1"/>
        <v>465</v>
      </c>
      <c r="B466" s="7" t="s">
        <v>432</v>
      </c>
      <c r="C466" s="8">
        <f t="shared" si="2"/>
        <v>0</v>
      </c>
      <c r="D466" s="9">
        <f>IFERROR(VLOOKUP(B466, 'Duke 1'!A$3:$B$85,2, 0), 0)</f>
        <v>0</v>
      </c>
      <c r="E466" s="9">
        <f>IFERROR(VLOOKUP(B466, 'Duke 2'!A$3:$B$522,2, 0), 0)</f>
        <v>0</v>
      </c>
      <c r="F466" s="10">
        <f>IFERROR(VLOOKUP(B466, 'Duke 3'!A$3:$B1000,2, 0), 0)</f>
        <v>0</v>
      </c>
      <c r="G466" s="10">
        <f>IFERROR(VLOOKUP(B466, 'Duke 4'!A$3:$B1000,2, 0), 0)</f>
        <v>0</v>
      </c>
      <c r="H466" s="10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</row>
    <row r="467">
      <c r="A467" s="1">
        <f t="shared" si="1"/>
        <v>466</v>
      </c>
      <c r="B467" s="7" t="s">
        <v>433</v>
      </c>
      <c r="C467" s="8">
        <f t="shared" si="2"/>
        <v>0</v>
      </c>
      <c r="D467" s="9">
        <f>IFERROR(VLOOKUP(B467, 'Duke 1'!A$3:$B$85,2, 0), 0)</f>
        <v>0</v>
      </c>
      <c r="E467" s="9">
        <f>IFERROR(VLOOKUP(B467, 'Duke 2'!A$3:$B$522,2, 0), 0)</f>
        <v>0</v>
      </c>
      <c r="F467" s="10">
        <f>IFERROR(VLOOKUP(B467, 'Duke 3'!A$3:$B1000,2, 0), 0)</f>
        <v>0</v>
      </c>
      <c r="G467" s="10">
        <f>IFERROR(VLOOKUP(B467, 'Duke 4'!A$3:$B1000,2, 0), 0)</f>
        <v>0</v>
      </c>
      <c r="H467" s="10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</row>
    <row r="468">
      <c r="A468" s="1">
        <f t="shared" si="1"/>
        <v>467</v>
      </c>
      <c r="B468" s="7" t="s">
        <v>434</v>
      </c>
      <c r="C468" s="8">
        <f t="shared" si="2"/>
        <v>0</v>
      </c>
      <c r="D468" s="9">
        <f>IFERROR(VLOOKUP(B468, 'Duke 1'!A$3:$B$85,2, 0), 0)</f>
        <v>0</v>
      </c>
      <c r="E468" s="9">
        <f>IFERROR(VLOOKUP(B468, 'Duke 2'!A$3:$B$522,2, 0), 0)</f>
        <v>0</v>
      </c>
      <c r="F468" s="10">
        <f>IFERROR(VLOOKUP(B468, 'Duke 3'!A$3:$B1000,2, 0), 0)</f>
        <v>0</v>
      </c>
      <c r="G468" s="10">
        <f>IFERROR(VLOOKUP(B468, 'Duke 4'!A$3:$B1000,2, 0), 0)</f>
        <v>0</v>
      </c>
      <c r="H468" s="10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</row>
    <row r="469">
      <c r="A469" s="1">
        <f t="shared" si="1"/>
        <v>468</v>
      </c>
      <c r="B469" s="7" t="s">
        <v>435</v>
      </c>
      <c r="C469" s="8">
        <f t="shared" si="2"/>
        <v>0</v>
      </c>
      <c r="D469" s="9">
        <f>IFERROR(VLOOKUP(B469, 'Duke 1'!A$3:$B$85,2, 0), 0)</f>
        <v>0</v>
      </c>
      <c r="E469" s="9">
        <f>IFERROR(VLOOKUP(B469, 'Duke 2'!A$3:$B$522,2, 0), 0)</f>
        <v>0</v>
      </c>
      <c r="F469" s="10">
        <f>IFERROR(VLOOKUP(B469, 'Duke 3'!A$3:$B1000,2, 0), 0)</f>
        <v>0</v>
      </c>
      <c r="G469" s="10">
        <f>IFERROR(VLOOKUP(B469, 'Duke 4'!A$3:$B1000,2, 0), 0)</f>
        <v>0</v>
      </c>
      <c r="H469" s="10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</row>
    <row r="470">
      <c r="A470" s="1">
        <f t="shared" si="1"/>
        <v>469</v>
      </c>
      <c r="B470" s="7" t="s">
        <v>436</v>
      </c>
      <c r="C470" s="8">
        <f t="shared" si="2"/>
        <v>0</v>
      </c>
      <c r="D470" s="9">
        <f>IFERROR(VLOOKUP(B470, 'Duke 1'!A$3:$B$85,2, 0), 0)</f>
        <v>0</v>
      </c>
      <c r="E470" s="9">
        <f>IFERROR(VLOOKUP(B470, 'Duke 2'!A$3:$B$522,2, 0), 0)</f>
        <v>0</v>
      </c>
      <c r="F470" s="10">
        <f>IFERROR(VLOOKUP(B470, 'Duke 3'!A$3:$B1000,2, 0), 0)</f>
        <v>0</v>
      </c>
      <c r="G470" s="10">
        <f>IFERROR(VLOOKUP(B470, 'Duke 4'!A$3:$B1000,2, 0), 0)</f>
        <v>0</v>
      </c>
      <c r="H470" s="10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</row>
    <row r="471">
      <c r="A471" s="1">
        <f t="shared" si="1"/>
        <v>470</v>
      </c>
      <c r="B471" s="7" t="s">
        <v>437</v>
      </c>
      <c r="C471" s="8">
        <f t="shared" si="2"/>
        <v>0</v>
      </c>
      <c r="D471" s="9">
        <f>IFERROR(VLOOKUP(B471, 'Duke 1'!A$3:$B$85,2, 0), 0)</f>
        <v>0</v>
      </c>
      <c r="E471" s="9">
        <f>IFERROR(VLOOKUP(B471, 'Duke 2'!A$3:$B$522,2, 0), 0)</f>
        <v>0</v>
      </c>
      <c r="F471" s="10">
        <f>IFERROR(VLOOKUP(B471, 'Duke 3'!A$3:$B1000,2, 0), 0)</f>
        <v>0</v>
      </c>
      <c r="G471" s="10">
        <f>IFERROR(VLOOKUP(B471, 'Duke 4'!A$3:$B1000,2, 0), 0)</f>
        <v>0</v>
      </c>
      <c r="H471" s="10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</row>
    <row r="472">
      <c r="A472" s="1">
        <f t="shared" si="1"/>
        <v>471</v>
      </c>
      <c r="B472" s="7" t="s">
        <v>438</v>
      </c>
      <c r="C472" s="8">
        <f t="shared" si="2"/>
        <v>0</v>
      </c>
      <c r="D472" s="9">
        <f>IFERROR(VLOOKUP(B472, 'Duke 1'!A$3:$B$85,2, 0), 0)</f>
        <v>0</v>
      </c>
      <c r="E472" s="9">
        <f>IFERROR(VLOOKUP(B472, 'Duke 2'!A$3:$B$522,2, 0), 0)</f>
        <v>0</v>
      </c>
      <c r="F472" s="10">
        <f>IFERROR(VLOOKUP(B472, 'Duke 3'!A$3:$B1000,2, 0), 0)</f>
        <v>0</v>
      </c>
      <c r="G472" s="10">
        <f>IFERROR(VLOOKUP(B472, 'Duke 4'!A$3:$B1000,2, 0), 0)</f>
        <v>0</v>
      </c>
      <c r="H472" s="10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</row>
    <row r="473">
      <c r="A473" s="1">
        <f t="shared" si="1"/>
        <v>472</v>
      </c>
      <c r="B473" s="7" t="s">
        <v>439</v>
      </c>
      <c r="C473" s="8">
        <f t="shared" si="2"/>
        <v>0</v>
      </c>
      <c r="D473" s="9">
        <f>IFERROR(VLOOKUP(B473, 'Duke 1'!A$3:$B$85,2, 0), 0)</f>
        <v>0</v>
      </c>
      <c r="E473" s="9">
        <f>IFERROR(VLOOKUP(B473, 'Duke 2'!A$3:$B$522,2, 0), 0)</f>
        <v>0</v>
      </c>
      <c r="F473" s="10">
        <f>IFERROR(VLOOKUP(B473, 'Duke 3'!A$3:$B1000,2, 0), 0)</f>
        <v>0</v>
      </c>
      <c r="G473" s="10">
        <f>IFERROR(VLOOKUP(B473, 'Duke 4'!A$3:$B1000,2, 0), 0)</f>
        <v>0</v>
      </c>
      <c r="H473" s="10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</row>
    <row r="474">
      <c r="A474" s="1">
        <f t="shared" si="1"/>
        <v>473</v>
      </c>
      <c r="B474" s="7" t="s">
        <v>440</v>
      </c>
      <c r="C474" s="8">
        <f t="shared" si="2"/>
        <v>0</v>
      </c>
      <c r="D474" s="9">
        <f>IFERROR(VLOOKUP(B474, 'Duke 1'!A$3:$B$85,2, 0), 0)</f>
        <v>0</v>
      </c>
      <c r="E474" s="9">
        <f>IFERROR(VLOOKUP(B474, 'Duke 2'!A$3:$B$522,2, 0), 0)</f>
        <v>0</v>
      </c>
      <c r="F474" s="10">
        <f>IFERROR(VLOOKUP(B474, 'Duke 3'!A$3:$B1000,2, 0), 0)</f>
        <v>0</v>
      </c>
      <c r="G474" s="10">
        <f>IFERROR(VLOOKUP(B474, 'Duke 4'!A$3:$B1000,2, 0), 0)</f>
        <v>0</v>
      </c>
      <c r="H474" s="10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</row>
    <row r="475">
      <c r="A475" s="1">
        <f t="shared" si="1"/>
        <v>474</v>
      </c>
      <c r="B475" s="7" t="s">
        <v>441</v>
      </c>
      <c r="C475" s="8">
        <f t="shared" si="2"/>
        <v>0</v>
      </c>
      <c r="D475" s="9">
        <f>IFERROR(VLOOKUP(B475, 'Duke 1'!A$3:$B$85,2, 0), 0)</f>
        <v>0</v>
      </c>
      <c r="E475" s="9">
        <f>IFERROR(VLOOKUP(B475, 'Duke 2'!A$3:$B$522,2, 0), 0)</f>
        <v>0</v>
      </c>
      <c r="F475" s="10">
        <f>IFERROR(VLOOKUP(B475, 'Duke 3'!A$3:$B1000,2, 0), 0)</f>
        <v>0</v>
      </c>
      <c r="G475" s="10">
        <f>IFERROR(VLOOKUP(B475, 'Duke 4'!A$3:$B1000,2, 0), 0)</f>
        <v>0</v>
      </c>
      <c r="H475" s="10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</row>
    <row r="476">
      <c r="A476" s="1">
        <f t="shared" si="1"/>
        <v>475</v>
      </c>
      <c r="B476" s="7" t="s">
        <v>442</v>
      </c>
      <c r="C476" s="8">
        <f t="shared" si="2"/>
        <v>0</v>
      </c>
      <c r="D476" s="9">
        <f>IFERROR(VLOOKUP(B476, 'Duke 1'!A$3:$B$85,2, 0), 0)</f>
        <v>0</v>
      </c>
      <c r="E476" s="9">
        <f>IFERROR(VLOOKUP(B476, 'Duke 2'!A$3:$B$522,2, 0), 0)</f>
        <v>0</v>
      </c>
      <c r="F476" s="10">
        <f>IFERROR(VLOOKUP(B476, 'Duke 3'!A$3:$B1000,2, 0), 0)</f>
        <v>0</v>
      </c>
      <c r="G476" s="10">
        <f>IFERROR(VLOOKUP(B476, 'Duke 4'!A$3:$B1000,2, 0), 0)</f>
        <v>0</v>
      </c>
      <c r="H476" s="10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</row>
    <row r="477">
      <c r="A477" s="1">
        <f t="shared" si="1"/>
        <v>476</v>
      </c>
      <c r="B477" s="7" t="s">
        <v>443</v>
      </c>
      <c r="C477" s="8">
        <f t="shared" si="2"/>
        <v>0</v>
      </c>
      <c r="D477" s="9">
        <f>IFERROR(VLOOKUP(B477, 'Duke 1'!A$3:$B$85,2, 0), 0)</f>
        <v>0</v>
      </c>
      <c r="E477" s="9">
        <f>IFERROR(VLOOKUP(B477, 'Duke 2'!A$3:$B$522,2, 0), 0)</f>
        <v>0</v>
      </c>
      <c r="F477" s="10">
        <f>IFERROR(VLOOKUP(B477, 'Duke 3'!A$3:$B1000,2, 0), 0)</f>
        <v>0</v>
      </c>
      <c r="G477" s="10">
        <f>IFERROR(VLOOKUP(B477, 'Duke 4'!A$3:$B1000,2, 0), 0)</f>
        <v>0</v>
      </c>
      <c r="H477" s="10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</row>
    <row r="478">
      <c r="A478" s="1">
        <f t="shared" si="1"/>
        <v>477</v>
      </c>
      <c r="B478" s="7" t="s">
        <v>444</v>
      </c>
      <c r="C478" s="8">
        <f t="shared" si="2"/>
        <v>0</v>
      </c>
      <c r="D478" s="9">
        <f>IFERROR(VLOOKUP(B478, 'Duke 1'!A$3:$B$85,2, 0), 0)</f>
        <v>0</v>
      </c>
      <c r="E478" s="9">
        <f>IFERROR(VLOOKUP(B478, 'Duke 2'!A$3:$B$522,2, 0), 0)</f>
        <v>0</v>
      </c>
      <c r="F478" s="10">
        <f>IFERROR(VLOOKUP(B478, 'Duke 3'!A$3:$B1000,2, 0), 0)</f>
        <v>0</v>
      </c>
      <c r="G478" s="10">
        <f>IFERROR(VLOOKUP(B478, 'Duke 4'!A$3:$B1000,2, 0), 0)</f>
        <v>0</v>
      </c>
      <c r="H478" s="10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</row>
    <row r="479">
      <c r="A479" s="1">
        <f t="shared" si="1"/>
        <v>478</v>
      </c>
      <c r="B479" s="7" t="s">
        <v>445</v>
      </c>
      <c r="C479" s="8">
        <f t="shared" si="2"/>
        <v>0</v>
      </c>
      <c r="D479" s="9">
        <f>IFERROR(VLOOKUP(B479, 'Duke 1'!A$3:$B$85,2, 0), 0)</f>
        <v>0</v>
      </c>
      <c r="E479" s="9">
        <f>IFERROR(VLOOKUP(B479, 'Duke 2'!A$3:$B$522,2, 0), 0)</f>
        <v>0</v>
      </c>
      <c r="F479" s="10">
        <f>IFERROR(VLOOKUP(B479, 'Duke 3'!A$3:$B1000,2, 0), 0)</f>
        <v>0</v>
      </c>
      <c r="G479" s="10">
        <f>IFERROR(VLOOKUP(B479, 'Duke 4'!A$3:$B1000,2, 0), 0)</f>
        <v>0</v>
      </c>
      <c r="H479" s="10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</row>
    <row r="480">
      <c r="A480" s="1">
        <f t="shared" si="1"/>
        <v>479</v>
      </c>
      <c r="B480" s="7" t="s">
        <v>446</v>
      </c>
      <c r="C480" s="8">
        <f t="shared" si="2"/>
        <v>0</v>
      </c>
      <c r="D480" s="9">
        <f>IFERROR(VLOOKUP(B480, 'Duke 1'!A$3:$B$85,2, 0), 0)</f>
        <v>0</v>
      </c>
      <c r="E480" s="9">
        <f>IFERROR(VLOOKUP(B480, 'Duke 2'!A$3:$B$522,2, 0), 0)</f>
        <v>0</v>
      </c>
      <c r="F480" s="10">
        <f>IFERROR(VLOOKUP(B480, 'Duke 3'!A$3:$B1000,2, 0), 0)</f>
        <v>0</v>
      </c>
      <c r="G480" s="10">
        <f>IFERROR(VLOOKUP(B480, 'Duke 4'!A$3:$B1000,2, 0), 0)</f>
        <v>0</v>
      </c>
      <c r="H480" s="10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</row>
    <row r="481">
      <c r="A481" s="1">
        <f t="shared" si="1"/>
        <v>480</v>
      </c>
      <c r="B481" s="7" t="s">
        <v>447</v>
      </c>
      <c r="C481" s="8">
        <f t="shared" si="2"/>
        <v>0</v>
      </c>
      <c r="D481" s="9">
        <f>IFERROR(VLOOKUP(B481, 'Duke 1'!A$3:$B$85,2, 0), 0)</f>
        <v>0</v>
      </c>
      <c r="E481" s="9">
        <f>IFERROR(VLOOKUP(B481, 'Duke 2'!A$3:$B$522,2, 0), 0)</f>
        <v>0</v>
      </c>
      <c r="F481" s="10">
        <f>IFERROR(VLOOKUP(B481, 'Duke 3'!A$3:$B1000,2, 0), 0)</f>
        <v>0</v>
      </c>
      <c r="G481" s="10">
        <f>IFERROR(VLOOKUP(B481, 'Duke 4'!A$3:$B1000,2, 0), 0)</f>
        <v>0</v>
      </c>
      <c r="H481" s="10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</row>
    <row r="482">
      <c r="A482" s="1">
        <f t="shared" si="1"/>
        <v>481</v>
      </c>
      <c r="B482" s="7" t="s">
        <v>448</v>
      </c>
      <c r="C482" s="8">
        <f t="shared" si="2"/>
        <v>0</v>
      </c>
      <c r="D482" s="9">
        <f>IFERROR(VLOOKUP(B482, 'Duke 1'!A$3:$B$85,2, 0), 0)</f>
        <v>0</v>
      </c>
      <c r="E482" s="9">
        <f>IFERROR(VLOOKUP(B482, 'Duke 2'!A$3:$B$522,2, 0), 0)</f>
        <v>0</v>
      </c>
      <c r="F482" s="10">
        <f>IFERROR(VLOOKUP(B482, 'Duke 3'!A$3:$B1000,2, 0), 0)</f>
        <v>0</v>
      </c>
      <c r="G482" s="10">
        <f>IFERROR(VLOOKUP(B482, 'Duke 4'!A$3:$B1000,2, 0), 0)</f>
        <v>0</v>
      </c>
      <c r="H482" s="10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</row>
    <row r="483">
      <c r="A483" s="1">
        <f t="shared" si="1"/>
        <v>482</v>
      </c>
      <c r="B483" s="7" t="s">
        <v>449</v>
      </c>
      <c r="C483" s="8">
        <f t="shared" si="2"/>
        <v>0</v>
      </c>
      <c r="D483" s="9">
        <f>IFERROR(VLOOKUP(B483, 'Duke 1'!A$3:$B$85,2, 0), 0)</f>
        <v>0</v>
      </c>
      <c r="E483" s="9">
        <f>IFERROR(VLOOKUP(B483, 'Duke 2'!A$3:$B$522,2, 0), 0)</f>
        <v>0</v>
      </c>
      <c r="F483" s="10">
        <f>IFERROR(VLOOKUP(B483, 'Duke 3'!A$3:$B1000,2, 0), 0)</f>
        <v>0</v>
      </c>
      <c r="G483" s="10">
        <f>IFERROR(VLOOKUP(B483, 'Duke 4'!A$3:$B1000,2, 0), 0)</f>
        <v>0</v>
      </c>
      <c r="H483" s="10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</row>
    <row r="484">
      <c r="A484" s="1">
        <f t="shared" si="1"/>
        <v>483</v>
      </c>
      <c r="B484" s="7" t="s">
        <v>450</v>
      </c>
      <c r="C484" s="8">
        <f t="shared" si="2"/>
        <v>0</v>
      </c>
      <c r="D484" s="9">
        <f>IFERROR(VLOOKUP(B484, 'Duke 1'!A$3:$B$85,2, 0), 0)</f>
        <v>0</v>
      </c>
      <c r="E484" s="9">
        <f>IFERROR(VLOOKUP(B484, 'Duke 2'!A$3:$B$522,2, 0), 0)</f>
        <v>0</v>
      </c>
      <c r="F484" s="10">
        <f>IFERROR(VLOOKUP(B484, 'Duke 3'!A$3:$B1000,2, 0), 0)</f>
        <v>0</v>
      </c>
      <c r="G484" s="10">
        <f>IFERROR(VLOOKUP(B484, 'Duke 4'!A$3:$B1000,2, 0), 0)</f>
        <v>0</v>
      </c>
      <c r="H484" s="10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</row>
    <row r="485">
      <c r="A485" s="1">
        <f t="shared" si="1"/>
        <v>484</v>
      </c>
      <c r="B485" s="7" t="s">
        <v>451</v>
      </c>
      <c r="C485" s="8">
        <f t="shared" si="2"/>
        <v>0</v>
      </c>
      <c r="D485" s="9">
        <f>IFERROR(VLOOKUP(B485, 'Duke 1'!A$3:$B$85,2, 0), 0)</f>
        <v>0</v>
      </c>
      <c r="E485" s="9">
        <f>IFERROR(VLOOKUP(B485, 'Duke 2'!A$3:$B$522,2, 0), 0)</f>
        <v>0</v>
      </c>
      <c r="F485" s="10">
        <f>IFERROR(VLOOKUP(B485, 'Duke 3'!A$3:$B1000,2, 0), 0)</f>
        <v>0</v>
      </c>
      <c r="G485" s="10">
        <f>IFERROR(VLOOKUP(B485, 'Duke 4'!A$3:$B1000,2, 0), 0)</f>
        <v>0</v>
      </c>
      <c r="H485" s="10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</row>
    <row r="486">
      <c r="A486" s="1">
        <f t="shared" si="1"/>
        <v>485</v>
      </c>
      <c r="B486" s="7" t="s">
        <v>452</v>
      </c>
      <c r="C486" s="8">
        <f t="shared" si="2"/>
        <v>0</v>
      </c>
      <c r="D486" s="9">
        <f>IFERROR(VLOOKUP(B486, 'Duke 1'!A$3:$B$85,2, 0), 0)</f>
        <v>0</v>
      </c>
      <c r="E486" s="9">
        <f>IFERROR(VLOOKUP(B486, 'Duke 2'!A$3:$B$522,2, 0), 0)</f>
        <v>0</v>
      </c>
      <c r="F486" s="10">
        <f>IFERROR(VLOOKUP(B486, 'Duke 3'!A$3:$B1000,2, 0), 0)</f>
        <v>0</v>
      </c>
      <c r="G486" s="10">
        <f>IFERROR(VLOOKUP(B486, 'Duke 4'!A$3:$B1000,2, 0), 0)</f>
        <v>0</v>
      </c>
      <c r="H486" s="10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</row>
    <row r="487">
      <c r="A487" s="1">
        <f t="shared" si="1"/>
        <v>486</v>
      </c>
      <c r="B487" s="7" t="s">
        <v>453</v>
      </c>
      <c r="C487" s="8">
        <f t="shared" si="2"/>
        <v>0</v>
      </c>
      <c r="D487" s="9">
        <f>IFERROR(VLOOKUP(B487, 'Duke 1'!A$3:$B$85,2, 0), 0)</f>
        <v>0</v>
      </c>
      <c r="E487" s="9">
        <f>IFERROR(VLOOKUP(B487, 'Duke 2'!A$3:$B$522,2, 0), 0)</f>
        <v>0</v>
      </c>
      <c r="F487" s="10">
        <f>IFERROR(VLOOKUP(B487, 'Duke 3'!A$3:$B1000,2, 0), 0)</f>
        <v>0</v>
      </c>
      <c r="G487" s="10">
        <f>IFERROR(VLOOKUP(B487, 'Duke 4'!A$3:$B1000,2, 0), 0)</f>
        <v>0</v>
      </c>
      <c r="H487" s="10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</row>
    <row r="488">
      <c r="A488" s="1">
        <f t="shared" si="1"/>
        <v>487</v>
      </c>
      <c r="B488" s="7" t="s">
        <v>454</v>
      </c>
      <c r="C488" s="8">
        <f t="shared" si="2"/>
        <v>0</v>
      </c>
      <c r="D488" s="9">
        <f>IFERROR(VLOOKUP(B488, 'Duke 1'!A$3:$B$85,2, 0), 0)</f>
        <v>0</v>
      </c>
      <c r="E488" s="9">
        <f>IFERROR(VLOOKUP(B488, 'Duke 2'!A$3:$B$522,2, 0), 0)</f>
        <v>0</v>
      </c>
      <c r="F488" s="10">
        <f>IFERROR(VLOOKUP(B488, 'Duke 3'!A$3:$B1000,2, 0), 0)</f>
        <v>0</v>
      </c>
      <c r="G488" s="10">
        <f>IFERROR(VLOOKUP(B488, 'Duke 4'!A$3:$B1000,2, 0), 0)</f>
        <v>0</v>
      </c>
      <c r="H488" s="10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</row>
    <row r="489">
      <c r="A489" s="1">
        <f t="shared" si="1"/>
        <v>488</v>
      </c>
      <c r="B489" s="7" t="s">
        <v>455</v>
      </c>
      <c r="C489" s="8">
        <f t="shared" si="2"/>
        <v>0</v>
      </c>
      <c r="D489" s="9">
        <f>IFERROR(VLOOKUP(B489, 'Duke 1'!A$3:$B$85,2, 0), 0)</f>
        <v>0</v>
      </c>
      <c r="E489" s="9">
        <f>IFERROR(VLOOKUP(B489, 'Duke 2'!A$3:$B$522,2, 0), 0)</f>
        <v>0</v>
      </c>
      <c r="F489" s="10">
        <f>IFERROR(VLOOKUP(B489, 'Duke 3'!A$3:$B1000,2, 0), 0)</f>
        <v>0</v>
      </c>
      <c r="G489" s="10">
        <f>IFERROR(VLOOKUP(B489, 'Duke 4'!A$3:$B1000,2, 0), 0)</f>
        <v>0</v>
      </c>
      <c r="H489" s="10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</row>
    <row r="490">
      <c r="A490" s="1">
        <f t="shared" si="1"/>
        <v>489</v>
      </c>
      <c r="B490" s="7" t="s">
        <v>456</v>
      </c>
      <c r="C490" s="8">
        <f t="shared" si="2"/>
        <v>0</v>
      </c>
      <c r="D490" s="9">
        <f>IFERROR(VLOOKUP(B490, 'Duke 1'!A$3:$B$85,2, 0), 0)</f>
        <v>0</v>
      </c>
      <c r="E490" s="9">
        <f>IFERROR(VLOOKUP(B490, 'Duke 2'!A$3:$B$522,2, 0), 0)</f>
        <v>0</v>
      </c>
      <c r="F490" s="10">
        <f>IFERROR(VLOOKUP(B490, 'Duke 3'!A$3:$B1000,2, 0), 0)</f>
        <v>0</v>
      </c>
      <c r="G490" s="10">
        <f>IFERROR(VLOOKUP(B490, 'Duke 4'!A$3:$B1000,2, 0), 0)</f>
        <v>0</v>
      </c>
      <c r="H490" s="10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</row>
    <row r="491">
      <c r="A491" s="1">
        <f t="shared" si="1"/>
        <v>490</v>
      </c>
      <c r="B491" s="7" t="s">
        <v>457</v>
      </c>
      <c r="C491" s="8">
        <f t="shared" si="2"/>
        <v>0</v>
      </c>
      <c r="D491" s="9">
        <f>IFERROR(VLOOKUP(B491, 'Duke 1'!A$3:$B$85,2, 0), 0)</f>
        <v>0</v>
      </c>
      <c r="E491" s="9">
        <f>IFERROR(VLOOKUP(B491, 'Duke 2'!A$3:$B$522,2, 0), 0)</f>
        <v>0</v>
      </c>
      <c r="F491" s="10">
        <f>IFERROR(VLOOKUP(B491, 'Duke 3'!A$3:$B1000,2, 0), 0)</f>
        <v>0</v>
      </c>
      <c r="G491" s="10">
        <f>IFERROR(VLOOKUP(B491, 'Duke 4'!A$3:$B1000,2, 0), 0)</f>
        <v>0</v>
      </c>
      <c r="H491" s="10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</row>
    <row r="492">
      <c r="A492" s="1">
        <f t="shared" si="1"/>
        <v>491</v>
      </c>
      <c r="B492" s="7" t="s">
        <v>458</v>
      </c>
      <c r="C492" s="8">
        <f t="shared" si="2"/>
        <v>0</v>
      </c>
      <c r="D492" s="9">
        <f>IFERROR(VLOOKUP(B492, 'Duke 1'!A$3:$B$85,2, 0), 0)</f>
        <v>0</v>
      </c>
      <c r="E492" s="9">
        <f>IFERROR(VLOOKUP(B492, 'Duke 2'!A$3:$B$522,2, 0), 0)</f>
        <v>0</v>
      </c>
      <c r="F492" s="10">
        <f>IFERROR(VLOOKUP(B492, 'Duke 3'!A$3:$B1000,2, 0), 0)</f>
        <v>0</v>
      </c>
      <c r="G492" s="10">
        <f>IFERROR(VLOOKUP(B492, 'Duke 4'!A$3:$B1000,2, 0), 0)</f>
        <v>0</v>
      </c>
      <c r="H492" s="10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</row>
    <row r="493">
      <c r="A493" s="1">
        <f t="shared" si="1"/>
        <v>492</v>
      </c>
      <c r="B493" s="7" t="s">
        <v>459</v>
      </c>
      <c r="C493" s="8">
        <f t="shared" si="2"/>
        <v>0</v>
      </c>
      <c r="D493" s="9">
        <f>IFERROR(VLOOKUP(B493, 'Duke 1'!A$3:$B$85,2, 0), 0)</f>
        <v>0</v>
      </c>
      <c r="E493" s="9">
        <f>IFERROR(VLOOKUP(B493, 'Duke 2'!A$3:$B$522,2, 0), 0)</f>
        <v>0</v>
      </c>
      <c r="F493" s="10">
        <f>IFERROR(VLOOKUP(B493, 'Duke 3'!A$3:$B1000,2, 0), 0)</f>
        <v>0</v>
      </c>
      <c r="G493" s="10">
        <f>IFERROR(VLOOKUP(B493, 'Duke 4'!A$3:$B1000,2, 0), 0)</f>
        <v>0</v>
      </c>
      <c r="H493" s="10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</row>
    <row r="494">
      <c r="A494" s="1">
        <f t="shared" si="1"/>
        <v>493</v>
      </c>
      <c r="B494" s="7" t="s">
        <v>460</v>
      </c>
      <c r="C494" s="8">
        <f t="shared" si="2"/>
        <v>0</v>
      </c>
      <c r="D494" s="9">
        <f>IFERROR(VLOOKUP(B494, 'Duke 1'!A$3:$B$85,2, 0), 0)</f>
        <v>0</v>
      </c>
      <c r="E494" s="9">
        <f>IFERROR(VLOOKUP(B494, 'Duke 2'!A$3:$B$522,2, 0), 0)</f>
        <v>0</v>
      </c>
      <c r="F494" s="10">
        <f>IFERROR(VLOOKUP(B494, 'Duke 3'!A$3:$B1000,2, 0), 0)</f>
        <v>0</v>
      </c>
      <c r="G494" s="10">
        <f>IFERROR(VLOOKUP(B494, 'Duke 4'!A$3:$B1000,2, 0), 0)</f>
        <v>0</v>
      </c>
      <c r="H494" s="10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</row>
    <row r="495">
      <c r="A495" s="1">
        <f t="shared" si="1"/>
        <v>494</v>
      </c>
      <c r="B495" s="7" t="s">
        <v>461</v>
      </c>
      <c r="C495" s="8">
        <f t="shared" si="2"/>
        <v>0</v>
      </c>
      <c r="D495" s="9">
        <f>IFERROR(VLOOKUP(B495, 'Duke 1'!A$3:$B$85,2, 0), 0)</f>
        <v>0</v>
      </c>
      <c r="E495" s="9">
        <f>IFERROR(VLOOKUP(B495, 'Duke 2'!A$3:$B$522,2, 0), 0)</f>
        <v>0</v>
      </c>
      <c r="F495" s="10">
        <f>IFERROR(VLOOKUP(B495, 'Duke 3'!A$3:$B1000,2, 0), 0)</f>
        <v>0</v>
      </c>
      <c r="G495" s="10">
        <f>IFERROR(VLOOKUP(B495, 'Duke 4'!A$3:$B1000,2, 0), 0)</f>
        <v>0</v>
      </c>
      <c r="H495" s="10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</row>
    <row r="496">
      <c r="A496" s="1">
        <f t="shared" si="1"/>
        <v>495</v>
      </c>
      <c r="B496" s="7" t="s">
        <v>462</v>
      </c>
      <c r="C496" s="8">
        <f t="shared" si="2"/>
        <v>0</v>
      </c>
      <c r="D496" s="9">
        <f>IFERROR(VLOOKUP(B496, 'Duke 1'!A$3:$B$85,2, 0), 0)</f>
        <v>0</v>
      </c>
      <c r="E496" s="9">
        <f>IFERROR(VLOOKUP(B496, 'Duke 2'!A$3:$B$522,2, 0), 0)</f>
        <v>0</v>
      </c>
      <c r="F496" s="10">
        <f>IFERROR(VLOOKUP(B496, 'Duke 3'!A$3:$B1000,2, 0), 0)</f>
        <v>0</v>
      </c>
      <c r="G496" s="10">
        <f>IFERROR(VLOOKUP(B496, 'Duke 4'!A$3:$B1000,2, 0), 0)</f>
        <v>0</v>
      </c>
      <c r="H496" s="10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</row>
    <row r="497">
      <c r="A497" s="1">
        <f t="shared" si="1"/>
        <v>496</v>
      </c>
      <c r="B497" s="7" t="s">
        <v>463</v>
      </c>
      <c r="C497" s="8">
        <f t="shared" si="2"/>
        <v>0</v>
      </c>
      <c r="D497" s="9">
        <f>IFERROR(VLOOKUP(B497, 'Duke 1'!A$3:$B$85,2, 0), 0)</f>
        <v>0</v>
      </c>
      <c r="E497" s="9">
        <f>IFERROR(VLOOKUP(B497, 'Duke 2'!A$3:$B$522,2, 0), 0)</f>
        <v>0</v>
      </c>
      <c r="F497" s="10">
        <f>IFERROR(VLOOKUP(B497, 'Duke 3'!A$3:$B1000,2, 0), 0)</f>
        <v>0</v>
      </c>
      <c r="G497" s="10">
        <f>IFERROR(VLOOKUP(B497, 'Duke 4'!A$3:$B1000,2, 0), 0)</f>
        <v>0</v>
      </c>
      <c r="H497" s="10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</row>
    <row r="498">
      <c r="A498" s="1">
        <f t="shared" si="1"/>
        <v>497</v>
      </c>
      <c r="B498" s="7" t="s">
        <v>464</v>
      </c>
      <c r="C498" s="8">
        <f t="shared" si="2"/>
        <v>0</v>
      </c>
      <c r="D498" s="9">
        <f>IFERROR(VLOOKUP(B498, 'Duke 1'!A$3:$B$85,2, 0), 0)</f>
        <v>0</v>
      </c>
      <c r="E498" s="9">
        <f>IFERROR(VLOOKUP(B498, 'Duke 2'!A$3:$B$522,2, 0), 0)</f>
        <v>0</v>
      </c>
      <c r="F498" s="10">
        <f>IFERROR(VLOOKUP(B498, 'Duke 3'!A$3:$B1000,2, 0), 0)</f>
        <v>0</v>
      </c>
      <c r="G498" s="10">
        <f>IFERROR(VLOOKUP(B498, 'Duke 4'!A$3:$B1000,2, 0), 0)</f>
        <v>0</v>
      </c>
      <c r="H498" s="10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</row>
    <row r="499">
      <c r="A499" s="1">
        <f t="shared" si="1"/>
        <v>498</v>
      </c>
      <c r="B499" s="7" t="s">
        <v>465</v>
      </c>
      <c r="C499" s="8">
        <f t="shared" si="2"/>
        <v>0</v>
      </c>
      <c r="D499" s="9">
        <f>IFERROR(VLOOKUP(B499, 'Duke 1'!A$3:$B$85,2, 0), 0)</f>
        <v>0</v>
      </c>
      <c r="E499" s="9">
        <f>IFERROR(VLOOKUP(B499, 'Duke 2'!A$3:$B$522,2, 0), 0)</f>
        <v>0</v>
      </c>
      <c r="F499" s="10">
        <f>IFERROR(VLOOKUP(B499, 'Duke 3'!A$3:$B1000,2, 0), 0)</f>
        <v>0</v>
      </c>
      <c r="G499" s="10">
        <f>IFERROR(VLOOKUP(B499, 'Duke 4'!A$3:$B1000,2, 0), 0)</f>
        <v>0</v>
      </c>
      <c r="H499" s="10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</row>
    <row r="500">
      <c r="A500" s="1">
        <f t="shared" si="1"/>
        <v>499</v>
      </c>
      <c r="B500" s="7" t="s">
        <v>466</v>
      </c>
      <c r="C500" s="8">
        <f t="shared" si="2"/>
        <v>0</v>
      </c>
      <c r="D500" s="9">
        <f>IFERROR(VLOOKUP(B500, 'Duke 1'!A$3:$B$85,2, 0), 0)</f>
        <v>0</v>
      </c>
      <c r="E500" s="9">
        <f>IFERROR(VLOOKUP(B500, 'Duke 2'!A$3:$B$522,2, 0), 0)</f>
        <v>0</v>
      </c>
      <c r="F500" s="10">
        <f>IFERROR(VLOOKUP(B500, 'Duke 3'!A$3:$B1000,2, 0), 0)</f>
        <v>0</v>
      </c>
      <c r="G500" s="10">
        <f>IFERROR(VLOOKUP(B500, 'Duke 4'!A$3:$B1000,2, 0), 0)</f>
        <v>0</v>
      </c>
      <c r="H500" s="10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</row>
    <row r="501">
      <c r="A501" s="1">
        <f t="shared" si="1"/>
        <v>500</v>
      </c>
      <c r="B501" s="7" t="s">
        <v>467</v>
      </c>
      <c r="C501" s="8">
        <f t="shared" si="2"/>
        <v>0</v>
      </c>
      <c r="D501" s="9">
        <f>IFERROR(VLOOKUP(B501, 'Duke 1'!A$3:$B$85,2, 0), 0)</f>
        <v>0</v>
      </c>
      <c r="E501" s="9">
        <f>IFERROR(VLOOKUP(B501, 'Duke 2'!A$3:$B$522,2, 0), 0)</f>
        <v>0</v>
      </c>
      <c r="F501" s="10">
        <f>IFERROR(VLOOKUP(B501, 'Duke 3'!A$3:$B1000,2, 0), 0)</f>
        <v>0</v>
      </c>
      <c r="G501" s="10">
        <f>IFERROR(VLOOKUP(B501, 'Duke 4'!A$3:$B1000,2, 0), 0)</f>
        <v>0</v>
      </c>
      <c r="H501" s="10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</row>
    <row r="502">
      <c r="A502" s="1">
        <f t="shared" si="1"/>
        <v>501</v>
      </c>
      <c r="B502" s="7" t="s">
        <v>468</v>
      </c>
      <c r="C502" s="8">
        <f t="shared" si="2"/>
        <v>0</v>
      </c>
      <c r="D502" s="9">
        <f>IFERROR(VLOOKUP(B502, 'Duke 1'!A$3:$B$85,2, 0), 0)</f>
        <v>0</v>
      </c>
      <c r="E502" s="9">
        <f>IFERROR(VLOOKUP(B502, 'Duke 2'!A$3:$B$522,2, 0), 0)</f>
        <v>0</v>
      </c>
      <c r="F502" s="10">
        <f>IFERROR(VLOOKUP(B502, 'Duke 3'!A$3:$B1000,2, 0), 0)</f>
        <v>0</v>
      </c>
      <c r="G502" s="10">
        <f>IFERROR(VLOOKUP(B502, 'Duke 4'!A$3:$B1000,2, 0), 0)</f>
        <v>0</v>
      </c>
      <c r="H502" s="10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</row>
    <row r="503">
      <c r="A503" s="1">
        <f t="shared" si="1"/>
        <v>502</v>
      </c>
      <c r="B503" s="7" t="s">
        <v>469</v>
      </c>
      <c r="C503" s="8">
        <f t="shared" si="2"/>
        <v>0</v>
      </c>
      <c r="D503" s="9">
        <f>IFERROR(VLOOKUP(B503, 'Duke 1'!A$3:$B$85,2, 0), 0)</f>
        <v>0</v>
      </c>
      <c r="E503" s="9">
        <f>IFERROR(VLOOKUP(B503, 'Duke 2'!A$3:$B$522,2, 0), 0)</f>
        <v>0</v>
      </c>
      <c r="F503" s="10">
        <f>IFERROR(VLOOKUP(B503, 'Duke 3'!A$3:$B1000,2, 0), 0)</f>
        <v>0</v>
      </c>
      <c r="G503" s="10">
        <f>IFERROR(VLOOKUP(B503, 'Duke 4'!A$3:$B1000,2, 0), 0)</f>
        <v>0</v>
      </c>
      <c r="H503" s="10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</row>
    <row r="504">
      <c r="A504" s="1">
        <f t="shared" si="1"/>
        <v>503</v>
      </c>
      <c r="B504" s="7" t="s">
        <v>470</v>
      </c>
      <c r="C504" s="8">
        <f t="shared" si="2"/>
        <v>0</v>
      </c>
      <c r="D504" s="9">
        <f>IFERROR(VLOOKUP(B504, 'Duke 1'!A$3:$B$85,2, 0), 0)</f>
        <v>0</v>
      </c>
      <c r="E504" s="9">
        <f>IFERROR(VLOOKUP(B504, 'Duke 2'!A$3:$B$522,2, 0), 0)</f>
        <v>0</v>
      </c>
      <c r="F504" s="10">
        <f>IFERROR(VLOOKUP(B504, 'Duke 3'!A$3:$B1000,2, 0), 0)</f>
        <v>0</v>
      </c>
      <c r="G504" s="10">
        <f>IFERROR(VLOOKUP(B504, 'Duke 4'!A$3:$B1000,2, 0), 0)</f>
        <v>0</v>
      </c>
      <c r="H504" s="10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</row>
    <row r="505">
      <c r="A505" s="1">
        <f t="shared" si="1"/>
        <v>504</v>
      </c>
      <c r="B505" s="7" t="s">
        <v>471</v>
      </c>
      <c r="C505" s="8">
        <f t="shared" si="2"/>
        <v>0</v>
      </c>
      <c r="D505" s="9">
        <f>IFERROR(VLOOKUP(B505, 'Duke 1'!A$3:$B$85,2, 0), 0)</f>
        <v>0</v>
      </c>
      <c r="E505" s="9">
        <f>IFERROR(VLOOKUP(B505, 'Duke 2'!A$3:$B$522,2, 0), 0)</f>
        <v>0</v>
      </c>
      <c r="F505" s="10">
        <f>IFERROR(VLOOKUP(B505, 'Duke 3'!A$3:$B1000,2, 0), 0)</f>
        <v>0</v>
      </c>
      <c r="G505" s="10">
        <f>IFERROR(VLOOKUP(B505, 'Duke 4'!A$3:$B1000,2, 0), 0)</f>
        <v>0</v>
      </c>
      <c r="H505" s="10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</row>
    <row r="506">
      <c r="A506" s="1">
        <f t="shared" si="1"/>
        <v>505</v>
      </c>
      <c r="B506" s="7" t="s">
        <v>472</v>
      </c>
      <c r="C506" s="8">
        <f t="shared" si="2"/>
        <v>0</v>
      </c>
      <c r="D506" s="9">
        <f>IFERROR(VLOOKUP(B506, 'Duke 1'!A$3:$B$85,2, 0), 0)</f>
        <v>0</v>
      </c>
      <c r="E506" s="9">
        <f>IFERROR(VLOOKUP(B506, 'Duke 2'!A$3:$B$522,2, 0), 0)</f>
        <v>0</v>
      </c>
      <c r="F506" s="10">
        <f>IFERROR(VLOOKUP(B506, 'Duke 3'!A$3:$B1000,2, 0), 0)</f>
        <v>0</v>
      </c>
      <c r="G506" s="10">
        <f>IFERROR(VLOOKUP(B506, 'Duke 4'!A$3:$B1000,2, 0), 0)</f>
        <v>0</v>
      </c>
      <c r="H506" s="10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</row>
    <row r="507">
      <c r="A507" s="1">
        <f t="shared" si="1"/>
        <v>506</v>
      </c>
      <c r="B507" s="7" t="s">
        <v>473</v>
      </c>
      <c r="C507" s="8">
        <f t="shared" si="2"/>
        <v>0</v>
      </c>
      <c r="D507" s="9">
        <f>IFERROR(VLOOKUP(B507, 'Duke 1'!A$3:$B$85,2, 0), 0)</f>
        <v>0</v>
      </c>
      <c r="E507" s="9">
        <f>IFERROR(VLOOKUP(B507, 'Duke 2'!A$3:$B$522,2, 0), 0)</f>
        <v>0</v>
      </c>
      <c r="F507" s="10">
        <f>IFERROR(VLOOKUP(B507, 'Duke 3'!A$3:$B1000,2, 0), 0)</f>
        <v>0</v>
      </c>
      <c r="G507" s="10">
        <f>IFERROR(VLOOKUP(B507, 'Duke 4'!A$3:$B1000,2, 0), 0)</f>
        <v>0</v>
      </c>
      <c r="H507" s="10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</row>
    <row r="508">
      <c r="A508" s="1">
        <f t="shared" si="1"/>
        <v>507</v>
      </c>
      <c r="B508" s="7" t="s">
        <v>474</v>
      </c>
      <c r="C508" s="8">
        <f t="shared" si="2"/>
        <v>0</v>
      </c>
      <c r="D508" s="9">
        <f>IFERROR(VLOOKUP(B508, 'Duke 1'!A$3:$B$85,2, 0), 0)</f>
        <v>0</v>
      </c>
      <c r="E508" s="9">
        <f>IFERROR(VLOOKUP(B508, 'Duke 2'!A$3:$B$522,2, 0), 0)</f>
        <v>0</v>
      </c>
      <c r="F508" s="10">
        <f>IFERROR(VLOOKUP(B508, 'Duke 3'!A$3:$B1000,2, 0), 0)</f>
        <v>0</v>
      </c>
      <c r="G508" s="10">
        <f>IFERROR(VLOOKUP(B508, 'Duke 4'!A$3:$B1000,2, 0), 0)</f>
        <v>0</v>
      </c>
      <c r="H508" s="10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</row>
    <row r="509">
      <c r="A509" s="1">
        <f t="shared" si="1"/>
        <v>508</v>
      </c>
      <c r="B509" s="7" t="s">
        <v>475</v>
      </c>
      <c r="C509" s="8">
        <f t="shared" si="2"/>
        <v>0</v>
      </c>
      <c r="D509" s="9">
        <f>IFERROR(VLOOKUP(B509, 'Duke 1'!A$3:$B$85,2, 0), 0)</f>
        <v>0</v>
      </c>
      <c r="E509" s="9">
        <f>IFERROR(VLOOKUP(B509, 'Duke 2'!A$3:$B$522,2, 0), 0)</f>
        <v>0</v>
      </c>
      <c r="F509" s="10">
        <f>IFERROR(VLOOKUP(B509, 'Duke 3'!A$3:$B1000,2, 0), 0)</f>
        <v>0</v>
      </c>
      <c r="G509" s="10">
        <f>IFERROR(VLOOKUP(B509, 'Duke 4'!A$3:$B1000,2, 0), 0)</f>
        <v>0</v>
      </c>
      <c r="H509" s="10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</row>
    <row r="510">
      <c r="A510" s="1">
        <f t="shared" si="1"/>
        <v>509</v>
      </c>
      <c r="B510" s="7" t="s">
        <v>476</v>
      </c>
      <c r="C510" s="8">
        <f t="shared" si="2"/>
        <v>0</v>
      </c>
      <c r="D510" s="9">
        <f>IFERROR(VLOOKUP(B510, 'Duke 1'!A$3:$B$85,2, 0), 0)</f>
        <v>0</v>
      </c>
      <c r="E510" s="9">
        <f>IFERROR(VLOOKUP(B510, 'Duke 2'!A$3:$B$522,2, 0), 0)</f>
        <v>0</v>
      </c>
      <c r="F510" s="10">
        <f>IFERROR(VLOOKUP(B510, 'Duke 3'!A$3:$B1000,2, 0), 0)</f>
        <v>0</v>
      </c>
      <c r="G510" s="10">
        <f>IFERROR(VLOOKUP(B510, 'Duke 4'!A$3:$B1000,2, 0), 0)</f>
        <v>0</v>
      </c>
      <c r="H510" s="10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</row>
    <row r="511">
      <c r="A511" s="1">
        <f t="shared" si="1"/>
        <v>510</v>
      </c>
      <c r="B511" s="7" t="s">
        <v>477</v>
      </c>
      <c r="C511" s="8">
        <f t="shared" si="2"/>
        <v>0</v>
      </c>
      <c r="D511" s="9">
        <f>IFERROR(VLOOKUP(B511, 'Duke 1'!A$3:$B$85,2, 0), 0)</f>
        <v>0</v>
      </c>
      <c r="E511" s="9">
        <f>IFERROR(VLOOKUP(B511, 'Duke 2'!A$3:$B$522,2, 0), 0)</f>
        <v>0</v>
      </c>
      <c r="F511" s="10">
        <f>IFERROR(VLOOKUP(B511, 'Duke 3'!A$3:$B1000,2, 0), 0)</f>
        <v>0</v>
      </c>
      <c r="G511" s="10">
        <f>IFERROR(VLOOKUP(B511, 'Duke 4'!A$3:$B1000,2, 0), 0)</f>
        <v>0</v>
      </c>
      <c r="H511" s="10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</row>
    <row r="512">
      <c r="A512" s="1">
        <f t="shared" si="1"/>
        <v>511</v>
      </c>
      <c r="B512" s="7" t="s">
        <v>478</v>
      </c>
      <c r="C512" s="8">
        <f t="shared" si="2"/>
        <v>0</v>
      </c>
      <c r="D512" s="9">
        <f>IFERROR(VLOOKUP(B512, 'Duke 1'!A$3:$B$85,2, 0), 0)</f>
        <v>0</v>
      </c>
      <c r="E512" s="9">
        <f>IFERROR(VLOOKUP(B512, 'Duke 2'!A$3:$B$522,2, 0), 0)</f>
        <v>0</v>
      </c>
      <c r="F512" s="10">
        <f>IFERROR(VLOOKUP(B512, 'Duke 3'!A$3:$B1000,2, 0), 0)</f>
        <v>0</v>
      </c>
      <c r="G512" s="10">
        <f>IFERROR(VLOOKUP(B512, 'Duke 4'!A$3:$B1000,2, 0), 0)</f>
        <v>0</v>
      </c>
      <c r="H512" s="10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</row>
    <row r="513">
      <c r="A513" s="1">
        <f t="shared" si="1"/>
        <v>512</v>
      </c>
      <c r="B513" s="7" t="s">
        <v>479</v>
      </c>
      <c r="C513" s="8">
        <f t="shared" si="2"/>
        <v>0</v>
      </c>
      <c r="D513" s="9">
        <f>IFERROR(VLOOKUP(B513, 'Duke 1'!A$3:$B$85,2, 0), 0)</f>
        <v>0</v>
      </c>
      <c r="E513" s="9">
        <f>IFERROR(VLOOKUP(B513, 'Duke 2'!A$3:$B$522,2, 0), 0)</f>
        <v>0</v>
      </c>
      <c r="F513" s="10">
        <f>IFERROR(VLOOKUP(B513, 'Duke 3'!A$3:$B1000,2, 0), 0)</f>
        <v>0</v>
      </c>
      <c r="G513" s="10">
        <f>IFERROR(VLOOKUP(B513, 'Duke 4'!A$3:$B1000,2, 0), 0)</f>
        <v>0</v>
      </c>
      <c r="H513" s="10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</row>
    <row r="514">
      <c r="A514" s="1">
        <f t="shared" si="1"/>
        <v>513</v>
      </c>
      <c r="B514" s="7" t="s">
        <v>480</v>
      </c>
      <c r="C514" s="8">
        <f t="shared" si="2"/>
        <v>0</v>
      </c>
      <c r="D514" s="9">
        <f>IFERROR(VLOOKUP(B514, 'Duke 1'!A$3:$B$85,2, 0), 0)</f>
        <v>0</v>
      </c>
      <c r="E514" s="9">
        <f>IFERROR(VLOOKUP(B514, 'Duke 2'!A$3:$B$522,2, 0), 0)</f>
        <v>0</v>
      </c>
      <c r="F514" s="10">
        <f>IFERROR(VLOOKUP(B514, 'Duke 3'!A$3:$B1000,2, 0), 0)</f>
        <v>0</v>
      </c>
      <c r="G514" s="10">
        <f>IFERROR(VLOOKUP(B514, 'Duke 4'!A$3:$B1000,2, 0), 0)</f>
        <v>0</v>
      </c>
      <c r="H514" s="10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</row>
    <row r="515">
      <c r="A515" s="1">
        <f t="shared" si="1"/>
        <v>514</v>
      </c>
      <c r="B515" s="7" t="s">
        <v>481</v>
      </c>
      <c r="C515" s="8">
        <f t="shared" si="2"/>
        <v>0</v>
      </c>
      <c r="D515" s="9">
        <f>IFERROR(VLOOKUP(B515, 'Duke 1'!A$3:$B$85,2, 0), 0)</f>
        <v>0</v>
      </c>
      <c r="E515" s="9">
        <f>IFERROR(VLOOKUP(B515, 'Duke 2'!A$3:$B$522,2, 0), 0)</f>
        <v>0</v>
      </c>
      <c r="F515" s="10">
        <f>IFERROR(VLOOKUP(B515, 'Duke 3'!A$3:$B1000,2, 0), 0)</f>
        <v>0</v>
      </c>
      <c r="G515" s="10">
        <f>IFERROR(VLOOKUP(B515, 'Duke 4'!A$3:$B1000,2, 0), 0)</f>
        <v>0</v>
      </c>
      <c r="H515" s="10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</row>
    <row r="516">
      <c r="A516" s="1">
        <f t="shared" si="1"/>
        <v>515</v>
      </c>
      <c r="B516" s="7" t="s">
        <v>482</v>
      </c>
      <c r="C516" s="8">
        <f t="shared" si="2"/>
        <v>0</v>
      </c>
      <c r="D516" s="9">
        <f>IFERROR(VLOOKUP(B516, 'Duke 1'!A$3:$B$85,2, 0), 0)</f>
        <v>0</v>
      </c>
      <c r="E516" s="9">
        <f>IFERROR(VLOOKUP(B516, 'Duke 2'!A$3:$B$522,2, 0), 0)</f>
        <v>0</v>
      </c>
      <c r="F516" s="10">
        <f>IFERROR(VLOOKUP(B516, 'Duke 3'!A$3:$B1000,2, 0), 0)</f>
        <v>0</v>
      </c>
      <c r="G516" s="10">
        <f>IFERROR(VLOOKUP(B516, 'Duke 4'!A$3:$B1000,2, 0), 0)</f>
        <v>0</v>
      </c>
      <c r="H516" s="10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</row>
    <row r="517">
      <c r="A517" s="1">
        <f t="shared" si="1"/>
        <v>516</v>
      </c>
      <c r="B517" s="7" t="s">
        <v>483</v>
      </c>
      <c r="C517" s="8">
        <f t="shared" si="2"/>
        <v>0</v>
      </c>
      <c r="D517" s="9">
        <f>IFERROR(VLOOKUP(B517, 'Duke 1'!A$3:$B$85,2, 0), 0)</f>
        <v>0</v>
      </c>
      <c r="E517" s="9">
        <f>IFERROR(VLOOKUP(B517, 'Duke 2'!A$3:$B$522,2, 0), 0)</f>
        <v>0</v>
      </c>
      <c r="F517" s="10">
        <f>IFERROR(VLOOKUP(B517, 'Duke 3'!A$3:$B1000,2, 0), 0)</f>
        <v>0</v>
      </c>
      <c r="G517" s="10">
        <f>IFERROR(VLOOKUP(B517, 'Duke 4'!A$3:$B1000,2, 0), 0)</f>
        <v>0</v>
      </c>
      <c r="H517" s="10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</row>
    <row r="518">
      <c r="A518" s="1">
        <f t="shared" si="1"/>
        <v>517</v>
      </c>
      <c r="B518" s="7" t="s">
        <v>484</v>
      </c>
      <c r="C518" s="8">
        <f t="shared" si="2"/>
        <v>0</v>
      </c>
      <c r="D518" s="9">
        <f>IFERROR(VLOOKUP(B518, 'Duke 1'!A$3:$B$85,2, 0), 0)</f>
        <v>0</v>
      </c>
      <c r="E518" s="9">
        <f>IFERROR(VLOOKUP(B518, 'Duke 2'!A$3:$B$522,2, 0), 0)</f>
        <v>0</v>
      </c>
      <c r="F518" s="10">
        <f>IFERROR(VLOOKUP(B518, 'Duke 3'!A$3:$B1000,2, 0), 0)</f>
        <v>0</v>
      </c>
      <c r="G518" s="10">
        <f>IFERROR(VLOOKUP(B518, 'Duke 4'!A$3:$B1000,2, 0), 0)</f>
        <v>0</v>
      </c>
      <c r="H518" s="10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</row>
    <row r="519">
      <c r="A519" s="1">
        <f t="shared" si="1"/>
        <v>518</v>
      </c>
      <c r="B519" s="7" t="s">
        <v>485</v>
      </c>
      <c r="C519" s="8">
        <f t="shared" si="2"/>
        <v>0</v>
      </c>
      <c r="D519" s="9">
        <f>IFERROR(VLOOKUP(B519, 'Duke 1'!A$3:$B$85,2, 0), 0)</f>
        <v>0</v>
      </c>
      <c r="E519" s="9">
        <f>IFERROR(VLOOKUP(B519, 'Duke 2'!A$3:$B$522,2, 0), 0)</f>
        <v>0</v>
      </c>
      <c r="F519" s="10">
        <f>IFERROR(VLOOKUP(B519, 'Duke 3'!A$3:$B1000,2, 0), 0)</f>
        <v>0</v>
      </c>
      <c r="G519" s="10">
        <f>IFERROR(VLOOKUP(B519, 'Duke 4'!A$3:$B1000,2, 0), 0)</f>
        <v>0</v>
      </c>
      <c r="H519" s="10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</row>
    <row r="520">
      <c r="A520" s="1">
        <f t="shared" si="1"/>
        <v>519</v>
      </c>
      <c r="B520" s="7" t="s">
        <v>486</v>
      </c>
      <c r="C520" s="8">
        <f t="shared" si="2"/>
        <v>0</v>
      </c>
      <c r="D520" s="9">
        <f>IFERROR(VLOOKUP(B520, 'Duke 1'!A$3:$B$85,2, 0), 0)</f>
        <v>0</v>
      </c>
      <c r="E520" s="9">
        <f>IFERROR(VLOOKUP(B520, 'Duke 2'!A$3:$B$522,2, 0), 0)</f>
        <v>0</v>
      </c>
      <c r="F520" s="10">
        <f>IFERROR(VLOOKUP(B520, 'Duke 3'!A$3:$B1000,2, 0), 0)</f>
        <v>0</v>
      </c>
      <c r="G520" s="10">
        <f>IFERROR(VLOOKUP(B520, 'Duke 4'!A$3:$B1000,2, 0), 0)</f>
        <v>0</v>
      </c>
      <c r="H520" s="10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</row>
    <row r="521">
      <c r="A521" s="1">
        <f t="shared" si="1"/>
        <v>520</v>
      </c>
      <c r="B521" s="7" t="s">
        <v>487</v>
      </c>
      <c r="C521" s="8">
        <f t="shared" si="2"/>
        <v>0</v>
      </c>
      <c r="D521" s="9">
        <f>IFERROR(VLOOKUP(B521, 'Duke 1'!A$3:$B$85,2, 0), 0)</f>
        <v>0</v>
      </c>
      <c r="E521" s="9">
        <f>IFERROR(VLOOKUP(B521, 'Duke 2'!A$3:$B$522,2, 0), 0)</f>
        <v>0</v>
      </c>
      <c r="F521" s="10">
        <f>IFERROR(VLOOKUP(B521, 'Duke 3'!A$3:$B1000,2, 0), 0)</f>
        <v>0</v>
      </c>
      <c r="G521" s="10">
        <f>IFERROR(VLOOKUP(B521, 'Duke 4'!A$3:$B1000,2, 0), 0)</f>
        <v>0</v>
      </c>
      <c r="H521" s="10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</row>
    <row r="522">
      <c r="A522" s="1">
        <f t="shared" si="1"/>
        <v>521</v>
      </c>
      <c r="B522" s="7" t="s">
        <v>488</v>
      </c>
      <c r="C522" s="8">
        <f t="shared" si="2"/>
        <v>0</v>
      </c>
      <c r="D522" s="9">
        <f>IFERROR(VLOOKUP(B522, 'Duke 1'!A$3:$B$85,2, 0), 0)</f>
        <v>0</v>
      </c>
      <c r="E522" s="9">
        <f>IFERROR(VLOOKUP(B522, 'Duke 2'!A$3:$B$522,2, 0), 0)</f>
        <v>0</v>
      </c>
      <c r="F522" s="10">
        <f>IFERROR(VLOOKUP(B522, 'Duke 3'!A$3:$B1000,2, 0), 0)</f>
        <v>0</v>
      </c>
      <c r="G522" s="10">
        <f>IFERROR(VLOOKUP(B522, 'Duke 4'!A$3:$B1000,2, 0), 0)</f>
        <v>0</v>
      </c>
      <c r="H522" s="10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</row>
    <row r="523">
      <c r="A523" s="1">
        <f t="shared" si="1"/>
        <v>522</v>
      </c>
      <c r="B523" s="7" t="s">
        <v>489</v>
      </c>
      <c r="C523" s="8">
        <f t="shared" si="2"/>
        <v>0</v>
      </c>
      <c r="D523" s="9">
        <f>IFERROR(VLOOKUP(B523, 'Duke 1'!A$3:$B$85,2, 0), 0)</f>
        <v>0</v>
      </c>
      <c r="E523" s="9">
        <f>IFERROR(VLOOKUP(B523, 'Duke 2'!A$3:$B$522,2, 0), 0)</f>
        <v>0</v>
      </c>
      <c r="F523" s="10">
        <f>IFERROR(VLOOKUP(B523, 'Duke 3'!A$3:$B1000,2, 0), 0)</f>
        <v>0</v>
      </c>
      <c r="G523" s="10">
        <f>IFERROR(VLOOKUP(B523, 'Duke 4'!A$3:$B1000,2, 0), 0)</f>
        <v>0</v>
      </c>
      <c r="H523" s="10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</row>
    <row r="524">
      <c r="A524" s="1">
        <f t="shared" si="1"/>
        <v>523</v>
      </c>
      <c r="B524" s="7" t="s">
        <v>490</v>
      </c>
      <c r="C524" s="8">
        <f t="shared" si="2"/>
        <v>0</v>
      </c>
      <c r="D524" s="9">
        <f>IFERROR(VLOOKUP(B524, 'Duke 1'!A$3:$B$85,2, 0), 0)</f>
        <v>0</v>
      </c>
      <c r="E524" s="9">
        <f>IFERROR(VLOOKUP(B524, 'Duke 2'!A$3:$B$522,2, 0), 0)</f>
        <v>0</v>
      </c>
      <c r="F524" s="10">
        <f>IFERROR(VLOOKUP(B524, 'Duke 3'!A$3:$B1000,2, 0), 0)</f>
        <v>0</v>
      </c>
      <c r="G524" s="10">
        <f>IFERROR(VLOOKUP(B524, 'Duke 4'!A$3:$B1000,2, 0), 0)</f>
        <v>0</v>
      </c>
      <c r="H524" s="10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</row>
    <row r="525">
      <c r="A525" s="1">
        <f t="shared" si="1"/>
        <v>524</v>
      </c>
      <c r="B525" s="7" t="s">
        <v>491</v>
      </c>
      <c r="C525" s="8">
        <f t="shared" si="2"/>
        <v>0</v>
      </c>
      <c r="D525" s="9">
        <f>IFERROR(VLOOKUP(B525, 'Duke 1'!A$3:$B$85,2, 0), 0)</f>
        <v>0</v>
      </c>
      <c r="E525" s="9">
        <f>IFERROR(VLOOKUP(B525, 'Duke 2'!A$3:$B$522,2, 0), 0)</f>
        <v>0</v>
      </c>
      <c r="F525" s="10">
        <f>IFERROR(VLOOKUP(B525, 'Duke 3'!A$3:$B1000,2, 0), 0)</f>
        <v>0</v>
      </c>
      <c r="G525" s="10">
        <f>IFERROR(VLOOKUP(B525, 'Duke 4'!A$3:$B1000,2, 0), 0)</f>
        <v>0</v>
      </c>
      <c r="H525" s="10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</row>
    <row r="526">
      <c r="A526" s="1">
        <f t="shared" si="1"/>
        <v>525</v>
      </c>
      <c r="B526" s="7" t="s">
        <v>492</v>
      </c>
      <c r="C526" s="8">
        <f t="shared" si="2"/>
        <v>0</v>
      </c>
      <c r="D526" s="9">
        <f>IFERROR(VLOOKUP(B526, 'Duke 1'!A$3:$B$85,2, 0), 0)</f>
        <v>0</v>
      </c>
      <c r="E526" s="9">
        <f>IFERROR(VLOOKUP(B526, 'Duke 2'!A$3:$B$522,2, 0), 0)</f>
        <v>0</v>
      </c>
      <c r="F526" s="10">
        <f>IFERROR(VLOOKUP(B526, 'Duke 3'!A$3:$B1000,2, 0), 0)</f>
        <v>0</v>
      </c>
      <c r="G526" s="10">
        <f>IFERROR(VLOOKUP(B526, 'Duke 4'!A$3:$B1000,2, 0), 0)</f>
        <v>0</v>
      </c>
      <c r="H526" s="10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</row>
    <row r="527">
      <c r="A527" s="1">
        <f t="shared" si="1"/>
        <v>526</v>
      </c>
      <c r="B527" s="7" t="s">
        <v>493</v>
      </c>
      <c r="C527" s="8">
        <f t="shared" si="2"/>
        <v>0</v>
      </c>
      <c r="D527" s="9">
        <f>IFERROR(VLOOKUP(B527, 'Duke 1'!A$3:$B$85,2, 0), 0)</f>
        <v>0</v>
      </c>
      <c r="E527" s="9">
        <f>IFERROR(VLOOKUP(B527, 'Duke 2'!A$3:$B$522,2, 0), 0)</f>
        <v>0</v>
      </c>
      <c r="F527" s="10">
        <f>IFERROR(VLOOKUP(B527, 'Duke 3'!A$3:$B1000,2, 0), 0)</f>
        <v>0</v>
      </c>
      <c r="G527" s="10">
        <f>IFERROR(VLOOKUP(B527, 'Duke 4'!A$3:$B1000,2, 0), 0)</f>
        <v>0</v>
      </c>
      <c r="H527" s="10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</row>
    <row r="528">
      <c r="A528" s="1">
        <f t="shared" si="1"/>
        <v>527</v>
      </c>
      <c r="B528" s="7" t="s">
        <v>494</v>
      </c>
      <c r="C528" s="8">
        <f t="shared" si="2"/>
        <v>0</v>
      </c>
      <c r="D528" s="9">
        <f>IFERROR(VLOOKUP(B528, 'Duke 1'!A$3:$B$85,2, 0), 0)</f>
        <v>0</v>
      </c>
      <c r="E528" s="9">
        <f>IFERROR(VLOOKUP(B528, 'Duke 2'!A$3:$B$522,2, 0), 0)</f>
        <v>0</v>
      </c>
      <c r="F528" s="10">
        <f>IFERROR(VLOOKUP(B528, 'Duke 3'!A$3:$B1000,2, 0), 0)</f>
        <v>0</v>
      </c>
      <c r="G528" s="10">
        <f>IFERROR(VLOOKUP(B528, 'Duke 4'!A$3:$B1000,2, 0), 0)</f>
        <v>0</v>
      </c>
      <c r="H528" s="10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</row>
    <row r="529">
      <c r="A529" s="1">
        <f t="shared" si="1"/>
        <v>528</v>
      </c>
      <c r="B529" s="7" t="s">
        <v>495</v>
      </c>
      <c r="C529" s="8">
        <f t="shared" si="2"/>
        <v>0</v>
      </c>
      <c r="D529" s="9">
        <f>IFERROR(VLOOKUP(B529, 'Duke 1'!A$3:$B$85,2, 0), 0)</f>
        <v>0</v>
      </c>
      <c r="E529" s="9">
        <f>IFERROR(VLOOKUP(B529, 'Duke 2'!A$3:$B$522,2, 0), 0)</f>
        <v>0</v>
      </c>
      <c r="F529" s="10">
        <f>IFERROR(VLOOKUP(B529, 'Duke 3'!A$3:$B1000,2, 0), 0)</f>
        <v>0</v>
      </c>
      <c r="G529" s="10">
        <f>IFERROR(VLOOKUP(B529, 'Duke 4'!A$3:$B1000,2, 0), 0)</f>
        <v>0</v>
      </c>
      <c r="H529" s="10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</row>
    <row r="530">
      <c r="A530" s="6"/>
      <c r="B530" s="6"/>
      <c r="C530" s="6"/>
      <c r="D530" s="18"/>
      <c r="E530" s="18"/>
      <c r="F530" s="19"/>
      <c r="G530" s="10">
        <f>IFERROR(VLOOKUP(B530, 'Duke 4'!A$3:$B1000,2, 0), 0)</f>
        <v>0</v>
      </c>
      <c r="H530" s="15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</row>
    <row r="531">
      <c r="A531" s="6"/>
      <c r="B531" s="6"/>
      <c r="C531" s="6"/>
      <c r="D531" s="18"/>
      <c r="E531" s="18"/>
      <c r="F531" s="19"/>
      <c r="G531" s="10">
        <f>IFERROR(VLOOKUP(B531, 'Duke 4'!A$3:$B1000,2, 0), 0)</f>
        <v>0</v>
      </c>
      <c r="H531" s="15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</row>
    <row r="532">
      <c r="A532" s="6"/>
      <c r="B532" s="6"/>
      <c r="C532" s="6"/>
      <c r="D532" s="18"/>
      <c r="E532" s="18"/>
      <c r="F532" s="19"/>
      <c r="G532" s="10">
        <f>IFERROR(VLOOKUP(B532, 'Duke 4'!A$3:$B1000,2, 0), 0)</f>
        <v>0</v>
      </c>
      <c r="H532" s="15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</row>
    <row r="533">
      <c r="A533" s="6"/>
      <c r="B533" s="6"/>
      <c r="C533" s="6"/>
      <c r="D533" s="18"/>
      <c r="E533" s="18"/>
      <c r="F533" s="19"/>
      <c r="G533" s="10">
        <f>IFERROR(VLOOKUP(B533, 'Duke 4'!A$3:$B1000,2, 0), 0)</f>
        <v>0</v>
      </c>
      <c r="H533" s="15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</row>
    <row r="534">
      <c r="A534" s="6"/>
      <c r="B534" s="6"/>
      <c r="C534" s="6"/>
      <c r="D534" s="18"/>
      <c r="E534" s="18"/>
      <c r="F534" s="19"/>
      <c r="G534" s="10">
        <f>IFERROR(VLOOKUP(B534, 'Duke 4'!A$3:$B1000,2, 0), 0)</f>
        <v>0</v>
      </c>
      <c r="H534" s="15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</row>
    <row r="535">
      <c r="A535" s="6"/>
      <c r="B535" s="6"/>
      <c r="C535" s="6"/>
      <c r="D535" s="18"/>
      <c r="E535" s="18"/>
      <c r="F535" s="19"/>
      <c r="G535" s="10">
        <f>IFERROR(VLOOKUP(B535, 'Duke 4'!A$3:$B1000,2, 0), 0)</f>
        <v>0</v>
      </c>
      <c r="H535" s="15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</row>
    <row r="536">
      <c r="A536" s="6"/>
      <c r="B536" s="6"/>
      <c r="C536" s="6"/>
      <c r="D536" s="18"/>
      <c r="E536" s="18"/>
      <c r="F536" s="19"/>
      <c r="G536" s="10">
        <f>IFERROR(VLOOKUP(B536, 'Duke 4'!A$3:$B1000,2, 0), 0)</f>
        <v>0</v>
      </c>
      <c r="H536" s="15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</row>
    <row r="537">
      <c r="A537" s="6"/>
      <c r="B537" s="6"/>
      <c r="C537" s="6"/>
      <c r="D537" s="18"/>
      <c r="E537" s="18"/>
      <c r="F537" s="19"/>
      <c r="G537" s="10">
        <f>IFERROR(VLOOKUP(B537, 'Duke 4'!A$3:$B1000,2, 0), 0)</f>
        <v>0</v>
      </c>
      <c r="H537" s="15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</row>
    <row r="538">
      <c r="A538" s="6"/>
      <c r="B538" s="6"/>
      <c r="C538" s="6"/>
      <c r="D538" s="18"/>
      <c r="E538" s="18"/>
      <c r="F538" s="19"/>
      <c r="G538" s="10">
        <f>IFERROR(VLOOKUP(B538, 'Duke 4'!A$3:$B1000,2, 0), 0)</f>
        <v>0</v>
      </c>
      <c r="H538" s="15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</row>
    <row r="539">
      <c r="A539" s="6"/>
      <c r="B539" s="6"/>
      <c r="C539" s="6"/>
      <c r="D539" s="18"/>
      <c r="E539" s="18"/>
      <c r="F539" s="19"/>
      <c r="G539" s="10">
        <f>IFERROR(VLOOKUP(B539, 'Duke 4'!A$3:$B1000,2, 0), 0)</f>
        <v>0</v>
      </c>
      <c r="H539" s="15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</row>
    <row r="540">
      <c r="A540" s="6"/>
      <c r="B540" s="6"/>
      <c r="C540" s="6"/>
      <c r="D540" s="18"/>
      <c r="E540" s="18"/>
      <c r="F540" s="19"/>
      <c r="G540" s="10">
        <f>IFERROR(VLOOKUP(B540, 'Duke 4'!A$3:$B1000,2, 0), 0)</f>
        <v>0</v>
      </c>
      <c r="H540" s="15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</row>
    <row r="541">
      <c r="A541" s="6"/>
      <c r="B541" s="6"/>
      <c r="C541" s="6"/>
      <c r="D541" s="18"/>
      <c r="E541" s="18"/>
      <c r="F541" s="19"/>
      <c r="G541" s="10">
        <f>IFERROR(VLOOKUP(B541, 'Duke 4'!A$3:$B1000,2, 0), 0)</f>
        <v>0</v>
      </c>
      <c r="H541" s="15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</row>
    <row r="542">
      <c r="A542" s="6"/>
      <c r="B542" s="6"/>
      <c r="C542" s="6"/>
      <c r="D542" s="18"/>
      <c r="E542" s="18"/>
      <c r="F542" s="19"/>
      <c r="G542" s="10">
        <f>IFERROR(VLOOKUP(B542, 'Duke 4'!A$3:$B1000,2, 0), 0)</f>
        <v>0</v>
      </c>
      <c r="H542" s="15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</row>
    <row r="543">
      <c r="A543" s="6"/>
      <c r="B543" s="6"/>
      <c r="C543" s="6"/>
      <c r="D543" s="18"/>
      <c r="E543" s="18"/>
      <c r="F543" s="19"/>
      <c r="G543" s="10">
        <f>IFERROR(VLOOKUP(B543, 'Duke 4'!A$3:$B1000,2, 0), 0)</f>
        <v>0</v>
      </c>
      <c r="H543" s="15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</row>
    <row r="544">
      <c r="A544" s="6"/>
      <c r="B544" s="6"/>
      <c r="C544" s="6"/>
      <c r="D544" s="18"/>
      <c r="E544" s="18"/>
      <c r="F544" s="19"/>
      <c r="G544" s="10">
        <f>IFERROR(VLOOKUP(B544, 'Duke 4'!A$3:$B1000,2, 0), 0)</f>
        <v>0</v>
      </c>
      <c r="H544" s="15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</row>
    <row r="545">
      <c r="A545" s="6"/>
      <c r="B545" s="6"/>
      <c r="C545" s="6"/>
      <c r="D545" s="18"/>
      <c r="E545" s="18"/>
      <c r="F545" s="19"/>
      <c r="G545" s="10">
        <f>IFERROR(VLOOKUP(B545, 'Duke 4'!A$3:$B1000,2, 0), 0)</f>
        <v>0</v>
      </c>
      <c r="H545" s="15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</row>
    <row r="546">
      <c r="A546" s="6"/>
      <c r="B546" s="6"/>
      <c r="C546" s="6"/>
      <c r="D546" s="18"/>
      <c r="E546" s="18"/>
      <c r="F546" s="19"/>
      <c r="G546" s="10">
        <f>IFERROR(VLOOKUP(B546, 'Duke 4'!A$3:$B1000,2, 0), 0)</f>
        <v>0</v>
      </c>
      <c r="H546" s="15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</row>
    <row r="547">
      <c r="A547" s="6"/>
      <c r="B547" s="6"/>
      <c r="C547" s="6"/>
      <c r="D547" s="18"/>
      <c r="E547" s="18"/>
      <c r="F547" s="19"/>
      <c r="G547" s="10">
        <f>IFERROR(VLOOKUP(B547, 'Duke 4'!A$3:$B1000,2, 0), 0)</f>
        <v>0</v>
      </c>
      <c r="H547" s="15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</row>
    <row r="548">
      <c r="A548" s="6"/>
      <c r="B548" s="6"/>
      <c r="C548" s="6"/>
      <c r="D548" s="18"/>
      <c r="E548" s="18"/>
      <c r="F548" s="19"/>
      <c r="G548" s="10">
        <f>IFERROR(VLOOKUP(B548, 'Duke 4'!A$3:$B1000,2, 0), 0)</f>
        <v>0</v>
      </c>
      <c r="H548" s="15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</row>
    <row r="549">
      <c r="A549" s="6"/>
      <c r="B549" s="6"/>
      <c r="C549" s="6"/>
      <c r="D549" s="18"/>
      <c r="E549" s="18"/>
      <c r="F549" s="19"/>
      <c r="G549" s="10">
        <f>IFERROR(VLOOKUP(B549, 'Duke 4'!A$3:$B1000,2, 0), 0)</f>
        <v>0</v>
      </c>
      <c r="H549" s="15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</row>
    <row r="550">
      <c r="A550" s="6"/>
      <c r="B550" s="6"/>
      <c r="C550" s="6"/>
      <c r="D550" s="18"/>
      <c r="E550" s="18"/>
      <c r="F550" s="19"/>
      <c r="G550" s="10">
        <f>IFERROR(VLOOKUP(B550, 'Duke 4'!A$3:$B1000,2, 0), 0)</f>
        <v>0</v>
      </c>
      <c r="H550" s="15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</row>
    <row r="551">
      <c r="A551" s="6"/>
      <c r="B551" s="6"/>
      <c r="C551" s="6"/>
      <c r="D551" s="18"/>
      <c r="E551" s="18"/>
      <c r="F551" s="19"/>
      <c r="G551" s="10">
        <f>IFERROR(VLOOKUP(B551, 'Duke 4'!A$3:$B1000,2, 0), 0)</f>
        <v>0</v>
      </c>
      <c r="H551" s="15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</row>
    <row r="552">
      <c r="A552" s="6"/>
      <c r="B552" s="6"/>
      <c r="C552" s="6"/>
      <c r="D552" s="18"/>
      <c r="E552" s="18"/>
      <c r="F552" s="19"/>
      <c r="G552" s="10">
        <f>IFERROR(VLOOKUP(B552, 'Duke 4'!A$3:$B1000,2, 0), 0)</f>
        <v>0</v>
      </c>
      <c r="H552" s="15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</row>
    <row r="553">
      <c r="A553" s="6"/>
      <c r="B553" s="6"/>
      <c r="C553" s="6"/>
      <c r="D553" s="18"/>
      <c r="E553" s="18"/>
      <c r="F553" s="19"/>
      <c r="G553" s="10">
        <f>IFERROR(VLOOKUP(B553, 'Duke 4'!A$3:$B1000,2, 0), 0)</f>
        <v>0</v>
      </c>
      <c r="H553" s="15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</row>
    <row r="554">
      <c r="A554" s="6"/>
      <c r="B554" s="6"/>
      <c r="C554" s="6"/>
      <c r="D554" s="18"/>
      <c r="E554" s="18"/>
      <c r="F554" s="19"/>
      <c r="G554" s="10">
        <f>IFERROR(VLOOKUP(B554, 'Duke 4'!A$3:$B1000,2, 0), 0)</f>
        <v>0</v>
      </c>
      <c r="H554" s="15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</row>
    <row r="555">
      <c r="A555" s="6"/>
      <c r="B555" s="6"/>
      <c r="C555" s="6"/>
      <c r="D555" s="18"/>
      <c r="E555" s="18"/>
      <c r="F555" s="19"/>
      <c r="G555" s="10">
        <f>IFERROR(VLOOKUP(B555, 'Duke 4'!A$3:$B1000,2, 0), 0)</f>
        <v>0</v>
      </c>
      <c r="H555" s="15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</row>
    <row r="556">
      <c r="A556" s="6"/>
      <c r="B556" s="6"/>
      <c r="C556" s="6"/>
      <c r="D556" s="18"/>
      <c r="E556" s="18"/>
      <c r="F556" s="19"/>
      <c r="G556" s="10">
        <f>IFERROR(VLOOKUP(B556, 'Duke 4'!A$3:$B1000,2, 0), 0)</f>
        <v>0</v>
      </c>
      <c r="H556" s="15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</row>
    <row r="557">
      <c r="A557" s="6"/>
      <c r="B557" s="6"/>
      <c r="C557" s="6"/>
      <c r="D557" s="18"/>
      <c r="E557" s="18"/>
      <c r="F557" s="19"/>
      <c r="G557" s="10">
        <f>IFERROR(VLOOKUP(B557, 'Duke 4'!A$3:$B1000,2, 0), 0)</f>
        <v>0</v>
      </c>
      <c r="H557" s="15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</row>
    <row r="558">
      <c r="A558" s="6"/>
      <c r="B558" s="6"/>
      <c r="C558" s="6"/>
      <c r="D558" s="18"/>
      <c r="E558" s="18"/>
      <c r="F558" s="19"/>
      <c r="G558" s="10">
        <f>IFERROR(VLOOKUP(B558, 'Duke 4'!A$3:$B1000,2, 0), 0)</f>
        <v>0</v>
      </c>
      <c r="H558" s="15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</row>
    <row r="559">
      <c r="A559" s="6"/>
      <c r="B559" s="6"/>
      <c r="C559" s="6"/>
      <c r="D559" s="18"/>
      <c r="E559" s="18"/>
      <c r="F559" s="19"/>
      <c r="G559" s="10">
        <f>IFERROR(VLOOKUP(B559, 'Duke 4'!A$3:$B1000,2, 0), 0)</f>
        <v>0</v>
      </c>
      <c r="H559" s="15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</row>
    <row r="560">
      <c r="A560" s="6"/>
      <c r="B560" s="6"/>
      <c r="C560" s="6"/>
      <c r="D560" s="18"/>
      <c r="E560" s="18"/>
      <c r="F560" s="19"/>
      <c r="G560" s="10">
        <f>IFERROR(VLOOKUP(B560, 'Duke 4'!A$3:$B1000,2, 0), 0)</f>
        <v>0</v>
      </c>
      <c r="H560" s="15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</row>
    <row r="561">
      <c r="A561" s="6"/>
      <c r="B561" s="6"/>
      <c r="C561" s="6"/>
      <c r="D561" s="18"/>
      <c r="E561" s="18"/>
      <c r="F561" s="19"/>
      <c r="G561" s="10">
        <f>IFERROR(VLOOKUP(B561, 'Duke 4'!A$3:$B1000,2, 0), 0)</f>
        <v>0</v>
      </c>
      <c r="H561" s="15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</row>
    <row r="562">
      <c r="A562" s="6"/>
      <c r="B562" s="6"/>
      <c r="C562" s="6"/>
      <c r="D562" s="18"/>
      <c r="E562" s="18"/>
      <c r="F562" s="19"/>
      <c r="G562" s="10">
        <f>IFERROR(VLOOKUP(B562, 'Duke 4'!A$3:$B1000,2, 0), 0)</f>
        <v>0</v>
      </c>
      <c r="H562" s="15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</row>
    <row r="563">
      <c r="A563" s="6"/>
      <c r="B563" s="6"/>
      <c r="C563" s="6"/>
      <c r="D563" s="18"/>
      <c r="E563" s="18"/>
      <c r="F563" s="19"/>
      <c r="G563" s="10">
        <f>IFERROR(VLOOKUP(B563, 'Duke 4'!A$3:$B1000,2, 0), 0)</f>
        <v>0</v>
      </c>
      <c r="H563" s="15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</row>
    <row r="564">
      <c r="A564" s="6"/>
      <c r="B564" s="6"/>
      <c r="C564" s="6"/>
      <c r="D564" s="18"/>
      <c r="E564" s="18"/>
      <c r="F564" s="19"/>
      <c r="G564" s="10">
        <f>IFERROR(VLOOKUP(B564, 'Duke 4'!A$3:$B1000,2, 0), 0)</f>
        <v>0</v>
      </c>
      <c r="H564" s="15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</row>
    <row r="565">
      <c r="A565" s="6"/>
      <c r="B565" s="6"/>
      <c r="C565" s="6"/>
      <c r="D565" s="18"/>
      <c r="E565" s="18"/>
      <c r="F565" s="19"/>
      <c r="G565" s="10">
        <f>IFERROR(VLOOKUP(B565, 'Duke 4'!A$3:$B1000,2, 0), 0)</f>
        <v>0</v>
      </c>
      <c r="H565" s="15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</row>
    <row r="566">
      <c r="A566" s="6"/>
      <c r="B566" s="6"/>
      <c r="C566" s="6"/>
      <c r="D566" s="18"/>
      <c r="E566" s="18"/>
      <c r="F566" s="19"/>
      <c r="G566" s="10">
        <f>IFERROR(VLOOKUP(B566, 'Duke 4'!A$3:$B1000,2, 0), 0)</f>
        <v>0</v>
      </c>
      <c r="H566" s="15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</row>
    <row r="567">
      <c r="A567" s="6"/>
      <c r="B567" s="6"/>
      <c r="C567" s="6"/>
      <c r="D567" s="18"/>
      <c r="E567" s="18"/>
      <c r="F567" s="19"/>
      <c r="G567" s="10">
        <f>IFERROR(VLOOKUP(B567, 'Duke 4'!A$3:$B1000,2, 0), 0)</f>
        <v>0</v>
      </c>
      <c r="H567" s="15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</row>
    <row r="568">
      <c r="A568" s="6"/>
      <c r="B568" s="6"/>
      <c r="C568" s="6"/>
      <c r="D568" s="18"/>
      <c r="E568" s="18"/>
      <c r="F568" s="19"/>
      <c r="G568" s="10">
        <f>IFERROR(VLOOKUP(B568, 'Duke 4'!A$3:$B1000,2, 0), 0)</f>
        <v>0</v>
      </c>
      <c r="H568" s="15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</row>
    <row r="569">
      <c r="A569" s="6"/>
      <c r="B569" s="6"/>
      <c r="C569" s="6"/>
      <c r="D569" s="18"/>
      <c r="E569" s="18"/>
      <c r="F569" s="19"/>
      <c r="G569" s="10">
        <f>IFERROR(VLOOKUP(B569, 'Duke 4'!A$3:$B1000,2, 0), 0)</f>
        <v>0</v>
      </c>
      <c r="H569" s="15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</row>
    <row r="570">
      <c r="A570" s="6"/>
      <c r="B570" s="6"/>
      <c r="C570" s="6"/>
      <c r="D570" s="18"/>
      <c r="E570" s="18"/>
      <c r="F570" s="19"/>
      <c r="G570" s="10">
        <f>IFERROR(VLOOKUP(B570, 'Duke 4'!A$3:$B1000,2, 0), 0)</f>
        <v>0</v>
      </c>
      <c r="H570" s="15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</row>
    <row r="571">
      <c r="A571" s="6"/>
      <c r="B571" s="6"/>
      <c r="C571" s="6"/>
      <c r="D571" s="18"/>
      <c r="E571" s="18"/>
      <c r="F571" s="19"/>
      <c r="G571" s="10">
        <f>IFERROR(VLOOKUP(B571, 'Duke 4'!A$3:$B1000,2, 0), 0)</f>
        <v>0</v>
      </c>
      <c r="H571" s="15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</row>
    <row r="572">
      <c r="A572" s="6"/>
      <c r="B572" s="6"/>
      <c r="C572" s="6"/>
      <c r="D572" s="18"/>
      <c r="E572" s="18"/>
      <c r="F572" s="19"/>
      <c r="G572" s="10">
        <f>IFERROR(VLOOKUP(B572, 'Duke 4'!A$3:$B1000,2, 0), 0)</f>
        <v>0</v>
      </c>
      <c r="H572" s="15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</row>
    <row r="573">
      <c r="A573" s="6"/>
      <c r="B573" s="6"/>
      <c r="C573" s="6"/>
      <c r="D573" s="18"/>
      <c r="E573" s="18"/>
      <c r="F573" s="19"/>
      <c r="G573" s="10">
        <f>IFERROR(VLOOKUP(B573, 'Duke 4'!A$3:$B1000,2, 0), 0)</f>
        <v>0</v>
      </c>
      <c r="H573" s="15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</row>
    <row r="574">
      <c r="A574" s="6"/>
      <c r="B574" s="6"/>
      <c r="C574" s="6"/>
      <c r="D574" s="18"/>
      <c r="E574" s="18"/>
      <c r="F574" s="19"/>
      <c r="G574" s="10">
        <f>IFERROR(VLOOKUP(B574, 'Duke 4'!A$3:$B1000,2, 0), 0)</f>
        <v>0</v>
      </c>
      <c r="H574" s="15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</row>
    <row r="575">
      <c r="A575" s="6"/>
      <c r="B575" s="6"/>
      <c r="C575" s="6"/>
      <c r="D575" s="18"/>
      <c r="E575" s="18"/>
      <c r="F575" s="19"/>
      <c r="G575" s="10">
        <f>IFERROR(VLOOKUP(B575, 'Duke 4'!A$3:$B1000,2, 0), 0)</f>
        <v>0</v>
      </c>
      <c r="H575" s="15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</row>
    <row r="576">
      <c r="A576" s="6"/>
      <c r="B576" s="6"/>
      <c r="C576" s="6"/>
      <c r="D576" s="18"/>
      <c r="E576" s="18"/>
      <c r="F576" s="19"/>
      <c r="G576" s="10">
        <f>IFERROR(VLOOKUP(B576, 'Duke 4'!A$3:$B1000,2, 0), 0)</f>
        <v>0</v>
      </c>
      <c r="H576" s="15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</row>
    <row r="577">
      <c r="A577" s="6"/>
      <c r="B577" s="6"/>
      <c r="C577" s="6"/>
      <c r="D577" s="18"/>
      <c r="E577" s="18"/>
      <c r="F577" s="19"/>
      <c r="G577" s="10">
        <f>IFERROR(VLOOKUP(B577, 'Duke 4'!A$3:$B1000,2, 0), 0)</f>
        <v>0</v>
      </c>
      <c r="H577" s="15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</row>
    <row r="578">
      <c r="A578" s="6"/>
      <c r="B578" s="6"/>
      <c r="C578" s="6"/>
      <c r="D578" s="18"/>
      <c r="E578" s="18"/>
      <c r="F578" s="19"/>
      <c r="G578" s="10">
        <f>IFERROR(VLOOKUP(B578, 'Duke 4'!A$3:$B1000,2, 0), 0)</f>
        <v>0</v>
      </c>
      <c r="H578" s="15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</row>
    <row r="579">
      <c r="A579" s="6"/>
      <c r="B579" s="6"/>
      <c r="C579" s="6"/>
      <c r="D579" s="18"/>
      <c r="E579" s="18"/>
      <c r="F579" s="19"/>
      <c r="G579" s="10">
        <f>IFERROR(VLOOKUP(B579, 'Duke 4'!A$3:$B1000,2, 0), 0)</f>
        <v>0</v>
      </c>
      <c r="H579" s="15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</row>
    <row r="580">
      <c r="A580" s="6"/>
      <c r="B580" s="6"/>
      <c r="C580" s="6"/>
      <c r="D580" s="18"/>
      <c r="E580" s="18"/>
      <c r="F580" s="19"/>
      <c r="G580" s="10">
        <f>IFERROR(VLOOKUP(B580, 'Duke 4'!A$3:$B1000,2, 0), 0)</f>
        <v>0</v>
      </c>
      <c r="H580" s="15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</row>
    <row r="581">
      <c r="A581" s="6"/>
      <c r="B581" s="6"/>
      <c r="C581" s="6"/>
      <c r="D581" s="18"/>
      <c r="E581" s="18"/>
      <c r="F581" s="19"/>
      <c r="G581" s="10">
        <f>IFERROR(VLOOKUP(B581, 'Duke 4'!A$3:$B1000,2, 0), 0)</f>
        <v>0</v>
      </c>
      <c r="H581" s="15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</row>
    <row r="582">
      <c r="A582" s="6"/>
      <c r="B582" s="6"/>
      <c r="C582" s="6"/>
      <c r="D582" s="18"/>
      <c r="E582" s="18"/>
      <c r="F582" s="19"/>
      <c r="G582" s="10">
        <f>IFERROR(VLOOKUP(B582, 'Duke 4'!A$3:$B1000,2, 0), 0)</f>
        <v>0</v>
      </c>
      <c r="H582" s="15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</row>
    <row r="583">
      <c r="A583" s="6"/>
      <c r="B583" s="6"/>
      <c r="C583" s="6"/>
      <c r="D583" s="18"/>
      <c r="E583" s="18"/>
      <c r="F583" s="19"/>
      <c r="G583" s="10">
        <f>IFERROR(VLOOKUP(B583, 'Duke 4'!A$3:$B1000,2, 0), 0)</f>
        <v>0</v>
      </c>
      <c r="H583" s="15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</row>
    <row r="584">
      <c r="A584" s="6"/>
      <c r="B584" s="6"/>
      <c r="C584" s="6"/>
      <c r="D584" s="18"/>
      <c r="E584" s="18"/>
      <c r="F584" s="19"/>
      <c r="G584" s="10">
        <f>IFERROR(VLOOKUP(B584, 'Duke 4'!A$3:$B1000,2, 0), 0)</f>
        <v>0</v>
      </c>
      <c r="H584" s="15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</row>
    <row r="585">
      <c r="A585" s="6"/>
      <c r="B585" s="6"/>
      <c r="C585" s="6"/>
      <c r="D585" s="18"/>
      <c r="E585" s="18"/>
      <c r="F585" s="19"/>
      <c r="G585" s="10">
        <f>IFERROR(VLOOKUP(B585, 'Duke 4'!A$3:$B1000,2, 0), 0)</f>
        <v>0</v>
      </c>
      <c r="H585" s="15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</row>
    <row r="586">
      <c r="A586" s="6"/>
      <c r="B586" s="6"/>
      <c r="C586" s="6"/>
      <c r="D586" s="18"/>
      <c r="E586" s="18"/>
      <c r="F586" s="19"/>
      <c r="G586" s="10">
        <f>IFERROR(VLOOKUP(B586, 'Duke 4'!A$3:$B1000,2, 0), 0)</f>
        <v>0</v>
      </c>
      <c r="H586" s="15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</row>
    <row r="587">
      <c r="A587" s="6"/>
      <c r="B587" s="6"/>
      <c r="C587" s="6"/>
      <c r="D587" s="18"/>
      <c r="E587" s="18"/>
      <c r="F587" s="19"/>
      <c r="G587" s="10">
        <f>IFERROR(VLOOKUP(B587, 'Duke 4'!A$3:$B1000,2, 0), 0)</f>
        <v>0</v>
      </c>
      <c r="H587" s="15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</row>
    <row r="588">
      <c r="A588" s="6"/>
      <c r="B588" s="6"/>
      <c r="C588" s="6"/>
      <c r="D588" s="18"/>
      <c r="E588" s="18"/>
      <c r="F588" s="19"/>
      <c r="G588" s="10">
        <f>IFERROR(VLOOKUP(B588, 'Duke 4'!A$3:$B1000,2, 0), 0)</f>
        <v>0</v>
      </c>
      <c r="H588" s="15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</row>
    <row r="589">
      <c r="A589" s="6"/>
      <c r="B589" s="6"/>
      <c r="C589" s="6"/>
      <c r="D589" s="18"/>
      <c r="E589" s="18"/>
      <c r="F589" s="19"/>
      <c r="G589" s="10">
        <f>IFERROR(VLOOKUP(B589, 'Duke 4'!A$3:$B1000,2, 0), 0)</f>
        <v>0</v>
      </c>
      <c r="H589" s="15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</row>
    <row r="590">
      <c r="A590" s="6"/>
      <c r="B590" s="6"/>
      <c r="C590" s="6"/>
      <c r="D590" s="18"/>
      <c r="E590" s="18"/>
      <c r="F590" s="19"/>
      <c r="G590" s="10">
        <f>IFERROR(VLOOKUP(B590, 'Duke 4'!A$3:$B1000,2, 0), 0)</f>
        <v>0</v>
      </c>
      <c r="H590" s="15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</row>
    <row r="591">
      <c r="A591" s="6"/>
      <c r="B591" s="6"/>
      <c r="C591" s="6"/>
      <c r="D591" s="18"/>
      <c r="E591" s="18"/>
      <c r="F591" s="19"/>
      <c r="G591" s="10">
        <f>IFERROR(VLOOKUP(B591, 'Duke 4'!A$3:$B1000,2, 0), 0)</f>
        <v>0</v>
      </c>
      <c r="H591" s="15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</row>
    <row r="592">
      <c r="A592" s="6"/>
      <c r="B592" s="6"/>
      <c r="C592" s="6"/>
      <c r="D592" s="18"/>
      <c r="E592" s="18"/>
      <c r="F592" s="19"/>
      <c r="G592" s="10">
        <f>IFERROR(VLOOKUP(B592, 'Duke 4'!A$3:$B1000,2, 0), 0)</f>
        <v>0</v>
      </c>
      <c r="H592" s="15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</row>
    <row r="593">
      <c r="A593" s="6"/>
      <c r="B593" s="6"/>
      <c r="C593" s="6"/>
      <c r="D593" s="18"/>
      <c r="E593" s="18"/>
      <c r="F593" s="19"/>
      <c r="G593" s="10">
        <f>IFERROR(VLOOKUP(B593, 'Duke 4'!A$3:$B1000,2, 0), 0)</f>
        <v>0</v>
      </c>
      <c r="H593" s="15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</row>
    <row r="594">
      <c r="A594" s="6"/>
      <c r="B594" s="6"/>
      <c r="C594" s="6"/>
      <c r="D594" s="18"/>
      <c r="E594" s="18"/>
      <c r="F594" s="19"/>
      <c r="G594" s="10">
        <f>IFERROR(VLOOKUP(B594, 'Duke 4'!A$3:$B1000,2, 0), 0)</f>
        <v>0</v>
      </c>
      <c r="H594" s="15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</row>
    <row r="595">
      <c r="A595" s="6"/>
      <c r="B595" s="6"/>
      <c r="C595" s="6"/>
      <c r="D595" s="18"/>
      <c r="E595" s="18"/>
      <c r="F595" s="19"/>
      <c r="G595" s="10">
        <f>IFERROR(VLOOKUP(B595, 'Duke 4'!A$3:$B1000,2, 0), 0)</f>
        <v>0</v>
      </c>
      <c r="H595" s="15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</row>
    <row r="596">
      <c r="A596" s="6"/>
      <c r="B596" s="6"/>
      <c r="C596" s="6"/>
      <c r="D596" s="18"/>
      <c r="E596" s="18"/>
      <c r="F596" s="19"/>
      <c r="G596" s="10">
        <f>IFERROR(VLOOKUP(B596, 'Duke 4'!A$3:$B1000,2, 0), 0)</f>
        <v>0</v>
      </c>
      <c r="H596" s="15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</row>
    <row r="597">
      <c r="A597" s="6"/>
      <c r="B597" s="6"/>
      <c r="C597" s="6"/>
      <c r="D597" s="18"/>
      <c r="E597" s="18"/>
      <c r="F597" s="19"/>
      <c r="G597" s="10">
        <f>IFERROR(VLOOKUP(B597, 'Duke 4'!A$3:$B1000,2, 0), 0)</f>
        <v>0</v>
      </c>
      <c r="H597" s="15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</row>
    <row r="598">
      <c r="A598" s="6"/>
      <c r="B598" s="6"/>
      <c r="C598" s="6"/>
      <c r="D598" s="18"/>
      <c r="E598" s="18"/>
      <c r="F598" s="19"/>
      <c r="G598" s="10">
        <f>IFERROR(VLOOKUP(B598, 'Duke 4'!A$3:$B1000,2, 0), 0)</f>
        <v>0</v>
      </c>
      <c r="H598" s="15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</row>
    <row r="599">
      <c r="A599" s="6"/>
      <c r="B599" s="6"/>
      <c r="C599" s="6"/>
      <c r="D599" s="18"/>
      <c r="E599" s="18"/>
      <c r="F599" s="19"/>
      <c r="G599" s="10">
        <f>IFERROR(VLOOKUP(B599, 'Duke 4'!A$3:$B1000,2, 0), 0)</f>
        <v>0</v>
      </c>
      <c r="H599" s="15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</row>
    <row r="600">
      <c r="A600" s="6"/>
      <c r="B600" s="6"/>
      <c r="C600" s="6"/>
      <c r="D600" s="18"/>
      <c r="E600" s="18"/>
      <c r="F600" s="19"/>
      <c r="G600" s="10">
        <f>IFERROR(VLOOKUP(B600, 'Duke 4'!A$3:$B1000,2, 0), 0)</f>
        <v>0</v>
      </c>
      <c r="H600" s="15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</row>
    <row r="601">
      <c r="A601" s="6"/>
      <c r="B601" s="6"/>
      <c r="C601" s="6"/>
      <c r="D601" s="18"/>
      <c r="E601" s="18"/>
      <c r="F601" s="19"/>
      <c r="G601" s="10">
        <f>IFERROR(VLOOKUP(B601, 'Duke 4'!A$3:$B1000,2, 0), 0)</f>
        <v>0</v>
      </c>
      <c r="H601" s="15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</row>
    <row r="602">
      <c r="A602" s="6"/>
      <c r="B602" s="6"/>
      <c r="C602" s="6"/>
      <c r="D602" s="18"/>
      <c r="E602" s="18"/>
      <c r="F602" s="19"/>
      <c r="G602" s="10">
        <f>IFERROR(VLOOKUP(B602, 'Duke 4'!A$3:$B1000,2, 0), 0)</f>
        <v>0</v>
      </c>
      <c r="H602" s="15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</row>
    <row r="603">
      <c r="A603" s="6"/>
      <c r="B603" s="6"/>
      <c r="C603" s="6"/>
      <c r="D603" s="18"/>
      <c r="E603" s="18"/>
      <c r="F603" s="19"/>
      <c r="G603" s="10">
        <f>IFERROR(VLOOKUP(B603, 'Duke 4'!A$3:$B1000,2, 0), 0)</f>
        <v>0</v>
      </c>
      <c r="H603" s="15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</row>
    <row r="604">
      <c r="A604" s="6"/>
      <c r="B604" s="6"/>
      <c r="C604" s="6"/>
      <c r="D604" s="18"/>
      <c r="E604" s="18"/>
      <c r="F604" s="19"/>
      <c r="G604" s="10">
        <f>IFERROR(VLOOKUP(B604, 'Duke 4'!A$3:$B1000,2, 0), 0)</f>
        <v>0</v>
      </c>
      <c r="H604" s="15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</row>
    <row r="605">
      <c r="A605" s="6"/>
      <c r="B605" s="6"/>
      <c r="C605" s="6"/>
      <c r="D605" s="18"/>
      <c r="E605" s="18"/>
      <c r="F605" s="19"/>
      <c r="G605" s="10">
        <f>IFERROR(VLOOKUP(B605, 'Duke 4'!A$3:$B1000,2, 0), 0)</f>
        <v>0</v>
      </c>
      <c r="H605" s="15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</row>
    <row r="606">
      <c r="A606" s="6"/>
      <c r="B606" s="6"/>
      <c r="C606" s="6"/>
      <c r="D606" s="18"/>
      <c r="E606" s="18"/>
      <c r="F606" s="19"/>
      <c r="G606" s="10">
        <f>IFERROR(VLOOKUP(B606, 'Duke 4'!A$3:$B1000,2, 0), 0)</f>
        <v>0</v>
      </c>
      <c r="H606" s="15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</row>
    <row r="607">
      <c r="A607" s="6"/>
      <c r="B607" s="6"/>
      <c r="C607" s="6"/>
      <c r="D607" s="18"/>
      <c r="E607" s="18"/>
      <c r="F607" s="19"/>
      <c r="G607" s="10">
        <f>IFERROR(VLOOKUP(B607, 'Duke 4'!A$3:$B1000,2, 0), 0)</f>
        <v>0</v>
      </c>
      <c r="H607" s="15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</row>
    <row r="608">
      <c r="A608" s="6"/>
      <c r="B608" s="6"/>
      <c r="C608" s="6"/>
      <c r="D608" s="18"/>
      <c r="E608" s="18"/>
      <c r="F608" s="19"/>
      <c r="G608" s="10">
        <f>IFERROR(VLOOKUP(B608, 'Duke 4'!A$3:$B1000,2, 0), 0)</f>
        <v>0</v>
      </c>
      <c r="H608" s="15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</row>
    <row r="609">
      <c r="A609" s="6"/>
      <c r="B609" s="6"/>
      <c r="C609" s="6"/>
      <c r="D609" s="18"/>
      <c r="E609" s="18"/>
      <c r="F609" s="19"/>
      <c r="G609" s="10">
        <f>IFERROR(VLOOKUP(B609, 'Duke 4'!A$3:$B1000,2, 0), 0)</f>
        <v>0</v>
      </c>
      <c r="H609" s="15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</row>
    <row r="610">
      <c r="A610" s="6"/>
      <c r="B610" s="6"/>
      <c r="C610" s="6"/>
      <c r="D610" s="18"/>
      <c r="E610" s="18"/>
      <c r="F610" s="19"/>
      <c r="G610" s="10">
        <f>IFERROR(VLOOKUP(B610, 'Duke 4'!A$3:$B1000,2, 0), 0)</f>
        <v>0</v>
      </c>
      <c r="H610" s="15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</row>
    <row r="611">
      <c r="A611" s="6"/>
      <c r="B611" s="6"/>
      <c r="C611" s="6"/>
      <c r="D611" s="18"/>
      <c r="E611" s="18"/>
      <c r="F611" s="19"/>
      <c r="G611" s="10">
        <f>IFERROR(VLOOKUP(B611, 'Duke 4'!A$3:$B1000,2, 0), 0)</f>
        <v>0</v>
      </c>
      <c r="H611" s="15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</row>
    <row r="612">
      <c r="A612" s="6"/>
      <c r="B612" s="6"/>
      <c r="C612" s="6"/>
      <c r="D612" s="18"/>
      <c r="E612" s="18"/>
      <c r="F612" s="19"/>
      <c r="G612" s="10">
        <f>IFERROR(VLOOKUP(B612, 'Duke 4'!A$3:$B1000,2, 0), 0)</f>
        <v>0</v>
      </c>
      <c r="H612" s="15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</row>
    <row r="613">
      <c r="A613" s="6"/>
      <c r="B613" s="6"/>
      <c r="C613" s="6"/>
      <c r="D613" s="18"/>
      <c r="E613" s="18"/>
      <c r="F613" s="19"/>
      <c r="G613" s="10">
        <f>IFERROR(VLOOKUP(B613, 'Duke 4'!A$3:$B1000,2, 0), 0)</f>
        <v>0</v>
      </c>
      <c r="H613" s="15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</row>
    <row r="614">
      <c r="A614" s="6"/>
      <c r="B614" s="6"/>
      <c r="C614" s="6"/>
      <c r="D614" s="18"/>
      <c r="E614" s="18"/>
      <c r="F614" s="19"/>
      <c r="G614" s="10">
        <f>IFERROR(VLOOKUP(B614, 'Duke 4'!A$3:$B1000,2, 0), 0)</f>
        <v>0</v>
      </c>
      <c r="H614" s="15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</row>
    <row r="615">
      <c r="A615" s="6"/>
      <c r="B615" s="6"/>
      <c r="C615" s="6"/>
      <c r="D615" s="18"/>
      <c r="E615" s="18"/>
      <c r="F615" s="19"/>
      <c r="G615" s="10">
        <f>IFERROR(VLOOKUP(B615, 'Duke 4'!A$3:$B1000,2, 0), 0)</f>
        <v>0</v>
      </c>
      <c r="H615" s="15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</row>
    <row r="616">
      <c r="A616" s="6"/>
      <c r="B616" s="6"/>
      <c r="C616" s="6"/>
      <c r="D616" s="18"/>
      <c r="E616" s="18"/>
      <c r="F616" s="19"/>
      <c r="G616" s="10">
        <f>IFERROR(VLOOKUP(B616, 'Duke 4'!A$3:$B1000,2, 0), 0)</f>
        <v>0</v>
      </c>
      <c r="H616" s="15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</row>
    <row r="617">
      <c r="A617" s="6"/>
      <c r="B617" s="6"/>
      <c r="C617" s="6"/>
      <c r="D617" s="18"/>
      <c r="E617" s="18"/>
      <c r="F617" s="19"/>
      <c r="G617" s="10">
        <f>IFERROR(VLOOKUP(B617, 'Duke 4'!A$3:$B1000,2, 0), 0)</f>
        <v>0</v>
      </c>
      <c r="H617" s="15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</row>
    <row r="618">
      <c r="A618" s="6"/>
      <c r="B618" s="6"/>
      <c r="C618" s="6"/>
      <c r="D618" s="18"/>
      <c r="E618" s="18"/>
      <c r="F618" s="19"/>
      <c r="G618" s="10">
        <f>IFERROR(VLOOKUP(B618, 'Duke 4'!A$3:$B1000,2, 0), 0)</f>
        <v>0</v>
      </c>
      <c r="H618" s="15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</row>
    <row r="619">
      <c r="A619" s="6"/>
      <c r="B619" s="6"/>
      <c r="C619" s="6"/>
      <c r="D619" s="18"/>
      <c r="E619" s="18"/>
      <c r="F619" s="19"/>
      <c r="G619" s="10">
        <f>IFERROR(VLOOKUP(B619, 'Duke 4'!A$3:$B1000,2, 0), 0)</f>
        <v>0</v>
      </c>
      <c r="H619" s="15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</row>
    <row r="620">
      <c r="A620" s="6"/>
      <c r="B620" s="6"/>
      <c r="C620" s="6"/>
      <c r="D620" s="18"/>
      <c r="E620" s="18"/>
      <c r="F620" s="19"/>
      <c r="G620" s="10">
        <f>IFERROR(VLOOKUP(B620, 'Duke 4'!A$3:$B1000,2, 0), 0)</f>
        <v>0</v>
      </c>
      <c r="H620" s="15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</row>
    <row r="621">
      <c r="A621" s="6"/>
      <c r="B621" s="6"/>
      <c r="C621" s="6"/>
      <c r="D621" s="18"/>
      <c r="E621" s="18"/>
      <c r="F621" s="19"/>
      <c r="G621" s="10">
        <f>IFERROR(VLOOKUP(B621, 'Duke 4'!A$3:$B1000,2, 0), 0)</f>
        <v>0</v>
      </c>
      <c r="H621" s="15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</row>
    <row r="622">
      <c r="A622" s="6"/>
      <c r="B622" s="6"/>
      <c r="C622" s="6"/>
      <c r="D622" s="18"/>
      <c r="E622" s="18"/>
      <c r="F622" s="19"/>
      <c r="G622" s="10">
        <f>IFERROR(VLOOKUP(B622, 'Duke 4'!A$3:$B1000,2, 0), 0)</f>
        <v>0</v>
      </c>
      <c r="H622" s="15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</row>
    <row r="623">
      <c r="A623" s="6"/>
      <c r="B623" s="6"/>
      <c r="C623" s="6"/>
      <c r="D623" s="18"/>
      <c r="E623" s="18"/>
      <c r="F623" s="19"/>
      <c r="G623" s="10">
        <f>IFERROR(VLOOKUP(B623, 'Duke 4'!A$3:$B1000,2, 0), 0)</f>
        <v>0</v>
      </c>
      <c r="H623" s="15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</row>
    <row r="624">
      <c r="A624" s="6"/>
      <c r="B624" s="6"/>
      <c r="C624" s="6"/>
      <c r="D624" s="18"/>
      <c r="E624" s="18"/>
      <c r="F624" s="19"/>
      <c r="G624" s="10">
        <f>IFERROR(VLOOKUP(B624, 'Duke 4'!A$3:$B1000,2, 0), 0)</f>
        <v>0</v>
      </c>
      <c r="H624" s="15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</row>
    <row r="625">
      <c r="A625" s="6"/>
      <c r="B625" s="6"/>
      <c r="C625" s="6"/>
      <c r="D625" s="18"/>
      <c r="E625" s="18"/>
      <c r="F625" s="19"/>
      <c r="G625" s="10">
        <f>IFERROR(VLOOKUP(B625, 'Duke 4'!A$3:$B1000,2, 0), 0)</f>
        <v>0</v>
      </c>
      <c r="H625" s="15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</row>
    <row r="626">
      <c r="A626" s="6"/>
      <c r="B626" s="6"/>
      <c r="C626" s="6"/>
      <c r="D626" s="18"/>
      <c r="E626" s="18"/>
      <c r="F626" s="19"/>
      <c r="G626" s="10">
        <f>IFERROR(VLOOKUP(B626, 'Duke 4'!A$3:$B1000,2, 0), 0)</f>
        <v>0</v>
      </c>
      <c r="H626" s="15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</row>
    <row r="627">
      <c r="A627" s="6"/>
      <c r="B627" s="6"/>
      <c r="C627" s="6"/>
      <c r="D627" s="18"/>
      <c r="E627" s="18"/>
      <c r="F627" s="19"/>
      <c r="G627" s="10">
        <f>IFERROR(VLOOKUP(B627, 'Duke 4'!A$3:$B1000,2, 0), 0)</f>
        <v>0</v>
      </c>
      <c r="H627" s="15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</row>
    <row r="628">
      <c r="A628" s="6"/>
      <c r="B628" s="6"/>
      <c r="C628" s="6"/>
      <c r="D628" s="18"/>
      <c r="E628" s="18"/>
      <c r="F628" s="19"/>
      <c r="G628" s="10">
        <f>IFERROR(VLOOKUP(B628, 'Duke 4'!A$3:$B1000,2, 0), 0)</f>
        <v>0</v>
      </c>
      <c r="H628" s="15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</row>
    <row r="629">
      <c r="A629" s="6"/>
      <c r="B629" s="6"/>
      <c r="C629" s="6"/>
      <c r="D629" s="18"/>
      <c r="E629" s="18"/>
      <c r="F629" s="19"/>
      <c r="G629" s="10">
        <f>IFERROR(VLOOKUP(B629, 'Duke 4'!A$3:$B1000,2, 0), 0)</f>
        <v>0</v>
      </c>
      <c r="H629" s="15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</row>
    <row r="630">
      <c r="A630" s="6"/>
      <c r="B630" s="6"/>
      <c r="C630" s="6"/>
      <c r="D630" s="18"/>
      <c r="E630" s="18"/>
      <c r="F630" s="19"/>
      <c r="G630" s="10">
        <f>IFERROR(VLOOKUP(B630, 'Duke 4'!A$3:$B1000,2, 0), 0)</f>
        <v>0</v>
      </c>
      <c r="H630" s="15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</row>
    <row r="631">
      <c r="A631" s="6"/>
      <c r="B631" s="6"/>
      <c r="C631" s="6"/>
      <c r="D631" s="18"/>
      <c r="E631" s="18"/>
      <c r="F631" s="19"/>
      <c r="G631" s="10">
        <f>IFERROR(VLOOKUP(B631, 'Duke 4'!A$3:$B1000,2, 0), 0)</f>
        <v>0</v>
      </c>
      <c r="H631" s="15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</row>
    <row r="632">
      <c r="A632" s="6"/>
      <c r="B632" s="6"/>
      <c r="C632" s="6"/>
      <c r="D632" s="18"/>
      <c r="E632" s="18"/>
      <c r="F632" s="19"/>
      <c r="G632" s="10">
        <f>IFERROR(VLOOKUP(B632, 'Duke 4'!A$3:$B1000,2, 0), 0)</f>
        <v>0</v>
      </c>
      <c r="H632" s="15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</row>
    <row r="633">
      <c r="A633" s="6"/>
      <c r="B633" s="6"/>
      <c r="C633" s="6"/>
      <c r="D633" s="18"/>
      <c r="E633" s="18"/>
      <c r="F633" s="19"/>
      <c r="G633" s="10">
        <f>IFERROR(VLOOKUP(B633, 'Duke 4'!A$3:$B1000,2, 0), 0)</f>
        <v>0</v>
      </c>
      <c r="H633" s="15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</row>
    <row r="634">
      <c r="A634" s="6"/>
      <c r="B634" s="6"/>
      <c r="C634" s="6"/>
      <c r="D634" s="18"/>
      <c r="E634" s="18"/>
      <c r="F634" s="19"/>
      <c r="G634" s="10">
        <f>IFERROR(VLOOKUP(B634, 'Duke 4'!A$3:$B1000,2, 0), 0)</f>
        <v>0</v>
      </c>
      <c r="H634" s="15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</row>
    <row r="635">
      <c r="A635" s="6"/>
      <c r="B635" s="6"/>
      <c r="C635" s="6"/>
      <c r="D635" s="18"/>
      <c r="E635" s="18"/>
      <c r="F635" s="19"/>
      <c r="G635" s="10">
        <f>IFERROR(VLOOKUP(B635, 'Duke 4'!A$3:$B1000,2, 0), 0)</f>
        <v>0</v>
      </c>
      <c r="H635" s="15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</row>
    <row r="636">
      <c r="A636" s="6"/>
      <c r="B636" s="6"/>
      <c r="C636" s="6"/>
      <c r="D636" s="18"/>
      <c r="E636" s="18"/>
      <c r="F636" s="19"/>
      <c r="G636" s="10">
        <f>IFERROR(VLOOKUP(B636, 'Duke 4'!A$3:$B1000,2, 0), 0)</f>
        <v>0</v>
      </c>
      <c r="H636" s="15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</row>
    <row r="637">
      <c r="A637" s="6"/>
      <c r="B637" s="6"/>
      <c r="C637" s="6"/>
      <c r="D637" s="18"/>
      <c r="E637" s="18"/>
      <c r="F637" s="19"/>
      <c r="G637" s="10">
        <f>IFERROR(VLOOKUP(B637, 'Duke 4'!A$3:$B1000,2, 0), 0)</f>
        <v>0</v>
      </c>
      <c r="H637" s="15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</row>
    <row r="638">
      <c r="A638" s="6"/>
      <c r="B638" s="6"/>
      <c r="C638" s="6"/>
      <c r="D638" s="18"/>
      <c r="E638" s="18"/>
      <c r="F638" s="19"/>
      <c r="G638" s="10">
        <f>IFERROR(VLOOKUP(B638, 'Duke 4'!A$3:$B1000,2, 0), 0)</f>
        <v>0</v>
      </c>
      <c r="H638" s="15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</row>
    <row r="639">
      <c r="A639" s="6"/>
      <c r="B639" s="6"/>
      <c r="C639" s="6"/>
      <c r="D639" s="18"/>
      <c r="E639" s="18"/>
      <c r="F639" s="19"/>
      <c r="G639" s="10">
        <f>IFERROR(VLOOKUP(B639, 'Duke 4'!A$3:$B1000,2, 0), 0)</f>
        <v>0</v>
      </c>
      <c r="H639" s="15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</row>
    <row r="640">
      <c r="A640" s="6"/>
      <c r="B640" s="6"/>
      <c r="C640" s="6"/>
      <c r="D640" s="18"/>
      <c r="E640" s="18"/>
      <c r="F640" s="19"/>
      <c r="G640" s="10">
        <f>IFERROR(VLOOKUP(B640, 'Duke 4'!A$3:$B1000,2, 0), 0)</f>
        <v>0</v>
      </c>
      <c r="H640" s="15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</row>
    <row r="641">
      <c r="A641" s="6"/>
      <c r="B641" s="6"/>
      <c r="C641" s="6"/>
      <c r="D641" s="18"/>
      <c r="E641" s="18"/>
      <c r="F641" s="19"/>
      <c r="G641" s="10">
        <f>IFERROR(VLOOKUP(B641, 'Duke 4'!A$3:$B1000,2, 0), 0)</f>
        <v>0</v>
      </c>
      <c r="H641" s="15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</row>
    <row r="642">
      <c r="A642" s="6"/>
      <c r="B642" s="6"/>
      <c r="C642" s="6"/>
      <c r="D642" s="18"/>
      <c r="E642" s="18"/>
      <c r="F642" s="19"/>
      <c r="G642" s="10">
        <f>IFERROR(VLOOKUP(B642, 'Duke 4'!A$3:$B1000,2, 0), 0)</f>
        <v>0</v>
      </c>
      <c r="H642" s="15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</row>
    <row r="643">
      <c r="A643" s="6"/>
      <c r="B643" s="6"/>
      <c r="C643" s="6"/>
      <c r="D643" s="18"/>
      <c r="E643" s="18"/>
      <c r="F643" s="19"/>
      <c r="G643" s="10">
        <f>IFERROR(VLOOKUP(B643, 'Duke 4'!A$3:$B1000,2, 0), 0)</f>
        <v>0</v>
      </c>
      <c r="H643" s="15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</row>
    <row r="644">
      <c r="A644" s="6"/>
      <c r="B644" s="6"/>
      <c r="C644" s="6"/>
      <c r="D644" s="18"/>
      <c r="E644" s="18"/>
      <c r="F644" s="19"/>
      <c r="G644" s="10">
        <f>IFERROR(VLOOKUP(B644, 'Duke 4'!A$3:$B1000,2, 0), 0)</f>
        <v>0</v>
      </c>
      <c r="H644" s="15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</row>
    <row r="645">
      <c r="A645" s="6"/>
      <c r="B645" s="6"/>
      <c r="C645" s="6"/>
      <c r="D645" s="18"/>
      <c r="E645" s="18"/>
      <c r="F645" s="19"/>
      <c r="G645" s="10">
        <f>IFERROR(VLOOKUP(B645, 'Duke 4'!A$3:$B1000,2, 0), 0)</f>
        <v>0</v>
      </c>
      <c r="H645" s="15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</row>
    <row r="646">
      <c r="A646" s="6"/>
      <c r="B646" s="6"/>
      <c r="C646" s="6"/>
      <c r="D646" s="18"/>
      <c r="E646" s="18"/>
      <c r="F646" s="19"/>
      <c r="G646" s="10">
        <f>IFERROR(VLOOKUP(B646, 'Duke 4'!A$3:$B1000,2, 0), 0)</f>
        <v>0</v>
      </c>
      <c r="H646" s="15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</row>
    <row r="647">
      <c r="A647" s="6"/>
      <c r="B647" s="6"/>
      <c r="C647" s="6"/>
      <c r="D647" s="18"/>
      <c r="E647" s="18"/>
      <c r="F647" s="19"/>
      <c r="G647" s="10">
        <f>IFERROR(VLOOKUP(B647, 'Duke 4'!A$3:$B1000,2, 0), 0)</f>
        <v>0</v>
      </c>
      <c r="H647" s="15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</row>
    <row r="648">
      <c r="A648" s="6"/>
      <c r="B648" s="6"/>
      <c r="C648" s="6"/>
      <c r="D648" s="18"/>
      <c r="E648" s="18"/>
      <c r="F648" s="19"/>
      <c r="G648" s="10">
        <f>IFERROR(VLOOKUP(B648, 'Duke 4'!A$3:$B1000,2, 0), 0)</f>
        <v>0</v>
      </c>
      <c r="H648" s="15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</row>
    <row r="649">
      <c r="A649" s="6"/>
      <c r="B649" s="6"/>
      <c r="C649" s="6"/>
      <c r="D649" s="18"/>
      <c r="E649" s="18"/>
      <c r="F649" s="19"/>
      <c r="G649" s="10">
        <f>IFERROR(VLOOKUP(B649, 'Duke 4'!A$3:$B1000,2, 0), 0)</f>
        <v>0</v>
      </c>
      <c r="H649" s="15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</row>
    <row r="650">
      <c r="A650" s="6"/>
      <c r="B650" s="6"/>
      <c r="C650" s="6"/>
      <c r="D650" s="18"/>
      <c r="E650" s="18"/>
      <c r="F650" s="19"/>
      <c r="G650" s="10">
        <f>IFERROR(VLOOKUP(B650, 'Duke 4'!A$3:$B1000,2, 0), 0)</f>
        <v>0</v>
      </c>
      <c r="H650" s="15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</row>
    <row r="651">
      <c r="A651" s="6"/>
      <c r="B651" s="6"/>
      <c r="C651" s="6"/>
      <c r="D651" s="18"/>
      <c r="E651" s="18"/>
      <c r="F651" s="19"/>
      <c r="G651" s="10">
        <f>IFERROR(VLOOKUP(B651, 'Duke 4'!A$3:$B1000,2, 0), 0)</f>
        <v>0</v>
      </c>
      <c r="H651" s="15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</row>
    <row r="652">
      <c r="A652" s="6"/>
      <c r="B652" s="6"/>
      <c r="C652" s="6"/>
      <c r="D652" s="18"/>
      <c r="E652" s="18"/>
      <c r="F652" s="19"/>
      <c r="G652" s="10">
        <f>IFERROR(VLOOKUP(B652, 'Duke 4'!A$3:$B1000,2, 0), 0)</f>
        <v>0</v>
      </c>
      <c r="H652" s="15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</row>
    <row r="653">
      <c r="A653" s="6"/>
      <c r="B653" s="6"/>
      <c r="C653" s="6"/>
      <c r="D653" s="18"/>
      <c r="E653" s="18"/>
      <c r="F653" s="19"/>
      <c r="G653" s="10">
        <f>IFERROR(VLOOKUP(B653, 'Duke 4'!A$3:$B1000,2, 0), 0)</f>
        <v>0</v>
      </c>
      <c r="H653" s="15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</row>
    <row r="654">
      <c r="A654" s="6"/>
      <c r="B654" s="6"/>
      <c r="C654" s="6"/>
      <c r="D654" s="18"/>
      <c r="E654" s="18"/>
      <c r="F654" s="19"/>
      <c r="G654" s="10">
        <f>IFERROR(VLOOKUP(B654, 'Duke 4'!A$3:$B1000,2, 0), 0)</f>
        <v>0</v>
      </c>
      <c r="H654" s="15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</row>
    <row r="655">
      <c r="A655" s="6"/>
      <c r="B655" s="6"/>
      <c r="C655" s="6"/>
      <c r="D655" s="18"/>
      <c r="E655" s="18"/>
      <c r="F655" s="19"/>
      <c r="G655" s="10">
        <f>IFERROR(VLOOKUP(B655, 'Duke 4'!A$3:$B1000,2, 0), 0)</f>
        <v>0</v>
      </c>
      <c r="H655" s="15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</row>
    <row r="656">
      <c r="A656" s="6"/>
      <c r="B656" s="6"/>
      <c r="C656" s="6"/>
      <c r="D656" s="18"/>
      <c r="E656" s="18"/>
      <c r="F656" s="19"/>
      <c r="G656" s="10">
        <f>IFERROR(VLOOKUP(B656, 'Duke 4'!A$3:$B1000,2, 0), 0)</f>
        <v>0</v>
      </c>
      <c r="H656" s="15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</row>
    <row r="657">
      <c r="A657" s="6"/>
      <c r="B657" s="6"/>
      <c r="C657" s="6"/>
      <c r="D657" s="18"/>
      <c r="E657" s="18"/>
      <c r="F657" s="19"/>
      <c r="G657" s="10">
        <f>IFERROR(VLOOKUP(B657, 'Duke 4'!A$3:$B1000,2, 0), 0)</f>
        <v>0</v>
      </c>
      <c r="H657" s="15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</row>
    <row r="658">
      <c r="A658" s="6"/>
      <c r="B658" s="6"/>
      <c r="C658" s="6"/>
      <c r="D658" s="18"/>
      <c r="E658" s="18"/>
      <c r="F658" s="19"/>
      <c r="G658" s="10">
        <f>IFERROR(VLOOKUP(B658, 'Duke 4'!A$3:$B1000,2, 0), 0)</f>
        <v>0</v>
      </c>
      <c r="H658" s="15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</row>
    <row r="659">
      <c r="A659" s="6"/>
      <c r="B659" s="6"/>
      <c r="C659" s="6"/>
      <c r="D659" s="18"/>
      <c r="E659" s="18"/>
      <c r="F659" s="19"/>
      <c r="G659" s="10">
        <f>IFERROR(VLOOKUP(B659, 'Duke 4'!A$3:$B1000,2, 0), 0)</f>
        <v>0</v>
      </c>
      <c r="H659" s="15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</row>
    <row r="660">
      <c r="A660" s="6"/>
      <c r="B660" s="6"/>
      <c r="C660" s="6"/>
      <c r="D660" s="18"/>
      <c r="E660" s="18"/>
      <c r="F660" s="19"/>
      <c r="G660" s="10">
        <f>IFERROR(VLOOKUP(B660, 'Duke 4'!A$3:$B1000,2, 0), 0)</f>
        <v>0</v>
      </c>
      <c r="H660" s="15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</row>
    <row r="661">
      <c r="A661" s="6"/>
      <c r="B661" s="6"/>
      <c r="C661" s="6"/>
      <c r="D661" s="18"/>
      <c r="E661" s="18"/>
      <c r="F661" s="19"/>
      <c r="G661" s="10">
        <f>IFERROR(VLOOKUP(B661, 'Duke 4'!A$3:$B1000,2, 0), 0)</f>
        <v>0</v>
      </c>
      <c r="H661" s="15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</row>
    <row r="662">
      <c r="A662" s="6"/>
      <c r="B662" s="6"/>
      <c r="C662" s="6"/>
      <c r="D662" s="18"/>
      <c r="E662" s="18"/>
      <c r="F662" s="19"/>
      <c r="G662" s="10">
        <f>IFERROR(VLOOKUP(B662, 'Duke 4'!A$3:$B1000,2, 0), 0)</f>
        <v>0</v>
      </c>
      <c r="H662" s="15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</row>
    <row r="663">
      <c r="A663" s="6"/>
      <c r="B663" s="6"/>
      <c r="C663" s="6"/>
      <c r="D663" s="18"/>
      <c r="E663" s="18"/>
      <c r="F663" s="19"/>
      <c r="G663" s="10">
        <f>IFERROR(VLOOKUP(B663, 'Duke 4'!A$3:$B1000,2, 0), 0)</f>
        <v>0</v>
      </c>
      <c r="H663" s="15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</row>
    <row r="664">
      <c r="A664" s="6"/>
      <c r="B664" s="6"/>
      <c r="C664" s="6"/>
      <c r="D664" s="18"/>
      <c r="E664" s="18"/>
      <c r="F664" s="19"/>
      <c r="G664" s="10">
        <f>IFERROR(VLOOKUP(B664, 'Duke 4'!A$3:$B1000,2, 0), 0)</f>
        <v>0</v>
      </c>
      <c r="H664" s="15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</row>
    <row r="665">
      <c r="A665" s="6"/>
      <c r="B665" s="6"/>
      <c r="C665" s="6"/>
      <c r="D665" s="18"/>
      <c r="E665" s="18"/>
      <c r="F665" s="19"/>
      <c r="G665" s="10">
        <f>IFERROR(VLOOKUP(B665, 'Duke 4'!A$3:$B1000,2, 0), 0)</f>
        <v>0</v>
      </c>
      <c r="H665" s="15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</row>
    <row r="666">
      <c r="A666" s="6"/>
      <c r="B666" s="6"/>
      <c r="C666" s="6"/>
      <c r="D666" s="18"/>
      <c r="E666" s="18"/>
      <c r="F666" s="19"/>
      <c r="G666" s="10">
        <f>IFERROR(VLOOKUP(B666, 'Duke 4'!A$3:$B1000,2, 0), 0)</f>
        <v>0</v>
      </c>
      <c r="H666" s="15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</row>
    <row r="667">
      <c r="A667" s="6"/>
      <c r="B667" s="6"/>
      <c r="C667" s="6"/>
      <c r="D667" s="18"/>
      <c r="E667" s="18"/>
      <c r="F667" s="19"/>
      <c r="G667" s="10">
        <f>IFERROR(VLOOKUP(B667, 'Duke 4'!A$3:$B1000,2, 0), 0)</f>
        <v>0</v>
      </c>
      <c r="H667" s="15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</row>
    <row r="668">
      <c r="A668" s="6"/>
      <c r="B668" s="6"/>
      <c r="C668" s="6"/>
      <c r="D668" s="18"/>
      <c r="E668" s="18"/>
      <c r="F668" s="19"/>
      <c r="G668" s="10">
        <f>IFERROR(VLOOKUP(B668, 'Duke 4'!A$3:$B1000,2, 0), 0)</f>
        <v>0</v>
      </c>
      <c r="H668" s="15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</row>
    <row r="669">
      <c r="A669" s="6"/>
      <c r="B669" s="6"/>
      <c r="C669" s="6"/>
      <c r="D669" s="18"/>
      <c r="E669" s="18"/>
      <c r="F669" s="19"/>
      <c r="G669" s="10">
        <f>IFERROR(VLOOKUP(B669, 'Duke 4'!A$3:$B1000,2, 0), 0)</f>
        <v>0</v>
      </c>
      <c r="H669" s="15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</row>
    <row r="670">
      <c r="A670" s="6"/>
      <c r="B670" s="6"/>
      <c r="C670" s="6"/>
      <c r="D670" s="18"/>
      <c r="E670" s="18"/>
      <c r="F670" s="19"/>
      <c r="G670" s="10">
        <f>IFERROR(VLOOKUP(B670, 'Duke 4'!A$3:$B1000,2, 0), 0)</f>
        <v>0</v>
      </c>
      <c r="H670" s="15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</row>
    <row r="671">
      <c r="A671" s="6"/>
      <c r="B671" s="6"/>
      <c r="C671" s="6"/>
      <c r="D671" s="18"/>
      <c r="E671" s="18"/>
      <c r="F671" s="19"/>
      <c r="G671" s="10">
        <f>IFERROR(VLOOKUP(B671, 'Duke 4'!A$3:$B1000,2, 0), 0)</f>
        <v>0</v>
      </c>
      <c r="H671" s="15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</row>
    <row r="672">
      <c r="A672" s="6"/>
      <c r="B672" s="6"/>
      <c r="C672" s="6"/>
      <c r="D672" s="18"/>
      <c r="E672" s="18"/>
      <c r="F672" s="19"/>
      <c r="G672" s="10">
        <f>IFERROR(VLOOKUP(B672, 'Duke 4'!A$3:$B1000,2, 0), 0)</f>
        <v>0</v>
      </c>
      <c r="H672" s="15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</row>
    <row r="673">
      <c r="A673" s="6"/>
      <c r="B673" s="6"/>
      <c r="C673" s="6"/>
      <c r="D673" s="18"/>
      <c r="E673" s="18"/>
      <c r="F673" s="19"/>
      <c r="G673" s="10">
        <f>IFERROR(VLOOKUP(B673, 'Duke 4'!A$3:$B1000,2, 0), 0)</f>
        <v>0</v>
      </c>
      <c r="H673" s="15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</row>
    <row r="674">
      <c r="A674" s="6"/>
      <c r="B674" s="6"/>
      <c r="C674" s="6"/>
      <c r="D674" s="18"/>
      <c r="E674" s="18"/>
      <c r="F674" s="19"/>
      <c r="G674" s="10">
        <f>IFERROR(VLOOKUP(B674, 'Duke 4'!A$3:$B1000,2, 0), 0)</f>
        <v>0</v>
      </c>
      <c r="H674" s="15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</row>
    <row r="675">
      <c r="A675" s="6"/>
      <c r="B675" s="6"/>
      <c r="C675" s="6"/>
      <c r="D675" s="18"/>
      <c r="E675" s="18"/>
      <c r="F675" s="19"/>
      <c r="G675" s="10">
        <f>IFERROR(VLOOKUP(B675, 'Duke 4'!A$3:$B1000,2, 0), 0)</f>
        <v>0</v>
      </c>
      <c r="H675" s="15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</row>
    <row r="676">
      <c r="A676" s="6"/>
      <c r="B676" s="6"/>
      <c r="C676" s="6"/>
      <c r="D676" s="18"/>
      <c r="E676" s="18"/>
      <c r="F676" s="19"/>
      <c r="G676" s="10">
        <f>IFERROR(VLOOKUP(B676, 'Duke 4'!A$3:$B1000,2, 0), 0)</f>
        <v>0</v>
      </c>
      <c r="H676" s="15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</row>
    <row r="677">
      <c r="A677" s="6"/>
      <c r="B677" s="6"/>
      <c r="C677" s="6"/>
      <c r="D677" s="18"/>
      <c r="E677" s="18"/>
      <c r="F677" s="19"/>
      <c r="G677" s="10">
        <f>IFERROR(VLOOKUP(B677, 'Duke 4'!A$3:$B1000,2, 0), 0)</f>
        <v>0</v>
      </c>
      <c r="H677" s="15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</row>
    <row r="678">
      <c r="A678" s="6"/>
      <c r="B678" s="6"/>
      <c r="C678" s="6"/>
      <c r="D678" s="18"/>
      <c r="E678" s="18"/>
      <c r="F678" s="19"/>
      <c r="G678" s="10">
        <f>IFERROR(VLOOKUP(B678, 'Duke 4'!A$3:$B1000,2, 0), 0)</f>
        <v>0</v>
      </c>
      <c r="H678" s="15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</row>
    <row r="679">
      <c r="A679" s="6"/>
      <c r="B679" s="6"/>
      <c r="C679" s="6"/>
      <c r="D679" s="18"/>
      <c r="E679" s="18"/>
      <c r="F679" s="19"/>
      <c r="G679" s="10">
        <f>IFERROR(VLOOKUP(B679, 'Duke 4'!A$3:$B1000,2, 0), 0)</f>
        <v>0</v>
      </c>
      <c r="H679" s="15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</row>
    <row r="680">
      <c r="A680" s="6"/>
      <c r="B680" s="6"/>
      <c r="C680" s="6"/>
      <c r="D680" s="18"/>
      <c r="E680" s="18"/>
      <c r="F680" s="19"/>
      <c r="G680" s="10">
        <f>IFERROR(VLOOKUP(B680, 'Duke 4'!A$3:$B1000,2, 0), 0)</f>
        <v>0</v>
      </c>
      <c r="H680" s="15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</row>
    <row r="681">
      <c r="A681" s="6"/>
      <c r="B681" s="6"/>
      <c r="C681" s="6"/>
      <c r="D681" s="18"/>
      <c r="E681" s="18"/>
      <c r="F681" s="19"/>
      <c r="G681" s="10">
        <f>IFERROR(VLOOKUP(B681, 'Duke 4'!A$3:$B1000,2, 0), 0)</f>
        <v>0</v>
      </c>
      <c r="H681" s="15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</row>
    <row r="682">
      <c r="A682" s="6"/>
      <c r="B682" s="6"/>
      <c r="C682" s="6"/>
      <c r="D682" s="18"/>
      <c r="E682" s="18"/>
      <c r="F682" s="19"/>
      <c r="G682" s="10">
        <f>IFERROR(VLOOKUP(B682, 'Duke 4'!A$3:$B1000,2, 0), 0)</f>
        <v>0</v>
      </c>
      <c r="H682" s="15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</row>
    <row r="683">
      <c r="A683" s="6"/>
      <c r="B683" s="6"/>
      <c r="C683" s="6"/>
      <c r="D683" s="18"/>
      <c r="E683" s="18"/>
      <c r="F683" s="19"/>
      <c r="G683" s="10">
        <f>IFERROR(VLOOKUP(B683, 'Duke 4'!A$3:$B1000,2, 0), 0)</f>
        <v>0</v>
      </c>
      <c r="H683" s="15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</row>
    <row r="684">
      <c r="A684" s="6"/>
      <c r="B684" s="6"/>
      <c r="C684" s="6"/>
      <c r="D684" s="18"/>
      <c r="E684" s="18"/>
      <c r="F684" s="19"/>
      <c r="G684" s="10">
        <f>IFERROR(VLOOKUP(B684, 'Duke 4'!A$3:$B1000,2, 0), 0)</f>
        <v>0</v>
      </c>
      <c r="H684" s="15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</row>
    <row r="685">
      <c r="A685" s="6"/>
      <c r="B685" s="6"/>
      <c r="C685" s="6"/>
      <c r="D685" s="18"/>
      <c r="E685" s="18"/>
      <c r="F685" s="19"/>
      <c r="G685" s="10">
        <f>IFERROR(VLOOKUP(B685, 'Duke 4'!A$3:$B1000,2, 0), 0)</f>
        <v>0</v>
      </c>
      <c r="H685" s="15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</row>
    <row r="686">
      <c r="A686" s="6"/>
      <c r="B686" s="6"/>
      <c r="C686" s="6"/>
      <c r="D686" s="18"/>
      <c r="E686" s="18"/>
      <c r="F686" s="19"/>
      <c r="G686" s="10">
        <f>IFERROR(VLOOKUP(B686, 'Duke 4'!A$3:$B1000,2, 0), 0)</f>
        <v>0</v>
      </c>
      <c r="H686" s="15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</row>
    <row r="687">
      <c r="A687" s="6"/>
      <c r="B687" s="6"/>
      <c r="C687" s="6"/>
      <c r="D687" s="18"/>
      <c r="E687" s="18"/>
      <c r="F687" s="19"/>
      <c r="G687" s="10">
        <f>IFERROR(VLOOKUP(B687, 'Duke 4'!A$3:$B1000,2, 0), 0)</f>
        <v>0</v>
      </c>
      <c r="H687" s="15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</row>
    <row r="688">
      <c r="A688" s="6"/>
      <c r="B688" s="6"/>
      <c r="C688" s="6"/>
      <c r="D688" s="18"/>
      <c r="E688" s="18"/>
      <c r="F688" s="19"/>
      <c r="G688" s="10">
        <f>IFERROR(VLOOKUP(B688, 'Duke 4'!A$3:$B1000,2, 0), 0)</f>
        <v>0</v>
      </c>
      <c r="H688" s="15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</row>
    <row r="689">
      <c r="A689" s="6"/>
      <c r="B689" s="6"/>
      <c r="C689" s="6"/>
      <c r="D689" s="18"/>
      <c r="E689" s="18"/>
      <c r="F689" s="19"/>
      <c r="G689" s="10">
        <f>IFERROR(VLOOKUP(B689, 'Duke 4'!A$3:$B1000,2, 0), 0)</f>
        <v>0</v>
      </c>
      <c r="H689" s="15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</row>
    <row r="690">
      <c r="A690" s="6"/>
      <c r="B690" s="6"/>
      <c r="C690" s="6"/>
      <c r="D690" s="18"/>
      <c r="E690" s="18"/>
      <c r="F690" s="19"/>
      <c r="G690" s="10">
        <f>IFERROR(VLOOKUP(B690, 'Duke 4'!A$3:$B1000,2, 0), 0)</f>
        <v>0</v>
      </c>
      <c r="H690" s="15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</row>
    <row r="691">
      <c r="A691" s="6"/>
      <c r="B691" s="6"/>
      <c r="C691" s="6"/>
      <c r="D691" s="18"/>
      <c r="E691" s="18"/>
      <c r="F691" s="19"/>
      <c r="G691" s="10">
        <f>IFERROR(VLOOKUP(B691, 'Duke 4'!A$3:$B1000,2, 0), 0)</f>
        <v>0</v>
      </c>
      <c r="H691" s="15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</row>
    <row r="692">
      <c r="A692" s="6"/>
      <c r="B692" s="6"/>
      <c r="C692" s="6"/>
      <c r="D692" s="18"/>
      <c r="E692" s="18"/>
      <c r="F692" s="19"/>
      <c r="G692" s="10">
        <f>IFERROR(VLOOKUP(B692, 'Duke 4'!A$3:$B1000,2, 0), 0)</f>
        <v>0</v>
      </c>
      <c r="H692" s="15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</row>
    <row r="693">
      <c r="A693" s="6"/>
      <c r="B693" s="6"/>
      <c r="C693" s="6"/>
      <c r="D693" s="18"/>
      <c r="E693" s="18"/>
      <c r="F693" s="19"/>
      <c r="G693" s="10">
        <f>IFERROR(VLOOKUP(B693, 'Duke 4'!A$3:$B1000,2, 0), 0)</f>
        <v>0</v>
      </c>
      <c r="H693" s="15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</row>
    <row r="694">
      <c r="A694" s="6"/>
      <c r="B694" s="6"/>
      <c r="C694" s="6"/>
      <c r="D694" s="18"/>
      <c r="E694" s="18"/>
      <c r="F694" s="19"/>
      <c r="G694" s="10">
        <f>IFERROR(VLOOKUP(B694, 'Duke 4'!A$3:$B1000,2, 0), 0)</f>
        <v>0</v>
      </c>
      <c r="H694" s="15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</row>
    <row r="695">
      <c r="A695" s="6"/>
      <c r="B695" s="6"/>
      <c r="C695" s="6"/>
      <c r="D695" s="18"/>
      <c r="E695" s="18"/>
      <c r="F695" s="19"/>
      <c r="G695" s="10">
        <f>IFERROR(VLOOKUP(B695, 'Duke 4'!A$3:$B1000,2, 0), 0)</f>
        <v>0</v>
      </c>
      <c r="H695" s="15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</row>
    <row r="696">
      <c r="A696" s="6"/>
      <c r="B696" s="6"/>
      <c r="C696" s="6"/>
      <c r="D696" s="18"/>
      <c r="E696" s="18"/>
      <c r="F696" s="19"/>
      <c r="G696" s="10">
        <f>IFERROR(VLOOKUP(B696, 'Duke 4'!A$3:$B1000,2, 0), 0)</f>
        <v>0</v>
      </c>
      <c r="H696" s="15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</row>
    <row r="697">
      <c r="A697" s="6"/>
      <c r="B697" s="6"/>
      <c r="C697" s="6"/>
      <c r="D697" s="18"/>
      <c r="E697" s="18"/>
      <c r="F697" s="19"/>
      <c r="G697" s="10">
        <f>IFERROR(VLOOKUP(B697, 'Duke 4'!A$3:$B1000,2, 0), 0)</f>
        <v>0</v>
      </c>
      <c r="H697" s="15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</row>
    <row r="698">
      <c r="A698" s="6"/>
      <c r="B698" s="6"/>
      <c r="C698" s="6"/>
      <c r="D698" s="18"/>
      <c r="E698" s="18"/>
      <c r="F698" s="19"/>
      <c r="G698" s="10">
        <f>IFERROR(VLOOKUP(B698, 'Duke 4'!A$3:$B1000,2, 0), 0)</f>
        <v>0</v>
      </c>
      <c r="H698" s="15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</row>
    <row r="699">
      <c r="A699" s="6"/>
      <c r="B699" s="6"/>
      <c r="C699" s="6"/>
      <c r="D699" s="18"/>
      <c r="E699" s="18"/>
      <c r="F699" s="19"/>
      <c r="G699" s="10">
        <f>IFERROR(VLOOKUP(B699, 'Duke 4'!A$3:$B1000,2, 0), 0)</f>
        <v>0</v>
      </c>
      <c r="H699" s="15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</row>
    <row r="700">
      <c r="A700" s="6"/>
      <c r="B700" s="6"/>
      <c r="C700" s="6"/>
      <c r="D700" s="18"/>
      <c r="E700" s="18"/>
      <c r="F700" s="19"/>
      <c r="G700" s="10">
        <f>IFERROR(VLOOKUP(B700, 'Duke 4'!A$3:$B1000,2, 0), 0)</f>
        <v>0</v>
      </c>
      <c r="H700" s="15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</row>
    <row r="701">
      <c r="A701" s="6"/>
      <c r="B701" s="6"/>
      <c r="C701" s="6"/>
      <c r="D701" s="18"/>
      <c r="E701" s="18"/>
      <c r="F701" s="19"/>
      <c r="G701" s="10">
        <f>IFERROR(VLOOKUP(B701, 'Duke 4'!A$3:$B1000,2, 0), 0)</f>
        <v>0</v>
      </c>
      <c r="H701" s="15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</row>
    <row r="702">
      <c r="A702" s="6"/>
      <c r="B702" s="6"/>
      <c r="C702" s="6"/>
      <c r="D702" s="18"/>
      <c r="E702" s="18"/>
      <c r="F702" s="19"/>
      <c r="G702" s="10">
        <f>IFERROR(VLOOKUP(B702, 'Duke 4'!A$3:$B1000,2, 0), 0)</f>
        <v>0</v>
      </c>
      <c r="H702" s="15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</row>
    <row r="703">
      <c r="A703" s="6"/>
      <c r="B703" s="6"/>
      <c r="C703" s="6"/>
      <c r="D703" s="18"/>
      <c r="E703" s="18"/>
      <c r="F703" s="19"/>
      <c r="G703" s="10">
        <f>IFERROR(VLOOKUP(B703, 'Duke 4'!A$3:$B1000,2, 0), 0)</f>
        <v>0</v>
      </c>
      <c r="H703" s="15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</row>
    <row r="704">
      <c r="A704" s="6"/>
      <c r="B704" s="6"/>
      <c r="C704" s="6"/>
      <c r="D704" s="18"/>
      <c r="E704" s="18"/>
      <c r="F704" s="19"/>
      <c r="G704" s="10">
        <f>IFERROR(VLOOKUP(B704, 'Duke 4'!A$3:$B1000,2, 0), 0)</f>
        <v>0</v>
      </c>
      <c r="H704" s="15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</row>
    <row r="705">
      <c r="A705" s="6"/>
      <c r="B705" s="6"/>
      <c r="C705" s="6"/>
      <c r="D705" s="18"/>
      <c r="E705" s="18"/>
      <c r="F705" s="19"/>
      <c r="G705" s="10">
        <f>IFERROR(VLOOKUP(B705, 'Duke 4'!A$3:$B1000,2, 0), 0)</f>
        <v>0</v>
      </c>
      <c r="H705" s="15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</row>
    <row r="706">
      <c r="A706" s="6"/>
      <c r="B706" s="6"/>
      <c r="C706" s="6"/>
      <c r="D706" s="18"/>
      <c r="E706" s="18"/>
      <c r="F706" s="19"/>
      <c r="G706" s="10">
        <f>IFERROR(VLOOKUP(B706, 'Duke 4'!A$3:$B1000,2, 0), 0)</f>
        <v>0</v>
      </c>
      <c r="H706" s="15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</row>
    <row r="707">
      <c r="A707" s="6"/>
      <c r="B707" s="6"/>
      <c r="C707" s="6"/>
      <c r="D707" s="18"/>
      <c r="E707" s="18"/>
      <c r="F707" s="19"/>
      <c r="G707" s="10">
        <f>IFERROR(VLOOKUP(B707, 'Duke 4'!A$3:$B1000,2, 0), 0)</f>
        <v>0</v>
      </c>
      <c r="H707" s="15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</row>
    <row r="708">
      <c r="A708" s="6"/>
      <c r="B708" s="6"/>
      <c r="C708" s="6"/>
      <c r="D708" s="18"/>
      <c r="E708" s="18"/>
      <c r="F708" s="19"/>
      <c r="G708" s="10">
        <f>IFERROR(VLOOKUP(B708, 'Duke 4'!A$3:$B1000,2, 0), 0)</f>
        <v>0</v>
      </c>
      <c r="H708" s="15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</row>
    <row r="709">
      <c r="A709" s="6"/>
      <c r="B709" s="6"/>
      <c r="C709" s="6"/>
      <c r="D709" s="18"/>
      <c r="E709" s="18"/>
      <c r="F709" s="19"/>
      <c r="G709" s="10">
        <f>IFERROR(VLOOKUP(B709, 'Duke 4'!A$3:$B1000,2, 0), 0)</f>
        <v>0</v>
      </c>
      <c r="H709" s="15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</row>
    <row r="710">
      <c r="A710" s="6"/>
      <c r="B710" s="6"/>
      <c r="C710" s="6"/>
      <c r="D710" s="18"/>
      <c r="E710" s="18"/>
      <c r="F710" s="19"/>
      <c r="G710" s="10">
        <f>IFERROR(VLOOKUP(B710, 'Duke 4'!A$3:$B1000,2, 0), 0)</f>
        <v>0</v>
      </c>
      <c r="H710" s="15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</row>
    <row r="711">
      <c r="A711" s="6"/>
      <c r="B711" s="6"/>
      <c r="C711" s="6"/>
      <c r="D711" s="18"/>
      <c r="E711" s="18"/>
      <c r="F711" s="19"/>
      <c r="G711" s="10">
        <f>IFERROR(VLOOKUP(B711, 'Duke 4'!A$3:$B1000,2, 0), 0)</f>
        <v>0</v>
      </c>
      <c r="H711" s="15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</row>
    <row r="712">
      <c r="A712" s="6"/>
      <c r="B712" s="6"/>
      <c r="C712" s="6"/>
      <c r="D712" s="18"/>
      <c r="E712" s="18"/>
      <c r="F712" s="19"/>
      <c r="G712" s="10">
        <f>IFERROR(VLOOKUP(B712, 'Duke 4'!A$3:$B1000,2, 0), 0)</f>
        <v>0</v>
      </c>
      <c r="H712" s="15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</row>
    <row r="713">
      <c r="A713" s="6"/>
      <c r="B713" s="6"/>
      <c r="C713" s="6"/>
      <c r="D713" s="18"/>
      <c r="E713" s="18"/>
      <c r="F713" s="19"/>
      <c r="G713" s="10">
        <f>IFERROR(VLOOKUP(B713, 'Duke 4'!A$3:$B1000,2, 0), 0)</f>
        <v>0</v>
      </c>
      <c r="H713" s="15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</row>
    <row r="714">
      <c r="A714" s="6"/>
      <c r="B714" s="6"/>
      <c r="C714" s="6"/>
      <c r="D714" s="18"/>
      <c r="E714" s="18"/>
      <c r="F714" s="19"/>
      <c r="G714" s="10">
        <f>IFERROR(VLOOKUP(B714, 'Duke 4'!A$3:$B1000,2, 0), 0)</f>
        <v>0</v>
      </c>
      <c r="H714" s="15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</row>
    <row r="715">
      <c r="A715" s="6"/>
      <c r="B715" s="6"/>
      <c r="C715" s="6"/>
      <c r="D715" s="18"/>
      <c r="E715" s="18"/>
      <c r="F715" s="19"/>
      <c r="G715" s="10">
        <f>IFERROR(VLOOKUP(B715, 'Duke 4'!A$3:$B1000,2, 0), 0)</f>
        <v>0</v>
      </c>
      <c r="H715" s="15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</row>
    <row r="716">
      <c r="A716" s="6"/>
      <c r="B716" s="6"/>
      <c r="C716" s="6"/>
      <c r="D716" s="18"/>
      <c r="E716" s="18"/>
      <c r="F716" s="19"/>
      <c r="G716" s="10">
        <f>IFERROR(VLOOKUP(B716, 'Duke 4'!A$3:$B1000,2, 0), 0)</f>
        <v>0</v>
      </c>
      <c r="H716" s="15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</row>
    <row r="717">
      <c r="A717" s="6"/>
      <c r="B717" s="6"/>
      <c r="C717" s="6"/>
      <c r="D717" s="18"/>
      <c r="E717" s="18"/>
      <c r="F717" s="19"/>
      <c r="G717" s="10">
        <f>IFERROR(VLOOKUP(B717, 'Duke 4'!A$3:$B1000,2, 0), 0)</f>
        <v>0</v>
      </c>
      <c r="H717" s="15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</row>
    <row r="718">
      <c r="A718" s="6"/>
      <c r="B718" s="6"/>
      <c r="C718" s="6"/>
      <c r="D718" s="18"/>
      <c r="E718" s="18"/>
      <c r="F718" s="19"/>
      <c r="G718" s="10">
        <f>IFERROR(VLOOKUP(B718, 'Duke 4'!A$3:$B1000,2, 0), 0)</f>
        <v>0</v>
      </c>
      <c r="H718" s="15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</row>
    <row r="719">
      <c r="A719" s="6"/>
      <c r="B719" s="6"/>
      <c r="C719" s="6"/>
      <c r="D719" s="18"/>
      <c r="E719" s="18"/>
      <c r="F719" s="19"/>
      <c r="G719" s="10">
        <f>IFERROR(VLOOKUP(B719, 'Duke 4'!A$3:$B1000,2, 0), 0)</f>
        <v>0</v>
      </c>
      <c r="H719" s="15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</row>
    <row r="720">
      <c r="A720" s="6"/>
      <c r="B720" s="6"/>
      <c r="C720" s="6"/>
      <c r="D720" s="18"/>
      <c r="E720" s="18"/>
      <c r="F720" s="19"/>
      <c r="G720" s="10">
        <f>IFERROR(VLOOKUP(B720, 'Duke 4'!A$3:$B1000,2, 0), 0)</f>
        <v>0</v>
      </c>
      <c r="H720" s="15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</row>
    <row r="721">
      <c r="A721" s="6"/>
      <c r="B721" s="6"/>
      <c r="C721" s="6"/>
      <c r="D721" s="18"/>
      <c r="E721" s="18"/>
      <c r="F721" s="19"/>
      <c r="G721" s="10">
        <f>IFERROR(VLOOKUP(B721, 'Duke 4'!A$3:$B1000,2, 0), 0)</f>
        <v>0</v>
      </c>
      <c r="H721" s="15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</row>
    <row r="722">
      <c r="A722" s="6"/>
      <c r="B722" s="6"/>
      <c r="C722" s="6"/>
      <c r="D722" s="18"/>
      <c r="E722" s="18"/>
      <c r="F722" s="19"/>
      <c r="G722" s="10">
        <f>IFERROR(VLOOKUP(B722, 'Duke 4'!A$3:$B1000,2, 0), 0)</f>
        <v>0</v>
      </c>
      <c r="H722" s="15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</row>
    <row r="723">
      <c r="A723" s="6"/>
      <c r="B723" s="6"/>
      <c r="C723" s="6"/>
      <c r="D723" s="18"/>
      <c r="E723" s="18"/>
      <c r="F723" s="19"/>
      <c r="G723" s="10">
        <f>IFERROR(VLOOKUP(B723, 'Duke 4'!A$3:$B1000,2, 0), 0)</f>
        <v>0</v>
      </c>
      <c r="H723" s="15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</row>
    <row r="724">
      <c r="A724" s="6"/>
      <c r="B724" s="6"/>
      <c r="C724" s="6"/>
      <c r="D724" s="18"/>
      <c r="E724" s="18"/>
      <c r="F724" s="19"/>
      <c r="G724" s="10">
        <f>IFERROR(VLOOKUP(B724, 'Duke 4'!A$3:$B1000,2, 0), 0)</f>
        <v>0</v>
      </c>
      <c r="H724" s="15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</row>
    <row r="725">
      <c r="A725" s="6"/>
      <c r="B725" s="6"/>
      <c r="C725" s="6"/>
      <c r="D725" s="18"/>
      <c r="E725" s="18"/>
      <c r="F725" s="19"/>
      <c r="G725" s="10">
        <f>IFERROR(VLOOKUP(B725, 'Duke 4'!A$3:$B1000,2, 0), 0)</f>
        <v>0</v>
      </c>
      <c r="H725" s="15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</row>
    <row r="726">
      <c r="A726" s="6"/>
      <c r="B726" s="6"/>
      <c r="C726" s="6"/>
      <c r="D726" s="18"/>
      <c r="E726" s="18"/>
      <c r="F726" s="19"/>
      <c r="G726" s="10">
        <f>IFERROR(VLOOKUP(B726, 'Duke 4'!A$3:$B1000,2, 0), 0)</f>
        <v>0</v>
      </c>
      <c r="H726" s="15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</row>
    <row r="727">
      <c r="A727" s="6"/>
      <c r="B727" s="6"/>
      <c r="C727" s="6"/>
      <c r="D727" s="18"/>
      <c r="E727" s="18"/>
      <c r="F727" s="19"/>
      <c r="G727" s="10">
        <f>IFERROR(VLOOKUP(B727, 'Duke 4'!A$3:$B1000,2, 0), 0)</f>
        <v>0</v>
      </c>
      <c r="H727" s="15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</row>
    <row r="728">
      <c r="A728" s="6"/>
      <c r="B728" s="6"/>
      <c r="C728" s="6"/>
      <c r="D728" s="18"/>
      <c r="E728" s="18"/>
      <c r="F728" s="19"/>
      <c r="G728" s="10">
        <f>IFERROR(VLOOKUP(B728, 'Duke 4'!A$3:$B1000,2, 0), 0)</f>
        <v>0</v>
      </c>
      <c r="H728" s="15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</row>
    <row r="729">
      <c r="A729" s="6"/>
      <c r="B729" s="6"/>
      <c r="C729" s="6"/>
      <c r="D729" s="18"/>
      <c r="E729" s="18"/>
      <c r="F729" s="19"/>
      <c r="G729" s="10">
        <f>IFERROR(VLOOKUP(B729, 'Duke 4'!A$3:$B1000,2, 0), 0)</f>
        <v>0</v>
      </c>
      <c r="H729" s="15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</row>
    <row r="730">
      <c r="A730" s="6"/>
      <c r="B730" s="6"/>
      <c r="C730" s="6"/>
      <c r="D730" s="18"/>
      <c r="E730" s="18"/>
      <c r="F730" s="19"/>
      <c r="G730" s="10">
        <f>IFERROR(VLOOKUP(B730, 'Duke 4'!A$3:$B1000,2, 0), 0)</f>
        <v>0</v>
      </c>
      <c r="H730" s="15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</row>
    <row r="731">
      <c r="A731" s="6"/>
      <c r="B731" s="6"/>
      <c r="C731" s="6"/>
      <c r="D731" s="18"/>
      <c r="E731" s="18"/>
      <c r="F731" s="19"/>
      <c r="G731" s="10">
        <f>IFERROR(VLOOKUP(B731, 'Duke 4'!A$3:$B1000,2, 0), 0)</f>
        <v>0</v>
      </c>
      <c r="H731" s="15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</row>
    <row r="732">
      <c r="A732" s="6"/>
      <c r="B732" s="6"/>
      <c r="C732" s="6"/>
      <c r="D732" s="18"/>
      <c r="E732" s="18"/>
      <c r="F732" s="19"/>
      <c r="G732" s="10">
        <f>IFERROR(VLOOKUP(B732, 'Duke 4'!A$3:$B1000,2, 0), 0)</f>
        <v>0</v>
      </c>
      <c r="H732" s="15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</row>
    <row r="733">
      <c r="A733" s="6"/>
      <c r="B733" s="6"/>
      <c r="C733" s="6"/>
      <c r="D733" s="18"/>
      <c r="E733" s="18"/>
      <c r="F733" s="19"/>
      <c r="G733" s="10">
        <f>IFERROR(VLOOKUP(B733, 'Duke 4'!A$3:$B1000,2, 0), 0)</f>
        <v>0</v>
      </c>
      <c r="H733" s="15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</row>
    <row r="734">
      <c r="A734" s="6"/>
      <c r="B734" s="6"/>
      <c r="C734" s="6"/>
      <c r="D734" s="18"/>
      <c r="E734" s="18"/>
      <c r="F734" s="19"/>
      <c r="G734" s="10">
        <f>IFERROR(VLOOKUP(B734, 'Duke 4'!A$3:$B1000,2, 0), 0)</f>
        <v>0</v>
      </c>
      <c r="H734" s="15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</row>
    <row r="735">
      <c r="A735" s="6"/>
      <c r="B735" s="6"/>
      <c r="C735" s="6"/>
      <c r="D735" s="18"/>
      <c r="E735" s="18"/>
      <c r="F735" s="19"/>
      <c r="G735" s="10">
        <f>IFERROR(VLOOKUP(B735, 'Duke 4'!A$3:$B1000,2, 0), 0)</f>
        <v>0</v>
      </c>
      <c r="H735" s="15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</row>
    <row r="736">
      <c r="A736" s="6"/>
      <c r="B736" s="6"/>
      <c r="C736" s="6"/>
      <c r="D736" s="18"/>
      <c r="E736" s="18"/>
      <c r="F736" s="19"/>
      <c r="G736" s="10">
        <f>IFERROR(VLOOKUP(B736, 'Duke 4'!A$3:$B1000,2, 0), 0)</f>
        <v>0</v>
      </c>
      <c r="H736" s="15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</row>
    <row r="737">
      <c r="A737" s="6"/>
      <c r="B737" s="6"/>
      <c r="C737" s="6"/>
      <c r="D737" s="18"/>
      <c r="E737" s="18"/>
      <c r="F737" s="19"/>
      <c r="G737" s="10">
        <f>IFERROR(VLOOKUP(B737, 'Duke 4'!A$3:$B1000,2, 0), 0)</f>
        <v>0</v>
      </c>
      <c r="H737" s="15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</row>
    <row r="738">
      <c r="A738" s="6"/>
      <c r="B738" s="6"/>
      <c r="C738" s="6"/>
      <c r="D738" s="18"/>
      <c r="E738" s="18"/>
      <c r="F738" s="19"/>
      <c r="G738" s="10">
        <f>IFERROR(VLOOKUP(B738, 'Duke 4'!A$3:$B1000,2, 0), 0)</f>
        <v>0</v>
      </c>
      <c r="H738" s="15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</row>
    <row r="739">
      <c r="A739" s="6"/>
      <c r="B739" s="6"/>
      <c r="C739" s="6"/>
      <c r="D739" s="18"/>
      <c r="E739" s="18"/>
      <c r="F739" s="19"/>
      <c r="G739" s="10">
        <f>IFERROR(VLOOKUP(B739, 'Duke 4'!A$3:$B1000,2, 0), 0)</f>
        <v>0</v>
      </c>
      <c r="H739" s="15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</row>
    <row r="740">
      <c r="A740" s="6"/>
      <c r="B740" s="6"/>
      <c r="C740" s="6"/>
      <c r="D740" s="18"/>
      <c r="E740" s="18"/>
      <c r="F740" s="19"/>
      <c r="G740" s="10">
        <f>IFERROR(VLOOKUP(B740, 'Duke 4'!A$3:$B1000,2, 0), 0)</f>
        <v>0</v>
      </c>
      <c r="H740" s="15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</row>
    <row r="741">
      <c r="A741" s="6"/>
      <c r="B741" s="6"/>
      <c r="C741" s="6"/>
      <c r="D741" s="18"/>
      <c r="E741" s="18"/>
      <c r="F741" s="19"/>
      <c r="G741" s="10">
        <f>IFERROR(VLOOKUP(B741, 'Duke 4'!A$3:$B1000,2, 0), 0)</f>
        <v>0</v>
      </c>
      <c r="H741" s="15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</row>
    <row r="742">
      <c r="A742" s="6"/>
      <c r="B742" s="6"/>
      <c r="C742" s="6"/>
      <c r="D742" s="18"/>
      <c r="E742" s="18"/>
      <c r="F742" s="19"/>
      <c r="G742" s="10">
        <f>IFERROR(VLOOKUP(B742, 'Duke 4'!A$3:$B1000,2, 0), 0)</f>
        <v>0</v>
      </c>
      <c r="H742" s="15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</row>
    <row r="743">
      <c r="A743" s="6"/>
      <c r="B743" s="6"/>
      <c r="C743" s="6"/>
      <c r="D743" s="18"/>
      <c r="E743" s="18"/>
      <c r="F743" s="19"/>
      <c r="G743" s="10">
        <f>IFERROR(VLOOKUP(B743, 'Duke 4'!A$3:$B1000,2, 0), 0)</f>
        <v>0</v>
      </c>
      <c r="H743" s="15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</row>
    <row r="744">
      <c r="A744" s="6"/>
      <c r="B744" s="6"/>
      <c r="C744" s="6"/>
      <c r="D744" s="18"/>
      <c r="E744" s="18"/>
      <c r="F744" s="19"/>
      <c r="G744" s="10">
        <f>IFERROR(VLOOKUP(B744, 'Duke 4'!A$3:$B1000,2, 0), 0)</f>
        <v>0</v>
      </c>
      <c r="H744" s="15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</row>
    <row r="745">
      <c r="A745" s="6"/>
      <c r="B745" s="6"/>
      <c r="C745" s="6"/>
      <c r="D745" s="18"/>
      <c r="E745" s="18"/>
      <c r="F745" s="19"/>
      <c r="G745" s="10">
        <f>IFERROR(VLOOKUP(B745, 'Duke 4'!A$3:$B1000,2, 0), 0)</f>
        <v>0</v>
      </c>
      <c r="H745" s="15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</row>
    <row r="746">
      <c r="A746" s="6"/>
      <c r="B746" s="6"/>
      <c r="C746" s="6"/>
      <c r="D746" s="18"/>
      <c r="E746" s="18"/>
      <c r="F746" s="19"/>
      <c r="G746" s="10">
        <f>IFERROR(VLOOKUP(B746, 'Duke 4'!A$3:$B1000,2, 0), 0)</f>
        <v>0</v>
      </c>
      <c r="H746" s="15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</row>
    <row r="747">
      <c r="A747" s="6"/>
      <c r="B747" s="6"/>
      <c r="C747" s="6"/>
      <c r="D747" s="18"/>
      <c r="E747" s="18"/>
      <c r="F747" s="19"/>
      <c r="G747" s="10">
        <f>IFERROR(VLOOKUP(B747, 'Duke 4'!A$3:$B1000,2, 0), 0)</f>
        <v>0</v>
      </c>
      <c r="H747" s="15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</row>
    <row r="748">
      <c r="A748" s="6"/>
      <c r="B748" s="6"/>
      <c r="C748" s="6"/>
      <c r="D748" s="18"/>
      <c r="E748" s="18"/>
      <c r="F748" s="19"/>
      <c r="G748" s="10">
        <f>IFERROR(VLOOKUP(B748, 'Duke 4'!A$3:$B1000,2, 0), 0)</f>
        <v>0</v>
      </c>
      <c r="H748" s="15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</row>
    <row r="749">
      <c r="A749" s="6"/>
      <c r="B749" s="6"/>
      <c r="C749" s="6"/>
      <c r="D749" s="18"/>
      <c r="E749" s="18"/>
      <c r="F749" s="19"/>
      <c r="G749" s="10">
        <f>IFERROR(VLOOKUP(B749, 'Duke 4'!A$3:$B1000,2, 0), 0)</f>
        <v>0</v>
      </c>
      <c r="H749" s="15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</row>
    <row r="750">
      <c r="A750" s="6"/>
      <c r="B750" s="6"/>
      <c r="C750" s="6"/>
      <c r="D750" s="18"/>
      <c r="E750" s="18"/>
      <c r="F750" s="19"/>
      <c r="G750" s="10">
        <f>IFERROR(VLOOKUP(B750, 'Duke 4'!A$3:$B1000,2, 0), 0)</f>
        <v>0</v>
      </c>
      <c r="H750" s="15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</row>
    <row r="751">
      <c r="A751" s="6"/>
      <c r="B751" s="6"/>
      <c r="C751" s="6"/>
      <c r="D751" s="18"/>
      <c r="E751" s="18"/>
      <c r="F751" s="19"/>
      <c r="G751" s="10">
        <f>IFERROR(VLOOKUP(B751, 'Duke 4'!A$3:$B1000,2, 0), 0)</f>
        <v>0</v>
      </c>
      <c r="H751" s="15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</row>
    <row r="752">
      <c r="A752" s="6"/>
      <c r="B752" s="6"/>
      <c r="C752" s="6"/>
      <c r="D752" s="18"/>
      <c r="E752" s="18"/>
      <c r="F752" s="19"/>
      <c r="G752" s="10">
        <f>IFERROR(VLOOKUP(B752, 'Duke 4'!A$3:$B1000,2, 0), 0)</f>
        <v>0</v>
      </c>
      <c r="H752" s="15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</row>
    <row r="753">
      <c r="A753" s="6"/>
      <c r="B753" s="6"/>
      <c r="C753" s="6"/>
      <c r="D753" s="18"/>
      <c r="E753" s="18"/>
      <c r="F753" s="19"/>
      <c r="G753" s="10">
        <f>IFERROR(VLOOKUP(B753, 'Duke 4'!A$3:$B1000,2, 0), 0)</f>
        <v>0</v>
      </c>
      <c r="H753" s="15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</row>
    <row r="754">
      <c r="A754" s="6"/>
      <c r="B754" s="6"/>
      <c r="C754" s="6"/>
      <c r="D754" s="18"/>
      <c r="E754" s="18"/>
      <c r="F754" s="19"/>
      <c r="G754" s="10">
        <f>IFERROR(VLOOKUP(B754, 'Duke 4'!A$3:$B1000,2, 0), 0)</f>
        <v>0</v>
      </c>
      <c r="H754" s="15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</row>
    <row r="755">
      <c r="A755" s="6"/>
      <c r="B755" s="6"/>
      <c r="C755" s="6"/>
      <c r="D755" s="18"/>
      <c r="E755" s="18"/>
      <c r="F755" s="19"/>
      <c r="G755" s="10">
        <f>IFERROR(VLOOKUP(B755, 'Duke 4'!A$3:$B1000,2, 0), 0)</f>
        <v>0</v>
      </c>
      <c r="H755" s="15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</row>
    <row r="756">
      <c r="A756" s="6"/>
      <c r="B756" s="6"/>
      <c r="C756" s="6"/>
      <c r="D756" s="18"/>
      <c r="E756" s="18"/>
      <c r="F756" s="19"/>
      <c r="G756" s="10">
        <f>IFERROR(VLOOKUP(B756, 'Duke 4'!A$3:$B1000,2, 0), 0)</f>
        <v>0</v>
      </c>
      <c r="H756" s="15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</row>
    <row r="757">
      <c r="A757" s="6"/>
      <c r="B757" s="6"/>
      <c r="C757" s="6"/>
      <c r="D757" s="18"/>
      <c r="E757" s="18"/>
      <c r="F757" s="19"/>
      <c r="G757" s="10">
        <f>IFERROR(VLOOKUP(B757, 'Duke 4'!A$3:$B1000,2, 0), 0)</f>
        <v>0</v>
      </c>
      <c r="H757" s="15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</row>
    <row r="758">
      <c r="A758" s="6"/>
      <c r="B758" s="6"/>
      <c r="C758" s="6"/>
      <c r="D758" s="18"/>
      <c r="E758" s="18"/>
      <c r="F758" s="19"/>
      <c r="G758" s="10">
        <f>IFERROR(VLOOKUP(B758, 'Duke 4'!A$3:$B1000,2, 0), 0)</f>
        <v>0</v>
      </c>
      <c r="H758" s="15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</row>
    <row r="759">
      <c r="A759" s="6"/>
      <c r="B759" s="6"/>
      <c r="C759" s="6"/>
      <c r="D759" s="18"/>
      <c r="E759" s="18"/>
      <c r="F759" s="19"/>
      <c r="G759" s="10">
        <f>IFERROR(VLOOKUP(B759, 'Duke 4'!A$3:$B1000,2, 0), 0)</f>
        <v>0</v>
      </c>
      <c r="H759" s="15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</row>
    <row r="760">
      <c r="A760" s="6"/>
      <c r="B760" s="6"/>
      <c r="C760" s="6"/>
      <c r="D760" s="18"/>
      <c r="E760" s="18"/>
      <c r="F760" s="19"/>
      <c r="G760" s="10">
        <f>IFERROR(VLOOKUP(B760, 'Duke 4'!A$3:$B1000,2, 0), 0)</f>
        <v>0</v>
      </c>
      <c r="H760" s="15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</row>
    <row r="761">
      <c r="A761" s="6"/>
      <c r="B761" s="6"/>
      <c r="C761" s="6"/>
      <c r="D761" s="18"/>
      <c r="E761" s="18"/>
      <c r="F761" s="19"/>
      <c r="G761" s="10">
        <f>IFERROR(VLOOKUP(B761, 'Duke 4'!A$3:$B1000,2, 0), 0)</f>
        <v>0</v>
      </c>
      <c r="H761" s="15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</row>
    <row r="762">
      <c r="A762" s="6"/>
      <c r="B762" s="6"/>
      <c r="C762" s="6"/>
      <c r="D762" s="18"/>
      <c r="E762" s="18"/>
      <c r="F762" s="19"/>
      <c r="G762" s="10">
        <f>IFERROR(VLOOKUP(B762, 'Duke 4'!A$3:$B1000,2, 0), 0)</f>
        <v>0</v>
      </c>
      <c r="H762" s="15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</row>
    <row r="763">
      <c r="A763" s="6"/>
      <c r="B763" s="6"/>
      <c r="C763" s="6"/>
      <c r="D763" s="18"/>
      <c r="E763" s="18"/>
      <c r="F763" s="19"/>
      <c r="G763" s="10">
        <f>IFERROR(VLOOKUP(B763, 'Duke 4'!A$3:$B1000,2, 0), 0)</f>
        <v>0</v>
      </c>
      <c r="H763" s="15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</row>
    <row r="764">
      <c r="A764" s="6"/>
      <c r="B764" s="6"/>
      <c r="C764" s="6"/>
      <c r="D764" s="18"/>
      <c r="E764" s="18"/>
      <c r="F764" s="19"/>
      <c r="G764" s="10">
        <f>IFERROR(VLOOKUP(B764, 'Duke 4'!A$3:$B1000,2, 0), 0)</f>
        <v>0</v>
      </c>
      <c r="H764" s="15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</row>
    <row r="765">
      <c r="A765" s="6"/>
      <c r="B765" s="6"/>
      <c r="C765" s="6"/>
      <c r="D765" s="18"/>
      <c r="E765" s="18"/>
      <c r="F765" s="19"/>
      <c r="G765" s="10">
        <f>IFERROR(VLOOKUP(B765, 'Duke 4'!A$3:$B1000,2, 0), 0)</f>
        <v>0</v>
      </c>
      <c r="H765" s="15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</row>
    <row r="766">
      <c r="A766" s="6"/>
      <c r="B766" s="6"/>
      <c r="C766" s="6"/>
      <c r="D766" s="18"/>
      <c r="E766" s="18"/>
      <c r="F766" s="19"/>
      <c r="G766" s="10">
        <f>IFERROR(VLOOKUP(B766, 'Duke 4'!A$3:$B1000,2, 0), 0)</f>
        <v>0</v>
      </c>
      <c r="H766" s="15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</row>
    <row r="767">
      <c r="A767" s="6"/>
      <c r="B767" s="6"/>
      <c r="C767" s="6"/>
      <c r="D767" s="18"/>
      <c r="E767" s="18"/>
      <c r="F767" s="19"/>
      <c r="G767" s="10">
        <f>IFERROR(VLOOKUP(B767, 'Duke 4'!A$3:$B1000,2, 0), 0)</f>
        <v>0</v>
      </c>
      <c r="H767" s="15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</row>
    <row r="768">
      <c r="A768" s="6"/>
      <c r="B768" s="6"/>
      <c r="C768" s="6"/>
      <c r="D768" s="18"/>
      <c r="E768" s="18"/>
      <c r="F768" s="19"/>
      <c r="G768" s="10">
        <f>IFERROR(VLOOKUP(B768, 'Duke 4'!A$3:$B1000,2, 0), 0)</f>
        <v>0</v>
      </c>
      <c r="H768" s="15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</row>
    <row r="769">
      <c r="A769" s="6"/>
      <c r="B769" s="6"/>
      <c r="C769" s="6"/>
      <c r="D769" s="18"/>
      <c r="E769" s="18"/>
      <c r="F769" s="19"/>
      <c r="G769" s="10">
        <f>IFERROR(VLOOKUP(B769, 'Duke 4'!A$3:$B1000,2, 0), 0)</f>
        <v>0</v>
      </c>
      <c r="H769" s="15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</row>
    <row r="770">
      <c r="A770" s="6"/>
      <c r="B770" s="6"/>
      <c r="C770" s="6"/>
      <c r="D770" s="18"/>
      <c r="E770" s="18"/>
      <c r="F770" s="19"/>
      <c r="G770" s="10">
        <f>IFERROR(VLOOKUP(B770, 'Duke 4'!A$3:$B1000,2, 0), 0)</f>
        <v>0</v>
      </c>
      <c r="H770" s="15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</row>
    <row r="771">
      <c r="A771" s="6"/>
      <c r="B771" s="6"/>
      <c r="C771" s="6"/>
      <c r="D771" s="18"/>
      <c r="E771" s="18"/>
      <c r="F771" s="19"/>
      <c r="G771" s="10">
        <f>IFERROR(VLOOKUP(B771, 'Duke 4'!A$3:$B1000,2, 0), 0)</f>
        <v>0</v>
      </c>
      <c r="H771" s="15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</row>
    <row r="772">
      <c r="A772" s="6"/>
      <c r="B772" s="6"/>
      <c r="C772" s="6"/>
      <c r="D772" s="18"/>
      <c r="E772" s="18"/>
      <c r="F772" s="19"/>
      <c r="G772" s="10">
        <f>IFERROR(VLOOKUP(B772, 'Duke 4'!A$3:$B1000,2, 0), 0)</f>
        <v>0</v>
      </c>
      <c r="H772" s="15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</row>
    <row r="773">
      <c r="A773" s="6"/>
      <c r="B773" s="6"/>
      <c r="C773" s="6"/>
      <c r="D773" s="18"/>
      <c r="E773" s="18"/>
      <c r="F773" s="19"/>
      <c r="G773" s="10">
        <f>IFERROR(VLOOKUP(B773, 'Duke 4'!A$3:$B1000,2, 0), 0)</f>
        <v>0</v>
      </c>
      <c r="H773" s="15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</row>
    <row r="774">
      <c r="A774" s="6"/>
      <c r="B774" s="6"/>
      <c r="C774" s="6"/>
      <c r="D774" s="18"/>
      <c r="E774" s="18"/>
      <c r="F774" s="19"/>
      <c r="G774" s="10">
        <f>IFERROR(VLOOKUP(B774, 'Duke 4'!A$3:$B1000,2, 0), 0)</f>
        <v>0</v>
      </c>
      <c r="H774" s="15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</row>
    <row r="775">
      <c r="A775" s="6"/>
      <c r="B775" s="6"/>
      <c r="C775" s="6"/>
      <c r="D775" s="18"/>
      <c r="E775" s="18"/>
      <c r="F775" s="19"/>
      <c r="G775" s="10">
        <f>IFERROR(VLOOKUP(B775, 'Duke 4'!A$3:$B1000,2, 0), 0)</f>
        <v>0</v>
      </c>
      <c r="H775" s="15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</row>
    <row r="776">
      <c r="A776" s="6"/>
      <c r="B776" s="6"/>
      <c r="C776" s="6"/>
      <c r="D776" s="18"/>
      <c r="E776" s="18"/>
      <c r="F776" s="19"/>
      <c r="G776" s="10">
        <f>IFERROR(VLOOKUP(B776, 'Duke 4'!A$3:$B1000,2, 0), 0)</f>
        <v>0</v>
      </c>
      <c r="H776" s="15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</row>
    <row r="777">
      <c r="A777" s="6"/>
      <c r="B777" s="6"/>
      <c r="C777" s="6"/>
      <c r="D777" s="18"/>
      <c r="E777" s="18"/>
      <c r="F777" s="19"/>
      <c r="G777" s="10">
        <f>IFERROR(VLOOKUP(B777, 'Duke 4'!A$3:$B1000,2, 0), 0)</f>
        <v>0</v>
      </c>
      <c r="H777" s="15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</row>
    <row r="778">
      <c r="A778" s="6"/>
      <c r="B778" s="6"/>
      <c r="C778" s="6"/>
      <c r="D778" s="18"/>
      <c r="E778" s="18"/>
      <c r="F778" s="19"/>
      <c r="G778" s="10">
        <f>IFERROR(VLOOKUP(B778, 'Duke 4'!A$3:$B1000,2, 0), 0)</f>
        <v>0</v>
      </c>
      <c r="H778" s="15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</row>
    <row r="779">
      <c r="A779" s="6"/>
      <c r="B779" s="6"/>
      <c r="C779" s="6"/>
      <c r="D779" s="18"/>
      <c r="E779" s="18"/>
      <c r="F779" s="19"/>
      <c r="G779" s="10">
        <f>IFERROR(VLOOKUP(B779, 'Duke 4'!A$3:$B1000,2, 0), 0)</f>
        <v>0</v>
      </c>
      <c r="H779" s="15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</row>
    <row r="780">
      <c r="A780" s="6"/>
      <c r="B780" s="6"/>
      <c r="C780" s="6"/>
      <c r="D780" s="18"/>
      <c r="E780" s="18"/>
      <c r="F780" s="19"/>
      <c r="G780" s="10">
        <f>IFERROR(VLOOKUP(B780, 'Duke 4'!A$3:$B1000,2, 0), 0)</f>
        <v>0</v>
      </c>
      <c r="H780" s="15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</row>
    <row r="781">
      <c r="A781" s="6"/>
      <c r="B781" s="6"/>
      <c r="C781" s="6"/>
      <c r="D781" s="18"/>
      <c r="E781" s="18"/>
      <c r="F781" s="19"/>
      <c r="G781" s="10">
        <f>IFERROR(VLOOKUP(B781, 'Duke 4'!A$3:$B1000,2, 0), 0)</f>
        <v>0</v>
      </c>
      <c r="H781" s="15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</row>
    <row r="782">
      <c r="A782" s="6"/>
      <c r="B782" s="6"/>
      <c r="C782" s="6"/>
      <c r="D782" s="18"/>
      <c r="E782" s="18"/>
      <c r="F782" s="19"/>
      <c r="G782" s="10">
        <f>IFERROR(VLOOKUP(B782, 'Duke 4'!A$3:$B1000,2, 0), 0)</f>
        <v>0</v>
      </c>
      <c r="H782" s="15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</row>
    <row r="783">
      <c r="A783" s="6"/>
      <c r="B783" s="6"/>
      <c r="C783" s="6"/>
      <c r="D783" s="18"/>
      <c r="E783" s="18"/>
      <c r="F783" s="19"/>
      <c r="G783" s="10">
        <f>IFERROR(VLOOKUP(B783, 'Duke 4'!A$3:$B1000,2, 0), 0)</f>
        <v>0</v>
      </c>
      <c r="H783" s="15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</row>
    <row r="784">
      <c r="A784" s="6"/>
      <c r="B784" s="6"/>
      <c r="C784" s="6"/>
      <c r="D784" s="18"/>
      <c r="E784" s="18"/>
      <c r="F784" s="19"/>
      <c r="G784" s="10">
        <f>IFERROR(VLOOKUP(B784, 'Duke 4'!A$3:$B1000,2, 0), 0)</f>
        <v>0</v>
      </c>
      <c r="H784" s="15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</row>
    <row r="785">
      <c r="A785" s="6"/>
      <c r="B785" s="6"/>
      <c r="C785" s="6"/>
      <c r="D785" s="18"/>
      <c r="E785" s="18"/>
      <c r="F785" s="19"/>
      <c r="G785" s="10">
        <f>IFERROR(VLOOKUP(B785, 'Duke 4'!A$3:$B1000,2, 0), 0)</f>
        <v>0</v>
      </c>
      <c r="H785" s="15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</row>
    <row r="786">
      <c r="A786" s="6"/>
      <c r="B786" s="6"/>
      <c r="C786" s="6"/>
      <c r="D786" s="18"/>
      <c r="E786" s="18"/>
      <c r="F786" s="19"/>
      <c r="G786" s="10">
        <f>IFERROR(VLOOKUP(B786, 'Duke 4'!A$3:$B1000,2, 0), 0)</f>
        <v>0</v>
      </c>
      <c r="H786" s="15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</row>
    <row r="787">
      <c r="A787" s="6"/>
      <c r="B787" s="6"/>
      <c r="C787" s="6"/>
      <c r="D787" s="18"/>
      <c r="E787" s="18"/>
      <c r="F787" s="19"/>
      <c r="G787" s="10">
        <f>IFERROR(VLOOKUP(B787, 'Duke 4'!A$3:$B1000,2, 0), 0)</f>
        <v>0</v>
      </c>
      <c r="H787" s="15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</row>
    <row r="788">
      <c r="A788" s="6"/>
      <c r="B788" s="6"/>
      <c r="C788" s="6"/>
      <c r="D788" s="18"/>
      <c r="E788" s="18"/>
      <c r="F788" s="19"/>
      <c r="G788" s="10">
        <f>IFERROR(VLOOKUP(B788, 'Duke 4'!A$3:$B1000,2, 0), 0)</f>
        <v>0</v>
      </c>
      <c r="H788" s="15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</row>
    <row r="789">
      <c r="A789" s="6"/>
      <c r="B789" s="6"/>
      <c r="C789" s="6"/>
      <c r="D789" s="18"/>
      <c r="E789" s="18"/>
      <c r="F789" s="19"/>
      <c r="G789" s="10">
        <f>IFERROR(VLOOKUP(B789, 'Duke 4'!A$3:$B1000,2, 0), 0)</f>
        <v>0</v>
      </c>
      <c r="H789" s="15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</row>
    <row r="790">
      <c r="A790" s="6"/>
      <c r="B790" s="6"/>
      <c r="C790" s="6"/>
      <c r="D790" s="18"/>
      <c r="E790" s="18"/>
      <c r="F790" s="19"/>
      <c r="G790" s="10">
        <f>IFERROR(VLOOKUP(B790, 'Duke 4'!A$3:$B1000,2, 0), 0)</f>
        <v>0</v>
      </c>
      <c r="H790" s="15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</row>
    <row r="791">
      <c r="A791" s="6"/>
      <c r="B791" s="6"/>
      <c r="C791" s="6"/>
      <c r="D791" s="18"/>
      <c r="E791" s="18"/>
      <c r="F791" s="19"/>
      <c r="G791" s="10">
        <f>IFERROR(VLOOKUP(B791, 'Duke 4'!A$3:$B1000,2, 0), 0)</f>
        <v>0</v>
      </c>
      <c r="H791" s="15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</row>
    <row r="792">
      <c r="A792" s="6"/>
      <c r="B792" s="6"/>
      <c r="C792" s="6"/>
      <c r="D792" s="18"/>
      <c r="E792" s="18"/>
      <c r="F792" s="19"/>
      <c r="G792" s="10">
        <f>IFERROR(VLOOKUP(B792, 'Duke 4'!A$3:$B1000,2, 0), 0)</f>
        <v>0</v>
      </c>
      <c r="H792" s="15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</row>
    <row r="793">
      <c r="A793" s="6"/>
      <c r="B793" s="6"/>
      <c r="C793" s="6"/>
      <c r="D793" s="18"/>
      <c r="E793" s="18"/>
      <c r="F793" s="19"/>
      <c r="G793" s="10">
        <f>IFERROR(VLOOKUP(B793, 'Duke 4'!A$3:$B1000,2, 0), 0)</f>
        <v>0</v>
      </c>
      <c r="H793" s="15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</row>
    <row r="794">
      <c r="A794" s="6"/>
      <c r="B794" s="6"/>
      <c r="C794" s="6"/>
      <c r="D794" s="18"/>
      <c r="E794" s="18"/>
      <c r="F794" s="19"/>
      <c r="G794" s="10">
        <f>IFERROR(VLOOKUP(B794, 'Duke 4'!A$3:$B1000,2, 0), 0)</f>
        <v>0</v>
      </c>
      <c r="H794" s="15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</row>
    <row r="795">
      <c r="A795" s="6"/>
      <c r="B795" s="6"/>
      <c r="C795" s="6"/>
      <c r="D795" s="18"/>
      <c r="E795" s="18"/>
      <c r="F795" s="19"/>
      <c r="G795" s="10">
        <f>IFERROR(VLOOKUP(B795, 'Duke 4'!A$3:$B1000,2, 0), 0)</f>
        <v>0</v>
      </c>
      <c r="H795" s="15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</row>
    <row r="796">
      <c r="A796" s="6"/>
      <c r="B796" s="6"/>
      <c r="C796" s="6"/>
      <c r="D796" s="18"/>
      <c r="E796" s="18"/>
      <c r="F796" s="19"/>
      <c r="G796" s="10">
        <f>IFERROR(VLOOKUP(B796, 'Duke 4'!A$3:$B1000,2, 0), 0)</f>
        <v>0</v>
      </c>
      <c r="H796" s="15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</row>
    <row r="797">
      <c r="A797" s="6"/>
      <c r="B797" s="6"/>
      <c r="C797" s="6"/>
      <c r="D797" s="18"/>
      <c r="E797" s="18"/>
      <c r="F797" s="19"/>
      <c r="G797" s="10">
        <f>IFERROR(VLOOKUP(B797, 'Duke 4'!A$3:$B1000,2, 0), 0)</f>
        <v>0</v>
      </c>
      <c r="H797" s="15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</row>
    <row r="798">
      <c r="A798" s="6"/>
      <c r="B798" s="6"/>
      <c r="C798" s="6"/>
      <c r="D798" s="18"/>
      <c r="E798" s="18"/>
      <c r="F798" s="19"/>
      <c r="G798" s="10">
        <f>IFERROR(VLOOKUP(B798, 'Duke 4'!A$3:$B1000,2, 0), 0)</f>
        <v>0</v>
      </c>
      <c r="H798" s="15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</row>
    <row r="799">
      <c r="A799" s="6"/>
      <c r="B799" s="6"/>
      <c r="C799" s="6"/>
      <c r="D799" s="18"/>
      <c r="E799" s="18"/>
      <c r="F799" s="19"/>
      <c r="G799" s="10">
        <f>IFERROR(VLOOKUP(B799, 'Duke 4'!A$3:$B1000,2, 0), 0)</f>
        <v>0</v>
      </c>
      <c r="H799" s="15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</row>
    <row r="800">
      <c r="A800" s="6"/>
      <c r="B800" s="6"/>
      <c r="C800" s="6"/>
      <c r="D800" s="18"/>
      <c r="E800" s="18"/>
      <c r="F800" s="19"/>
      <c r="G800" s="10">
        <f>IFERROR(VLOOKUP(B800, 'Duke 4'!A$3:$B1000,2, 0), 0)</f>
        <v>0</v>
      </c>
      <c r="H800" s="15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</row>
    <row r="801">
      <c r="A801" s="6"/>
      <c r="B801" s="6"/>
      <c r="C801" s="6"/>
      <c r="D801" s="18"/>
      <c r="E801" s="18"/>
      <c r="F801" s="19"/>
      <c r="G801" s="10">
        <f>IFERROR(VLOOKUP(B801, 'Duke 4'!A$3:$B1000,2, 0), 0)</f>
        <v>0</v>
      </c>
      <c r="H801" s="15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</row>
    <row r="802">
      <c r="A802" s="6"/>
      <c r="B802" s="6"/>
      <c r="C802" s="6"/>
      <c r="D802" s="18"/>
      <c r="E802" s="18"/>
      <c r="F802" s="19"/>
      <c r="G802" s="10">
        <f>IFERROR(VLOOKUP(B802, 'Duke 4'!A$3:$B1000,2, 0), 0)</f>
        <v>0</v>
      </c>
      <c r="H802" s="15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</row>
    <row r="803">
      <c r="A803" s="6"/>
      <c r="B803" s="6"/>
      <c r="C803" s="6"/>
      <c r="D803" s="18"/>
      <c r="E803" s="18"/>
      <c r="F803" s="19"/>
      <c r="G803" s="10">
        <f>IFERROR(VLOOKUP(B803, 'Duke 4'!A$3:$B1000,2, 0), 0)</f>
        <v>0</v>
      </c>
      <c r="H803" s="15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</row>
    <row r="804">
      <c r="A804" s="6"/>
      <c r="B804" s="6"/>
      <c r="C804" s="6"/>
      <c r="D804" s="18"/>
      <c r="E804" s="18"/>
      <c r="F804" s="19"/>
      <c r="G804" s="10">
        <f>IFERROR(VLOOKUP(B804, 'Duke 4'!A$3:$B1000,2, 0), 0)</f>
        <v>0</v>
      </c>
      <c r="H804" s="15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</row>
    <row r="805">
      <c r="A805" s="6"/>
      <c r="B805" s="6"/>
      <c r="C805" s="6"/>
      <c r="D805" s="18"/>
      <c r="E805" s="18"/>
      <c r="F805" s="19"/>
      <c r="G805" s="10">
        <f>IFERROR(VLOOKUP(B805, 'Duke 4'!A$3:$B1000,2, 0), 0)</f>
        <v>0</v>
      </c>
      <c r="H805" s="15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</row>
    <row r="806">
      <c r="A806" s="6"/>
      <c r="B806" s="6"/>
      <c r="C806" s="6"/>
      <c r="D806" s="18"/>
      <c r="E806" s="18"/>
      <c r="F806" s="19"/>
      <c r="G806" s="10">
        <f>IFERROR(VLOOKUP(B806, 'Duke 4'!A$3:$B1000,2, 0), 0)</f>
        <v>0</v>
      </c>
      <c r="H806" s="15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</row>
    <row r="807">
      <c r="A807" s="6"/>
      <c r="B807" s="6"/>
      <c r="C807" s="6"/>
      <c r="D807" s="18"/>
      <c r="E807" s="18"/>
      <c r="F807" s="19"/>
      <c r="G807" s="10">
        <f>IFERROR(VLOOKUP(B807, 'Duke 4'!A$3:$B1000,2, 0), 0)</f>
        <v>0</v>
      </c>
      <c r="H807" s="15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</row>
    <row r="808">
      <c r="A808" s="6"/>
      <c r="B808" s="6"/>
      <c r="C808" s="6"/>
      <c r="D808" s="18"/>
      <c r="E808" s="18"/>
      <c r="F808" s="19"/>
      <c r="G808" s="10">
        <f>IFERROR(VLOOKUP(B808, 'Duke 4'!A$3:$B1000,2, 0), 0)</f>
        <v>0</v>
      </c>
      <c r="H808" s="15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</row>
    <row r="809">
      <c r="A809" s="6"/>
      <c r="B809" s="6"/>
      <c r="C809" s="6"/>
      <c r="D809" s="18"/>
      <c r="E809" s="18"/>
      <c r="F809" s="19"/>
      <c r="G809" s="10">
        <f>IFERROR(VLOOKUP(B809, 'Duke 4'!A$3:$B1000,2, 0), 0)</f>
        <v>0</v>
      </c>
      <c r="H809" s="15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</row>
    <row r="810">
      <c r="A810" s="6"/>
      <c r="B810" s="6"/>
      <c r="C810" s="6"/>
      <c r="D810" s="18"/>
      <c r="E810" s="18"/>
      <c r="F810" s="19"/>
      <c r="G810" s="10">
        <f>IFERROR(VLOOKUP(B810, 'Duke 4'!A$3:$B1000,2, 0), 0)</f>
        <v>0</v>
      </c>
      <c r="H810" s="15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</row>
    <row r="811">
      <c r="A811" s="6"/>
      <c r="B811" s="6"/>
      <c r="C811" s="6"/>
      <c r="D811" s="18"/>
      <c r="E811" s="18"/>
      <c r="F811" s="19"/>
      <c r="G811" s="10">
        <f>IFERROR(VLOOKUP(B811, 'Duke 4'!A$3:$B1000,2, 0), 0)</f>
        <v>0</v>
      </c>
      <c r="H811" s="15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</row>
    <row r="812">
      <c r="A812" s="6"/>
      <c r="B812" s="6"/>
      <c r="C812" s="6"/>
      <c r="D812" s="18"/>
      <c r="E812" s="18"/>
      <c r="F812" s="19"/>
      <c r="G812" s="10">
        <f>IFERROR(VLOOKUP(B812, 'Duke 4'!A$3:$B1000,2, 0), 0)</f>
        <v>0</v>
      </c>
      <c r="H812" s="15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</row>
    <row r="813">
      <c r="A813" s="6"/>
      <c r="B813" s="6"/>
      <c r="C813" s="6"/>
      <c r="D813" s="18"/>
      <c r="E813" s="18"/>
      <c r="F813" s="19"/>
      <c r="G813" s="10">
        <f>IFERROR(VLOOKUP(B813, 'Duke 4'!A$3:$B1000,2, 0), 0)</f>
        <v>0</v>
      </c>
      <c r="H813" s="15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</row>
    <row r="814">
      <c r="A814" s="6"/>
      <c r="B814" s="6"/>
      <c r="C814" s="6"/>
      <c r="D814" s="18"/>
      <c r="E814" s="18"/>
      <c r="F814" s="19"/>
      <c r="G814" s="10">
        <f>IFERROR(VLOOKUP(B814, 'Duke 4'!A$3:$B1000,2, 0), 0)</f>
        <v>0</v>
      </c>
      <c r="H814" s="15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</row>
    <row r="815">
      <c r="A815" s="6"/>
      <c r="B815" s="6"/>
      <c r="C815" s="6"/>
      <c r="D815" s="18"/>
      <c r="E815" s="18"/>
      <c r="F815" s="19"/>
      <c r="G815" s="10">
        <f>IFERROR(VLOOKUP(B815, 'Duke 4'!A$3:$B1000,2, 0), 0)</f>
        <v>0</v>
      </c>
      <c r="H815" s="15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</row>
    <row r="816">
      <c r="A816" s="6"/>
      <c r="B816" s="6"/>
      <c r="C816" s="6"/>
      <c r="D816" s="18"/>
      <c r="E816" s="18"/>
      <c r="F816" s="19"/>
      <c r="G816" s="10">
        <f>IFERROR(VLOOKUP(B816, 'Duke 4'!A$3:$B1000,2, 0), 0)</f>
        <v>0</v>
      </c>
      <c r="H816" s="15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</row>
    <row r="817">
      <c r="A817" s="6"/>
      <c r="B817" s="6"/>
      <c r="C817" s="6"/>
      <c r="D817" s="18"/>
      <c r="E817" s="18"/>
      <c r="F817" s="19"/>
      <c r="G817" s="10">
        <f>IFERROR(VLOOKUP(B817, 'Duke 4'!A$3:$B1000,2, 0), 0)</f>
        <v>0</v>
      </c>
      <c r="H817" s="15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</row>
    <row r="818">
      <c r="A818" s="6"/>
      <c r="B818" s="6"/>
      <c r="C818" s="6"/>
      <c r="D818" s="18"/>
      <c r="E818" s="18"/>
      <c r="F818" s="19"/>
      <c r="G818" s="10">
        <f>IFERROR(VLOOKUP(B818, 'Duke 4'!A$3:$B1000,2, 0), 0)</f>
        <v>0</v>
      </c>
      <c r="H818" s="15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</row>
    <row r="819">
      <c r="A819" s="6"/>
      <c r="B819" s="6"/>
      <c r="C819" s="6"/>
      <c r="D819" s="18"/>
      <c r="E819" s="18"/>
      <c r="F819" s="19"/>
      <c r="G819" s="10">
        <f>IFERROR(VLOOKUP(B819, 'Duke 4'!A$3:$B1000,2, 0), 0)</f>
        <v>0</v>
      </c>
      <c r="H819" s="15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</row>
    <row r="820">
      <c r="A820" s="6"/>
      <c r="B820" s="6"/>
      <c r="C820" s="6"/>
      <c r="D820" s="18"/>
      <c r="E820" s="18"/>
      <c r="F820" s="19"/>
      <c r="G820" s="10">
        <f>IFERROR(VLOOKUP(B820, 'Duke 4'!A$3:$B1000,2, 0), 0)</f>
        <v>0</v>
      </c>
      <c r="H820" s="15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</row>
    <row r="821">
      <c r="A821" s="6"/>
      <c r="B821" s="6"/>
      <c r="C821" s="6"/>
      <c r="D821" s="18"/>
      <c r="E821" s="18"/>
      <c r="F821" s="19"/>
      <c r="G821" s="10">
        <f>IFERROR(VLOOKUP(B821, 'Duke 4'!A$3:$B1000,2, 0), 0)</f>
        <v>0</v>
      </c>
      <c r="H821" s="15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</row>
    <row r="822">
      <c r="A822" s="6"/>
      <c r="B822" s="6"/>
      <c r="C822" s="6"/>
      <c r="D822" s="18"/>
      <c r="E822" s="18"/>
      <c r="F822" s="19"/>
      <c r="G822" s="10">
        <f>IFERROR(VLOOKUP(B822, 'Duke 4'!A$3:$B1000,2, 0), 0)</f>
        <v>0</v>
      </c>
      <c r="H822" s="15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</row>
    <row r="823">
      <c r="A823" s="6"/>
      <c r="B823" s="6"/>
      <c r="C823" s="6"/>
      <c r="D823" s="18"/>
      <c r="E823" s="18"/>
      <c r="F823" s="19"/>
      <c r="G823" s="10">
        <f>IFERROR(VLOOKUP(B823, 'Duke 4'!A$3:$B1000,2, 0), 0)</f>
        <v>0</v>
      </c>
      <c r="H823" s="15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</row>
    <row r="824">
      <c r="A824" s="6"/>
      <c r="B824" s="6"/>
      <c r="C824" s="6"/>
      <c r="D824" s="18"/>
      <c r="E824" s="18"/>
      <c r="F824" s="19"/>
      <c r="G824" s="10">
        <f>IFERROR(VLOOKUP(B824, 'Duke 4'!A$3:$B1000,2, 0), 0)</f>
        <v>0</v>
      </c>
      <c r="H824" s="15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</row>
    <row r="825">
      <c r="A825" s="6"/>
      <c r="B825" s="6"/>
      <c r="C825" s="6"/>
      <c r="D825" s="18"/>
      <c r="E825" s="18"/>
      <c r="F825" s="19"/>
      <c r="G825" s="10">
        <f>IFERROR(VLOOKUP(B825, 'Duke 4'!A$3:$B1000,2, 0), 0)</f>
        <v>0</v>
      </c>
      <c r="H825" s="15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</row>
    <row r="826">
      <c r="A826" s="6"/>
      <c r="B826" s="6"/>
      <c r="C826" s="6"/>
      <c r="D826" s="18"/>
      <c r="E826" s="18"/>
      <c r="F826" s="19"/>
      <c r="G826" s="10">
        <f>IFERROR(VLOOKUP(B826, 'Duke 4'!A$3:$B1000,2, 0), 0)</f>
        <v>0</v>
      </c>
      <c r="H826" s="15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</row>
    <row r="827">
      <c r="A827" s="6"/>
      <c r="B827" s="6"/>
      <c r="C827" s="6"/>
      <c r="D827" s="18"/>
      <c r="E827" s="18"/>
      <c r="F827" s="19"/>
      <c r="G827" s="10">
        <f>IFERROR(VLOOKUP(B827, 'Duke 4'!A$3:$B1000,2, 0), 0)</f>
        <v>0</v>
      </c>
      <c r="H827" s="15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</row>
    <row r="828">
      <c r="A828" s="6"/>
      <c r="B828" s="6"/>
      <c r="C828" s="6"/>
      <c r="D828" s="18"/>
      <c r="E828" s="18"/>
      <c r="F828" s="19"/>
      <c r="G828" s="10">
        <f>IFERROR(VLOOKUP(B828, 'Duke 4'!A$3:$B1000,2, 0), 0)</f>
        <v>0</v>
      </c>
      <c r="H828" s="15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</row>
    <row r="829">
      <c r="A829" s="6"/>
      <c r="B829" s="6"/>
      <c r="C829" s="6"/>
      <c r="D829" s="18"/>
      <c r="E829" s="18"/>
      <c r="F829" s="19"/>
      <c r="G829" s="10">
        <f>IFERROR(VLOOKUP(B829, 'Duke 4'!A$3:$B1000,2, 0), 0)</f>
        <v>0</v>
      </c>
      <c r="H829" s="15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</row>
    <row r="830">
      <c r="A830" s="6"/>
      <c r="B830" s="6"/>
      <c r="C830" s="6"/>
      <c r="D830" s="18"/>
      <c r="E830" s="18"/>
      <c r="F830" s="19"/>
      <c r="G830" s="10">
        <f>IFERROR(VLOOKUP(B830, 'Duke 4'!A$3:$B1000,2, 0), 0)</f>
        <v>0</v>
      </c>
      <c r="H830" s="15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</row>
    <row r="831">
      <c r="A831" s="6"/>
      <c r="B831" s="6"/>
      <c r="C831" s="6"/>
      <c r="D831" s="18"/>
      <c r="E831" s="18"/>
      <c r="F831" s="19"/>
      <c r="G831" s="10">
        <f>IFERROR(VLOOKUP(B831, 'Duke 4'!A$3:$B1000,2, 0), 0)</f>
        <v>0</v>
      </c>
      <c r="H831" s="15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</row>
    <row r="832">
      <c r="A832" s="6"/>
      <c r="B832" s="6"/>
      <c r="C832" s="6"/>
      <c r="D832" s="18"/>
      <c r="E832" s="18"/>
      <c r="F832" s="19"/>
      <c r="G832" s="10">
        <f>IFERROR(VLOOKUP(B832, 'Duke 4'!A$3:$B1000,2, 0), 0)</f>
        <v>0</v>
      </c>
      <c r="H832" s="15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</row>
    <row r="833">
      <c r="A833" s="6"/>
      <c r="B833" s="6"/>
      <c r="C833" s="6"/>
      <c r="D833" s="18"/>
      <c r="E833" s="18"/>
      <c r="F833" s="19"/>
      <c r="G833" s="10">
        <f>IFERROR(VLOOKUP(B833, 'Duke 4'!A$3:$B1000,2, 0), 0)</f>
        <v>0</v>
      </c>
      <c r="H833" s="15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</row>
    <row r="834">
      <c r="A834" s="6"/>
      <c r="B834" s="6"/>
      <c r="C834" s="6"/>
      <c r="D834" s="18"/>
      <c r="E834" s="18"/>
      <c r="F834" s="19"/>
      <c r="G834" s="10">
        <f>IFERROR(VLOOKUP(B834, 'Duke 4'!A$3:$B1000,2, 0), 0)</f>
        <v>0</v>
      </c>
      <c r="H834" s="15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</row>
    <row r="835">
      <c r="A835" s="6"/>
      <c r="B835" s="6"/>
      <c r="C835" s="6"/>
      <c r="D835" s="18"/>
      <c r="E835" s="18"/>
      <c r="F835" s="19"/>
      <c r="G835" s="10">
        <f>IFERROR(VLOOKUP(B835, 'Duke 4'!A$3:$B1000,2, 0), 0)</f>
        <v>0</v>
      </c>
      <c r="H835" s="15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</row>
    <row r="836">
      <c r="A836" s="6"/>
      <c r="B836" s="6"/>
      <c r="C836" s="6"/>
      <c r="D836" s="18"/>
      <c r="E836" s="18"/>
      <c r="F836" s="19"/>
      <c r="G836" s="10">
        <f>IFERROR(VLOOKUP(B836, 'Duke 4'!A$3:$B1000,2, 0), 0)</f>
        <v>0</v>
      </c>
      <c r="H836" s="15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</row>
    <row r="837">
      <c r="A837" s="6"/>
      <c r="B837" s="6"/>
      <c r="C837" s="6"/>
      <c r="D837" s="18"/>
      <c r="E837" s="18"/>
      <c r="F837" s="19"/>
      <c r="G837" s="10">
        <f>IFERROR(VLOOKUP(B837, 'Duke 4'!A$3:$B1000,2, 0), 0)</f>
        <v>0</v>
      </c>
      <c r="H837" s="15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</row>
    <row r="838">
      <c r="A838" s="6"/>
      <c r="B838" s="6"/>
      <c r="C838" s="6"/>
      <c r="D838" s="18"/>
      <c r="E838" s="18"/>
      <c r="F838" s="19"/>
      <c r="G838" s="10">
        <f>IFERROR(VLOOKUP(B838, 'Duke 4'!A$3:$B1000,2, 0), 0)</f>
        <v>0</v>
      </c>
      <c r="H838" s="15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</row>
    <row r="839">
      <c r="A839" s="6"/>
      <c r="B839" s="6"/>
      <c r="C839" s="6"/>
      <c r="D839" s="18"/>
      <c r="E839" s="18"/>
      <c r="F839" s="19"/>
      <c r="G839" s="10">
        <f>IFERROR(VLOOKUP(B839, 'Duke 4'!A$3:$B1000,2, 0), 0)</f>
        <v>0</v>
      </c>
      <c r="H839" s="15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</row>
    <row r="840">
      <c r="A840" s="6"/>
      <c r="B840" s="6"/>
      <c r="C840" s="6"/>
      <c r="D840" s="18"/>
      <c r="E840" s="18"/>
      <c r="F840" s="19"/>
      <c r="G840" s="10">
        <f>IFERROR(VLOOKUP(B840, 'Duke 4'!A$3:$B1000,2, 0), 0)</f>
        <v>0</v>
      </c>
      <c r="H840" s="15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</row>
    <row r="841">
      <c r="A841" s="6"/>
      <c r="B841" s="6"/>
      <c r="C841" s="6"/>
      <c r="D841" s="18"/>
      <c r="E841" s="18"/>
      <c r="F841" s="19"/>
      <c r="G841" s="10">
        <f>IFERROR(VLOOKUP(B841, 'Duke 4'!A$3:$B1000,2, 0), 0)</f>
        <v>0</v>
      </c>
      <c r="H841" s="15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</row>
    <row r="842">
      <c r="A842" s="6"/>
      <c r="B842" s="6"/>
      <c r="C842" s="6"/>
      <c r="D842" s="18"/>
      <c r="E842" s="18"/>
      <c r="F842" s="19"/>
      <c r="G842" s="10">
        <f>IFERROR(VLOOKUP(B842, 'Duke 4'!A$3:$B1000,2, 0), 0)</f>
        <v>0</v>
      </c>
      <c r="H842" s="15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</row>
    <row r="843">
      <c r="A843" s="6"/>
      <c r="B843" s="6"/>
      <c r="C843" s="6"/>
      <c r="D843" s="18"/>
      <c r="E843" s="18"/>
      <c r="F843" s="19"/>
      <c r="G843" s="10">
        <f>IFERROR(VLOOKUP(B843, 'Duke 4'!A$3:$B1000,2, 0), 0)</f>
        <v>0</v>
      </c>
      <c r="H843" s="15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</row>
    <row r="844">
      <c r="A844" s="6"/>
      <c r="B844" s="6"/>
      <c r="C844" s="6"/>
      <c r="D844" s="18"/>
      <c r="E844" s="18"/>
      <c r="F844" s="19"/>
      <c r="G844" s="10">
        <f>IFERROR(VLOOKUP(B844, 'Duke 4'!A$3:$B1000,2, 0), 0)</f>
        <v>0</v>
      </c>
      <c r="H844" s="15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</row>
    <row r="845">
      <c r="A845" s="6"/>
      <c r="B845" s="6"/>
      <c r="C845" s="6"/>
      <c r="D845" s="18"/>
      <c r="E845" s="18"/>
      <c r="F845" s="19"/>
      <c r="G845" s="10">
        <f>IFERROR(VLOOKUP(B845, 'Duke 4'!A$3:$B1000,2, 0), 0)</f>
        <v>0</v>
      </c>
      <c r="H845" s="15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</row>
    <row r="846">
      <c r="A846" s="6"/>
      <c r="B846" s="6"/>
      <c r="C846" s="6"/>
      <c r="D846" s="18"/>
      <c r="E846" s="18"/>
      <c r="F846" s="19"/>
      <c r="G846" s="10">
        <f>IFERROR(VLOOKUP(B846, 'Duke 4'!A$3:$B1000,2, 0), 0)</f>
        <v>0</v>
      </c>
      <c r="H846" s="15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</row>
    <row r="847">
      <c r="A847" s="6"/>
      <c r="B847" s="6"/>
      <c r="C847" s="6"/>
      <c r="D847" s="18"/>
      <c r="E847" s="18"/>
      <c r="F847" s="19"/>
      <c r="G847" s="10">
        <f>IFERROR(VLOOKUP(B847, 'Duke 4'!A$3:$B1000,2, 0), 0)</f>
        <v>0</v>
      </c>
      <c r="H847" s="15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</row>
    <row r="848">
      <c r="A848" s="6"/>
      <c r="B848" s="6"/>
      <c r="C848" s="6"/>
      <c r="D848" s="18"/>
      <c r="E848" s="18"/>
      <c r="F848" s="19"/>
      <c r="G848" s="10">
        <f>IFERROR(VLOOKUP(B848, 'Duke 4'!A$3:$B1000,2, 0), 0)</f>
        <v>0</v>
      </c>
      <c r="H848" s="15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</row>
    <row r="849">
      <c r="A849" s="6"/>
      <c r="B849" s="6"/>
      <c r="C849" s="6"/>
      <c r="D849" s="18"/>
      <c r="E849" s="18"/>
      <c r="F849" s="19"/>
      <c r="G849" s="10">
        <f>IFERROR(VLOOKUP(B849, 'Duke 4'!A$3:$B1000,2, 0), 0)</f>
        <v>0</v>
      </c>
      <c r="H849" s="15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</row>
    <row r="850">
      <c r="A850" s="6"/>
      <c r="B850" s="6"/>
      <c r="C850" s="6"/>
      <c r="D850" s="18"/>
      <c r="E850" s="18"/>
      <c r="F850" s="19"/>
      <c r="G850" s="10">
        <f>IFERROR(VLOOKUP(B850, 'Duke 4'!A$3:$B1000,2, 0), 0)</f>
        <v>0</v>
      </c>
      <c r="H850" s="15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</row>
    <row r="851">
      <c r="A851" s="6"/>
      <c r="B851" s="6"/>
      <c r="C851" s="6"/>
      <c r="D851" s="18"/>
      <c r="E851" s="18"/>
      <c r="F851" s="19"/>
      <c r="G851" s="10">
        <f>IFERROR(VLOOKUP(B851, 'Duke 4'!A$3:$B1000,2, 0), 0)</f>
        <v>0</v>
      </c>
      <c r="H851" s="15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</row>
    <row r="852">
      <c r="A852" s="6"/>
      <c r="B852" s="6"/>
      <c r="C852" s="6"/>
      <c r="D852" s="18"/>
      <c r="E852" s="18"/>
      <c r="F852" s="19"/>
      <c r="G852" s="10">
        <f>IFERROR(VLOOKUP(B852, 'Duke 4'!A$3:$B1000,2, 0), 0)</f>
        <v>0</v>
      </c>
      <c r="H852" s="15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</row>
    <row r="853">
      <c r="A853" s="6"/>
      <c r="B853" s="6"/>
      <c r="C853" s="6"/>
      <c r="D853" s="18"/>
      <c r="E853" s="18"/>
      <c r="F853" s="19"/>
      <c r="G853" s="10">
        <f>IFERROR(VLOOKUP(B853, 'Duke 4'!A$3:$B1000,2, 0), 0)</f>
        <v>0</v>
      </c>
      <c r="H853" s="15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</row>
    <row r="854">
      <c r="A854" s="6"/>
      <c r="B854" s="6"/>
      <c r="C854" s="6"/>
      <c r="D854" s="18"/>
      <c r="E854" s="18"/>
      <c r="F854" s="19"/>
      <c r="G854" s="10">
        <f>IFERROR(VLOOKUP(B854, 'Duke 4'!A$3:$B1000,2, 0), 0)</f>
        <v>0</v>
      </c>
      <c r="H854" s="15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</row>
    <row r="855">
      <c r="A855" s="6"/>
      <c r="B855" s="6"/>
      <c r="C855" s="6"/>
      <c r="D855" s="18"/>
      <c r="E855" s="18"/>
      <c r="F855" s="19"/>
      <c r="G855" s="10">
        <f>IFERROR(VLOOKUP(B855, 'Duke 4'!A$3:$B1000,2, 0), 0)</f>
        <v>0</v>
      </c>
      <c r="H855" s="15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</row>
    <row r="856">
      <c r="A856" s="6"/>
      <c r="B856" s="6"/>
      <c r="C856" s="6"/>
      <c r="D856" s="18"/>
      <c r="E856" s="18"/>
      <c r="F856" s="19"/>
      <c r="G856" s="10">
        <f>IFERROR(VLOOKUP(B856, 'Duke 4'!A$3:$B1000,2, 0), 0)</f>
        <v>0</v>
      </c>
      <c r="H856" s="15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</row>
    <row r="857">
      <c r="A857" s="6"/>
      <c r="B857" s="6"/>
      <c r="C857" s="6"/>
      <c r="D857" s="18"/>
      <c r="E857" s="18"/>
      <c r="F857" s="19"/>
      <c r="G857" s="10">
        <f>IFERROR(VLOOKUP(B857, 'Duke 4'!A$3:$B1000,2, 0), 0)</f>
        <v>0</v>
      </c>
      <c r="H857" s="15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</row>
    <row r="858">
      <c r="A858" s="6"/>
      <c r="B858" s="6"/>
      <c r="C858" s="6"/>
      <c r="D858" s="18"/>
      <c r="E858" s="18"/>
      <c r="F858" s="19"/>
      <c r="G858" s="10">
        <f>IFERROR(VLOOKUP(B858, 'Duke 4'!A$3:$B1000,2, 0), 0)</f>
        <v>0</v>
      </c>
      <c r="H858" s="15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</row>
    <row r="859">
      <c r="A859" s="6"/>
      <c r="B859" s="6"/>
      <c r="C859" s="6"/>
      <c r="D859" s="18"/>
      <c r="E859" s="18"/>
      <c r="F859" s="19"/>
      <c r="G859" s="10">
        <f>IFERROR(VLOOKUP(B859, 'Duke 4'!A$3:$B1000,2, 0), 0)</f>
        <v>0</v>
      </c>
      <c r="H859" s="15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</row>
    <row r="860">
      <c r="A860" s="6"/>
      <c r="B860" s="6"/>
      <c r="C860" s="6"/>
      <c r="D860" s="18"/>
      <c r="E860" s="18"/>
      <c r="F860" s="19"/>
      <c r="G860" s="10">
        <f>IFERROR(VLOOKUP(B860, 'Duke 4'!A$3:$B1000,2, 0), 0)</f>
        <v>0</v>
      </c>
      <c r="H860" s="15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</row>
    <row r="861">
      <c r="A861" s="6"/>
      <c r="B861" s="6"/>
      <c r="C861" s="6"/>
      <c r="D861" s="18"/>
      <c r="E861" s="18"/>
      <c r="F861" s="19"/>
      <c r="G861" s="10">
        <f>IFERROR(VLOOKUP(B861, 'Duke 4'!A$3:$B1000,2, 0), 0)</f>
        <v>0</v>
      </c>
      <c r="H861" s="15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</row>
    <row r="862">
      <c r="A862" s="6"/>
      <c r="B862" s="6"/>
      <c r="C862" s="6"/>
      <c r="D862" s="18"/>
      <c r="E862" s="18"/>
      <c r="F862" s="19"/>
      <c r="G862" s="10">
        <f>IFERROR(VLOOKUP(B862, 'Duke 4'!A$3:$B1000,2, 0), 0)</f>
        <v>0</v>
      </c>
      <c r="H862" s="15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</row>
    <row r="863">
      <c r="A863" s="6"/>
      <c r="B863" s="6"/>
      <c r="C863" s="6"/>
      <c r="D863" s="18"/>
      <c r="E863" s="18"/>
      <c r="F863" s="19"/>
      <c r="G863" s="10">
        <f>IFERROR(VLOOKUP(B863, 'Duke 4'!A$3:$B1000,2, 0), 0)</f>
        <v>0</v>
      </c>
      <c r="H863" s="15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</row>
    <row r="864">
      <c r="A864" s="6"/>
      <c r="B864" s="6"/>
      <c r="C864" s="6"/>
      <c r="D864" s="18"/>
      <c r="E864" s="18"/>
      <c r="F864" s="19"/>
      <c r="G864" s="10">
        <f>IFERROR(VLOOKUP(B864, 'Duke 4'!A$3:$B1000,2, 0), 0)</f>
        <v>0</v>
      </c>
      <c r="H864" s="15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</row>
    <row r="865">
      <c r="A865" s="6"/>
      <c r="B865" s="6"/>
      <c r="C865" s="6"/>
      <c r="D865" s="18"/>
      <c r="E865" s="18"/>
      <c r="F865" s="19"/>
      <c r="G865" s="10">
        <f>IFERROR(VLOOKUP(B865, 'Duke 4'!A$3:$B1000,2, 0), 0)</f>
        <v>0</v>
      </c>
      <c r="H865" s="15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</row>
    <row r="866">
      <c r="A866" s="6"/>
      <c r="B866" s="6"/>
      <c r="C866" s="6"/>
      <c r="D866" s="18"/>
      <c r="E866" s="18"/>
      <c r="F866" s="19"/>
      <c r="G866" s="10">
        <f>IFERROR(VLOOKUP(B866, 'Duke 4'!A$3:$B1000,2, 0), 0)</f>
        <v>0</v>
      </c>
      <c r="H866" s="15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</row>
    <row r="867">
      <c r="A867" s="6"/>
      <c r="B867" s="6"/>
      <c r="C867" s="6"/>
      <c r="D867" s="18"/>
      <c r="E867" s="18"/>
      <c r="F867" s="19"/>
      <c r="G867" s="10">
        <f>IFERROR(VLOOKUP(B867, 'Duke 4'!A$3:$B1000,2, 0), 0)</f>
        <v>0</v>
      </c>
      <c r="H867" s="15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</row>
    <row r="868">
      <c r="A868" s="6"/>
      <c r="B868" s="6"/>
      <c r="C868" s="6"/>
      <c r="D868" s="18"/>
      <c r="E868" s="18"/>
      <c r="F868" s="19"/>
      <c r="G868" s="10">
        <f>IFERROR(VLOOKUP(B868, 'Duke 4'!A$3:$B1000,2, 0), 0)</f>
        <v>0</v>
      </c>
      <c r="H868" s="15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</row>
    <row r="869">
      <c r="A869" s="6"/>
      <c r="B869" s="6"/>
      <c r="C869" s="6"/>
      <c r="D869" s="18"/>
      <c r="E869" s="18"/>
      <c r="F869" s="19"/>
      <c r="G869" s="10">
        <f>IFERROR(VLOOKUP(B869, 'Duke 4'!A$3:$B1000,2, 0), 0)</f>
        <v>0</v>
      </c>
      <c r="H869" s="15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</row>
    <row r="870">
      <c r="A870" s="6"/>
      <c r="B870" s="6"/>
      <c r="C870" s="6"/>
      <c r="D870" s="18"/>
      <c r="E870" s="18"/>
      <c r="F870" s="19"/>
      <c r="G870" s="10">
        <f>IFERROR(VLOOKUP(B870, 'Duke 4'!A$3:$B1000,2, 0), 0)</f>
        <v>0</v>
      </c>
      <c r="H870" s="15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</row>
    <row r="871">
      <c r="A871" s="6"/>
      <c r="B871" s="6"/>
      <c r="C871" s="6"/>
      <c r="D871" s="18"/>
      <c r="E871" s="18"/>
      <c r="F871" s="19"/>
      <c r="G871" s="10">
        <f>IFERROR(VLOOKUP(B871, 'Duke 4'!A$3:$B1000,2, 0), 0)</f>
        <v>0</v>
      </c>
      <c r="H871" s="15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</row>
    <row r="872">
      <c r="A872" s="6"/>
      <c r="B872" s="6"/>
      <c r="C872" s="6"/>
      <c r="D872" s="18"/>
      <c r="E872" s="18"/>
      <c r="F872" s="19"/>
      <c r="G872" s="10">
        <f>IFERROR(VLOOKUP(B872, 'Duke 4'!A$3:$B1000,2, 0), 0)</f>
        <v>0</v>
      </c>
      <c r="H872" s="15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</row>
    <row r="873">
      <c r="A873" s="6"/>
      <c r="B873" s="6"/>
      <c r="C873" s="6"/>
      <c r="D873" s="18"/>
      <c r="E873" s="18"/>
      <c r="F873" s="19"/>
      <c r="G873" s="10">
        <f>IFERROR(VLOOKUP(B873, 'Duke 4'!A$3:$B1000,2, 0), 0)</f>
        <v>0</v>
      </c>
      <c r="H873" s="15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</row>
    <row r="874">
      <c r="A874" s="6"/>
      <c r="B874" s="6"/>
      <c r="C874" s="6"/>
      <c r="D874" s="18"/>
      <c r="E874" s="18"/>
      <c r="F874" s="19"/>
      <c r="G874" s="10">
        <f>IFERROR(VLOOKUP(B874, 'Duke 4'!A$3:$B1000,2, 0), 0)</f>
        <v>0</v>
      </c>
      <c r="H874" s="15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</row>
    <row r="875">
      <c r="A875" s="6"/>
      <c r="B875" s="6"/>
      <c r="C875" s="6"/>
      <c r="D875" s="18"/>
      <c r="E875" s="18"/>
      <c r="F875" s="19"/>
      <c r="G875" s="10">
        <f>IFERROR(VLOOKUP(B875, 'Duke 4'!A$3:$B1000,2, 0), 0)</f>
        <v>0</v>
      </c>
      <c r="H875" s="15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</row>
    <row r="876">
      <c r="A876" s="6"/>
      <c r="B876" s="6"/>
      <c r="C876" s="6"/>
      <c r="D876" s="18"/>
      <c r="E876" s="18"/>
      <c r="F876" s="19"/>
      <c r="G876" s="10">
        <f>IFERROR(VLOOKUP(B876, 'Duke 4'!A$3:$B1000,2, 0), 0)</f>
        <v>0</v>
      </c>
      <c r="H876" s="15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</row>
    <row r="877">
      <c r="A877" s="6"/>
      <c r="B877" s="6"/>
      <c r="C877" s="6"/>
      <c r="D877" s="18"/>
      <c r="E877" s="18"/>
      <c r="F877" s="19"/>
      <c r="G877" s="10">
        <f>IFERROR(VLOOKUP(B877, 'Duke 4'!A$3:$B1000,2, 0), 0)</f>
        <v>0</v>
      </c>
      <c r="H877" s="15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</row>
    <row r="878">
      <c r="A878" s="6"/>
      <c r="B878" s="6"/>
      <c r="C878" s="6"/>
      <c r="D878" s="18"/>
      <c r="E878" s="18"/>
      <c r="F878" s="19"/>
      <c r="G878" s="10">
        <f>IFERROR(VLOOKUP(B878, 'Duke 4'!A$3:$B1000,2, 0), 0)</f>
        <v>0</v>
      </c>
      <c r="H878" s="15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</row>
    <row r="879">
      <c r="A879" s="6"/>
      <c r="B879" s="6"/>
      <c r="C879" s="6"/>
      <c r="D879" s="18"/>
      <c r="E879" s="18"/>
      <c r="F879" s="19"/>
      <c r="G879" s="10">
        <f>IFERROR(VLOOKUP(B879, 'Duke 4'!A$3:$B1000,2, 0), 0)</f>
        <v>0</v>
      </c>
      <c r="H879" s="15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</row>
    <row r="880">
      <c r="A880" s="6"/>
      <c r="B880" s="6"/>
      <c r="C880" s="6"/>
      <c r="D880" s="18"/>
      <c r="E880" s="18"/>
      <c r="F880" s="19"/>
      <c r="G880" s="10">
        <f>IFERROR(VLOOKUP(B880, 'Duke 4'!A$3:$B1000,2, 0), 0)</f>
        <v>0</v>
      </c>
      <c r="H880" s="15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</row>
    <row r="881">
      <c r="A881" s="6"/>
      <c r="B881" s="6"/>
      <c r="C881" s="6"/>
      <c r="D881" s="18"/>
      <c r="E881" s="18"/>
      <c r="F881" s="19"/>
      <c r="G881" s="10">
        <f>IFERROR(VLOOKUP(B881, 'Duke 4'!A$3:$B1000,2, 0), 0)</f>
        <v>0</v>
      </c>
      <c r="H881" s="15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</row>
    <row r="882">
      <c r="A882" s="6"/>
      <c r="B882" s="6"/>
      <c r="C882" s="6"/>
      <c r="D882" s="18"/>
      <c r="E882" s="18"/>
      <c r="F882" s="19"/>
      <c r="G882" s="10">
        <f>IFERROR(VLOOKUP(B882, 'Duke 4'!A$3:$B1000,2, 0), 0)</f>
        <v>0</v>
      </c>
      <c r="H882" s="15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</row>
    <row r="883">
      <c r="A883" s="6"/>
      <c r="B883" s="6"/>
      <c r="C883" s="6"/>
      <c r="D883" s="18"/>
      <c r="E883" s="18"/>
      <c r="F883" s="19"/>
      <c r="G883" s="10">
        <f>IFERROR(VLOOKUP(B883, 'Duke 4'!A$3:$B1000,2, 0), 0)</f>
        <v>0</v>
      </c>
      <c r="H883" s="15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</row>
    <row r="884">
      <c r="A884" s="6"/>
      <c r="B884" s="6"/>
      <c r="C884" s="6"/>
      <c r="D884" s="18"/>
      <c r="E884" s="18"/>
      <c r="F884" s="19"/>
      <c r="G884" s="10">
        <f>IFERROR(VLOOKUP(B884, 'Duke 4'!A$3:$B1000,2, 0), 0)</f>
        <v>0</v>
      </c>
      <c r="H884" s="15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</row>
    <row r="885">
      <c r="A885" s="6"/>
      <c r="B885" s="6"/>
      <c r="C885" s="6"/>
      <c r="D885" s="18"/>
      <c r="E885" s="18"/>
      <c r="F885" s="19"/>
      <c r="G885" s="10">
        <f>IFERROR(VLOOKUP(B885, 'Duke 4'!A$3:$B1000,2, 0), 0)</f>
        <v>0</v>
      </c>
      <c r="H885" s="15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</row>
    <row r="886">
      <c r="A886" s="6"/>
      <c r="B886" s="6"/>
      <c r="C886" s="6"/>
      <c r="D886" s="18"/>
      <c r="E886" s="18"/>
      <c r="F886" s="19"/>
      <c r="G886" s="10">
        <f>IFERROR(VLOOKUP(B886, 'Duke 4'!A$3:$B1000,2, 0), 0)</f>
        <v>0</v>
      </c>
      <c r="H886" s="15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</row>
    <row r="887">
      <c r="A887" s="6"/>
      <c r="B887" s="6"/>
      <c r="C887" s="6"/>
      <c r="D887" s="18"/>
      <c r="E887" s="18"/>
      <c r="F887" s="19"/>
      <c r="G887" s="10">
        <f>IFERROR(VLOOKUP(B887, 'Duke 4'!A$3:$B1000,2, 0), 0)</f>
        <v>0</v>
      </c>
      <c r="H887" s="15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</row>
    <row r="888">
      <c r="A888" s="6"/>
      <c r="B888" s="6"/>
      <c r="C888" s="6"/>
      <c r="D888" s="18"/>
      <c r="E888" s="18"/>
      <c r="F888" s="19"/>
      <c r="G888" s="10">
        <f>IFERROR(VLOOKUP(B888, 'Duke 4'!A$3:$B1000,2, 0), 0)</f>
        <v>0</v>
      </c>
      <c r="H888" s="15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</row>
    <row r="889">
      <c r="A889" s="6"/>
      <c r="B889" s="6"/>
      <c r="C889" s="6"/>
      <c r="D889" s="18"/>
      <c r="E889" s="18"/>
      <c r="F889" s="19"/>
      <c r="G889" s="10">
        <f>IFERROR(VLOOKUP(B889, 'Duke 4'!A$3:$B1000,2, 0), 0)</f>
        <v>0</v>
      </c>
      <c r="H889" s="15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</row>
    <row r="890">
      <c r="A890" s="6"/>
      <c r="B890" s="6"/>
      <c r="C890" s="6"/>
      <c r="D890" s="18"/>
      <c r="E890" s="18"/>
      <c r="F890" s="19"/>
      <c r="G890" s="10">
        <f>IFERROR(VLOOKUP(B890, 'Duke 4'!A$3:$B1000,2, 0), 0)</f>
        <v>0</v>
      </c>
      <c r="H890" s="15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</row>
    <row r="891">
      <c r="A891" s="6"/>
      <c r="B891" s="6"/>
      <c r="C891" s="6"/>
      <c r="D891" s="18"/>
      <c r="E891" s="18"/>
      <c r="F891" s="19"/>
      <c r="G891" s="10">
        <f>IFERROR(VLOOKUP(B891, 'Duke 4'!A$3:$B1000,2, 0), 0)</f>
        <v>0</v>
      </c>
      <c r="H891" s="15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</row>
    <row r="892">
      <c r="A892" s="6"/>
      <c r="B892" s="6"/>
      <c r="C892" s="6"/>
      <c r="D892" s="18"/>
      <c r="E892" s="18"/>
      <c r="F892" s="19"/>
      <c r="G892" s="10">
        <f>IFERROR(VLOOKUP(B892, 'Duke 4'!A$3:$B1000,2, 0), 0)</f>
        <v>0</v>
      </c>
      <c r="H892" s="15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</row>
    <row r="893">
      <c r="A893" s="6"/>
      <c r="B893" s="6"/>
      <c r="C893" s="6"/>
      <c r="D893" s="18"/>
      <c r="E893" s="18"/>
      <c r="F893" s="19"/>
      <c r="G893" s="10">
        <f>IFERROR(VLOOKUP(B893, 'Duke 4'!A$3:$B1000,2, 0), 0)</f>
        <v>0</v>
      </c>
      <c r="H893" s="15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</row>
    <row r="894">
      <c r="A894" s="6"/>
      <c r="B894" s="6"/>
      <c r="C894" s="6"/>
      <c r="D894" s="18"/>
      <c r="E894" s="18"/>
      <c r="F894" s="19"/>
      <c r="G894" s="10">
        <f>IFERROR(VLOOKUP(B894, 'Duke 4'!A$3:$B1000,2, 0), 0)</f>
        <v>0</v>
      </c>
      <c r="H894" s="15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</row>
    <row r="895">
      <c r="A895" s="6"/>
      <c r="B895" s="6"/>
      <c r="C895" s="6"/>
      <c r="D895" s="18"/>
      <c r="E895" s="18"/>
      <c r="F895" s="19"/>
      <c r="G895" s="10">
        <f>IFERROR(VLOOKUP(B895, 'Duke 4'!A$3:$B1000,2, 0), 0)</f>
        <v>0</v>
      </c>
      <c r="H895" s="15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</row>
    <row r="896">
      <c r="A896" s="6"/>
      <c r="B896" s="6"/>
      <c r="C896" s="6"/>
      <c r="D896" s="18"/>
      <c r="E896" s="18"/>
      <c r="F896" s="19"/>
      <c r="G896" s="10">
        <f>IFERROR(VLOOKUP(B896, 'Duke 4'!A$3:$B1000,2, 0), 0)</f>
        <v>0</v>
      </c>
      <c r="H896" s="15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</row>
    <row r="897">
      <c r="A897" s="6"/>
      <c r="B897" s="6"/>
      <c r="C897" s="6"/>
      <c r="D897" s="18"/>
      <c r="E897" s="18"/>
      <c r="F897" s="19"/>
      <c r="G897" s="10">
        <f>IFERROR(VLOOKUP(B897, 'Duke 4'!A$3:$B1000,2, 0), 0)</f>
        <v>0</v>
      </c>
      <c r="H897" s="15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</row>
    <row r="898">
      <c r="A898" s="6"/>
      <c r="B898" s="6"/>
      <c r="C898" s="6"/>
      <c r="D898" s="18"/>
      <c r="E898" s="18"/>
      <c r="F898" s="19"/>
      <c r="G898" s="10">
        <f>IFERROR(VLOOKUP(B898, 'Duke 4'!A$3:$B1000,2, 0), 0)</f>
        <v>0</v>
      </c>
      <c r="H898" s="15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</row>
    <row r="899">
      <c r="A899" s="6"/>
      <c r="B899" s="6"/>
      <c r="C899" s="6"/>
      <c r="D899" s="18"/>
      <c r="E899" s="18"/>
      <c r="F899" s="19"/>
      <c r="G899" s="10">
        <f>IFERROR(VLOOKUP(B899, 'Duke 4'!A$3:$B1000,2, 0), 0)</f>
        <v>0</v>
      </c>
      <c r="H899" s="15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</row>
    <row r="900">
      <c r="A900" s="6"/>
      <c r="B900" s="6"/>
      <c r="C900" s="6"/>
      <c r="D900" s="18"/>
      <c r="E900" s="18"/>
      <c r="F900" s="19"/>
      <c r="G900" s="10">
        <f>IFERROR(VLOOKUP(B900, 'Duke 4'!A$3:$B1000,2, 0), 0)</f>
        <v>0</v>
      </c>
      <c r="H900" s="15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</row>
    <row r="901">
      <c r="A901" s="6"/>
      <c r="B901" s="6"/>
      <c r="C901" s="6"/>
      <c r="D901" s="18"/>
      <c r="E901" s="18"/>
      <c r="F901" s="19"/>
      <c r="G901" s="10">
        <f>IFERROR(VLOOKUP(B901, 'Duke 4'!A$3:$B1000,2, 0), 0)</f>
        <v>0</v>
      </c>
      <c r="H901" s="15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</row>
    <row r="902">
      <c r="A902" s="6"/>
      <c r="B902" s="6"/>
      <c r="C902" s="6"/>
      <c r="D902" s="18"/>
      <c r="E902" s="18"/>
      <c r="F902" s="19"/>
      <c r="G902" s="10">
        <f>IFERROR(VLOOKUP(B902, 'Duke 4'!A$3:$B1000,2, 0), 0)</f>
        <v>0</v>
      </c>
      <c r="H902" s="15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</row>
    <row r="903">
      <c r="A903" s="6"/>
      <c r="B903" s="6"/>
      <c r="C903" s="6"/>
      <c r="D903" s="18"/>
      <c r="E903" s="18"/>
      <c r="F903" s="19"/>
      <c r="G903" s="10">
        <f>IFERROR(VLOOKUP(B903, 'Duke 4'!A$3:$B1000,2, 0), 0)</f>
        <v>0</v>
      </c>
      <c r="H903" s="15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</row>
    <row r="904">
      <c r="A904" s="6"/>
      <c r="B904" s="6"/>
      <c r="C904" s="6"/>
      <c r="D904" s="18"/>
      <c r="E904" s="18"/>
      <c r="F904" s="19"/>
      <c r="G904" s="10">
        <f>IFERROR(VLOOKUP(B904, 'Duke 4'!A$3:$B1000,2, 0), 0)</f>
        <v>0</v>
      </c>
      <c r="H904" s="15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</row>
    <row r="905">
      <c r="A905" s="6"/>
      <c r="B905" s="6"/>
      <c r="C905" s="6"/>
      <c r="D905" s="18"/>
      <c r="E905" s="18"/>
      <c r="F905" s="19"/>
      <c r="G905" s="10">
        <f>IFERROR(VLOOKUP(B905, 'Duke 4'!A$3:$B1000,2, 0), 0)</f>
        <v>0</v>
      </c>
      <c r="H905" s="15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</row>
    <row r="906">
      <c r="A906" s="6"/>
      <c r="B906" s="6"/>
      <c r="C906" s="6"/>
      <c r="D906" s="18"/>
      <c r="E906" s="18"/>
      <c r="F906" s="19"/>
      <c r="G906" s="10">
        <f>IFERROR(VLOOKUP(B906, 'Duke 4'!A$3:$B1000,2, 0), 0)</f>
        <v>0</v>
      </c>
      <c r="H906" s="15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</row>
    <row r="907">
      <c r="A907" s="6"/>
      <c r="B907" s="6"/>
      <c r="C907" s="6"/>
      <c r="D907" s="18"/>
      <c r="E907" s="18"/>
      <c r="F907" s="19"/>
      <c r="G907" s="10">
        <f>IFERROR(VLOOKUP(B907, 'Duke 4'!A$3:$B1000,2, 0), 0)</f>
        <v>0</v>
      </c>
      <c r="H907" s="15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</row>
    <row r="908">
      <c r="A908" s="6"/>
      <c r="B908" s="6"/>
      <c r="C908" s="6"/>
      <c r="D908" s="18"/>
      <c r="E908" s="18"/>
      <c r="F908" s="19"/>
      <c r="G908" s="10">
        <f>IFERROR(VLOOKUP(B908, 'Duke 4'!A$3:$B1000,2, 0), 0)</f>
        <v>0</v>
      </c>
      <c r="H908" s="15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</row>
    <row r="909">
      <c r="A909" s="6"/>
      <c r="B909" s="6"/>
      <c r="C909" s="6"/>
      <c r="D909" s="18"/>
      <c r="E909" s="18"/>
      <c r="F909" s="19"/>
      <c r="G909" s="10">
        <f>IFERROR(VLOOKUP(B909, 'Duke 4'!A$3:$B1000,2, 0), 0)</f>
        <v>0</v>
      </c>
      <c r="H909" s="15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</row>
    <row r="910">
      <c r="A910" s="6"/>
      <c r="B910" s="6"/>
      <c r="C910" s="6"/>
      <c r="D910" s="18"/>
      <c r="E910" s="18"/>
      <c r="F910" s="19"/>
      <c r="G910" s="10">
        <f>IFERROR(VLOOKUP(B910, 'Duke 4'!A$3:$B1000,2, 0), 0)</f>
        <v>0</v>
      </c>
      <c r="H910" s="15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</row>
    <row r="911">
      <c r="A911" s="6"/>
      <c r="B911" s="6"/>
      <c r="C911" s="6"/>
      <c r="D911" s="18"/>
      <c r="E911" s="18"/>
      <c r="F911" s="19"/>
      <c r="G911" s="10">
        <f>IFERROR(VLOOKUP(B911, 'Duke 4'!A$3:$B1000,2, 0), 0)</f>
        <v>0</v>
      </c>
      <c r="H911" s="15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</row>
    <row r="912">
      <c r="A912" s="6"/>
      <c r="B912" s="6"/>
      <c r="C912" s="6"/>
      <c r="D912" s="18"/>
      <c r="E912" s="18"/>
      <c r="F912" s="19"/>
      <c r="G912" s="10">
        <f>IFERROR(VLOOKUP(B912, 'Duke 4'!A$3:$B1000,2, 0), 0)</f>
        <v>0</v>
      </c>
      <c r="H912" s="15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</row>
    <row r="913">
      <c r="A913" s="6"/>
      <c r="B913" s="6"/>
      <c r="C913" s="6"/>
      <c r="D913" s="18"/>
      <c r="E913" s="18"/>
      <c r="F913" s="19"/>
      <c r="G913" s="10">
        <f>IFERROR(VLOOKUP(B913, 'Duke 4'!A$3:$B1000,2, 0), 0)</f>
        <v>0</v>
      </c>
      <c r="H913" s="15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</row>
    <row r="914">
      <c r="A914" s="6"/>
      <c r="B914" s="6"/>
      <c r="C914" s="6"/>
      <c r="D914" s="18"/>
      <c r="E914" s="18"/>
      <c r="F914" s="19"/>
      <c r="G914" s="10">
        <f>IFERROR(VLOOKUP(B914, 'Duke 4'!A$3:$B1000,2, 0), 0)</f>
        <v>0</v>
      </c>
      <c r="H914" s="15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</row>
    <row r="915">
      <c r="A915" s="6"/>
      <c r="B915" s="6"/>
      <c r="C915" s="6"/>
      <c r="D915" s="18"/>
      <c r="E915" s="18"/>
      <c r="F915" s="19"/>
      <c r="G915" s="10">
        <f>IFERROR(VLOOKUP(B915, 'Duke 4'!A$3:$B1000,2, 0), 0)</f>
        <v>0</v>
      </c>
      <c r="H915" s="15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</row>
    <row r="916">
      <c r="A916" s="6"/>
      <c r="B916" s="6"/>
      <c r="C916" s="6"/>
      <c r="D916" s="18"/>
      <c r="E916" s="18"/>
      <c r="F916" s="19"/>
      <c r="G916" s="10">
        <f>IFERROR(VLOOKUP(B916, 'Duke 4'!A$3:$B1000,2, 0), 0)</f>
        <v>0</v>
      </c>
      <c r="H916" s="15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</row>
    <row r="917">
      <c r="A917" s="6"/>
      <c r="B917" s="6"/>
      <c r="C917" s="6"/>
      <c r="D917" s="18"/>
      <c r="E917" s="18"/>
      <c r="F917" s="19"/>
      <c r="G917" s="10">
        <f>IFERROR(VLOOKUP(B917, 'Duke 4'!A$3:$B1000,2, 0), 0)</f>
        <v>0</v>
      </c>
      <c r="H917" s="15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</row>
    <row r="918">
      <c r="A918" s="6"/>
      <c r="B918" s="6"/>
      <c r="C918" s="6"/>
      <c r="D918" s="18"/>
      <c r="E918" s="18"/>
      <c r="F918" s="19"/>
      <c r="G918" s="10">
        <f>IFERROR(VLOOKUP(B918, 'Duke 4'!A$3:$B1000,2, 0), 0)</f>
        <v>0</v>
      </c>
      <c r="H918" s="15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</row>
    <row r="919">
      <c r="A919" s="6"/>
      <c r="B919" s="6"/>
      <c r="C919" s="6"/>
      <c r="D919" s="18"/>
      <c r="E919" s="18"/>
      <c r="F919" s="19"/>
      <c r="G919" s="10">
        <f>IFERROR(VLOOKUP(B919, 'Duke 4'!A$3:$B1000,2, 0), 0)</f>
        <v>0</v>
      </c>
      <c r="H919" s="15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</row>
    <row r="920">
      <c r="A920" s="6"/>
      <c r="B920" s="6"/>
      <c r="C920" s="6"/>
      <c r="D920" s="18"/>
      <c r="E920" s="18"/>
      <c r="F920" s="19"/>
      <c r="G920" s="10">
        <f>IFERROR(VLOOKUP(B920, 'Duke 4'!A$3:$B1000,2, 0), 0)</f>
        <v>0</v>
      </c>
      <c r="H920" s="15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</row>
    <row r="921">
      <c r="A921" s="6"/>
      <c r="B921" s="6"/>
      <c r="C921" s="6"/>
      <c r="D921" s="18"/>
      <c r="E921" s="18"/>
      <c r="F921" s="19"/>
      <c r="G921" s="10">
        <f>IFERROR(VLOOKUP(B921, 'Duke 4'!A$3:$B1000,2, 0), 0)</f>
        <v>0</v>
      </c>
      <c r="H921" s="15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</row>
    <row r="922">
      <c r="A922" s="6"/>
      <c r="B922" s="6"/>
      <c r="C922" s="6"/>
      <c r="D922" s="18"/>
      <c r="E922" s="18"/>
      <c r="F922" s="19"/>
      <c r="G922" s="10">
        <f>IFERROR(VLOOKUP(B922, 'Duke 4'!A$3:$B1000,2, 0), 0)</f>
        <v>0</v>
      </c>
      <c r="H922" s="15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</row>
    <row r="923">
      <c r="A923" s="6"/>
      <c r="B923" s="6"/>
      <c r="C923" s="6"/>
      <c r="D923" s="18"/>
      <c r="E923" s="18"/>
      <c r="F923" s="19"/>
      <c r="G923" s="10">
        <f>IFERROR(VLOOKUP(B923, 'Duke 4'!A$3:$B1000,2, 0), 0)</f>
        <v>0</v>
      </c>
      <c r="H923" s="15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</row>
    <row r="924">
      <c r="A924" s="6"/>
      <c r="B924" s="6"/>
      <c r="C924" s="6"/>
      <c r="D924" s="18"/>
      <c r="E924" s="18"/>
      <c r="F924" s="19"/>
      <c r="G924" s="10">
        <f>IFERROR(VLOOKUP(B924, 'Duke 4'!A$3:$B1000,2, 0), 0)</f>
        <v>0</v>
      </c>
      <c r="H924" s="15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</row>
    <row r="925">
      <c r="A925" s="6"/>
      <c r="B925" s="6"/>
      <c r="C925" s="6"/>
      <c r="D925" s="18"/>
      <c r="E925" s="18"/>
      <c r="F925" s="19"/>
      <c r="G925" s="10">
        <f>IFERROR(VLOOKUP(B925, 'Duke 4'!A$3:$B1000,2, 0), 0)</f>
        <v>0</v>
      </c>
      <c r="H925" s="15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</row>
    <row r="926">
      <c r="A926" s="6"/>
      <c r="B926" s="6"/>
      <c r="C926" s="6"/>
      <c r="D926" s="18"/>
      <c r="E926" s="18"/>
      <c r="F926" s="19"/>
      <c r="G926" s="10">
        <f>IFERROR(VLOOKUP(B926, 'Duke 4'!A$3:$B1000,2, 0), 0)</f>
        <v>0</v>
      </c>
      <c r="H926" s="15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</row>
    <row r="927">
      <c r="A927" s="6"/>
      <c r="B927" s="6"/>
      <c r="C927" s="6"/>
      <c r="D927" s="18"/>
      <c r="E927" s="18"/>
      <c r="F927" s="19"/>
      <c r="G927" s="10">
        <f>IFERROR(VLOOKUP(B927, 'Duke 4'!A$3:$B1000,2, 0), 0)</f>
        <v>0</v>
      </c>
      <c r="H927" s="15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</row>
    <row r="928">
      <c r="A928" s="6"/>
      <c r="B928" s="6"/>
      <c r="C928" s="6"/>
      <c r="D928" s="18"/>
      <c r="E928" s="18"/>
      <c r="F928" s="19"/>
      <c r="G928" s="10">
        <f>IFERROR(VLOOKUP(B928, 'Duke 4'!A$3:$B1000,2, 0), 0)</f>
        <v>0</v>
      </c>
      <c r="H928" s="15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</row>
    <row r="929">
      <c r="A929" s="6"/>
      <c r="B929" s="6"/>
      <c r="C929" s="6"/>
      <c r="D929" s="18"/>
      <c r="E929" s="18"/>
      <c r="F929" s="19"/>
      <c r="G929" s="10">
        <f>IFERROR(VLOOKUP(B929, 'Duke 4'!A$3:$B1000,2, 0), 0)</f>
        <v>0</v>
      </c>
      <c r="H929" s="15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</row>
    <row r="930">
      <c r="A930" s="6"/>
      <c r="B930" s="6"/>
      <c r="C930" s="6"/>
      <c r="D930" s="18"/>
      <c r="E930" s="18"/>
      <c r="F930" s="19"/>
      <c r="G930" s="10">
        <f>IFERROR(VLOOKUP(B930, 'Duke 4'!A$3:$B1000,2, 0), 0)</f>
        <v>0</v>
      </c>
      <c r="H930" s="15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</row>
    <row r="931">
      <c r="A931" s="6"/>
      <c r="B931" s="6"/>
      <c r="C931" s="6"/>
      <c r="D931" s="18"/>
      <c r="E931" s="18"/>
      <c r="F931" s="19"/>
      <c r="G931" s="10">
        <f>IFERROR(VLOOKUP(B931, 'Duke 4'!A$3:$B1000,2, 0), 0)</f>
        <v>0</v>
      </c>
      <c r="H931" s="15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</row>
    <row r="932">
      <c r="A932" s="6"/>
      <c r="B932" s="6"/>
      <c r="C932" s="6"/>
      <c r="D932" s="18"/>
      <c r="E932" s="18"/>
      <c r="F932" s="19"/>
      <c r="G932" s="10">
        <f>IFERROR(VLOOKUP(B932, 'Duke 4'!A$3:$B1000,2, 0), 0)</f>
        <v>0</v>
      </c>
      <c r="H932" s="15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</row>
    <row r="933">
      <c r="A933" s="6"/>
      <c r="B933" s="6"/>
      <c r="C933" s="6"/>
      <c r="D933" s="18"/>
      <c r="E933" s="18"/>
      <c r="F933" s="19"/>
      <c r="G933" s="10">
        <f>IFERROR(VLOOKUP(B933, 'Duke 4'!A$3:$B1000,2, 0), 0)</f>
        <v>0</v>
      </c>
      <c r="H933" s="15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</row>
    <row r="934">
      <c r="A934" s="6"/>
      <c r="B934" s="6"/>
      <c r="C934" s="6"/>
      <c r="D934" s="18"/>
      <c r="E934" s="18"/>
      <c r="F934" s="19"/>
      <c r="G934" s="10">
        <f>IFERROR(VLOOKUP(B934, 'Duke 4'!A$3:$B1000,2, 0), 0)</f>
        <v>0</v>
      </c>
      <c r="H934" s="15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</row>
    <row r="935">
      <c r="A935" s="6"/>
      <c r="B935" s="6"/>
      <c r="C935" s="6"/>
      <c r="D935" s="18"/>
      <c r="E935" s="18"/>
      <c r="F935" s="19"/>
      <c r="G935" s="10">
        <f>IFERROR(VLOOKUP(B935, 'Duke 4'!A$3:$B1000,2, 0), 0)</f>
        <v>0</v>
      </c>
      <c r="H935" s="15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</row>
    <row r="936">
      <c r="A936" s="6"/>
      <c r="B936" s="6"/>
      <c r="C936" s="6"/>
      <c r="D936" s="18"/>
      <c r="E936" s="18"/>
      <c r="F936" s="19"/>
      <c r="G936" s="10">
        <f>IFERROR(VLOOKUP(B936, 'Duke 4'!A$3:$B1000,2, 0), 0)</f>
        <v>0</v>
      </c>
      <c r="H936" s="15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</row>
    <row r="937">
      <c r="A937" s="6"/>
      <c r="B937" s="6"/>
      <c r="C937" s="6"/>
      <c r="D937" s="18"/>
      <c r="E937" s="18"/>
      <c r="F937" s="19"/>
      <c r="G937" s="10">
        <f>IFERROR(VLOOKUP(B937, 'Duke 4'!A$3:$B1000,2, 0), 0)</f>
        <v>0</v>
      </c>
      <c r="H937" s="15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</row>
    <row r="938">
      <c r="A938" s="6"/>
      <c r="B938" s="6"/>
      <c r="C938" s="6"/>
      <c r="D938" s="18"/>
      <c r="E938" s="18"/>
      <c r="F938" s="19"/>
      <c r="G938" s="10">
        <f>IFERROR(VLOOKUP(B938, 'Duke 4'!A$3:$B1000,2, 0), 0)</f>
        <v>0</v>
      </c>
      <c r="H938" s="15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</row>
    <row r="939">
      <c r="A939" s="6"/>
      <c r="B939" s="6"/>
      <c r="C939" s="6"/>
      <c r="D939" s="18"/>
      <c r="E939" s="18"/>
      <c r="F939" s="19"/>
      <c r="G939" s="10">
        <f>IFERROR(VLOOKUP(B939, 'Duke 4'!A$3:$B1000,2, 0), 0)</f>
        <v>0</v>
      </c>
      <c r="H939" s="15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</row>
    <row r="940">
      <c r="A940" s="6"/>
      <c r="B940" s="6"/>
      <c r="C940" s="6"/>
      <c r="D940" s="18"/>
      <c r="E940" s="18"/>
      <c r="F940" s="19"/>
      <c r="G940" s="10">
        <f>IFERROR(VLOOKUP(B940, 'Duke 4'!A$3:$B1000,2, 0), 0)</f>
        <v>0</v>
      </c>
      <c r="H940" s="15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</row>
    <row r="941">
      <c r="A941" s="6"/>
      <c r="B941" s="6"/>
      <c r="C941" s="6"/>
      <c r="D941" s="18"/>
      <c r="E941" s="18"/>
      <c r="F941" s="19"/>
      <c r="G941" s="10">
        <f>IFERROR(VLOOKUP(B941, 'Duke 4'!A$3:$B1000,2, 0), 0)</f>
        <v>0</v>
      </c>
      <c r="H941" s="15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</row>
    <row r="942">
      <c r="A942" s="6"/>
      <c r="B942" s="6"/>
      <c r="C942" s="6"/>
      <c r="D942" s="18"/>
      <c r="E942" s="18"/>
      <c r="F942" s="19"/>
      <c r="G942" s="10">
        <f>IFERROR(VLOOKUP(B942, 'Duke 4'!A$3:$B1000,2, 0), 0)</f>
        <v>0</v>
      </c>
      <c r="H942" s="15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</row>
    <row r="943">
      <c r="A943" s="6"/>
      <c r="B943" s="6"/>
      <c r="C943" s="6"/>
      <c r="D943" s="18"/>
      <c r="E943" s="18"/>
      <c r="F943" s="19"/>
      <c r="G943" s="10">
        <f>IFERROR(VLOOKUP(B943, 'Duke 4'!A$3:$B1000,2, 0), 0)</f>
        <v>0</v>
      </c>
      <c r="H943" s="15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</row>
    <row r="944">
      <c r="A944" s="6"/>
      <c r="B944" s="6"/>
      <c r="C944" s="6"/>
      <c r="D944" s="18"/>
      <c r="E944" s="18"/>
      <c r="F944" s="19"/>
      <c r="G944" s="10">
        <f>IFERROR(VLOOKUP(B944, 'Duke 4'!A$3:$B1000,2, 0), 0)</f>
        <v>0</v>
      </c>
      <c r="H944" s="15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</row>
    <row r="945">
      <c r="A945" s="6"/>
      <c r="B945" s="6"/>
      <c r="C945" s="6"/>
      <c r="D945" s="18"/>
      <c r="E945" s="18"/>
      <c r="F945" s="19"/>
      <c r="G945" s="10">
        <f>IFERROR(VLOOKUP(B945, 'Duke 4'!A$3:$B1000,2, 0), 0)</f>
        <v>0</v>
      </c>
      <c r="H945" s="15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</row>
    <row r="946">
      <c r="A946" s="6"/>
      <c r="B946" s="6"/>
      <c r="C946" s="6"/>
      <c r="D946" s="18"/>
      <c r="E946" s="18"/>
      <c r="F946" s="19"/>
      <c r="G946" s="10">
        <f>IFERROR(VLOOKUP(B946, 'Duke 4'!A$3:$B1000,2, 0), 0)</f>
        <v>0</v>
      </c>
      <c r="H946" s="15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</row>
    <row r="947">
      <c r="A947" s="6"/>
      <c r="B947" s="6"/>
      <c r="C947" s="6"/>
      <c r="D947" s="18"/>
      <c r="E947" s="18"/>
      <c r="F947" s="19"/>
      <c r="G947" s="10">
        <f>IFERROR(VLOOKUP(B947, 'Duke 4'!A$3:$B1000,2, 0), 0)</f>
        <v>0</v>
      </c>
      <c r="H947" s="15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</row>
    <row r="948">
      <c r="A948" s="6"/>
      <c r="B948" s="6"/>
      <c r="C948" s="6"/>
      <c r="D948" s="18"/>
      <c r="E948" s="18"/>
      <c r="F948" s="19"/>
      <c r="G948" s="10">
        <f>IFERROR(VLOOKUP(B948, 'Duke 4'!A$3:$B1000,2, 0), 0)</f>
        <v>0</v>
      </c>
      <c r="H948" s="15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</row>
    <row r="949">
      <c r="A949" s="6"/>
      <c r="B949" s="6"/>
      <c r="C949" s="6"/>
      <c r="D949" s="18"/>
      <c r="E949" s="18"/>
      <c r="F949" s="19"/>
      <c r="G949" s="10">
        <f>IFERROR(VLOOKUP(B949, 'Duke 4'!A$3:$B1000,2, 0), 0)</f>
        <v>0</v>
      </c>
      <c r="H949" s="15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</row>
    <row r="950">
      <c r="A950" s="6"/>
      <c r="B950" s="6"/>
      <c r="C950" s="6"/>
      <c r="D950" s="18"/>
      <c r="E950" s="18"/>
      <c r="F950" s="19"/>
      <c r="G950" s="10">
        <f>IFERROR(VLOOKUP(B950, 'Duke 4'!A$3:$B1000,2, 0), 0)</f>
        <v>0</v>
      </c>
      <c r="H950" s="15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</row>
    <row r="951">
      <c r="A951" s="6"/>
      <c r="B951" s="6"/>
      <c r="C951" s="6"/>
      <c r="D951" s="18"/>
      <c r="E951" s="18"/>
      <c r="F951" s="19"/>
      <c r="G951" s="10">
        <f>IFERROR(VLOOKUP(B951, 'Duke 4'!A$3:$B1000,2, 0), 0)</f>
        <v>0</v>
      </c>
      <c r="H951" s="15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</row>
    <row r="952">
      <c r="A952" s="6"/>
      <c r="B952" s="6"/>
      <c r="C952" s="6"/>
      <c r="D952" s="18"/>
      <c r="E952" s="18"/>
      <c r="F952" s="19"/>
      <c r="G952" s="10">
        <f>IFERROR(VLOOKUP(B952, 'Duke 4'!A$3:$B1000,2, 0), 0)</f>
        <v>0</v>
      </c>
      <c r="H952" s="15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</row>
    <row r="953">
      <c r="A953" s="6"/>
      <c r="B953" s="6"/>
      <c r="C953" s="6"/>
      <c r="D953" s="18"/>
      <c r="E953" s="18"/>
      <c r="F953" s="19"/>
      <c r="G953" s="10">
        <f>IFERROR(VLOOKUP(B953, 'Duke 4'!A$3:$B1000,2, 0), 0)</f>
        <v>0</v>
      </c>
      <c r="H953" s="15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</row>
    <row r="954">
      <c r="A954" s="6"/>
      <c r="B954" s="6"/>
      <c r="C954" s="6"/>
      <c r="D954" s="18"/>
      <c r="E954" s="18"/>
      <c r="F954" s="19"/>
      <c r="G954" s="10">
        <f>IFERROR(VLOOKUP(B954, 'Duke 4'!A$3:$B1000,2, 0), 0)</f>
        <v>0</v>
      </c>
      <c r="H954" s="15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</row>
    <row r="955">
      <c r="A955" s="6"/>
      <c r="B955" s="6"/>
      <c r="C955" s="6"/>
      <c r="D955" s="18"/>
      <c r="E955" s="18"/>
      <c r="F955" s="19"/>
      <c r="G955" s="10">
        <f>IFERROR(VLOOKUP(B955, 'Duke 4'!A$3:$B1000,2, 0), 0)</f>
        <v>0</v>
      </c>
      <c r="H955" s="15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</row>
    <row r="956">
      <c r="A956" s="6"/>
      <c r="B956" s="6"/>
      <c r="C956" s="6"/>
      <c r="D956" s="18"/>
      <c r="E956" s="18"/>
      <c r="F956" s="19"/>
      <c r="G956" s="10">
        <f>IFERROR(VLOOKUP(B956, 'Duke 4'!A$3:$B1000,2, 0), 0)</f>
        <v>0</v>
      </c>
      <c r="H956" s="15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</row>
    <row r="957">
      <c r="A957" s="6"/>
      <c r="B957" s="6"/>
      <c r="C957" s="6"/>
      <c r="D957" s="18"/>
      <c r="E957" s="18"/>
      <c r="F957" s="19"/>
      <c r="G957" s="10">
        <f>IFERROR(VLOOKUP(B957, 'Duke 4'!A$3:$B1000,2, 0), 0)</f>
        <v>0</v>
      </c>
      <c r="H957" s="15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</row>
    <row r="958">
      <c r="A958" s="6"/>
      <c r="B958" s="6"/>
      <c r="C958" s="6"/>
      <c r="D958" s="18"/>
      <c r="E958" s="18"/>
      <c r="F958" s="19"/>
      <c r="G958" s="10">
        <f>IFERROR(VLOOKUP(B958, 'Duke 4'!A$3:$B1000,2, 0), 0)</f>
        <v>0</v>
      </c>
      <c r="H958" s="15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</row>
    <row r="959">
      <c r="A959" s="6"/>
      <c r="B959" s="6"/>
      <c r="C959" s="6"/>
      <c r="D959" s="18"/>
      <c r="E959" s="18"/>
      <c r="F959" s="19"/>
      <c r="G959" s="10">
        <f>IFERROR(VLOOKUP(B959, 'Duke 4'!A$3:$B1000,2, 0), 0)</f>
        <v>0</v>
      </c>
      <c r="H959" s="15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</row>
    <row r="960">
      <c r="A960" s="6"/>
      <c r="B960" s="6"/>
      <c r="C960" s="6"/>
      <c r="D960" s="18"/>
      <c r="E960" s="18"/>
      <c r="F960" s="19"/>
      <c r="G960" s="10">
        <f>IFERROR(VLOOKUP(B960, 'Duke 4'!A$3:$B1000,2, 0), 0)</f>
        <v>0</v>
      </c>
      <c r="H960" s="15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</row>
    <row r="961">
      <c r="A961" s="6"/>
      <c r="B961" s="6"/>
      <c r="C961" s="6"/>
      <c r="D961" s="18"/>
      <c r="E961" s="18"/>
      <c r="F961" s="19"/>
      <c r="G961" s="10">
        <f>IFERROR(VLOOKUP(B961, 'Duke 4'!A$3:$B1000,2, 0), 0)</f>
        <v>0</v>
      </c>
      <c r="H961" s="15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</row>
    <row r="962">
      <c r="A962" s="6"/>
      <c r="B962" s="6"/>
      <c r="C962" s="6"/>
      <c r="D962" s="18"/>
      <c r="E962" s="18"/>
      <c r="F962" s="19"/>
      <c r="G962" s="10">
        <f>IFERROR(VLOOKUP(B962, 'Duke 4'!A$3:$B1000,2, 0), 0)</f>
        <v>0</v>
      </c>
      <c r="H962" s="15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</row>
    <row r="963">
      <c r="A963" s="6"/>
      <c r="B963" s="6"/>
      <c r="C963" s="6"/>
      <c r="D963" s="18"/>
      <c r="E963" s="18"/>
      <c r="F963" s="19"/>
      <c r="G963" s="10">
        <f>IFERROR(VLOOKUP(B963, 'Duke 4'!A$3:$B1000,2, 0), 0)</f>
        <v>0</v>
      </c>
      <c r="H963" s="15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</row>
    <row r="964">
      <c r="A964" s="6"/>
      <c r="B964" s="6"/>
      <c r="C964" s="6"/>
      <c r="D964" s="18"/>
      <c r="E964" s="18"/>
      <c r="F964" s="19"/>
      <c r="G964" s="10">
        <f>IFERROR(VLOOKUP(B964, 'Duke 4'!A$3:$B1000,2, 0), 0)</f>
        <v>0</v>
      </c>
      <c r="H964" s="15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</row>
    <row r="965">
      <c r="A965" s="6"/>
      <c r="B965" s="6"/>
      <c r="C965" s="6"/>
      <c r="D965" s="18"/>
      <c r="E965" s="18"/>
      <c r="F965" s="19"/>
      <c r="G965" s="10">
        <f>IFERROR(VLOOKUP(B965, 'Duke 4'!A$3:$B1000,2, 0), 0)</f>
        <v>0</v>
      </c>
      <c r="H965" s="15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</row>
    <row r="966">
      <c r="A966" s="6"/>
      <c r="B966" s="6"/>
      <c r="C966" s="6"/>
      <c r="D966" s="18"/>
      <c r="E966" s="18"/>
      <c r="F966" s="19"/>
      <c r="G966" s="10">
        <f>IFERROR(VLOOKUP(B966, 'Duke 4'!A$3:$B1000,2, 0), 0)</f>
        <v>0</v>
      </c>
      <c r="H966" s="15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</row>
    <row r="967">
      <c r="A967" s="6"/>
      <c r="B967" s="6"/>
      <c r="C967" s="6"/>
      <c r="D967" s="18"/>
      <c r="E967" s="18"/>
      <c r="F967" s="19"/>
      <c r="G967" s="10">
        <f>IFERROR(VLOOKUP(B967, 'Duke 4'!A$3:$B1000,2, 0), 0)</f>
        <v>0</v>
      </c>
      <c r="H967" s="15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</row>
    <row r="968">
      <c r="A968" s="6"/>
      <c r="B968" s="6"/>
      <c r="C968" s="6"/>
      <c r="D968" s="18"/>
      <c r="E968" s="18"/>
      <c r="F968" s="19"/>
      <c r="G968" s="10">
        <f>IFERROR(VLOOKUP(B968, 'Duke 4'!A$3:$B1000,2, 0), 0)</f>
        <v>0</v>
      </c>
      <c r="H968" s="15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</row>
    <row r="969">
      <c r="A969" s="6"/>
      <c r="B969" s="6"/>
      <c r="C969" s="6"/>
      <c r="D969" s="18"/>
      <c r="E969" s="18"/>
      <c r="F969" s="19"/>
      <c r="G969" s="10">
        <f>IFERROR(VLOOKUP(B969, 'Duke 4'!A$3:$B1000,2, 0), 0)</f>
        <v>0</v>
      </c>
      <c r="H969" s="15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</row>
    <row r="970">
      <c r="A970" s="6"/>
      <c r="B970" s="6"/>
      <c r="C970" s="6"/>
      <c r="D970" s="18"/>
      <c r="E970" s="18"/>
      <c r="F970" s="19"/>
      <c r="G970" s="10">
        <f>IFERROR(VLOOKUP(B970, 'Duke 4'!A$3:$B1000,2, 0), 0)</f>
        <v>0</v>
      </c>
      <c r="H970" s="15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</row>
    <row r="971">
      <c r="A971" s="6"/>
      <c r="B971" s="6"/>
      <c r="C971" s="6"/>
      <c r="D971" s="18"/>
      <c r="E971" s="18"/>
      <c r="F971" s="19"/>
      <c r="G971" s="10">
        <f>IFERROR(VLOOKUP(B971, 'Duke 4'!A$3:$B1000,2, 0), 0)</f>
        <v>0</v>
      </c>
      <c r="H971" s="15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</row>
    <row r="972">
      <c r="A972" s="6"/>
      <c r="B972" s="6"/>
      <c r="C972" s="6"/>
      <c r="D972" s="18"/>
      <c r="E972" s="18"/>
      <c r="F972" s="19"/>
      <c r="G972" s="10">
        <f>IFERROR(VLOOKUP(B972, 'Duke 4'!A$3:$B1000,2, 0), 0)</f>
        <v>0</v>
      </c>
      <c r="H972" s="15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</row>
    <row r="973">
      <c r="A973" s="6"/>
      <c r="B973" s="6"/>
      <c r="C973" s="6"/>
      <c r="D973" s="18"/>
      <c r="E973" s="18"/>
      <c r="F973" s="19"/>
      <c r="G973" s="10">
        <f>IFERROR(VLOOKUP(B973, 'Duke 4'!A$3:$B1000,2, 0), 0)</f>
        <v>0</v>
      </c>
      <c r="H973" s="15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</row>
    <row r="974">
      <c r="A974" s="6"/>
      <c r="B974" s="6"/>
      <c r="C974" s="6"/>
      <c r="D974" s="18"/>
      <c r="E974" s="18"/>
      <c r="F974" s="19"/>
      <c r="G974" s="10">
        <f>IFERROR(VLOOKUP(B974, 'Duke 4'!A$3:$B1000,2, 0), 0)</f>
        <v>0</v>
      </c>
      <c r="H974" s="15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</row>
    <row r="975">
      <c r="A975" s="6"/>
      <c r="B975" s="6"/>
      <c r="C975" s="6"/>
      <c r="D975" s="18"/>
      <c r="E975" s="18"/>
      <c r="F975" s="19"/>
      <c r="G975" s="10">
        <f>IFERROR(VLOOKUP(B975, 'Duke 4'!A$3:$B1000,2, 0), 0)</f>
        <v>0</v>
      </c>
      <c r="H975" s="15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</row>
    <row r="976">
      <c r="A976" s="6"/>
      <c r="B976" s="6"/>
      <c r="C976" s="6"/>
      <c r="D976" s="18"/>
      <c r="E976" s="18"/>
      <c r="F976" s="19"/>
      <c r="G976" s="10">
        <f>IFERROR(VLOOKUP(B976, 'Duke 4'!A$3:$B1000,2, 0), 0)</f>
        <v>0</v>
      </c>
      <c r="H976" s="15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</row>
    <row r="977">
      <c r="A977" s="6"/>
      <c r="B977" s="6"/>
      <c r="C977" s="6"/>
      <c r="D977" s="18"/>
      <c r="E977" s="18"/>
      <c r="F977" s="19"/>
      <c r="G977" s="10">
        <f>IFERROR(VLOOKUP(B977, 'Duke 4'!A$3:$B1000,2, 0), 0)</f>
        <v>0</v>
      </c>
      <c r="H977" s="15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</row>
    <row r="978">
      <c r="A978" s="6"/>
      <c r="B978" s="6"/>
      <c r="C978" s="6"/>
      <c r="D978" s="18"/>
      <c r="E978" s="18"/>
      <c r="F978" s="19"/>
      <c r="G978" s="10">
        <f>IFERROR(VLOOKUP(B978, 'Duke 4'!A$3:$B1000,2, 0), 0)</f>
        <v>0</v>
      </c>
      <c r="H978" s="15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</row>
    <row r="979">
      <c r="A979" s="6"/>
      <c r="B979" s="6"/>
      <c r="C979" s="6"/>
      <c r="D979" s="18"/>
      <c r="E979" s="18"/>
      <c r="F979" s="19"/>
      <c r="G979" s="10">
        <f>IFERROR(VLOOKUP(B979, 'Duke 4'!A$3:$B1000,2, 0), 0)</f>
        <v>0</v>
      </c>
      <c r="H979" s="15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</row>
    <row r="980">
      <c r="A980" s="6"/>
      <c r="B980" s="6"/>
      <c r="C980" s="6"/>
      <c r="D980" s="18"/>
      <c r="E980" s="18"/>
      <c r="F980" s="19"/>
      <c r="G980" s="10">
        <f>IFERROR(VLOOKUP(B980, 'Duke 4'!A$3:$B1000,2, 0), 0)</f>
        <v>0</v>
      </c>
      <c r="H980" s="15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</row>
    <row r="981">
      <c r="A981" s="6"/>
      <c r="B981" s="6"/>
      <c r="C981" s="6"/>
      <c r="D981" s="18"/>
      <c r="E981" s="18"/>
      <c r="F981" s="19"/>
      <c r="G981" s="10">
        <f>IFERROR(VLOOKUP(B981, 'Duke 4'!A$3:$B1000,2, 0), 0)</f>
        <v>0</v>
      </c>
      <c r="H981" s="15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</row>
    <row r="982">
      <c r="A982" s="6"/>
      <c r="B982" s="6"/>
      <c r="C982" s="6"/>
      <c r="D982" s="18"/>
      <c r="E982" s="18"/>
      <c r="F982" s="19"/>
      <c r="G982" s="10">
        <f>IFERROR(VLOOKUP(B982, 'Duke 4'!A$3:$B1000,2, 0), 0)</f>
        <v>0</v>
      </c>
      <c r="H982" s="15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</row>
    <row r="983">
      <c r="A983" s="6"/>
      <c r="B983" s="6"/>
      <c r="C983" s="6"/>
      <c r="D983" s="18"/>
      <c r="E983" s="18"/>
      <c r="F983" s="19"/>
      <c r="G983" s="10">
        <f>IFERROR(VLOOKUP(B983, 'Duke 4'!A$3:$B1000,2, 0), 0)</f>
        <v>0</v>
      </c>
      <c r="H983" s="15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</row>
    <row r="984">
      <c r="A984" s="6"/>
      <c r="B984" s="6"/>
      <c r="C984" s="6"/>
      <c r="D984" s="18"/>
      <c r="E984" s="18"/>
      <c r="F984" s="19"/>
      <c r="G984" s="10">
        <f>IFERROR(VLOOKUP(B984, 'Duke 4'!A$3:$B1000,2, 0), 0)</f>
        <v>0</v>
      </c>
      <c r="H984" s="15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</row>
    <row r="985">
      <c r="A985" s="6"/>
      <c r="B985" s="6"/>
      <c r="C985" s="6"/>
      <c r="D985" s="18"/>
      <c r="E985" s="18"/>
      <c r="F985" s="19"/>
      <c r="G985" s="10">
        <f>IFERROR(VLOOKUP(B985, 'Duke 4'!A$3:$B1000,2, 0), 0)</f>
        <v>0</v>
      </c>
      <c r="H985" s="15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</row>
    <row r="986">
      <c r="A986" s="6"/>
      <c r="B986" s="6"/>
      <c r="C986" s="6"/>
      <c r="D986" s="18"/>
      <c r="E986" s="18"/>
      <c r="F986" s="19"/>
      <c r="G986" s="10">
        <f>IFERROR(VLOOKUP(B986, 'Duke 4'!A$3:$B1000,2, 0), 0)</f>
        <v>0</v>
      </c>
      <c r="H986" s="15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</row>
    <row r="987">
      <c r="A987" s="6"/>
      <c r="B987" s="6"/>
      <c r="C987" s="6"/>
      <c r="D987" s="18"/>
      <c r="E987" s="18"/>
      <c r="F987" s="19"/>
      <c r="G987" s="10">
        <f>IFERROR(VLOOKUP(B987, 'Duke 4'!A$3:$B1000,2, 0), 0)</f>
        <v>0</v>
      </c>
      <c r="H987" s="15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</row>
    <row r="988">
      <c r="A988" s="6"/>
      <c r="B988" s="6"/>
      <c r="C988" s="6"/>
      <c r="D988" s="18"/>
      <c r="E988" s="18"/>
      <c r="F988" s="19"/>
      <c r="G988" s="10">
        <f>IFERROR(VLOOKUP(B988, 'Duke 4'!A$3:$B1000,2, 0), 0)</f>
        <v>0</v>
      </c>
      <c r="H988" s="15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</row>
    <row r="989">
      <c r="A989" s="6"/>
      <c r="B989" s="6"/>
      <c r="C989" s="6"/>
      <c r="D989" s="18"/>
      <c r="E989" s="18"/>
      <c r="F989" s="19"/>
      <c r="G989" s="10">
        <f>IFERROR(VLOOKUP(B989, 'Duke 4'!A$3:$B1000,2, 0), 0)</f>
        <v>0</v>
      </c>
      <c r="H989" s="15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</row>
    <row r="990">
      <c r="A990" s="6"/>
      <c r="B990" s="6"/>
      <c r="C990" s="6"/>
      <c r="D990" s="18"/>
      <c r="E990" s="18"/>
      <c r="F990" s="19"/>
      <c r="G990" s="10">
        <f>IFERROR(VLOOKUP(B990, 'Duke 4'!A$3:$B1000,2, 0), 0)</f>
        <v>0</v>
      </c>
      <c r="H990" s="15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</row>
    <row r="991">
      <c r="A991" s="6"/>
      <c r="B991" s="6"/>
      <c r="C991" s="6"/>
      <c r="D991" s="18"/>
      <c r="E991" s="18"/>
      <c r="F991" s="19"/>
      <c r="G991" s="10">
        <f>IFERROR(VLOOKUP(B991, 'Duke 4'!A$3:$B1000,2, 0), 0)</f>
        <v>0</v>
      </c>
      <c r="H991" s="15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</row>
    <row r="992">
      <c r="A992" s="6"/>
      <c r="B992" s="6"/>
      <c r="C992" s="6"/>
      <c r="D992" s="18"/>
      <c r="E992" s="18"/>
      <c r="F992" s="19"/>
      <c r="G992" s="10">
        <f>IFERROR(VLOOKUP(B992, 'Duke 4'!A$3:$B1000,2, 0), 0)</f>
        <v>0</v>
      </c>
      <c r="H992" s="15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</row>
    <row r="993">
      <c r="A993" s="6"/>
      <c r="B993" s="6"/>
      <c r="C993" s="6"/>
      <c r="D993" s="18"/>
      <c r="E993" s="18"/>
      <c r="F993" s="19"/>
      <c r="G993" s="10">
        <f>IFERROR(VLOOKUP(B993, 'Duke 4'!A$3:$B1000,2, 0), 0)</f>
        <v>0</v>
      </c>
      <c r="H993" s="15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</row>
    <row r="994">
      <c r="A994" s="6"/>
      <c r="B994" s="6"/>
      <c r="C994" s="6"/>
      <c r="D994" s="18"/>
      <c r="E994" s="18"/>
      <c r="F994" s="19"/>
      <c r="G994" s="10">
        <f>IFERROR(VLOOKUP(B994, 'Duke 4'!A$3:$B1000,2, 0), 0)</f>
        <v>0</v>
      </c>
      <c r="H994" s="15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</row>
    <row r="995">
      <c r="A995" s="6"/>
      <c r="B995" s="6"/>
      <c r="C995" s="6"/>
      <c r="D995" s="18"/>
      <c r="E995" s="18"/>
      <c r="F995" s="19"/>
      <c r="G995" s="10">
        <f>IFERROR(VLOOKUP(B995, 'Duke 4'!A$3:$B1000,2, 0), 0)</f>
        <v>0</v>
      </c>
      <c r="H995" s="15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</row>
    <row r="996">
      <c r="A996" s="6"/>
      <c r="B996" s="6"/>
      <c r="C996" s="6"/>
      <c r="D996" s="18"/>
      <c r="E996" s="18"/>
      <c r="F996" s="19"/>
      <c r="G996" s="10">
        <f>IFERROR(VLOOKUP(B996, 'Duke 4'!A$3:$B1000,2, 0), 0)</f>
        <v>0</v>
      </c>
      <c r="H996" s="15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</row>
    <row r="997">
      <c r="A997" s="6"/>
      <c r="B997" s="6"/>
      <c r="C997" s="6"/>
      <c r="D997" s="18"/>
      <c r="E997" s="18"/>
      <c r="F997" s="19"/>
      <c r="G997" s="10">
        <f>IFERROR(VLOOKUP(B997, 'Duke 4'!A$3:$B1000,2, 0), 0)</f>
        <v>0</v>
      </c>
      <c r="H997" s="15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</row>
    <row r="998">
      <c r="A998" s="6"/>
      <c r="B998" s="6"/>
      <c r="C998" s="6"/>
      <c r="D998" s="18"/>
      <c r="E998" s="18"/>
      <c r="F998" s="19"/>
      <c r="G998" s="10">
        <f>IFERROR(VLOOKUP(B998, 'Duke 4'!A$3:$B1000,2, 0), 0)</f>
        <v>0</v>
      </c>
      <c r="H998" s="15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</row>
    <row r="999">
      <c r="A999" s="6"/>
      <c r="B999" s="6"/>
      <c r="C999" s="6"/>
      <c r="D999" s="18"/>
      <c r="E999" s="18"/>
      <c r="F999" s="19"/>
      <c r="G999" s="10">
        <f>IFERROR(VLOOKUP(B999, 'Duke 4'!A$3:$B1000,2, 0), 0)</f>
        <v>0</v>
      </c>
      <c r="H999" s="15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</row>
    <row r="1000">
      <c r="A1000" s="6"/>
      <c r="B1000" s="6"/>
      <c r="C1000" s="6"/>
      <c r="D1000" s="18"/>
      <c r="E1000" s="18"/>
      <c r="F1000" s="19"/>
      <c r="G1000" s="10">
        <f>IFERROR(VLOOKUP(B1000, 'Duke 4'!A$3:$B1000,2, 0), 0)</f>
        <v>0</v>
      </c>
      <c r="H1000" s="15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</row>
  </sheetData>
  <autoFilter ref="$A$1:$H$1000">
    <sortState ref="A1:H1000">
      <sortCondition descending="1" ref="C1:C1000"/>
      <sortCondition descending="1" ref="D1:D1000"/>
      <sortCondition ref="B1:B1000"/>
      <sortCondition ref="A1:A1000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6.63"/>
    <col customWidth="1" min="3" max="3" width="14.5"/>
    <col customWidth="1" min="10" max="10" width="26.13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5" t="s">
        <v>7</v>
      </c>
      <c r="I1" s="6"/>
      <c r="J1" s="7"/>
      <c r="K1" s="1" t="s">
        <v>1</v>
      </c>
      <c r="L1" s="1" t="s">
        <v>2</v>
      </c>
      <c r="M1" s="2" t="s">
        <v>3</v>
      </c>
      <c r="N1" s="2" t="s">
        <v>4</v>
      </c>
      <c r="O1" s="3" t="s">
        <v>5</v>
      </c>
      <c r="P1" s="4" t="s">
        <v>6</v>
      </c>
      <c r="Q1" s="5" t="s">
        <v>7</v>
      </c>
      <c r="R1" s="6"/>
      <c r="S1" s="6"/>
      <c r="T1" s="6"/>
      <c r="U1" s="6"/>
      <c r="V1" s="6"/>
      <c r="W1" s="6"/>
      <c r="X1" s="6"/>
      <c r="Y1" s="6"/>
      <c r="Z1" s="6"/>
      <c r="AA1" s="6"/>
      <c r="AB1" s="6"/>
    </row>
    <row r="2">
      <c r="A2" s="1">
        <f t="shared" ref="A2:A527" si="1">ROW()-1</f>
        <v>1</v>
      </c>
      <c r="B2" s="7" t="s">
        <v>8</v>
      </c>
      <c r="C2" s="8">
        <f t="shared" ref="C2:C526" si="2">0.35*LARGE(D2:G2,1)+0.35*LARGE(D2:G2,2)+0.2*LARGE(D2:G2,3)+0.1*H2</f>
        <v>4589.211111</v>
      </c>
      <c r="D2" s="9">
        <f>IFERROR(VLOOKUP(B2, 'Duke 1'!A$3:$B$85,2, 0), 0)</f>
        <v>3157.894737</v>
      </c>
      <c r="E2" s="9">
        <f>IFERROR(VLOOKUP(B2, 'Duke 2'!A$3:$B$522,2, 0), 0)</f>
        <v>6000</v>
      </c>
      <c r="F2" s="10">
        <f>IFERROR(VLOOKUP(B2, 'Duke 3'!A$3:$B998,2, 0), 0)</f>
        <v>3555.555556</v>
      </c>
      <c r="G2" s="10">
        <f>IFERROR(VLOOKUP(B2, 'Duke 4'!A$3:$B998,2, 0), 0)</f>
        <v>3840</v>
      </c>
      <c r="H2" s="10">
        <f>IFERROR(VLOOKUP(B2, Proof!A$2:$B998,2, 0), 0)</f>
        <v>4341</v>
      </c>
      <c r="I2" s="7"/>
      <c r="J2" s="7" t="s">
        <v>496</v>
      </c>
      <c r="K2" s="7" t="s">
        <v>8</v>
      </c>
      <c r="L2" s="8">
        <f t="shared" ref="L2:L83" si="3">0.3*LARGE(M2:P2,1)+0.3*LARGE(M2:P2,2)+0.2*LARGE(M2:P2,3)+0.2*Q2</f>
        <v>4531.311111</v>
      </c>
      <c r="M2" s="9">
        <f>IFERROR(VLOOKUP(K2, 'Duke 1'!$A$3:$B998,2, 0), 0)</f>
        <v>3157.894737</v>
      </c>
      <c r="N2" s="9">
        <f>IFERROR(VLOOKUP(K2, 'Duke 2'!$A$3:$B998,2, 0), 0)</f>
        <v>6000</v>
      </c>
      <c r="O2" s="10">
        <f>IFERROR(VLOOKUP(K2, 'Duke 3'!$A$3:$B998,2, 0), 0)</f>
        <v>3555.555556</v>
      </c>
      <c r="P2" s="10">
        <f>IFERROR(VLOOKUP(K2, 'Duke 4'!$A$3:$B998,2, 0), 0)</f>
        <v>3840</v>
      </c>
      <c r="Q2" s="10">
        <f>IFERROR(VLOOKUP(K2, Proof!$A$3:B998,2, 0), 0)</f>
        <v>4341</v>
      </c>
      <c r="R2" s="6"/>
      <c r="S2" s="6"/>
      <c r="T2" s="6"/>
      <c r="U2" s="6"/>
      <c r="V2" s="6"/>
      <c r="W2" s="6"/>
      <c r="X2" s="6"/>
      <c r="Y2" s="6"/>
      <c r="Z2" s="6"/>
      <c r="AA2" s="6"/>
      <c r="AB2" s="6"/>
    </row>
    <row r="3">
      <c r="A3" s="1">
        <f t="shared" si="1"/>
        <v>2</v>
      </c>
      <c r="B3" s="7" t="s">
        <v>9</v>
      </c>
      <c r="C3" s="8">
        <f t="shared" si="2"/>
        <v>2601.144072</v>
      </c>
      <c r="D3" s="9">
        <f>IFERROR(VLOOKUP(B3, 'Duke 1'!A$3:$B$85,2, 0), 0)</f>
        <v>3789.473684</v>
      </c>
      <c r="E3" s="9">
        <f>IFERROR(VLOOKUP(B3, 'Duke 2'!A$3:$B$522,2, 0), 0)</f>
        <v>1500</v>
      </c>
      <c r="F3" s="10">
        <f>IFERROR(VLOOKUP(B3, 'Duke 3'!A$3:$B998,2, 0), 0)</f>
        <v>1777.777778</v>
      </c>
      <c r="G3" s="10">
        <f>IFERROR(VLOOKUP(B3, 'Duke 4'!A$3:$B998,2, 0), 0)</f>
        <v>1920</v>
      </c>
      <c r="H3" s="10">
        <f>IFERROR(VLOOKUP(B3, Proof!A$2:$B998,2, 0), 0)</f>
        <v>2472.727273</v>
      </c>
      <c r="I3" s="7"/>
      <c r="J3" s="6"/>
      <c r="K3" s="7" t="s">
        <v>9</v>
      </c>
      <c r="L3" s="8">
        <f t="shared" si="3"/>
        <v>2562.943115</v>
      </c>
      <c r="M3" s="9">
        <f>IFERROR(VLOOKUP(K3, 'Duke 1'!$A$3:$B998,2, 0), 0)</f>
        <v>3789.473684</v>
      </c>
      <c r="N3" s="9">
        <f>IFERROR(VLOOKUP(K3, 'Duke 2'!$A$3:$B998,2, 0), 0)</f>
        <v>1500</v>
      </c>
      <c r="O3" s="10">
        <f>IFERROR(VLOOKUP(K3, 'Duke 3'!$A$3:$B998,2, 0), 0)</f>
        <v>1777.777778</v>
      </c>
      <c r="P3" s="10">
        <f>IFERROR(VLOOKUP(K3, 'Duke 4'!$A$3:$B998,2, 0), 0)</f>
        <v>1920</v>
      </c>
      <c r="Q3" s="10">
        <f>IFERROR(VLOOKUP(K3, Proof!$A$3:B998,2, 0), 0)</f>
        <v>2472.727273</v>
      </c>
      <c r="R3" s="6"/>
      <c r="S3" s="6"/>
      <c r="T3" s="6"/>
      <c r="U3" s="6"/>
      <c r="V3" s="6"/>
      <c r="W3" s="6"/>
      <c r="X3" s="6"/>
      <c r="Y3" s="6"/>
      <c r="Z3" s="6"/>
      <c r="AA3" s="6"/>
      <c r="AB3" s="6"/>
    </row>
    <row r="4">
      <c r="A4" s="1">
        <f t="shared" si="1"/>
        <v>3</v>
      </c>
      <c r="B4" s="7" t="s">
        <v>10</v>
      </c>
      <c r="C4" s="8">
        <f t="shared" si="2"/>
        <v>2266.222222</v>
      </c>
      <c r="D4" s="9">
        <f>IFERROR(VLOOKUP(B4, 'Duke 1'!A$3:$B$85,2, 0), 0)</f>
        <v>1263.157895</v>
      </c>
      <c r="E4" s="9">
        <f>IFERROR(VLOOKUP(B4, 'Duke 2'!A$3:$B$522,2, 0), 0)</f>
        <v>1500</v>
      </c>
      <c r="F4" s="10">
        <f>IFERROR(VLOOKUP(B4, 'Duke 3'!A$3:$B998,2, 0), 0)</f>
        <v>1777.777778</v>
      </c>
      <c r="G4" s="10">
        <f>IFERROR(VLOOKUP(B4, 'Duke 4'!A$3:$B998,2, 0), 0)</f>
        <v>3840</v>
      </c>
      <c r="H4" s="10">
        <f>IFERROR(VLOOKUP(B4, Proof!A$2:$B998,2, 0), 0)</f>
        <v>0</v>
      </c>
      <c r="I4" s="12"/>
      <c r="J4" s="12"/>
      <c r="K4" s="7" t="s">
        <v>11</v>
      </c>
      <c r="L4" s="8">
        <f t="shared" si="3"/>
        <v>2140.742158</v>
      </c>
      <c r="M4" s="9">
        <f>IFERROR(VLOOKUP(K4, 'Duke 1'!$A$3:$B998,2, 0), 0)</f>
        <v>3157.894737</v>
      </c>
      <c r="N4" s="9">
        <f>IFERROR(VLOOKUP(K4, 'Duke 2'!$A$3:$B998,2, 0), 0)</f>
        <v>1500</v>
      </c>
      <c r="O4" s="10">
        <f>IFERROR(VLOOKUP(K4, 'Duke 3'!$A$3:$B998,2, 0), 0)</f>
        <v>1777.777778</v>
      </c>
      <c r="P4" s="10">
        <f>IFERROR(VLOOKUP(K4, 'Duke 4'!$A$3:$B998,2, 0), 0)</f>
        <v>1920</v>
      </c>
      <c r="Q4" s="10">
        <f>IFERROR(VLOOKUP(K4, Proof!$A$3:B998,2, 0), 0)</f>
        <v>1309.090909</v>
      </c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</row>
    <row r="5">
      <c r="A5" s="1">
        <f t="shared" si="1"/>
        <v>4</v>
      </c>
      <c r="B5" s="7" t="s">
        <v>11</v>
      </c>
      <c r="C5" s="8">
        <f t="shared" si="2"/>
        <v>2263.727804</v>
      </c>
      <c r="D5" s="9">
        <f>IFERROR(VLOOKUP(B5, 'Duke 1'!A$3:$B$85,2, 0), 0)</f>
        <v>3157.894737</v>
      </c>
      <c r="E5" s="9">
        <f>IFERROR(VLOOKUP(B5, 'Duke 2'!A$3:$B$522,2, 0), 0)</f>
        <v>1500</v>
      </c>
      <c r="F5" s="10">
        <f>IFERROR(VLOOKUP(B5, 'Duke 3'!A$3:$B998,2, 0), 0)</f>
        <v>1777.777778</v>
      </c>
      <c r="G5" s="10">
        <f>IFERROR(VLOOKUP(B5, 'Duke 4'!A$3:$B998,2, 0), 0)</f>
        <v>1920</v>
      </c>
      <c r="H5" s="10">
        <f>IFERROR(VLOOKUP(B5, Proof!A$2:$B998,2, 0), 0)</f>
        <v>1309.090909</v>
      </c>
      <c r="I5" s="6"/>
      <c r="J5" s="7"/>
      <c r="K5" s="7" t="s">
        <v>13</v>
      </c>
      <c r="L5" s="8">
        <f t="shared" si="3"/>
        <v>1998.500797</v>
      </c>
      <c r="M5" s="9">
        <f>IFERROR(VLOOKUP(K5, 'Duke 1'!$A$3:$B998,2, 0), 0)</f>
        <v>2526.315789</v>
      </c>
      <c r="N5" s="9">
        <f>IFERROR(VLOOKUP(K5, 'Duke 2'!$A$3:$B998,2, 0), 0)</f>
        <v>1500</v>
      </c>
      <c r="O5" s="10">
        <f>IFERROR(VLOOKUP(K5, 'Duke 3'!$A$3:$B998,2, 0), 0)</f>
        <v>1777.777778</v>
      </c>
      <c r="P5" s="10">
        <f>IFERROR(VLOOKUP(K5, 'Duke 4'!$A$3:$B998,2, 0), 0)</f>
        <v>960</v>
      </c>
      <c r="Q5" s="10">
        <f>IFERROR(VLOOKUP(K5, Proof!$A$3:B998,2, 0), 0)</f>
        <v>2036.363636</v>
      </c>
      <c r="R5" s="6"/>
      <c r="S5" s="6"/>
      <c r="T5" s="6"/>
      <c r="U5" s="6"/>
      <c r="V5" s="6"/>
      <c r="W5" s="6"/>
      <c r="X5" s="6"/>
      <c r="Y5" s="6"/>
      <c r="Z5" s="6"/>
      <c r="AA5" s="6"/>
      <c r="AB5" s="6"/>
    </row>
    <row r="6">
      <c r="A6" s="1">
        <f t="shared" si="1"/>
        <v>5</v>
      </c>
      <c r="B6" s="7" t="s">
        <v>13</v>
      </c>
      <c r="C6" s="8">
        <f t="shared" si="2"/>
        <v>2010.069112</v>
      </c>
      <c r="D6" s="9">
        <f>IFERROR(VLOOKUP(B6, 'Duke 1'!A$3:$B$85,2, 0), 0)</f>
        <v>2526.315789</v>
      </c>
      <c r="E6" s="9">
        <f>IFERROR(VLOOKUP(B6, 'Duke 2'!A$3:$B$522,2, 0), 0)</f>
        <v>1500</v>
      </c>
      <c r="F6" s="10">
        <f>IFERROR(VLOOKUP(B6, 'Duke 3'!A$3:$B998,2, 0), 0)</f>
        <v>1777.777778</v>
      </c>
      <c r="G6" s="10">
        <f>IFERROR(VLOOKUP(B6, 'Duke 4'!A$3:$B998,2, 0), 0)</f>
        <v>960</v>
      </c>
      <c r="H6" s="10">
        <f>IFERROR(VLOOKUP(B6, Proof!A$2:$B998,2, 0), 0)</f>
        <v>2036.363636</v>
      </c>
      <c r="I6" s="6"/>
      <c r="J6" s="11"/>
      <c r="K6" s="7" t="s">
        <v>10</v>
      </c>
      <c r="L6" s="8">
        <f t="shared" si="3"/>
        <v>1985.333333</v>
      </c>
      <c r="M6" s="9">
        <f>IFERROR(VLOOKUP(K6, 'Duke 1'!$A$3:$B998,2, 0), 0)</f>
        <v>1263.157895</v>
      </c>
      <c r="N6" s="9">
        <f>IFERROR(VLOOKUP(K6, 'Duke 2'!$A$3:$B998,2, 0), 0)</f>
        <v>1500</v>
      </c>
      <c r="O6" s="10">
        <f>IFERROR(VLOOKUP(K6, 'Duke 3'!$A$3:$B998,2, 0), 0)</f>
        <v>1777.777778</v>
      </c>
      <c r="P6" s="10">
        <f>IFERROR(VLOOKUP(K6, 'Duke 4'!$A$3:$B998,2, 0), 0)</f>
        <v>3840</v>
      </c>
      <c r="Q6" s="10">
        <f>IFERROR(VLOOKUP(K6, Proof!$A$3:B998,2, 0), 0)</f>
        <v>0</v>
      </c>
      <c r="R6" s="6"/>
      <c r="S6" s="6"/>
      <c r="T6" s="6"/>
      <c r="U6" s="6"/>
      <c r="V6" s="6"/>
      <c r="W6" s="6"/>
      <c r="X6" s="6"/>
      <c r="Y6" s="6"/>
      <c r="Z6" s="6"/>
      <c r="AA6" s="6"/>
      <c r="AB6" s="6"/>
    </row>
    <row r="7">
      <c r="A7" s="1">
        <f t="shared" si="1"/>
        <v>6</v>
      </c>
      <c r="B7" s="7" t="s">
        <v>12</v>
      </c>
      <c r="C7" s="8">
        <f t="shared" si="2"/>
        <v>1905.333333</v>
      </c>
      <c r="D7" s="9">
        <f>IFERROR(VLOOKUP(B7, 'Duke 1'!A$3:$B$85,2, 0), 0)</f>
        <v>0</v>
      </c>
      <c r="E7" s="9">
        <f>IFERROR(VLOOKUP(B7, 'Duke 2'!A$3:$B$522,2, 0), 0)</f>
        <v>1500</v>
      </c>
      <c r="F7" s="10">
        <f>IFERROR(VLOOKUP(B7, 'Duke 3'!A$3:$B998,2, 0), 0)</f>
        <v>2666.666667</v>
      </c>
      <c r="G7" s="10">
        <f>IFERROR(VLOOKUP(B7, 'Duke 4'!A$3:$B998,2, 0), 0)</f>
        <v>1920</v>
      </c>
      <c r="H7" s="10">
        <f>IFERROR(VLOOKUP(B7, Proof!A$2:$B998,2, 0), 0)</f>
        <v>0</v>
      </c>
      <c r="I7" s="7" t="s">
        <v>497</v>
      </c>
      <c r="J7" s="12"/>
      <c r="K7" s="7" t="s">
        <v>15</v>
      </c>
      <c r="L7" s="8">
        <f t="shared" si="3"/>
        <v>1778.076555</v>
      </c>
      <c r="M7" s="9">
        <f>IFERROR(VLOOKUP(K7, 'Duke 1'!$A$3:$B998,2, 0), 0)</f>
        <v>2526.315789</v>
      </c>
      <c r="N7" s="9">
        <f>IFERROR(VLOOKUP(K7, 'Duke 2'!$A$3:$B998,2, 0), 0)</f>
        <v>1500</v>
      </c>
      <c r="O7" s="10">
        <f>IFERROR(VLOOKUP(K7, 'Duke 3'!$A$3:$B998,2, 0), 0)</f>
        <v>888.8888889</v>
      </c>
      <c r="P7" s="10">
        <f>IFERROR(VLOOKUP(K7, 'Duke 4'!$A$3:$B998,2, 0), 0)</f>
        <v>960</v>
      </c>
      <c r="Q7" s="10">
        <f>IFERROR(VLOOKUP(K7, Proof!$A$3:B998,2, 0), 0)</f>
        <v>1890.909091</v>
      </c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</row>
    <row r="8">
      <c r="A8" s="1">
        <f t="shared" si="1"/>
        <v>7</v>
      </c>
      <c r="B8" s="7" t="s">
        <v>14</v>
      </c>
      <c r="C8" s="8">
        <f t="shared" si="2"/>
        <v>1812.59596</v>
      </c>
      <c r="D8" s="9">
        <f>IFERROR(VLOOKUP(B8, 'Duke 1'!A$3:$B$85,2, 0), 0)</f>
        <v>631.5789474</v>
      </c>
      <c r="E8" s="9">
        <f>IFERROR(VLOOKUP(B8, 'Duke 2'!A$3:$B$522,2, 0), 0)</f>
        <v>1500</v>
      </c>
      <c r="F8" s="10">
        <f>IFERROR(VLOOKUP(B8, 'Duke 3'!A$3:$B998,2, 0), 0)</f>
        <v>888.8888889</v>
      </c>
      <c r="G8" s="10">
        <f>IFERROR(VLOOKUP(B8, 'Duke 4'!A$3:$B998,2, 0), 0)</f>
        <v>2880</v>
      </c>
      <c r="H8" s="10">
        <f>IFERROR(VLOOKUP(B8, Proof!A$2:$B998,2, 0), 0)</f>
        <v>1018.181818</v>
      </c>
      <c r="I8" s="6"/>
      <c r="J8" s="6"/>
      <c r="K8" s="7" t="s">
        <v>14</v>
      </c>
      <c r="L8" s="8">
        <f t="shared" si="3"/>
        <v>1695.414141</v>
      </c>
      <c r="M8" s="9">
        <f>IFERROR(VLOOKUP(K8, 'Duke 1'!$A$3:$B998,2, 0), 0)</f>
        <v>631.5789474</v>
      </c>
      <c r="N8" s="9">
        <f>IFERROR(VLOOKUP(K8, 'Duke 2'!$A$3:$B998,2, 0), 0)</f>
        <v>1500</v>
      </c>
      <c r="O8" s="10">
        <f>IFERROR(VLOOKUP(K8, 'Duke 3'!$A$3:$B998,2, 0), 0)</f>
        <v>888.8888889</v>
      </c>
      <c r="P8" s="10">
        <f>IFERROR(VLOOKUP(K8, 'Duke 4'!$A$3:$B998,2, 0), 0)</f>
        <v>2880</v>
      </c>
      <c r="Q8" s="10">
        <f>IFERROR(VLOOKUP(K8, Proof!$A$3:B998,2, 0), 0)</f>
        <v>1018.181818</v>
      </c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>
      <c r="A9" s="1">
        <f t="shared" si="1"/>
        <v>8</v>
      </c>
      <c r="B9" s="7" t="s">
        <v>15</v>
      </c>
      <c r="C9" s="8">
        <f t="shared" si="2"/>
        <v>1790.301435</v>
      </c>
      <c r="D9" s="9">
        <f>IFERROR(VLOOKUP(B9, 'Duke 1'!A$3:$B$85,2, 0), 0)</f>
        <v>2526.315789</v>
      </c>
      <c r="E9" s="9">
        <f>IFERROR(VLOOKUP(B9, 'Duke 2'!A$3:$B$522,2, 0), 0)</f>
        <v>1500</v>
      </c>
      <c r="F9" s="10">
        <f>IFERROR(VLOOKUP(B9, 'Duke 3'!A$3:$B998,2, 0), 0)</f>
        <v>888.8888889</v>
      </c>
      <c r="G9" s="10">
        <f>IFERROR(VLOOKUP(B9, 'Duke 4'!A$3:$B998,2, 0), 0)</f>
        <v>960</v>
      </c>
      <c r="H9" s="10">
        <f>IFERROR(VLOOKUP(B9, Proof!A$2:$B998,2, 0), 0)</f>
        <v>1890.909091</v>
      </c>
      <c r="I9" s="6"/>
      <c r="J9" s="6"/>
      <c r="K9" s="7" t="s">
        <v>12</v>
      </c>
      <c r="L9" s="8">
        <f t="shared" si="3"/>
        <v>1676</v>
      </c>
      <c r="M9" s="9">
        <f>IFERROR(VLOOKUP(K9, 'Duke 1'!$A$3:$B998,2, 0), 0)</f>
        <v>0</v>
      </c>
      <c r="N9" s="9">
        <f>IFERROR(VLOOKUP(K9, 'Duke 2'!$A$3:$B998,2, 0), 0)</f>
        <v>1500</v>
      </c>
      <c r="O9" s="10">
        <f>IFERROR(VLOOKUP(K9, 'Duke 3'!$A$3:$B998,2, 0), 0)</f>
        <v>2666.666667</v>
      </c>
      <c r="P9" s="10">
        <f>IFERROR(VLOOKUP(K9, 'Duke 4'!$A$3:$B998,2, 0), 0)</f>
        <v>1920</v>
      </c>
      <c r="Q9" s="10">
        <f>IFERROR(VLOOKUP(K9, Proof!$A$3:B998,2, 0), 0)</f>
        <v>0</v>
      </c>
      <c r="R9" s="6"/>
      <c r="S9" s="6"/>
      <c r="T9" s="6"/>
      <c r="U9" s="6"/>
      <c r="V9" s="6"/>
      <c r="W9" s="6"/>
      <c r="X9" s="6"/>
      <c r="Y9" s="6"/>
      <c r="Z9" s="6"/>
      <c r="AA9" s="6"/>
      <c r="AB9" s="6"/>
    </row>
    <row r="10">
      <c r="A10" s="1">
        <f t="shared" si="1"/>
        <v>9</v>
      </c>
      <c r="B10" s="7" t="s">
        <v>16</v>
      </c>
      <c r="C10" s="8">
        <f t="shared" si="2"/>
        <v>1594.222222</v>
      </c>
      <c r="D10" s="9">
        <f>IFERROR(VLOOKUP(B10, 'Duke 1'!A$3:$B$85,2, 0), 0)</f>
        <v>0</v>
      </c>
      <c r="E10" s="9">
        <f>IFERROR(VLOOKUP(B10, 'Duke 2'!A$3:$B$522,2, 0), 0)</f>
        <v>1500</v>
      </c>
      <c r="F10" s="10">
        <f>IFERROR(VLOOKUP(B10, 'Duke 3'!A$3:$B998,2, 0), 0)</f>
        <v>1777.777778</v>
      </c>
      <c r="G10" s="10">
        <f>IFERROR(VLOOKUP(B10, 'Duke 4'!A$3:$B998,2, 0), 0)</f>
        <v>1920</v>
      </c>
      <c r="H10" s="10">
        <f>IFERROR(VLOOKUP(B10, Proof!A$2:$B998,2, 0), 0)</f>
        <v>0</v>
      </c>
      <c r="I10" s="6"/>
      <c r="J10" s="6"/>
      <c r="K10" s="7" t="s">
        <v>18</v>
      </c>
      <c r="L10" s="8">
        <f t="shared" si="3"/>
        <v>1585.055821</v>
      </c>
      <c r="M10" s="9">
        <f>IFERROR(VLOOKUP(K10, 'Duke 1'!$A$3:$B998,2, 0), 0)</f>
        <v>1263.157895</v>
      </c>
      <c r="N10" s="9">
        <f>IFERROR(VLOOKUP(K10, 'Duke 2'!$A$3:$B998,2, 0), 0)</f>
        <v>1500</v>
      </c>
      <c r="O10" s="10">
        <f>IFERROR(VLOOKUP(K10, 'Duke 3'!$A$3:$B998,2, 0), 0)</f>
        <v>1777.777778</v>
      </c>
      <c r="P10" s="10">
        <f>IFERROR(VLOOKUP(K10, 'Duke 4'!$A$3:$B998,2, 0), 0)</f>
        <v>960</v>
      </c>
      <c r="Q10" s="10">
        <f>IFERROR(VLOOKUP(K10, Proof!$A$3:B998,2, 0), 0)</f>
        <v>1745.454545</v>
      </c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</row>
    <row r="11">
      <c r="A11" s="1">
        <f t="shared" si="1"/>
        <v>10</v>
      </c>
      <c r="B11" s="7" t="s">
        <v>18</v>
      </c>
      <c r="C11" s="8">
        <f t="shared" si="2"/>
        <v>1574.399256</v>
      </c>
      <c r="D11" s="9">
        <f>IFERROR(VLOOKUP(B11, 'Duke 1'!A$3:$B$85,2, 0), 0)</f>
        <v>1263.157895</v>
      </c>
      <c r="E11" s="9">
        <f>IFERROR(VLOOKUP(B11, 'Duke 2'!A$3:$B$522,2, 0), 0)</f>
        <v>1500</v>
      </c>
      <c r="F11" s="10">
        <f>IFERROR(VLOOKUP(B11, 'Duke 3'!A$3:$B998,2, 0), 0)</f>
        <v>1777.777778</v>
      </c>
      <c r="G11" s="10">
        <f>IFERROR(VLOOKUP(B11, 'Duke 4'!A$3:$B998,2, 0), 0)</f>
        <v>960</v>
      </c>
      <c r="H11" s="10">
        <f>IFERROR(VLOOKUP(B11, Proof!A$2:$B998,2, 0), 0)</f>
        <v>1745.454545</v>
      </c>
      <c r="I11" s="6"/>
      <c r="J11" s="7"/>
      <c r="K11" s="7" t="s">
        <v>19</v>
      </c>
      <c r="L11" s="8">
        <f t="shared" si="3"/>
        <v>1526.874003</v>
      </c>
      <c r="M11" s="9">
        <f>IFERROR(VLOOKUP(K11, 'Duke 1'!$A$3:$B998,2, 0), 0)</f>
        <v>1263.157895</v>
      </c>
      <c r="N11" s="9">
        <f>IFERROR(VLOOKUP(K11, 'Duke 2'!$A$3:$B998,2, 0), 0)</f>
        <v>1500</v>
      </c>
      <c r="O11" s="10">
        <f>IFERROR(VLOOKUP(K11, 'Duke 3'!$A$3:$B998,2, 0), 0)</f>
        <v>1777.777778</v>
      </c>
      <c r="P11" s="10">
        <f>IFERROR(VLOOKUP(K11, 'Duke 4'!$A$3:$B998,2, 0), 0)</f>
        <v>960</v>
      </c>
      <c r="Q11" s="10">
        <f>IFERROR(VLOOKUP(K11, Proof!$A$3:B998,2, 0), 0)</f>
        <v>1454.545455</v>
      </c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</row>
    <row r="12">
      <c r="A12" s="1">
        <f t="shared" si="1"/>
        <v>11</v>
      </c>
      <c r="B12" s="7" t="s">
        <v>19</v>
      </c>
      <c r="C12" s="8">
        <f t="shared" si="2"/>
        <v>1545.308347</v>
      </c>
      <c r="D12" s="9">
        <f>IFERROR(VLOOKUP(B12, 'Duke 1'!A$3:$B$85,2, 0), 0)</f>
        <v>1263.157895</v>
      </c>
      <c r="E12" s="9">
        <f>IFERROR(VLOOKUP(B12, 'Duke 2'!A$3:$B$522,2, 0), 0)</f>
        <v>1500</v>
      </c>
      <c r="F12" s="10">
        <f>IFERROR(VLOOKUP(B12, 'Duke 3'!A$3:$B998,2, 0), 0)</f>
        <v>1777.777778</v>
      </c>
      <c r="G12" s="10">
        <f>IFERROR(VLOOKUP(B12, 'Duke 4'!A$3:$B998,2, 0), 0)</f>
        <v>960</v>
      </c>
      <c r="H12" s="10">
        <f>IFERROR(VLOOKUP(B12, Proof!A$2:$B998,2, 0), 0)</f>
        <v>1454.545455</v>
      </c>
      <c r="I12" s="6"/>
      <c r="J12" s="6"/>
      <c r="K12" s="7" t="s">
        <v>24</v>
      </c>
      <c r="L12" s="8">
        <f t="shared" si="3"/>
        <v>1487.830941</v>
      </c>
      <c r="M12" s="9">
        <f>IFERROR(VLOOKUP(K12, 'Duke 1'!$A$3:$B998,2, 0), 0)</f>
        <v>631.5789474</v>
      </c>
      <c r="N12" s="9">
        <f>IFERROR(VLOOKUP(K12, 'Duke 2'!$A$3:$B998,2, 0), 0)</f>
        <v>1500</v>
      </c>
      <c r="O12" s="10">
        <f>IFERROR(VLOOKUP(K12, 'Duke 3'!$A$3:$B998,2, 0), 0)</f>
        <v>1777.777778</v>
      </c>
      <c r="P12" s="10">
        <f>IFERROR(VLOOKUP(K12, 'Duke 4'!$A$3:$B998,2, 0), 0)</f>
        <v>0</v>
      </c>
      <c r="Q12" s="10">
        <f>IFERROR(VLOOKUP(K12, Proof!$A$3:B998,2, 0), 0)</f>
        <v>1890.909091</v>
      </c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</row>
    <row r="13">
      <c r="A13" s="1">
        <f t="shared" si="1"/>
        <v>12</v>
      </c>
      <c r="B13" s="7" t="s">
        <v>17</v>
      </c>
      <c r="C13" s="8">
        <f t="shared" si="2"/>
        <v>1477.380117</v>
      </c>
      <c r="D13" s="9">
        <f>IFERROR(VLOOKUP(B13, 'Duke 1'!A$3:$B$85,2, 0), 0)</f>
        <v>1894.736842</v>
      </c>
      <c r="E13" s="9">
        <f>IFERROR(VLOOKUP(B13, 'Duke 2'!A$3:$B$522,2, 0), 0)</f>
        <v>0</v>
      </c>
      <c r="F13" s="10">
        <f>IFERROR(VLOOKUP(B13, 'Duke 3'!A$3:$B998,2, 0), 0)</f>
        <v>1777.777778</v>
      </c>
      <c r="G13" s="10">
        <f>IFERROR(VLOOKUP(B13, 'Duke 4'!A$3:$B998,2, 0), 0)</f>
        <v>960</v>
      </c>
      <c r="H13" s="10">
        <f>IFERROR(VLOOKUP(B13, Proof!A$2:$B998,2, 0), 0)</f>
        <v>0</v>
      </c>
      <c r="I13" s="10"/>
      <c r="J13" s="6"/>
      <c r="K13" s="7" t="s">
        <v>16</v>
      </c>
      <c r="L13" s="8">
        <f t="shared" si="3"/>
        <v>1409.333333</v>
      </c>
      <c r="M13" s="9">
        <f>IFERROR(VLOOKUP(K13, 'Duke 1'!$A$3:$B998,2, 0), 0)</f>
        <v>0</v>
      </c>
      <c r="N13" s="9">
        <f>IFERROR(VLOOKUP(K13, 'Duke 2'!$A$3:$B998,2, 0), 0)</f>
        <v>1500</v>
      </c>
      <c r="O13" s="10">
        <f>IFERROR(VLOOKUP(K13, 'Duke 3'!$A$3:$B998,2, 0), 0)</f>
        <v>1777.777778</v>
      </c>
      <c r="P13" s="10">
        <f>IFERROR(VLOOKUP(K13, 'Duke 4'!$A$3:$B998,2, 0), 0)</f>
        <v>1920</v>
      </c>
      <c r="Q13" s="10">
        <f>IFERROR(VLOOKUP(K13, Proof!$A$3:B998,2, 0), 0)</f>
        <v>0</v>
      </c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</row>
    <row r="14">
      <c r="A14" s="1">
        <f t="shared" si="1"/>
        <v>13</v>
      </c>
      <c r="B14" s="7" t="s">
        <v>24</v>
      </c>
      <c r="C14" s="8">
        <f t="shared" si="2"/>
        <v>1462.628921</v>
      </c>
      <c r="D14" s="9">
        <f>IFERROR(VLOOKUP(B14, 'Duke 1'!A$3:$B$85,2, 0), 0)</f>
        <v>631.5789474</v>
      </c>
      <c r="E14" s="9">
        <f>IFERROR(VLOOKUP(B14, 'Duke 2'!A$3:$B$522,2, 0), 0)</f>
        <v>1500</v>
      </c>
      <c r="F14" s="10">
        <f>IFERROR(VLOOKUP(B14, 'Duke 3'!A$3:$B998,2, 0), 0)</f>
        <v>1777.777778</v>
      </c>
      <c r="G14" s="10">
        <f>IFERROR(VLOOKUP(B14, 'Duke 4'!A$3:$B998,2, 0), 0)</f>
        <v>0</v>
      </c>
      <c r="H14" s="10">
        <f>IFERROR(VLOOKUP(B14, Proof!A$2:$B998,2, 0), 0)</f>
        <v>1890.909091</v>
      </c>
      <c r="I14" s="12"/>
      <c r="J14" s="12"/>
      <c r="K14" s="7" t="s">
        <v>23</v>
      </c>
      <c r="L14" s="8">
        <f t="shared" si="3"/>
        <v>1385.043062</v>
      </c>
      <c r="M14" s="9">
        <f>IFERROR(VLOOKUP(K14, 'Duke 1'!$A$3:$B998,2, 0), 0)</f>
        <v>631.5789474</v>
      </c>
      <c r="N14" s="9">
        <f>IFERROR(VLOOKUP(K14, 'Duke 2'!$A$3:$B998,2, 0), 0)</f>
        <v>1500</v>
      </c>
      <c r="O14" s="10">
        <f>IFERROR(VLOOKUP(K14, 'Duke 3'!$A$3:$B998,2, 0), 0)</f>
        <v>0</v>
      </c>
      <c r="P14" s="10">
        <f>IFERROR(VLOOKUP(K14, 'Duke 4'!$A$3:$B998,2, 0), 0)</f>
        <v>1920</v>
      </c>
      <c r="Q14" s="10">
        <f>IFERROR(VLOOKUP(K14, Proof!$A$3:B998,2, 0), 0)</f>
        <v>1163.636364</v>
      </c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</row>
    <row r="15">
      <c r="A15" s="1">
        <f t="shared" si="1"/>
        <v>14</v>
      </c>
      <c r="B15" s="7" t="s">
        <v>23</v>
      </c>
      <c r="C15" s="8">
        <f t="shared" si="2"/>
        <v>1439.679426</v>
      </c>
      <c r="D15" s="9">
        <f>IFERROR(VLOOKUP(B15, 'Duke 1'!A$3:$B$85,2, 0), 0)</f>
        <v>631.5789474</v>
      </c>
      <c r="E15" s="9">
        <f>IFERROR(VLOOKUP(B15, 'Duke 2'!A$3:$B$522,2, 0), 0)</f>
        <v>1500</v>
      </c>
      <c r="F15" s="10">
        <f>IFERROR(VLOOKUP(B15, 'Duke 3'!A$3:$B998,2, 0), 0)</f>
        <v>0</v>
      </c>
      <c r="G15" s="10">
        <f>IFERROR(VLOOKUP(B15, 'Duke 4'!A$3:$B998,2, 0), 0)</f>
        <v>1920</v>
      </c>
      <c r="H15" s="10">
        <f>IFERROR(VLOOKUP(B15, Proof!A$2:$B998,2, 0), 0)</f>
        <v>1163.636364</v>
      </c>
      <c r="I15" s="12"/>
      <c r="J15" s="12"/>
      <c r="K15" s="7" t="s">
        <v>29</v>
      </c>
      <c r="L15" s="8">
        <f t="shared" si="3"/>
        <v>1355.816055</v>
      </c>
      <c r="M15" s="9">
        <f>IFERROR(VLOOKUP(K15, 'Duke 1'!$A$3:$B998,2, 0), 0)</f>
        <v>1263.157895</v>
      </c>
      <c r="N15" s="9">
        <f>IFERROR(VLOOKUP(K15, 'Duke 2'!$A$3:$B998,2, 0), 0)</f>
        <v>1500</v>
      </c>
      <c r="O15" s="10">
        <f>IFERROR(VLOOKUP(K15, 'Duke 3'!$A$3:$B998,2, 0), 0)</f>
        <v>888.8888889</v>
      </c>
      <c r="P15" s="10">
        <f>IFERROR(VLOOKUP(K15, 'Duke 4'!$A$3:$B998,2, 0), 0)</f>
        <v>0</v>
      </c>
      <c r="Q15" s="10">
        <f>IFERROR(VLOOKUP(K15, Proof!$A$3:B998,2, 0), 0)</f>
        <v>1745.454545</v>
      </c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</row>
    <row r="16">
      <c r="A16" s="1">
        <f t="shared" si="1"/>
        <v>15</v>
      </c>
      <c r="B16" s="7" t="s">
        <v>21</v>
      </c>
      <c r="C16" s="8">
        <f t="shared" si="2"/>
        <v>1368.313131</v>
      </c>
      <c r="D16" s="9">
        <f>IFERROR(VLOOKUP(B16, 'Duke 1'!A$3:$B$85,2, 0), 0)</f>
        <v>0</v>
      </c>
      <c r="E16" s="9">
        <f>IFERROR(VLOOKUP(B16, 'Duke 2'!A$3:$B$522,2, 0), 0)</f>
        <v>1500</v>
      </c>
      <c r="F16" s="10">
        <f>IFERROR(VLOOKUP(B16, 'Duke 3'!A$3:$B998,2, 0), 0)</f>
        <v>1777.777778</v>
      </c>
      <c r="G16" s="10">
        <f>IFERROR(VLOOKUP(B16, 'Duke 4'!A$3:$B998,2, 0), 0)</f>
        <v>960</v>
      </c>
      <c r="H16" s="10">
        <f>IFERROR(VLOOKUP(B16, Proof!A$2:$B998,2, 0), 0)</f>
        <v>290.9090909</v>
      </c>
      <c r="I16" s="12"/>
      <c r="J16" s="12"/>
      <c r="K16" s="7" t="s">
        <v>17</v>
      </c>
      <c r="L16" s="8">
        <f t="shared" si="3"/>
        <v>1293.754386</v>
      </c>
      <c r="M16" s="9">
        <f>IFERROR(VLOOKUP(K16, 'Duke 1'!$A$3:$B998,2, 0), 0)</f>
        <v>1894.736842</v>
      </c>
      <c r="N16" s="9">
        <f>IFERROR(VLOOKUP(K16, 'Duke 2'!$A$3:$B998,2, 0), 0)</f>
        <v>0</v>
      </c>
      <c r="O16" s="10">
        <f>IFERROR(VLOOKUP(K16, 'Duke 3'!$A$3:$B998,2, 0), 0)</f>
        <v>1777.777778</v>
      </c>
      <c r="P16" s="10">
        <f>IFERROR(VLOOKUP(K16, 'Duke 4'!$A$3:$B998,2, 0), 0)</f>
        <v>960</v>
      </c>
      <c r="Q16" s="10">
        <f>IFERROR(VLOOKUP(K16, Proof!$A$3:B998,2, 0), 0)</f>
        <v>0</v>
      </c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</row>
    <row r="17">
      <c r="A17" s="1">
        <f t="shared" si="1"/>
        <v>16</v>
      </c>
      <c r="B17" s="7" t="s">
        <v>20</v>
      </c>
      <c r="C17" s="8">
        <f t="shared" si="2"/>
        <v>1353.767677</v>
      </c>
      <c r="D17" s="9">
        <f>IFERROR(VLOOKUP(B17, 'Duke 1'!A$3:$B$85,2, 0), 0)</f>
        <v>631.5789474</v>
      </c>
      <c r="E17" s="9">
        <f>IFERROR(VLOOKUP(B17, 'Duke 2'!A$3:$B$522,2, 0), 0)</f>
        <v>1500</v>
      </c>
      <c r="F17" s="10">
        <f>IFERROR(VLOOKUP(B17, 'Duke 3'!A$3:$B998,2, 0), 0)</f>
        <v>1777.777778</v>
      </c>
      <c r="G17" s="10">
        <f>IFERROR(VLOOKUP(B17, 'Duke 4'!A$3:$B998,2, 0), 0)</f>
        <v>960</v>
      </c>
      <c r="H17" s="10">
        <f>IFERROR(VLOOKUP(B17, Proof!A$2:$B998,2, 0), 0)</f>
        <v>145.4545455</v>
      </c>
      <c r="I17" s="12"/>
      <c r="J17" s="12"/>
      <c r="K17" s="7" t="s">
        <v>21</v>
      </c>
      <c r="L17" s="8">
        <f t="shared" si="3"/>
        <v>1233.515152</v>
      </c>
      <c r="M17" s="9">
        <f>IFERROR(VLOOKUP(K17, 'Duke 1'!$A$3:$B998,2, 0), 0)</f>
        <v>0</v>
      </c>
      <c r="N17" s="9">
        <f>IFERROR(VLOOKUP(K17, 'Duke 2'!$A$3:$B998,2, 0), 0)</f>
        <v>1500</v>
      </c>
      <c r="O17" s="10">
        <f>IFERROR(VLOOKUP(K17, 'Duke 3'!$A$3:$B998,2, 0), 0)</f>
        <v>1777.777778</v>
      </c>
      <c r="P17" s="10">
        <f>IFERROR(VLOOKUP(K17, 'Duke 4'!$A$3:$B998,2, 0), 0)</f>
        <v>960</v>
      </c>
      <c r="Q17" s="10">
        <f>IFERROR(VLOOKUP(K17, Proof!$A$3:B998,2, 0), 0)</f>
        <v>290.9090909</v>
      </c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</row>
    <row r="18">
      <c r="A18" s="1">
        <f t="shared" si="1"/>
        <v>17</v>
      </c>
      <c r="B18" s="7" t="s">
        <v>22</v>
      </c>
      <c r="C18" s="8">
        <f t="shared" si="2"/>
        <v>1339.222222</v>
      </c>
      <c r="D18" s="9">
        <f>IFERROR(VLOOKUP(B18, 'Duke 1'!A$3:$B$85,2, 0), 0)</f>
        <v>0</v>
      </c>
      <c r="E18" s="9">
        <f>IFERROR(VLOOKUP(B18, 'Duke 2'!A$3:$B$522,2, 0), 0)</f>
        <v>1500</v>
      </c>
      <c r="F18" s="10">
        <f>IFERROR(VLOOKUP(B18, 'Duke 3'!A$3:$B998,2, 0), 0)</f>
        <v>1777.777778</v>
      </c>
      <c r="G18" s="10">
        <f>IFERROR(VLOOKUP(B18, 'Duke 4'!A$3:$B998,2, 0), 0)</f>
        <v>960</v>
      </c>
      <c r="H18" s="10">
        <f>IFERROR(VLOOKUP(B18, Proof!A$2:$B998,2, 0), 0)</f>
        <v>0</v>
      </c>
      <c r="I18" s="12"/>
      <c r="J18" s="12"/>
      <c r="K18" s="7" t="s">
        <v>20</v>
      </c>
      <c r="L18" s="8">
        <f t="shared" si="3"/>
        <v>1204.424242</v>
      </c>
      <c r="M18" s="9">
        <f>IFERROR(VLOOKUP(K18, 'Duke 1'!$A$3:$B998,2, 0), 0)</f>
        <v>631.5789474</v>
      </c>
      <c r="N18" s="9">
        <f>IFERROR(VLOOKUP(K18, 'Duke 2'!$A$3:$B998,2, 0), 0)</f>
        <v>1500</v>
      </c>
      <c r="O18" s="10">
        <f>IFERROR(VLOOKUP(K18, 'Duke 3'!$A$3:$B998,2, 0), 0)</f>
        <v>1777.777778</v>
      </c>
      <c r="P18" s="10">
        <f>IFERROR(VLOOKUP(K18, 'Duke 4'!$A$3:$B998,2, 0), 0)</f>
        <v>960</v>
      </c>
      <c r="Q18" s="10">
        <f>IFERROR(VLOOKUP(K18, Proof!$A$3:B998,2, 0), 0)</f>
        <v>145.4545455</v>
      </c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</row>
    <row r="19">
      <c r="A19" s="1">
        <f t="shared" si="1"/>
        <v>18</v>
      </c>
      <c r="B19" s="7" t="s">
        <v>29</v>
      </c>
      <c r="C19" s="8">
        <f t="shared" si="2"/>
        <v>1319.428495</v>
      </c>
      <c r="D19" s="9">
        <f>IFERROR(VLOOKUP(B19, 'Duke 1'!A$3:$B$85,2, 0), 0)</f>
        <v>1263.157895</v>
      </c>
      <c r="E19" s="9">
        <f>IFERROR(VLOOKUP(B19, 'Duke 2'!A$3:$B$522,2, 0), 0)</f>
        <v>1500</v>
      </c>
      <c r="F19" s="10">
        <f>IFERROR(VLOOKUP(B19, 'Duke 3'!A$3:$B998,2, 0), 0)</f>
        <v>888.8888889</v>
      </c>
      <c r="G19" s="10">
        <f>IFERROR(VLOOKUP(B19, 'Duke 4'!A$3:$B998,2, 0), 0)</f>
        <v>0</v>
      </c>
      <c r="H19" s="10">
        <f>IFERROR(VLOOKUP(B19, Proof!A$2:$B998,2, 0), 0)</f>
        <v>1745.454545</v>
      </c>
      <c r="I19" s="12"/>
      <c r="J19" s="12"/>
      <c r="K19" s="7" t="s">
        <v>22</v>
      </c>
      <c r="L19" s="8">
        <f t="shared" si="3"/>
        <v>1175.333333</v>
      </c>
      <c r="M19" s="9">
        <f>IFERROR(VLOOKUP(K19, 'Duke 1'!$A$3:$B998,2, 0), 0)</f>
        <v>0</v>
      </c>
      <c r="N19" s="9">
        <f>IFERROR(VLOOKUP(K19, 'Duke 2'!$A$3:$B998,2, 0), 0)</f>
        <v>1500</v>
      </c>
      <c r="O19" s="10">
        <f>IFERROR(VLOOKUP(K19, 'Duke 3'!$A$3:$B998,2, 0), 0)</f>
        <v>1777.777778</v>
      </c>
      <c r="P19" s="10">
        <f>IFERROR(VLOOKUP(K19, 'Duke 4'!$A$3:$B998,2, 0), 0)</f>
        <v>960</v>
      </c>
      <c r="Q19" s="10">
        <f>IFERROR(VLOOKUP(K19, Proof!$A$3:B998,2, 0), 0)</f>
        <v>0</v>
      </c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</row>
    <row r="20">
      <c r="A20" s="1">
        <f t="shared" si="1"/>
        <v>19</v>
      </c>
      <c r="B20" s="7" t="s">
        <v>25</v>
      </c>
      <c r="C20" s="8">
        <f t="shared" si="2"/>
        <v>1271.052632</v>
      </c>
      <c r="D20" s="9">
        <f>IFERROR(VLOOKUP(B20, 'Duke 1'!A$3:$B$85,2, 0), 0)</f>
        <v>631.5789474</v>
      </c>
      <c r="E20" s="9">
        <f>IFERROR(VLOOKUP(B20, 'Duke 2'!A$3:$B$522,2, 0), 0)</f>
        <v>3000</v>
      </c>
      <c r="F20" s="10">
        <f>IFERROR(VLOOKUP(B20, 'Duke 3'!A$3:$B998,2, 0), 0)</f>
        <v>0</v>
      </c>
      <c r="G20" s="10">
        <f>IFERROR(VLOOKUP(B20, 'Duke 4'!A$3:$B998,2, 0), 0)</f>
        <v>0</v>
      </c>
      <c r="H20" s="10">
        <f>IFERROR(VLOOKUP(B20, Proof!A$2:$B998,2, 0), 0)</f>
        <v>0</v>
      </c>
      <c r="I20" s="12"/>
      <c r="J20" s="13" t="s">
        <v>27</v>
      </c>
      <c r="K20" s="7" t="s">
        <v>33</v>
      </c>
      <c r="L20" s="8">
        <f t="shared" si="3"/>
        <v>1148.505051</v>
      </c>
      <c r="M20" s="9">
        <f>IFERROR(VLOOKUP(K20, 'Duke 1'!$A$3:$B998,2, 0), 0)</f>
        <v>631.5789474</v>
      </c>
      <c r="N20" s="9">
        <f>IFERROR(VLOOKUP(K20, 'Duke 2'!$A$3:$B998,2, 0), 0)</f>
        <v>1500</v>
      </c>
      <c r="O20" s="10">
        <f>IFERROR(VLOOKUP(K20, 'Duke 3'!$A$3:$B998,2, 0), 0)</f>
        <v>888.8888889</v>
      </c>
      <c r="P20" s="10">
        <f>IFERROR(VLOOKUP(K20, 'Duke 4'!$A$3:$B998,2, 0), 0)</f>
        <v>960</v>
      </c>
      <c r="Q20" s="10">
        <f>IFERROR(VLOOKUP(K20, Proof!$A$3:B998,2, 0), 0)</f>
        <v>1163.636364</v>
      </c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</row>
    <row r="21">
      <c r="A21" s="1">
        <f t="shared" si="1"/>
        <v>20</v>
      </c>
      <c r="B21" s="7" t="s">
        <v>26</v>
      </c>
      <c r="C21" s="8">
        <f t="shared" si="2"/>
        <v>1159.105263</v>
      </c>
      <c r="D21" s="9">
        <f>IFERROR(VLOOKUP(B21, 'Duke 1'!A$3:$B$85,2, 0), 0)</f>
        <v>1263.157895</v>
      </c>
      <c r="E21" s="9">
        <f>IFERROR(VLOOKUP(B21, 'Duke 2'!A$3:$B$522,2, 0), 0)</f>
        <v>1500</v>
      </c>
      <c r="F21" s="10">
        <f>IFERROR(VLOOKUP(B21, 'Duke 3'!A$3:$B998,2, 0), 0)</f>
        <v>888.8888889</v>
      </c>
      <c r="G21" s="10">
        <f>IFERROR(VLOOKUP(B21, 'Duke 4'!A$3:$B998,2, 0), 0)</f>
        <v>960</v>
      </c>
      <c r="H21" s="10">
        <f>IFERROR(VLOOKUP(B21, Proof!A$2:$B998,2, 0), 0)</f>
        <v>0</v>
      </c>
      <c r="I21" s="12"/>
      <c r="J21" s="12"/>
      <c r="K21" s="7" t="s">
        <v>37</v>
      </c>
      <c r="L21" s="8">
        <f t="shared" si="3"/>
        <v>1148.505051</v>
      </c>
      <c r="M21" s="9">
        <f>IFERROR(VLOOKUP(K21, 'Duke 1'!$A$3:$B998,2, 0), 0)</f>
        <v>631.5789474</v>
      </c>
      <c r="N21" s="9">
        <f>IFERROR(VLOOKUP(K21, 'Duke 2'!$A$3:$B998,2, 0), 0)</f>
        <v>1500</v>
      </c>
      <c r="O21" s="10">
        <f>IFERROR(VLOOKUP(K21, 'Duke 3'!$A$3:$B998,2, 0), 0)</f>
        <v>888.8888889</v>
      </c>
      <c r="P21" s="10">
        <f>IFERROR(VLOOKUP(K21, 'Duke 4'!$A$3:$B998,2, 0), 0)</f>
        <v>960</v>
      </c>
      <c r="Q21" s="10">
        <f>IFERROR(VLOOKUP(K21, Proof!$A$3:B998,2, 0), 0)</f>
        <v>1163.636364</v>
      </c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</row>
    <row r="22">
      <c r="A22" s="1">
        <f t="shared" si="1"/>
        <v>21</v>
      </c>
      <c r="B22" s="7" t="s">
        <v>33</v>
      </c>
      <c r="C22" s="8">
        <f t="shared" si="2"/>
        <v>1155.141414</v>
      </c>
      <c r="D22" s="9">
        <f>IFERROR(VLOOKUP(B22, 'Duke 1'!A$3:$B$85,2, 0), 0)</f>
        <v>631.5789474</v>
      </c>
      <c r="E22" s="9">
        <f>IFERROR(VLOOKUP(B22, 'Duke 2'!A$3:$B$522,2, 0), 0)</f>
        <v>1500</v>
      </c>
      <c r="F22" s="10">
        <f>IFERROR(VLOOKUP(B22, 'Duke 3'!A$3:$B998,2, 0), 0)</f>
        <v>888.8888889</v>
      </c>
      <c r="G22" s="10">
        <f>IFERROR(VLOOKUP(B22, 'Duke 4'!A$3:$B998,2, 0), 0)</f>
        <v>960</v>
      </c>
      <c r="H22" s="10">
        <f>IFERROR(VLOOKUP(B22, Proof!A$2:$B998,2, 0), 0)</f>
        <v>1163.636364</v>
      </c>
      <c r="I22" s="12"/>
      <c r="J22" s="12"/>
      <c r="K22" s="7" t="s">
        <v>32</v>
      </c>
      <c r="L22" s="8">
        <f t="shared" si="3"/>
        <v>1119.414141</v>
      </c>
      <c r="M22" s="9">
        <f>IFERROR(VLOOKUP(K22, 'Duke 1'!$A$3:$B998,2, 0), 0)</f>
        <v>631.5789474</v>
      </c>
      <c r="N22" s="9">
        <f>IFERROR(VLOOKUP(K22, 'Duke 2'!$A$3:$B998,2, 0), 0)</f>
        <v>1500</v>
      </c>
      <c r="O22" s="10">
        <f>IFERROR(VLOOKUP(K22, 'Duke 3'!$A$3:$B998,2, 0), 0)</f>
        <v>888.8888889</v>
      </c>
      <c r="P22" s="10">
        <f>IFERROR(VLOOKUP(K22, 'Duke 4'!$A$3:$B998,2, 0), 0)</f>
        <v>960</v>
      </c>
      <c r="Q22" s="10">
        <f>IFERROR(VLOOKUP(K22, Proof!$A$3:B998,2, 0), 0)</f>
        <v>1018.181818</v>
      </c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</row>
    <row r="23">
      <c r="A23" s="1">
        <f t="shared" si="1"/>
        <v>22</v>
      </c>
      <c r="B23" s="7" t="s">
        <v>37</v>
      </c>
      <c r="C23" s="8">
        <f t="shared" si="2"/>
        <v>1155.141414</v>
      </c>
      <c r="D23" s="9">
        <f>IFERROR(VLOOKUP(B23, 'Duke 1'!A$3:$B$85,2, 0), 0)</f>
        <v>631.5789474</v>
      </c>
      <c r="E23" s="9">
        <f>IFERROR(VLOOKUP(B23, 'Duke 2'!A$3:$B$522,2, 0), 0)</f>
        <v>1500</v>
      </c>
      <c r="F23" s="10">
        <f>IFERROR(VLOOKUP(B23, 'Duke 3'!A$3:$B998,2, 0), 0)</f>
        <v>888.8888889</v>
      </c>
      <c r="G23" s="10">
        <f>IFERROR(VLOOKUP(B23, 'Duke 4'!A$3:$B998,2, 0), 0)</f>
        <v>960</v>
      </c>
      <c r="H23" s="10">
        <f>IFERROR(VLOOKUP(B23, Proof!A$2:$B998,2, 0), 0)</f>
        <v>1163.636364</v>
      </c>
      <c r="I23" s="12"/>
      <c r="J23" s="12"/>
      <c r="K23" s="7" t="s">
        <v>36</v>
      </c>
      <c r="L23" s="8">
        <f t="shared" si="3"/>
        <v>1119.414141</v>
      </c>
      <c r="M23" s="9">
        <f>IFERROR(VLOOKUP(K23, 'Duke 1'!$A$3:$B998,2, 0), 0)</f>
        <v>0</v>
      </c>
      <c r="N23" s="9">
        <f>IFERROR(VLOOKUP(K23, 'Duke 2'!$A$3:$B998,2, 0), 0)</f>
        <v>1500</v>
      </c>
      <c r="O23" s="10">
        <f>IFERROR(VLOOKUP(K23, 'Duke 3'!$A$3:$B998,2, 0), 0)</f>
        <v>888.8888889</v>
      </c>
      <c r="P23" s="10">
        <f>IFERROR(VLOOKUP(K23, 'Duke 4'!$A$3:$B998,2, 0), 0)</f>
        <v>960</v>
      </c>
      <c r="Q23" s="10">
        <f>IFERROR(VLOOKUP(K23, Proof!$A$3:B998,2, 0), 0)</f>
        <v>1018.181818</v>
      </c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</row>
    <row r="24">
      <c r="A24" s="1">
        <f t="shared" si="1"/>
        <v>23</v>
      </c>
      <c r="B24" s="7" t="s">
        <v>28</v>
      </c>
      <c r="C24" s="8">
        <f t="shared" si="2"/>
        <v>1147.222222</v>
      </c>
      <c r="D24" s="9">
        <f>IFERROR(VLOOKUP(B24, 'Duke 1'!A$3:$B$85,2, 0), 0)</f>
        <v>0</v>
      </c>
      <c r="E24" s="9">
        <f>IFERROR(VLOOKUP(B24, 'Duke 2'!A$3:$B$522,2, 0), 0)</f>
        <v>1500</v>
      </c>
      <c r="F24" s="10">
        <f>IFERROR(VLOOKUP(B24, 'Duke 3'!A$3:$B998,2, 0), 0)</f>
        <v>1777.777778</v>
      </c>
      <c r="G24" s="10">
        <f>IFERROR(VLOOKUP(B24, 'Duke 4'!A$3:$B998,2, 0), 0)</f>
        <v>0</v>
      </c>
      <c r="H24" s="10">
        <f>IFERROR(VLOOKUP(B24, Proof!A$2:$B998,2, 0), 0)</f>
        <v>0</v>
      </c>
      <c r="I24" s="12"/>
      <c r="J24" s="12"/>
      <c r="K24" s="7" t="s">
        <v>30</v>
      </c>
      <c r="L24" s="8">
        <f t="shared" si="3"/>
        <v>1119.414141</v>
      </c>
      <c r="M24" s="9">
        <f>IFERROR(VLOOKUP(K24, 'Duke 1'!$A$3:$B998,2, 0), 0)</f>
        <v>631.5789474</v>
      </c>
      <c r="N24" s="9">
        <f>IFERROR(VLOOKUP(K24, 'Duke 2'!$A$3:$B998,2, 0), 0)</f>
        <v>1500</v>
      </c>
      <c r="O24" s="10">
        <f>IFERROR(VLOOKUP(K24, 'Duke 3'!$A$3:$B998,2, 0), 0)</f>
        <v>888.8888889</v>
      </c>
      <c r="P24" s="10">
        <f>IFERROR(VLOOKUP(K24, 'Duke 4'!$A$3:$B998,2, 0), 0)</f>
        <v>960</v>
      </c>
      <c r="Q24" s="10">
        <f>IFERROR(VLOOKUP(K24, Proof!$A$3:B998,2, 0), 0)</f>
        <v>1018.181818</v>
      </c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</row>
    <row r="25">
      <c r="A25" s="1">
        <f t="shared" si="1"/>
        <v>24</v>
      </c>
      <c r="B25" s="7" t="s">
        <v>32</v>
      </c>
      <c r="C25" s="8">
        <f t="shared" si="2"/>
        <v>1140.59596</v>
      </c>
      <c r="D25" s="9">
        <f>IFERROR(VLOOKUP(B25, 'Duke 1'!A$3:$B$85,2, 0), 0)</f>
        <v>631.5789474</v>
      </c>
      <c r="E25" s="9">
        <f>IFERROR(VLOOKUP(B25, 'Duke 2'!A$3:$B$522,2, 0), 0)</f>
        <v>1500</v>
      </c>
      <c r="F25" s="10">
        <f>IFERROR(VLOOKUP(B25, 'Duke 3'!A$3:$B998,2, 0), 0)</f>
        <v>888.8888889</v>
      </c>
      <c r="G25" s="10">
        <f>IFERROR(VLOOKUP(B25, 'Duke 4'!A$3:$B998,2, 0), 0)</f>
        <v>960</v>
      </c>
      <c r="H25" s="10">
        <f>IFERROR(VLOOKUP(B25, Proof!A$2:$B998,2, 0), 0)</f>
        <v>1018.181818</v>
      </c>
      <c r="I25" s="12"/>
      <c r="J25" s="12"/>
      <c r="K25" s="7" t="s">
        <v>25</v>
      </c>
      <c r="L25" s="8">
        <f t="shared" si="3"/>
        <v>1089.473684</v>
      </c>
      <c r="M25" s="9">
        <f>IFERROR(VLOOKUP(K25, 'Duke 1'!$A$3:$B998,2, 0), 0)</f>
        <v>631.5789474</v>
      </c>
      <c r="N25" s="9">
        <f>IFERROR(VLOOKUP(K25, 'Duke 2'!$A$3:$B998,2, 0), 0)</f>
        <v>3000</v>
      </c>
      <c r="O25" s="10">
        <f>IFERROR(VLOOKUP(K25, 'Duke 3'!$A$3:$B998,2, 0), 0)</f>
        <v>0</v>
      </c>
      <c r="P25" s="10">
        <f>IFERROR(VLOOKUP(K25, 'Duke 4'!$A$3:$B998,2, 0), 0)</f>
        <v>0</v>
      </c>
      <c r="Q25" s="10">
        <f>IFERROR(VLOOKUP(K25, Proof!$A$3:B998,2, 0), 0)</f>
        <v>0</v>
      </c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</row>
    <row r="26">
      <c r="A26" s="1">
        <f t="shared" si="1"/>
        <v>25</v>
      </c>
      <c r="B26" s="7" t="s">
        <v>36</v>
      </c>
      <c r="C26" s="8">
        <f t="shared" si="2"/>
        <v>1140.59596</v>
      </c>
      <c r="D26" s="9">
        <f>IFERROR(VLOOKUP(B26, 'Duke 1'!A$3:$B$85,2, 0), 0)</f>
        <v>0</v>
      </c>
      <c r="E26" s="9">
        <f>IFERROR(VLOOKUP(B26, 'Duke 2'!A$3:$B$522,2, 0), 0)</f>
        <v>1500</v>
      </c>
      <c r="F26" s="10">
        <f>IFERROR(VLOOKUP(B26, 'Duke 3'!A$3:$B998,2, 0), 0)</f>
        <v>888.8888889</v>
      </c>
      <c r="G26" s="10">
        <f>IFERROR(VLOOKUP(B26, 'Duke 4'!A$3:$B998,2, 0), 0)</f>
        <v>960</v>
      </c>
      <c r="H26" s="10">
        <f>IFERROR(VLOOKUP(B26, Proof!A$2:$B998,2, 0), 0)</f>
        <v>1018.181818</v>
      </c>
      <c r="I26" s="12"/>
      <c r="J26" s="12"/>
      <c r="K26" s="7" t="s">
        <v>26</v>
      </c>
      <c r="L26" s="8">
        <f t="shared" si="3"/>
        <v>1020.947368</v>
      </c>
      <c r="M26" s="9">
        <f>IFERROR(VLOOKUP(K26, 'Duke 1'!$A$3:$B998,2, 0), 0)</f>
        <v>1263.157895</v>
      </c>
      <c r="N26" s="9">
        <f>IFERROR(VLOOKUP(K26, 'Duke 2'!$A$3:$B998,2, 0), 0)</f>
        <v>1500</v>
      </c>
      <c r="O26" s="10">
        <f>IFERROR(VLOOKUP(K26, 'Duke 3'!$A$3:$B998,2, 0), 0)</f>
        <v>888.8888889</v>
      </c>
      <c r="P26" s="10">
        <f>IFERROR(VLOOKUP(K26, 'Duke 4'!$A$3:$B998,2, 0), 0)</f>
        <v>960</v>
      </c>
      <c r="Q26" s="10">
        <f>IFERROR(VLOOKUP(K26, Proof!$A$3:B998,2, 0), 0)</f>
        <v>0</v>
      </c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</row>
    <row r="27">
      <c r="A27" s="1">
        <f t="shared" si="1"/>
        <v>26</v>
      </c>
      <c r="B27" s="7" t="s">
        <v>30</v>
      </c>
      <c r="C27" s="8">
        <f t="shared" si="2"/>
        <v>1140.59596</v>
      </c>
      <c r="D27" s="9">
        <f>IFERROR(VLOOKUP(B27, 'Duke 1'!A$3:$B$85,2, 0), 0)</f>
        <v>631.5789474</v>
      </c>
      <c r="E27" s="9">
        <f>IFERROR(VLOOKUP(B27, 'Duke 2'!A$3:$B$522,2, 0), 0)</f>
        <v>1500</v>
      </c>
      <c r="F27" s="10">
        <f>IFERROR(VLOOKUP(B27, 'Duke 3'!A$3:$B998,2, 0), 0)</f>
        <v>888.8888889</v>
      </c>
      <c r="G27" s="10">
        <f>IFERROR(VLOOKUP(B27, 'Duke 4'!A$3:$B998,2, 0), 0)</f>
        <v>960</v>
      </c>
      <c r="H27" s="10">
        <f>IFERROR(VLOOKUP(B27, Proof!A$2:$B998,2, 0), 0)</f>
        <v>1018.181818</v>
      </c>
      <c r="I27" s="12"/>
      <c r="J27" s="7" t="s">
        <v>498</v>
      </c>
      <c r="K27" s="7" t="s">
        <v>60</v>
      </c>
      <c r="L27" s="8">
        <f t="shared" si="3"/>
        <v>1020.121212</v>
      </c>
      <c r="M27" s="9">
        <f>IFERROR(VLOOKUP(K27, 'Duke 1'!$A$3:$B998,2, 0), 0)</f>
        <v>0</v>
      </c>
      <c r="N27" s="9">
        <f>IFERROR(VLOOKUP(K27, 'Duke 2'!$A$3:$B998,2, 0), 0)</f>
        <v>0</v>
      </c>
      <c r="O27" s="10">
        <f>IFERROR(VLOOKUP(K27, 'Duke 3'!$A$3:$B998,2, 0), 0)</f>
        <v>888.8888889</v>
      </c>
      <c r="P27" s="10">
        <f>IFERROR(VLOOKUP(K27, 'Duke 4'!$A$3:$B998,2, 0), 0)</f>
        <v>960</v>
      </c>
      <c r="Q27" s="10">
        <f>IFERROR(VLOOKUP(K27, Proof!$A$3:B998,2, 0), 0)</f>
        <v>2327.272727</v>
      </c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</row>
    <row r="28">
      <c r="A28" s="1">
        <f t="shared" si="1"/>
        <v>27</v>
      </c>
      <c r="B28" s="7" t="s">
        <v>35</v>
      </c>
      <c r="C28" s="8">
        <f t="shared" si="2"/>
        <v>1038.777778</v>
      </c>
      <c r="D28" s="9">
        <f>IFERROR(VLOOKUP(B28, 'Duke 1'!A$3:$B$85,2, 0), 0)</f>
        <v>0</v>
      </c>
      <c r="E28" s="9">
        <f>IFERROR(VLOOKUP(B28, 'Duke 2'!A$3:$B$522,2, 0), 0)</f>
        <v>1500</v>
      </c>
      <c r="F28" s="10">
        <f>IFERROR(VLOOKUP(B28, 'Duke 3'!A$3:$B998,2, 0), 0)</f>
        <v>888.8888889</v>
      </c>
      <c r="G28" s="10">
        <f>IFERROR(VLOOKUP(B28, 'Duke 4'!A$3:$B998,2, 0), 0)</f>
        <v>960</v>
      </c>
      <c r="H28" s="10">
        <f>IFERROR(VLOOKUP(B28, Proof!A$2:$B998,2, 0), 0)</f>
        <v>0</v>
      </c>
      <c r="I28" s="12"/>
      <c r="J28" s="12"/>
      <c r="K28" s="7" t="s">
        <v>28</v>
      </c>
      <c r="L28" s="8">
        <f t="shared" si="3"/>
        <v>983.3333333</v>
      </c>
      <c r="M28" s="9">
        <f>IFERROR(VLOOKUP(K28, 'Duke 1'!$A$3:$B998,2, 0), 0)</f>
        <v>0</v>
      </c>
      <c r="N28" s="9">
        <f>IFERROR(VLOOKUP(K28, 'Duke 2'!$A$3:$B998,2, 0), 0)</f>
        <v>1500</v>
      </c>
      <c r="O28" s="10">
        <f>IFERROR(VLOOKUP(K28, 'Duke 3'!$A$3:$B998,2, 0), 0)</f>
        <v>1777.777778</v>
      </c>
      <c r="P28" s="10">
        <f>IFERROR(VLOOKUP(K28, 'Duke 4'!$A$3:$B998,2, 0), 0)</f>
        <v>0</v>
      </c>
      <c r="Q28" s="10">
        <f>IFERROR(VLOOKUP(K28, Proof!$A$3:B998,2, 0), 0)</f>
        <v>0</v>
      </c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</row>
    <row r="29">
      <c r="A29" s="1">
        <f t="shared" si="1"/>
        <v>28</v>
      </c>
      <c r="B29" s="7" t="s">
        <v>31</v>
      </c>
      <c r="C29" s="8">
        <f t="shared" si="2"/>
        <v>1038.777778</v>
      </c>
      <c r="D29" s="9">
        <f>IFERROR(VLOOKUP(B29, 'Duke 1'!A$3:$B$85,2, 0), 0)</f>
        <v>631.5789474</v>
      </c>
      <c r="E29" s="9">
        <f>IFERROR(VLOOKUP(B29, 'Duke 2'!A$3:$B$522,2, 0), 0)</f>
        <v>1500</v>
      </c>
      <c r="F29" s="10">
        <f>IFERROR(VLOOKUP(B29, 'Duke 3'!A$3:$B998,2, 0), 0)</f>
        <v>888.8888889</v>
      </c>
      <c r="G29" s="10">
        <f>IFERROR(VLOOKUP(B29, 'Duke 4'!A$3:$B998,2, 0), 0)</f>
        <v>960</v>
      </c>
      <c r="H29" s="10">
        <f>IFERROR(VLOOKUP(B29, Proof!A$2:$B998,2, 0), 0)</f>
        <v>0</v>
      </c>
      <c r="I29" s="6"/>
      <c r="J29" s="6"/>
      <c r="K29" s="7" t="s">
        <v>35</v>
      </c>
      <c r="L29" s="8">
        <f t="shared" si="3"/>
        <v>915.7777778</v>
      </c>
      <c r="M29" s="9">
        <f>IFERROR(VLOOKUP(K29, 'Duke 1'!$A$3:$B998,2, 0), 0)</f>
        <v>0</v>
      </c>
      <c r="N29" s="9">
        <f>IFERROR(VLOOKUP(K29, 'Duke 2'!$A$3:$B998,2, 0), 0)</f>
        <v>1500</v>
      </c>
      <c r="O29" s="10">
        <f>IFERROR(VLOOKUP(K29, 'Duke 3'!$A$3:$B998,2, 0), 0)</f>
        <v>888.8888889</v>
      </c>
      <c r="P29" s="10">
        <f>IFERROR(VLOOKUP(K29, 'Duke 4'!$A$3:$B998,2, 0), 0)</f>
        <v>960</v>
      </c>
      <c r="Q29" s="10">
        <f>IFERROR(VLOOKUP(K29, Proof!$A$3:B998,2, 0), 0)</f>
        <v>0</v>
      </c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</row>
    <row r="30">
      <c r="A30" s="1">
        <f t="shared" si="1"/>
        <v>29</v>
      </c>
      <c r="B30" s="7" t="s">
        <v>38</v>
      </c>
      <c r="C30" s="8">
        <f t="shared" si="2"/>
        <v>1038.777778</v>
      </c>
      <c r="D30" s="9">
        <f>IFERROR(VLOOKUP(B30, 'Duke 1'!A$3:$B$85,2, 0), 0)</f>
        <v>631.5789474</v>
      </c>
      <c r="E30" s="9">
        <f>IFERROR(VLOOKUP(B30, 'Duke 2'!A$3:$B$522,2, 0), 0)</f>
        <v>1500</v>
      </c>
      <c r="F30" s="10">
        <f>IFERROR(VLOOKUP(B30, 'Duke 3'!A$3:$B998,2, 0), 0)</f>
        <v>888.8888889</v>
      </c>
      <c r="G30" s="10">
        <f>IFERROR(VLOOKUP(B30, 'Duke 4'!A$3:$B998,2, 0), 0)</f>
        <v>960</v>
      </c>
      <c r="H30" s="10">
        <f>IFERROR(VLOOKUP(B30, Proof!A$2:$B998,2, 0), 0)</f>
        <v>0</v>
      </c>
      <c r="I30" s="12"/>
      <c r="J30" s="12"/>
      <c r="K30" s="7" t="s">
        <v>31</v>
      </c>
      <c r="L30" s="8">
        <f t="shared" si="3"/>
        <v>915.7777778</v>
      </c>
      <c r="M30" s="9">
        <f>IFERROR(VLOOKUP(K30, 'Duke 1'!$A$3:$B998,2, 0), 0)</f>
        <v>631.5789474</v>
      </c>
      <c r="N30" s="9">
        <f>IFERROR(VLOOKUP(K30, 'Duke 2'!$A$3:$B998,2, 0), 0)</f>
        <v>1500</v>
      </c>
      <c r="O30" s="10">
        <f>IFERROR(VLOOKUP(K30, 'Duke 3'!$A$3:$B998,2, 0), 0)</f>
        <v>888.8888889</v>
      </c>
      <c r="P30" s="10">
        <f>IFERROR(VLOOKUP(K30, 'Duke 4'!$A$3:$B998,2, 0), 0)</f>
        <v>960</v>
      </c>
      <c r="Q30" s="10">
        <f>IFERROR(VLOOKUP(K30, Proof!$A$3:B998,2, 0), 0)</f>
        <v>0</v>
      </c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</row>
    <row r="31">
      <c r="A31" s="1">
        <f t="shared" si="1"/>
        <v>30</v>
      </c>
      <c r="B31" s="7" t="s">
        <v>34</v>
      </c>
      <c r="C31" s="8">
        <f t="shared" si="2"/>
        <v>1038.777778</v>
      </c>
      <c r="D31" s="9">
        <f>IFERROR(VLOOKUP(B31, 'Duke 1'!A$3:$B$85,2, 0), 0)</f>
        <v>0</v>
      </c>
      <c r="E31" s="9">
        <f>IFERROR(VLOOKUP(B31, 'Duke 2'!A$3:$B$522,2, 0), 0)</f>
        <v>1500</v>
      </c>
      <c r="F31" s="10">
        <f>IFERROR(VLOOKUP(B31, 'Duke 3'!A$3:$B998,2, 0), 0)</f>
        <v>888.8888889</v>
      </c>
      <c r="G31" s="10">
        <f>IFERROR(VLOOKUP(B31, 'Duke 4'!A$3:$B998,2, 0), 0)</f>
        <v>960</v>
      </c>
      <c r="H31" s="10">
        <f>IFERROR(VLOOKUP(B31, Proof!A$2:$B998,2, 0), 0)</f>
        <v>0</v>
      </c>
      <c r="I31" s="12"/>
      <c r="J31" s="12"/>
      <c r="K31" s="7" t="s">
        <v>38</v>
      </c>
      <c r="L31" s="8">
        <f t="shared" si="3"/>
        <v>915.7777778</v>
      </c>
      <c r="M31" s="9">
        <f>IFERROR(VLOOKUP(K31, 'Duke 1'!$A$3:$B998,2, 0), 0)</f>
        <v>631.5789474</v>
      </c>
      <c r="N31" s="9">
        <f>IFERROR(VLOOKUP(K31, 'Duke 2'!$A$3:$B998,2, 0), 0)</f>
        <v>1500</v>
      </c>
      <c r="O31" s="10">
        <f>IFERROR(VLOOKUP(K31, 'Duke 3'!$A$3:$B998,2, 0), 0)</f>
        <v>888.8888889</v>
      </c>
      <c r="P31" s="10">
        <f>IFERROR(VLOOKUP(K31, 'Duke 4'!$A$3:$B998,2, 0), 0)</f>
        <v>960</v>
      </c>
      <c r="Q31" s="10">
        <f>IFERROR(VLOOKUP(K31, Proof!$A$3:B998,2, 0), 0)</f>
        <v>0</v>
      </c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</row>
    <row r="32">
      <c r="A32" s="1">
        <f t="shared" si="1"/>
        <v>31</v>
      </c>
      <c r="B32" s="7" t="s">
        <v>40</v>
      </c>
      <c r="C32" s="8">
        <f t="shared" si="2"/>
        <v>987.3157895</v>
      </c>
      <c r="D32" s="9">
        <f>IFERROR(VLOOKUP(B32, 'Duke 1'!A$3:$B$85,2, 0), 0)</f>
        <v>631.5789474</v>
      </c>
      <c r="E32" s="9">
        <f>IFERROR(VLOOKUP(B32, 'Duke 2'!A$3:$B$522,2, 0), 0)</f>
        <v>1500</v>
      </c>
      <c r="F32" s="10">
        <f>IFERROR(VLOOKUP(B32, 'Duke 3'!A$3:$B998,2, 0), 0)</f>
        <v>0</v>
      </c>
      <c r="G32" s="10">
        <f>IFERROR(VLOOKUP(B32, 'Duke 4'!A$3:$B998,2, 0), 0)</f>
        <v>960</v>
      </c>
      <c r="H32" s="10">
        <f>IFERROR(VLOOKUP(B32, Proof!A$2:$B998,2, 0), 0)</f>
        <v>0</v>
      </c>
      <c r="I32" s="12"/>
      <c r="J32" s="12"/>
      <c r="K32" s="7" t="s">
        <v>34</v>
      </c>
      <c r="L32" s="8">
        <f t="shared" si="3"/>
        <v>915.7777778</v>
      </c>
      <c r="M32" s="9">
        <f>IFERROR(VLOOKUP(K32, 'Duke 1'!$A$3:$B998,2, 0), 0)</f>
        <v>0</v>
      </c>
      <c r="N32" s="9">
        <f>IFERROR(VLOOKUP(K32, 'Duke 2'!$A$3:$B998,2, 0), 0)</f>
        <v>1500</v>
      </c>
      <c r="O32" s="10">
        <f>IFERROR(VLOOKUP(K32, 'Duke 3'!$A$3:$B998,2, 0), 0)</f>
        <v>888.8888889</v>
      </c>
      <c r="P32" s="10">
        <f>IFERROR(VLOOKUP(K32, 'Duke 4'!$A$3:$B998,2, 0), 0)</f>
        <v>960</v>
      </c>
      <c r="Q32" s="10">
        <f>IFERROR(VLOOKUP(K32, Proof!$A$3:B998,2, 0), 0)</f>
        <v>0</v>
      </c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</row>
    <row r="33">
      <c r="A33" s="1">
        <f t="shared" si="1"/>
        <v>32</v>
      </c>
      <c r="B33" s="7" t="s">
        <v>39</v>
      </c>
      <c r="C33" s="8">
        <f t="shared" si="2"/>
        <v>987.3157895</v>
      </c>
      <c r="D33" s="9">
        <f>IFERROR(VLOOKUP(B33, 'Duke 1'!A$3:$B$85,2, 0), 0)</f>
        <v>631.5789474</v>
      </c>
      <c r="E33" s="9">
        <f>IFERROR(VLOOKUP(B33, 'Duke 2'!A$3:$B$522,2, 0), 0)</f>
        <v>1500</v>
      </c>
      <c r="F33" s="10">
        <f>IFERROR(VLOOKUP(B33, 'Duke 3'!A$3:$B998,2, 0), 0)</f>
        <v>0</v>
      </c>
      <c r="G33" s="10">
        <f>IFERROR(VLOOKUP(B33, 'Duke 4'!A$3:$B998,2, 0), 0)</f>
        <v>960</v>
      </c>
      <c r="H33" s="10">
        <f>IFERROR(VLOOKUP(B33, Proof!A$2:$B998,2, 0), 0)</f>
        <v>0</v>
      </c>
      <c r="I33" s="12"/>
      <c r="J33" s="12"/>
      <c r="K33" s="7" t="s">
        <v>41</v>
      </c>
      <c r="L33" s="8">
        <f t="shared" si="3"/>
        <v>872.0733652</v>
      </c>
      <c r="M33" s="9">
        <f>IFERROR(VLOOKUP(K33, 'Duke 1'!$A$3:$B998,2, 0), 0)</f>
        <v>631.5789474</v>
      </c>
      <c r="N33" s="9">
        <f>IFERROR(VLOOKUP(K33, 'Duke 2'!$A$3:$B998,2, 0), 0)</f>
        <v>1500</v>
      </c>
      <c r="O33" s="10">
        <f>IFERROR(VLOOKUP(K33, 'Duke 3'!$A$3:$B998,2, 0), 0)</f>
        <v>888.8888889</v>
      </c>
      <c r="P33" s="10">
        <f>IFERROR(VLOOKUP(K33, 'Duke 4'!$A$3:$B998,2, 0), 0)</f>
        <v>0</v>
      </c>
      <c r="Q33" s="10">
        <f>IFERROR(VLOOKUP(K33, Proof!$A$3:B998,2, 0), 0)</f>
        <v>145.4545455</v>
      </c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</row>
    <row r="34">
      <c r="A34" s="1">
        <f t="shared" si="1"/>
        <v>33</v>
      </c>
      <c r="B34" s="7" t="s">
        <v>41</v>
      </c>
      <c r="C34" s="8">
        <f t="shared" si="2"/>
        <v>976.9723551</v>
      </c>
      <c r="D34" s="9">
        <f>IFERROR(VLOOKUP(B34, 'Duke 1'!A$3:$B$85,2, 0), 0)</f>
        <v>631.5789474</v>
      </c>
      <c r="E34" s="9">
        <f>IFERROR(VLOOKUP(B34, 'Duke 2'!A$3:$B$522,2, 0), 0)</f>
        <v>1500</v>
      </c>
      <c r="F34" s="10">
        <f>IFERROR(VLOOKUP(B34, 'Duke 3'!A$3:$B998,2, 0), 0)</f>
        <v>888.8888889</v>
      </c>
      <c r="G34" s="10">
        <f>IFERROR(VLOOKUP(B34, 'Duke 4'!A$3:$B998,2, 0), 0)</f>
        <v>0</v>
      </c>
      <c r="H34" s="10">
        <f>IFERROR(VLOOKUP(B34, Proof!A$2:$B998,2, 0), 0)</f>
        <v>145.4545455</v>
      </c>
      <c r="I34" s="12"/>
      <c r="J34" s="12"/>
      <c r="K34" s="7" t="s">
        <v>40</v>
      </c>
      <c r="L34" s="8">
        <f t="shared" si="3"/>
        <v>864.3157895</v>
      </c>
      <c r="M34" s="9">
        <f>IFERROR(VLOOKUP(K34, 'Duke 1'!$A$3:$B998,2, 0), 0)</f>
        <v>631.5789474</v>
      </c>
      <c r="N34" s="9">
        <f>IFERROR(VLOOKUP(K34, 'Duke 2'!$A$3:$B998,2, 0), 0)</f>
        <v>1500</v>
      </c>
      <c r="O34" s="10">
        <f>IFERROR(VLOOKUP(K34, 'Duke 3'!$A$3:$B998,2, 0), 0)</f>
        <v>0</v>
      </c>
      <c r="P34" s="10">
        <f>IFERROR(VLOOKUP(K34, 'Duke 4'!$A$3:$B998,2, 0), 0)</f>
        <v>960</v>
      </c>
      <c r="Q34" s="10">
        <f>IFERROR(VLOOKUP(K34, Proof!$A$3:B998,2, 0), 0)</f>
        <v>0</v>
      </c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</row>
    <row r="35">
      <c r="A35" s="1">
        <f t="shared" si="1"/>
        <v>34</v>
      </c>
      <c r="B35" s="7" t="s">
        <v>60</v>
      </c>
      <c r="C35" s="8">
        <f t="shared" si="2"/>
        <v>879.8383838</v>
      </c>
      <c r="D35" s="9">
        <f>IFERROR(VLOOKUP(B35, 'Duke 1'!A$3:$B$85,2, 0), 0)</f>
        <v>0</v>
      </c>
      <c r="E35" s="9">
        <f>IFERROR(VLOOKUP(B35, 'Duke 2'!A$3:$B$522,2, 0), 0)</f>
        <v>0</v>
      </c>
      <c r="F35" s="10">
        <f>IFERROR(VLOOKUP(B35, 'Duke 3'!A$3:$B998,2, 0), 0)</f>
        <v>888.8888889</v>
      </c>
      <c r="G35" s="10">
        <f>IFERROR(VLOOKUP(B35, 'Duke 4'!A$3:$B998,2, 0), 0)</f>
        <v>960</v>
      </c>
      <c r="H35" s="10">
        <f>IFERROR(VLOOKUP(B35, Proof!A$2:$B998,2, 0), 0)</f>
        <v>2327.272727</v>
      </c>
      <c r="I35" s="12"/>
      <c r="J35" s="12"/>
      <c r="K35" s="7" t="s">
        <v>39</v>
      </c>
      <c r="L35" s="8">
        <f t="shared" si="3"/>
        <v>864.3157895</v>
      </c>
      <c r="M35" s="9">
        <f>IFERROR(VLOOKUP(K35, 'Duke 1'!$A$3:$B998,2, 0), 0)</f>
        <v>631.5789474</v>
      </c>
      <c r="N35" s="9">
        <f>IFERROR(VLOOKUP(K35, 'Duke 2'!$A$3:$B998,2, 0), 0)</f>
        <v>1500</v>
      </c>
      <c r="O35" s="10">
        <f>IFERROR(VLOOKUP(K35, 'Duke 3'!$A$3:$B998,2, 0), 0)</f>
        <v>0</v>
      </c>
      <c r="P35" s="10">
        <f>IFERROR(VLOOKUP(K35, 'Duke 4'!$A$3:$B998,2, 0), 0)</f>
        <v>960</v>
      </c>
      <c r="Q35" s="10">
        <f>IFERROR(VLOOKUP(K35, Proof!$A$3:B998,2, 0), 0)</f>
        <v>0</v>
      </c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</row>
    <row r="36">
      <c r="A36" s="1">
        <f t="shared" si="1"/>
        <v>35</v>
      </c>
      <c r="B36" s="7" t="s">
        <v>46</v>
      </c>
      <c r="C36" s="8">
        <f t="shared" si="2"/>
        <v>875.5454545</v>
      </c>
      <c r="D36" s="9">
        <f>IFERROR(VLOOKUP(B36, 'Duke 1'!A$3:$B$85,2, 0), 0)</f>
        <v>0</v>
      </c>
      <c r="E36" s="9">
        <f>IFERROR(VLOOKUP(B36, 'Duke 2'!A$3:$B$522,2, 0), 0)</f>
        <v>1500</v>
      </c>
      <c r="F36" s="10">
        <f>IFERROR(VLOOKUP(B36, 'Duke 3'!A$3:$B998,2, 0), 0)</f>
        <v>0</v>
      </c>
      <c r="G36" s="10">
        <f>IFERROR(VLOOKUP(B36, 'Duke 4'!A$3:$B998,2, 0), 0)</f>
        <v>960</v>
      </c>
      <c r="H36" s="10">
        <f>IFERROR(VLOOKUP(B36, Proof!A$2:$B998,2, 0), 0)</f>
        <v>145.4545455</v>
      </c>
      <c r="I36" s="6"/>
      <c r="J36" s="6"/>
      <c r="K36" s="7" t="s">
        <v>92</v>
      </c>
      <c r="L36" s="8">
        <f t="shared" si="3"/>
        <v>814.5454545</v>
      </c>
      <c r="M36" s="9">
        <f>IFERROR(VLOOKUP(K36, 'Duke 1'!$A$3:$B998,2, 0), 0)</f>
        <v>0</v>
      </c>
      <c r="N36" s="9">
        <f>IFERROR(VLOOKUP(K36, 'Duke 2'!$A$3:$B998,2, 0), 0)</f>
        <v>0</v>
      </c>
      <c r="O36" s="10">
        <f>IFERROR(VLOOKUP(K36, 'Duke 3'!$A$3:$B998,2, 0), 0)</f>
        <v>0</v>
      </c>
      <c r="P36" s="10">
        <f>IFERROR(VLOOKUP(K36, 'Duke 4'!$A$3:$B998,2, 0), 0)</f>
        <v>0</v>
      </c>
      <c r="Q36" s="10">
        <f>IFERROR(VLOOKUP(K36, Proof!$A$3:B998,2, 0), 0)</f>
        <v>4072.727273</v>
      </c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</row>
    <row r="37">
      <c r="A37" s="1">
        <f t="shared" si="1"/>
        <v>36</v>
      </c>
      <c r="B37" s="7" t="s">
        <v>49</v>
      </c>
      <c r="C37" s="8">
        <f t="shared" si="2"/>
        <v>875.5454545</v>
      </c>
      <c r="D37" s="9">
        <f>IFERROR(VLOOKUP(B37, 'Duke 1'!A$3:$B$85,2, 0), 0)</f>
        <v>0</v>
      </c>
      <c r="E37" s="9">
        <f>IFERROR(VLOOKUP(B37, 'Duke 2'!A$3:$B$522,2, 0), 0)</f>
        <v>1500</v>
      </c>
      <c r="F37" s="10">
        <f>IFERROR(VLOOKUP(B37, 'Duke 3'!A$3:$B998,2, 0), 0)</f>
        <v>0</v>
      </c>
      <c r="G37" s="10">
        <f>IFERROR(VLOOKUP(B37, 'Duke 4'!A$3:$B998,2, 0), 0)</f>
        <v>960</v>
      </c>
      <c r="H37" s="10">
        <f>IFERROR(VLOOKUP(B37, Proof!A$2:$B998,2, 0), 0)</f>
        <v>145.4545455</v>
      </c>
      <c r="I37" s="6"/>
      <c r="J37" s="6"/>
      <c r="K37" s="7" t="s">
        <v>46</v>
      </c>
      <c r="L37" s="8">
        <f t="shared" si="3"/>
        <v>767.0909091</v>
      </c>
      <c r="M37" s="9">
        <f>IFERROR(VLOOKUP(K37, 'Duke 1'!$A$3:$B998,2, 0), 0)</f>
        <v>0</v>
      </c>
      <c r="N37" s="9">
        <f>IFERROR(VLOOKUP(K37, 'Duke 2'!$A$3:$B998,2, 0), 0)</f>
        <v>1500</v>
      </c>
      <c r="O37" s="10">
        <f>IFERROR(VLOOKUP(K37, 'Duke 3'!$A$3:$B998,2, 0), 0)</f>
        <v>0</v>
      </c>
      <c r="P37" s="10">
        <f>IFERROR(VLOOKUP(K37, 'Duke 4'!$A$3:$B998,2, 0), 0)</f>
        <v>960</v>
      </c>
      <c r="Q37" s="10">
        <f>IFERROR(VLOOKUP(K37, Proof!$A$3:B998,2, 0), 0)</f>
        <v>145.4545455</v>
      </c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</row>
    <row r="38">
      <c r="A38" s="1">
        <f t="shared" si="1"/>
        <v>37</v>
      </c>
      <c r="B38" s="7" t="s">
        <v>42</v>
      </c>
      <c r="C38" s="8">
        <f t="shared" si="2"/>
        <v>875.5454545</v>
      </c>
      <c r="D38" s="9">
        <f>IFERROR(VLOOKUP(B38, 'Duke 1'!A$3:$B$85,2, 0), 0)</f>
        <v>0</v>
      </c>
      <c r="E38" s="9">
        <f>IFERROR(VLOOKUP(B38, 'Duke 2'!A$3:$B$522,2, 0), 0)</f>
        <v>1500</v>
      </c>
      <c r="F38" s="10">
        <f>IFERROR(VLOOKUP(B38, 'Duke 3'!A$3:$B998,2, 0), 0)</f>
        <v>0</v>
      </c>
      <c r="G38" s="10">
        <f>IFERROR(VLOOKUP(B38, 'Duke 4'!A$3:$B998,2, 0), 0)</f>
        <v>960</v>
      </c>
      <c r="H38" s="10">
        <f>IFERROR(VLOOKUP(B38, Proof!A$2:$B998,2, 0), 0)</f>
        <v>145.4545455</v>
      </c>
      <c r="I38" s="6"/>
      <c r="J38" s="6"/>
      <c r="K38" s="7" t="s">
        <v>49</v>
      </c>
      <c r="L38" s="8">
        <f t="shared" si="3"/>
        <v>767.0909091</v>
      </c>
      <c r="M38" s="9">
        <f>IFERROR(VLOOKUP(K38, 'Duke 1'!$A$3:$B998,2, 0), 0)</f>
        <v>0</v>
      </c>
      <c r="N38" s="9">
        <f>IFERROR(VLOOKUP(K38, 'Duke 2'!$A$3:$B998,2, 0), 0)</f>
        <v>1500</v>
      </c>
      <c r="O38" s="10">
        <f>IFERROR(VLOOKUP(K38, 'Duke 3'!$A$3:$B998,2, 0), 0)</f>
        <v>0</v>
      </c>
      <c r="P38" s="10">
        <f>IFERROR(VLOOKUP(K38, 'Duke 4'!$A$3:$B998,2, 0), 0)</f>
        <v>960</v>
      </c>
      <c r="Q38" s="10">
        <f>IFERROR(VLOOKUP(K38, Proof!$A$3:B998,2, 0), 0)</f>
        <v>145.4545455</v>
      </c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</row>
    <row r="39">
      <c r="A39" s="1">
        <f t="shared" si="1"/>
        <v>38</v>
      </c>
      <c r="B39" s="7" t="s">
        <v>47</v>
      </c>
      <c r="C39" s="8">
        <f t="shared" si="2"/>
        <v>861</v>
      </c>
      <c r="D39" s="9">
        <f>IFERROR(VLOOKUP(B39, 'Duke 1'!A$3:$B$85,2, 0), 0)</f>
        <v>0</v>
      </c>
      <c r="E39" s="9">
        <f>IFERROR(VLOOKUP(B39, 'Duke 2'!A$3:$B$522,2, 0), 0)</f>
        <v>1500</v>
      </c>
      <c r="F39" s="10">
        <f>IFERROR(VLOOKUP(B39, 'Duke 3'!A$3:$B998,2, 0), 0)</f>
        <v>0</v>
      </c>
      <c r="G39" s="10">
        <f>IFERROR(VLOOKUP(B39, 'Duke 4'!A$3:$B998,2, 0), 0)</f>
        <v>960</v>
      </c>
      <c r="H39" s="10">
        <f>IFERROR(VLOOKUP(B39, Proof!A$2:$B998,2, 0), 0)</f>
        <v>0</v>
      </c>
      <c r="I39" s="6"/>
      <c r="J39" s="6"/>
      <c r="K39" s="7" t="s">
        <v>42</v>
      </c>
      <c r="L39" s="8">
        <f t="shared" si="3"/>
        <v>767.0909091</v>
      </c>
      <c r="M39" s="9">
        <f>IFERROR(VLOOKUP(K39, 'Duke 1'!$A$3:$B998,2, 0), 0)</f>
        <v>0</v>
      </c>
      <c r="N39" s="9">
        <f>IFERROR(VLOOKUP(K39, 'Duke 2'!$A$3:$B998,2, 0), 0)</f>
        <v>1500</v>
      </c>
      <c r="O39" s="10">
        <f>IFERROR(VLOOKUP(K39, 'Duke 3'!$A$3:$B998,2, 0), 0)</f>
        <v>0</v>
      </c>
      <c r="P39" s="10">
        <f>IFERROR(VLOOKUP(K39, 'Duke 4'!$A$3:$B998,2, 0), 0)</f>
        <v>960</v>
      </c>
      <c r="Q39" s="10">
        <f>IFERROR(VLOOKUP(K39, Proof!$A$3:B998,2, 0), 0)</f>
        <v>145.4545455</v>
      </c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>
      <c r="A40" s="1">
        <f t="shared" si="1"/>
        <v>39</v>
      </c>
      <c r="B40" s="7" t="s">
        <v>48</v>
      </c>
      <c r="C40" s="8">
        <f t="shared" si="2"/>
        <v>861</v>
      </c>
      <c r="D40" s="9">
        <f>IFERROR(VLOOKUP(B40, 'Duke 1'!A$3:$B$85,2, 0), 0)</f>
        <v>0</v>
      </c>
      <c r="E40" s="9">
        <f>IFERROR(VLOOKUP(B40, 'Duke 2'!A$3:$B$522,2, 0), 0)</f>
        <v>1500</v>
      </c>
      <c r="F40" s="10">
        <f>IFERROR(VLOOKUP(B40, 'Duke 3'!A$3:$B998,2, 0), 0)</f>
        <v>0</v>
      </c>
      <c r="G40" s="10">
        <f>IFERROR(VLOOKUP(B40, 'Duke 4'!A$3:$B998,2, 0), 0)</f>
        <v>960</v>
      </c>
      <c r="H40" s="10">
        <f>IFERROR(VLOOKUP(B40, Proof!A$2:$B998,2, 0), 0)</f>
        <v>0</v>
      </c>
      <c r="I40" s="6"/>
      <c r="J40" s="6"/>
      <c r="K40" s="7" t="s">
        <v>53</v>
      </c>
      <c r="L40" s="8">
        <f t="shared" si="3"/>
        <v>745.7575758</v>
      </c>
      <c r="M40" s="9">
        <f>IFERROR(VLOOKUP(K40, 'Duke 1'!$A$3:$B998,2, 0), 0)</f>
        <v>0</v>
      </c>
      <c r="N40" s="9">
        <f>IFERROR(VLOOKUP(K40, 'Duke 2'!$A$3:$B998,2, 0), 0)</f>
        <v>1500</v>
      </c>
      <c r="O40" s="10">
        <f>IFERROR(VLOOKUP(K40, 'Duke 3'!$A$3:$B998,2, 0), 0)</f>
        <v>888.8888889</v>
      </c>
      <c r="P40" s="10">
        <f>IFERROR(VLOOKUP(K40, 'Duke 4'!$A$3:$B998,2, 0), 0)</f>
        <v>0</v>
      </c>
      <c r="Q40" s="10">
        <f>IFERROR(VLOOKUP(K40, Proof!$A$3:B998,2, 0), 0)</f>
        <v>145.4545455</v>
      </c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</row>
    <row r="41">
      <c r="A41" s="1">
        <f t="shared" si="1"/>
        <v>40</v>
      </c>
      <c r="B41" s="7" t="s">
        <v>45</v>
      </c>
      <c r="C41" s="8">
        <f t="shared" si="2"/>
        <v>861</v>
      </c>
      <c r="D41" s="9">
        <f>IFERROR(VLOOKUP(B41, 'Duke 1'!A$3:$B$85,2, 0), 0)</f>
        <v>0</v>
      </c>
      <c r="E41" s="9">
        <f>IFERROR(VLOOKUP(B41, 'Duke 2'!A$3:$B$522,2, 0), 0)</f>
        <v>1500</v>
      </c>
      <c r="F41" s="10">
        <f>IFERROR(VLOOKUP(B41, 'Duke 3'!A$3:$B998,2, 0), 0)</f>
        <v>0</v>
      </c>
      <c r="G41" s="10">
        <f>IFERROR(VLOOKUP(B41, 'Duke 4'!A$3:$B998,2, 0), 0)</f>
        <v>960</v>
      </c>
      <c r="H41" s="10">
        <f>IFERROR(VLOOKUP(B41, Proof!A$2:$B998,2, 0), 0)</f>
        <v>0</v>
      </c>
      <c r="I41" s="12"/>
      <c r="J41" s="12"/>
      <c r="K41" s="7" t="s">
        <v>47</v>
      </c>
      <c r="L41" s="8">
        <f t="shared" si="3"/>
        <v>738</v>
      </c>
      <c r="M41" s="9">
        <f>IFERROR(VLOOKUP(K41, 'Duke 1'!$A$3:$B998,2, 0), 0)</f>
        <v>0</v>
      </c>
      <c r="N41" s="9">
        <f>IFERROR(VLOOKUP(K41, 'Duke 2'!$A$3:$B998,2, 0), 0)</f>
        <v>1500</v>
      </c>
      <c r="O41" s="10">
        <f>IFERROR(VLOOKUP(K41, 'Duke 3'!$A$3:$B998,2, 0), 0)</f>
        <v>0</v>
      </c>
      <c r="P41" s="10">
        <f>IFERROR(VLOOKUP(K41, 'Duke 4'!$A$3:$B998,2, 0), 0)</f>
        <v>960</v>
      </c>
      <c r="Q41" s="10">
        <f>IFERROR(VLOOKUP(K41, Proof!$A$3:B998,2, 0), 0)</f>
        <v>0</v>
      </c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</row>
    <row r="42">
      <c r="A42" s="1">
        <f t="shared" si="1"/>
        <v>41</v>
      </c>
      <c r="B42" s="7" t="s">
        <v>43</v>
      </c>
      <c r="C42" s="8">
        <f t="shared" si="2"/>
        <v>861</v>
      </c>
      <c r="D42" s="9">
        <f>IFERROR(VLOOKUP(B42, 'Duke 1'!A$3:$B$85,2, 0), 0)</f>
        <v>0</v>
      </c>
      <c r="E42" s="9">
        <f>IFERROR(VLOOKUP(B42, 'Duke 2'!A$3:$B$522,2, 0), 0)</f>
        <v>1500</v>
      </c>
      <c r="F42" s="10">
        <f>IFERROR(VLOOKUP(B42, 'Duke 3'!A$3:$B998,2, 0), 0)</f>
        <v>0</v>
      </c>
      <c r="G42" s="10">
        <f>IFERROR(VLOOKUP(B42, 'Duke 4'!A$3:$B998,2, 0), 0)</f>
        <v>960</v>
      </c>
      <c r="H42" s="10">
        <f>IFERROR(VLOOKUP(B42, Proof!A$2:$B998,2, 0), 0)</f>
        <v>0</v>
      </c>
      <c r="I42" s="12"/>
      <c r="J42" s="12"/>
      <c r="K42" s="7" t="s">
        <v>48</v>
      </c>
      <c r="L42" s="8">
        <f t="shared" si="3"/>
        <v>738</v>
      </c>
      <c r="M42" s="9">
        <f>IFERROR(VLOOKUP(K42, 'Duke 1'!$A$3:$B998,2, 0), 0)</f>
        <v>0</v>
      </c>
      <c r="N42" s="9">
        <f>IFERROR(VLOOKUP(K42, 'Duke 2'!$A$3:$B998,2, 0), 0)</f>
        <v>1500</v>
      </c>
      <c r="O42" s="10">
        <f>IFERROR(VLOOKUP(K42, 'Duke 3'!$A$3:$B998,2, 0), 0)</f>
        <v>0</v>
      </c>
      <c r="P42" s="10">
        <f>IFERROR(VLOOKUP(K42, 'Duke 4'!$A$3:$B998,2, 0), 0)</f>
        <v>960</v>
      </c>
      <c r="Q42" s="10">
        <f>IFERROR(VLOOKUP(K42, Proof!$A$3:B998,2, 0), 0)</f>
        <v>0</v>
      </c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</row>
    <row r="43">
      <c r="A43" s="1">
        <f t="shared" si="1"/>
        <v>42</v>
      </c>
      <c r="B43" s="7" t="s">
        <v>44</v>
      </c>
      <c r="C43" s="8">
        <f t="shared" si="2"/>
        <v>861</v>
      </c>
      <c r="D43" s="9">
        <f>IFERROR(VLOOKUP(B43, 'Duke 1'!A$3:$B$85,2, 0), 0)</f>
        <v>0</v>
      </c>
      <c r="E43" s="9">
        <f>IFERROR(VLOOKUP(B43, 'Duke 2'!A$3:$B$522,2, 0), 0)</f>
        <v>1500</v>
      </c>
      <c r="F43" s="10">
        <f>IFERROR(VLOOKUP(B43, 'Duke 3'!A$3:$B998,2, 0), 0)</f>
        <v>0</v>
      </c>
      <c r="G43" s="10">
        <f>IFERROR(VLOOKUP(B43, 'Duke 4'!A$3:$B998,2, 0), 0)</f>
        <v>960</v>
      </c>
      <c r="H43" s="10">
        <f>IFERROR(VLOOKUP(B43, Proof!A$2:$B998,2, 0), 0)</f>
        <v>0</v>
      </c>
      <c r="I43" s="12"/>
      <c r="J43" s="12"/>
      <c r="K43" s="7" t="s">
        <v>45</v>
      </c>
      <c r="L43" s="8">
        <f t="shared" si="3"/>
        <v>738</v>
      </c>
      <c r="M43" s="9">
        <f>IFERROR(VLOOKUP(K43, 'Duke 1'!$A$3:$B998,2, 0), 0)</f>
        <v>0</v>
      </c>
      <c r="N43" s="9">
        <f>IFERROR(VLOOKUP(K43, 'Duke 2'!$A$3:$B998,2, 0), 0)</f>
        <v>1500</v>
      </c>
      <c r="O43" s="10">
        <f>IFERROR(VLOOKUP(K43, 'Duke 3'!$A$3:$B998,2, 0), 0)</f>
        <v>0</v>
      </c>
      <c r="P43" s="10">
        <f>IFERROR(VLOOKUP(K43, 'Duke 4'!$A$3:$B998,2, 0), 0)</f>
        <v>960</v>
      </c>
      <c r="Q43" s="10">
        <f>IFERROR(VLOOKUP(K43, Proof!$A$3:B998,2, 0), 0)</f>
        <v>0</v>
      </c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</row>
    <row r="44">
      <c r="A44" s="1">
        <f t="shared" si="1"/>
        <v>43</v>
      </c>
      <c r="B44" s="7" t="s">
        <v>53</v>
      </c>
      <c r="C44" s="8">
        <f t="shared" si="2"/>
        <v>850.6565657</v>
      </c>
      <c r="D44" s="9">
        <f>IFERROR(VLOOKUP(B44, 'Duke 1'!A$3:$B$85,2, 0), 0)</f>
        <v>0</v>
      </c>
      <c r="E44" s="9">
        <f>IFERROR(VLOOKUP(B44, 'Duke 2'!A$3:$B$522,2, 0), 0)</f>
        <v>1500</v>
      </c>
      <c r="F44" s="10">
        <f>IFERROR(VLOOKUP(B44, 'Duke 3'!A$3:$B998,2, 0), 0)</f>
        <v>888.8888889</v>
      </c>
      <c r="G44" s="10">
        <f>IFERROR(VLOOKUP(B44, 'Duke 4'!A$3:$B998,2, 0), 0)</f>
        <v>0</v>
      </c>
      <c r="H44" s="10">
        <f>IFERROR(VLOOKUP(B44, Proof!A$2:$B998,2, 0), 0)</f>
        <v>145.4545455</v>
      </c>
      <c r="I44" s="12"/>
      <c r="J44" s="12"/>
      <c r="K44" s="7" t="s">
        <v>43</v>
      </c>
      <c r="L44" s="8">
        <f t="shared" si="3"/>
        <v>738</v>
      </c>
      <c r="M44" s="9">
        <f>IFERROR(VLOOKUP(K44, 'Duke 1'!$A$3:$B998,2, 0), 0)</f>
        <v>0</v>
      </c>
      <c r="N44" s="9">
        <f>IFERROR(VLOOKUP(K44, 'Duke 2'!$A$3:$B998,2, 0), 0)</f>
        <v>1500</v>
      </c>
      <c r="O44" s="10">
        <f>IFERROR(VLOOKUP(K44, 'Duke 3'!$A$3:$B998,2, 0), 0)</f>
        <v>0</v>
      </c>
      <c r="P44" s="10">
        <f>IFERROR(VLOOKUP(K44, 'Duke 4'!$A$3:$B998,2, 0), 0)</f>
        <v>960</v>
      </c>
      <c r="Q44" s="10">
        <f>IFERROR(VLOOKUP(K44, Proof!$A$3:B998,2, 0), 0)</f>
        <v>0</v>
      </c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</row>
    <row r="45">
      <c r="A45" s="1">
        <f t="shared" si="1"/>
        <v>44</v>
      </c>
      <c r="B45" s="7" t="s">
        <v>51</v>
      </c>
      <c r="C45" s="8">
        <f t="shared" si="2"/>
        <v>836.1111111</v>
      </c>
      <c r="D45" s="9">
        <f>IFERROR(VLOOKUP(B45, 'Duke 1'!A$3:$B$85,2, 0), 0)</f>
        <v>0</v>
      </c>
      <c r="E45" s="9">
        <f>IFERROR(VLOOKUP(B45, 'Duke 2'!A$3:$B$522,2, 0), 0)</f>
        <v>1500</v>
      </c>
      <c r="F45" s="10">
        <f>IFERROR(VLOOKUP(B45, 'Duke 3'!A$3:$B998,2, 0), 0)</f>
        <v>888.8888889</v>
      </c>
      <c r="G45" s="10">
        <f>IFERROR(VLOOKUP(B45, 'Duke 4'!A$3:$B998,2, 0), 0)</f>
        <v>0</v>
      </c>
      <c r="H45" s="10">
        <f>IFERROR(VLOOKUP(B45, Proof!A$2:$B998,2, 0), 0)</f>
        <v>0</v>
      </c>
      <c r="I45" s="12"/>
      <c r="J45" s="12"/>
      <c r="K45" s="7" t="s">
        <v>44</v>
      </c>
      <c r="L45" s="8">
        <f t="shared" si="3"/>
        <v>738</v>
      </c>
      <c r="M45" s="9">
        <f>IFERROR(VLOOKUP(K45, 'Duke 1'!$A$3:$B998,2, 0), 0)</f>
        <v>0</v>
      </c>
      <c r="N45" s="9">
        <f>IFERROR(VLOOKUP(K45, 'Duke 2'!$A$3:$B998,2, 0), 0)</f>
        <v>1500</v>
      </c>
      <c r="O45" s="10">
        <f>IFERROR(VLOOKUP(K45, 'Duke 3'!$A$3:$B998,2, 0), 0)</f>
        <v>0</v>
      </c>
      <c r="P45" s="10">
        <f>IFERROR(VLOOKUP(K45, 'Duke 4'!$A$3:$B998,2, 0), 0)</f>
        <v>960</v>
      </c>
      <c r="Q45" s="10">
        <f>IFERROR(VLOOKUP(K45, Proof!$A$3:B998,2, 0), 0)</f>
        <v>0</v>
      </c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</row>
    <row r="46">
      <c r="A46" s="1">
        <f t="shared" si="1"/>
        <v>45</v>
      </c>
      <c r="B46" s="7" t="s">
        <v>54</v>
      </c>
      <c r="C46" s="8">
        <f t="shared" si="2"/>
        <v>836.1111111</v>
      </c>
      <c r="D46" s="9">
        <f>IFERROR(VLOOKUP(B46, 'Duke 1'!A$3:$B$85,2, 0), 0)</f>
        <v>0</v>
      </c>
      <c r="E46" s="9">
        <f>IFERROR(VLOOKUP(B46, 'Duke 2'!A$3:$B$522,2, 0), 0)</f>
        <v>1500</v>
      </c>
      <c r="F46" s="10">
        <f>IFERROR(VLOOKUP(B46, 'Duke 3'!A$3:$B998,2, 0), 0)</f>
        <v>888.8888889</v>
      </c>
      <c r="G46" s="10">
        <f>IFERROR(VLOOKUP(B46, 'Duke 4'!A$3:$B998,2, 0), 0)</f>
        <v>0</v>
      </c>
      <c r="H46" s="10">
        <f>IFERROR(VLOOKUP(B46, Proof!A$2:$B998,2, 0), 0)</f>
        <v>0</v>
      </c>
      <c r="I46" s="16"/>
      <c r="J46" s="16"/>
      <c r="K46" s="7" t="s">
        <v>51</v>
      </c>
      <c r="L46" s="8">
        <f t="shared" si="3"/>
        <v>716.6666667</v>
      </c>
      <c r="M46" s="9">
        <f>IFERROR(VLOOKUP(K46, 'Duke 1'!$A$3:$B998,2, 0), 0)</f>
        <v>0</v>
      </c>
      <c r="N46" s="9">
        <f>IFERROR(VLOOKUP(K46, 'Duke 2'!$A$3:$B998,2, 0), 0)</f>
        <v>1500</v>
      </c>
      <c r="O46" s="10">
        <f>IFERROR(VLOOKUP(K46, 'Duke 3'!$A$3:$B998,2, 0), 0)</f>
        <v>888.8888889</v>
      </c>
      <c r="P46" s="10">
        <f>IFERROR(VLOOKUP(K46, 'Duke 4'!$A$3:$B998,2, 0), 0)</f>
        <v>0</v>
      </c>
      <c r="Q46" s="10">
        <f>IFERROR(VLOOKUP(K46, Proof!$A$3:B998,2, 0), 0)</f>
        <v>0</v>
      </c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</row>
    <row r="47">
      <c r="A47" s="1">
        <f t="shared" si="1"/>
        <v>46</v>
      </c>
      <c r="B47" s="7" t="s">
        <v>52</v>
      </c>
      <c r="C47" s="8">
        <f t="shared" si="2"/>
        <v>836.1111111</v>
      </c>
      <c r="D47" s="9">
        <f>IFERROR(VLOOKUP(B47, 'Duke 1'!A$3:$B$85,2, 0), 0)</f>
        <v>0</v>
      </c>
      <c r="E47" s="9">
        <f>IFERROR(VLOOKUP(B47, 'Duke 2'!A$3:$B$522,2, 0), 0)</f>
        <v>1500</v>
      </c>
      <c r="F47" s="10">
        <f>IFERROR(VLOOKUP(B47, 'Duke 3'!A$3:$B998,2, 0), 0)</f>
        <v>888.8888889</v>
      </c>
      <c r="G47" s="10">
        <f>IFERROR(VLOOKUP(B47, 'Duke 4'!A$3:$B998,2, 0), 0)</f>
        <v>0</v>
      </c>
      <c r="H47" s="10">
        <f>IFERROR(VLOOKUP(B47, Proof!A$2:$B998,2, 0), 0)</f>
        <v>0</v>
      </c>
      <c r="I47" s="12"/>
      <c r="J47" s="12"/>
      <c r="K47" s="7" t="s">
        <v>54</v>
      </c>
      <c r="L47" s="8">
        <f t="shared" si="3"/>
        <v>716.6666667</v>
      </c>
      <c r="M47" s="9">
        <f>IFERROR(VLOOKUP(K47, 'Duke 1'!$A$3:$B998,2, 0), 0)</f>
        <v>0</v>
      </c>
      <c r="N47" s="9">
        <f>IFERROR(VLOOKUP(K47, 'Duke 2'!$A$3:$B998,2, 0), 0)</f>
        <v>1500</v>
      </c>
      <c r="O47" s="10">
        <f>IFERROR(VLOOKUP(K47, 'Duke 3'!$A$3:$B998,2, 0), 0)</f>
        <v>888.8888889</v>
      </c>
      <c r="P47" s="10">
        <f>IFERROR(VLOOKUP(K47, 'Duke 4'!$A$3:$B998,2, 0), 0)</f>
        <v>0</v>
      </c>
      <c r="Q47" s="10">
        <f>IFERROR(VLOOKUP(K47, Proof!$A$3:B998,2, 0), 0)</f>
        <v>0</v>
      </c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</row>
    <row r="48">
      <c r="A48" s="1">
        <f t="shared" si="1"/>
        <v>47</v>
      </c>
      <c r="B48" s="7" t="s">
        <v>50</v>
      </c>
      <c r="C48" s="8">
        <f t="shared" si="2"/>
        <v>836.1111111</v>
      </c>
      <c r="D48" s="9">
        <f>IFERROR(VLOOKUP(B48, 'Duke 1'!A$3:$B$85,2, 0), 0)</f>
        <v>0</v>
      </c>
      <c r="E48" s="9">
        <f>IFERROR(VLOOKUP(B48, 'Duke 2'!A$3:$B$522,2, 0), 0)</f>
        <v>1500</v>
      </c>
      <c r="F48" s="10">
        <f>IFERROR(VLOOKUP(B48, 'Duke 3'!A$3:$B998,2, 0), 0)</f>
        <v>888.8888889</v>
      </c>
      <c r="G48" s="10">
        <f>IFERROR(VLOOKUP(B48, 'Duke 4'!A$3:$B998,2, 0), 0)</f>
        <v>0</v>
      </c>
      <c r="H48" s="10">
        <f>IFERROR(VLOOKUP(B48, Proof!A$2:$B998,2, 0), 0)</f>
        <v>0</v>
      </c>
      <c r="I48" s="12"/>
      <c r="J48" s="12"/>
      <c r="K48" s="7" t="s">
        <v>52</v>
      </c>
      <c r="L48" s="8">
        <f t="shared" si="3"/>
        <v>716.6666667</v>
      </c>
      <c r="M48" s="9">
        <f>IFERROR(VLOOKUP(K48, 'Duke 1'!$A$3:$B998,2, 0), 0)</f>
        <v>0</v>
      </c>
      <c r="N48" s="9">
        <f>IFERROR(VLOOKUP(K48, 'Duke 2'!$A$3:$B998,2, 0), 0)</f>
        <v>1500</v>
      </c>
      <c r="O48" s="10">
        <f>IFERROR(VLOOKUP(K48, 'Duke 3'!$A$3:$B998,2, 0), 0)</f>
        <v>888.8888889</v>
      </c>
      <c r="P48" s="10">
        <f>IFERROR(VLOOKUP(K48, 'Duke 4'!$A$3:$B998,2, 0), 0)</f>
        <v>0</v>
      </c>
      <c r="Q48" s="10">
        <f>IFERROR(VLOOKUP(K48, Proof!$A$3:B998,2, 0), 0)</f>
        <v>0</v>
      </c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</row>
    <row r="49">
      <c r="A49" s="1">
        <f t="shared" si="1"/>
        <v>48</v>
      </c>
      <c r="B49" s="7" t="s">
        <v>55</v>
      </c>
      <c r="C49" s="8">
        <f t="shared" si="2"/>
        <v>787.9723551</v>
      </c>
      <c r="D49" s="9">
        <f>IFERROR(VLOOKUP(B49, 'Duke 1'!A$3:$B$85,2, 0), 0)</f>
        <v>631.5789474</v>
      </c>
      <c r="E49" s="9">
        <f>IFERROR(VLOOKUP(B49, 'Duke 2'!A$3:$B$522,2, 0), 0)</f>
        <v>0</v>
      </c>
      <c r="F49" s="10">
        <f>IFERROR(VLOOKUP(B49, 'Duke 3'!A$3:$B998,2, 0), 0)</f>
        <v>888.8888889</v>
      </c>
      <c r="G49" s="10">
        <f>IFERROR(VLOOKUP(B49, 'Duke 4'!A$3:$B998,2, 0), 0)</f>
        <v>960</v>
      </c>
      <c r="H49" s="10">
        <f>IFERROR(VLOOKUP(B49, Proof!A$2:$B998,2, 0), 0)</f>
        <v>145.4545455</v>
      </c>
      <c r="I49" s="12"/>
      <c r="J49" s="12"/>
      <c r="K49" s="7" t="s">
        <v>50</v>
      </c>
      <c r="L49" s="8">
        <f t="shared" si="3"/>
        <v>716.6666667</v>
      </c>
      <c r="M49" s="9">
        <f>IFERROR(VLOOKUP(K49, 'Duke 1'!$A$3:$B998,2, 0), 0)</f>
        <v>0</v>
      </c>
      <c r="N49" s="9">
        <f>IFERROR(VLOOKUP(K49, 'Duke 2'!$A$3:$B998,2, 0), 0)</f>
        <v>1500</v>
      </c>
      <c r="O49" s="10">
        <f>IFERROR(VLOOKUP(K49, 'Duke 3'!$A$3:$B998,2, 0), 0)</f>
        <v>888.8888889</v>
      </c>
      <c r="P49" s="10">
        <f>IFERROR(VLOOKUP(K49, 'Duke 4'!$A$3:$B998,2, 0), 0)</f>
        <v>0</v>
      </c>
      <c r="Q49" s="10">
        <f>IFERROR(VLOOKUP(K49, Proof!$A$3:B998,2, 0), 0)</f>
        <v>0</v>
      </c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</row>
    <row r="50">
      <c r="A50" s="1">
        <f t="shared" si="1"/>
        <v>49</v>
      </c>
      <c r="B50" s="7" t="s">
        <v>58</v>
      </c>
      <c r="C50" s="8">
        <f t="shared" si="2"/>
        <v>746.0526316</v>
      </c>
      <c r="D50" s="9">
        <f>IFERROR(VLOOKUP(B50, 'Duke 1'!A$3:$B$85,2, 0), 0)</f>
        <v>631.5789474</v>
      </c>
      <c r="E50" s="9">
        <f>IFERROR(VLOOKUP(B50, 'Duke 2'!A$3:$B$522,2, 0), 0)</f>
        <v>1500</v>
      </c>
      <c r="F50" s="10">
        <f>IFERROR(VLOOKUP(B50, 'Duke 3'!A$3:$B998,2, 0), 0)</f>
        <v>0</v>
      </c>
      <c r="G50" s="10">
        <f>IFERROR(VLOOKUP(B50, 'Duke 4'!A$3:$B998,2, 0), 0)</f>
        <v>0</v>
      </c>
      <c r="H50" s="10">
        <f>IFERROR(VLOOKUP(B50, Proof!A$2:$B998,2, 0), 0)</f>
        <v>0</v>
      </c>
      <c r="I50" s="12"/>
      <c r="J50" s="12"/>
      <c r="K50" s="7" t="s">
        <v>55</v>
      </c>
      <c r="L50" s="8">
        <f t="shared" si="3"/>
        <v>710.0733652</v>
      </c>
      <c r="M50" s="9">
        <f>IFERROR(VLOOKUP(K50, 'Duke 1'!$A$3:$B998,2, 0), 0)</f>
        <v>631.5789474</v>
      </c>
      <c r="N50" s="9">
        <f>IFERROR(VLOOKUP(K50, 'Duke 2'!$A$3:$B998,2, 0), 0)</f>
        <v>0</v>
      </c>
      <c r="O50" s="10">
        <f>IFERROR(VLOOKUP(K50, 'Duke 3'!$A$3:$B998,2, 0), 0)</f>
        <v>888.8888889</v>
      </c>
      <c r="P50" s="10">
        <f>IFERROR(VLOOKUP(K50, 'Duke 4'!$A$3:$B998,2, 0), 0)</f>
        <v>960</v>
      </c>
      <c r="Q50" s="10">
        <f>IFERROR(VLOOKUP(K50, Proof!$A$3:B998,2, 0), 0)</f>
        <v>145.4545455</v>
      </c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</row>
    <row r="51">
      <c r="A51" s="1">
        <f t="shared" si="1"/>
        <v>50</v>
      </c>
      <c r="B51" s="7" t="s">
        <v>57</v>
      </c>
      <c r="C51" s="8">
        <f t="shared" si="2"/>
        <v>746.0526316</v>
      </c>
      <c r="D51" s="9">
        <f>IFERROR(VLOOKUP(B51, 'Duke 1'!A$3:$B$85,2, 0), 0)</f>
        <v>631.5789474</v>
      </c>
      <c r="E51" s="9">
        <f>IFERROR(VLOOKUP(B51, 'Duke 2'!A$3:$B$522,2, 0), 0)</f>
        <v>1500</v>
      </c>
      <c r="F51" s="10">
        <f>IFERROR(VLOOKUP(B51, 'Duke 3'!A$3:$B998,2, 0), 0)</f>
        <v>0</v>
      </c>
      <c r="G51" s="10">
        <f>IFERROR(VLOOKUP(B51, 'Duke 4'!A$3:$B998,2, 0), 0)</f>
        <v>0</v>
      </c>
      <c r="H51" s="10">
        <f>IFERROR(VLOOKUP(B51, Proof!A$2:$B998,2, 0), 0)</f>
        <v>0</v>
      </c>
      <c r="I51" s="12"/>
      <c r="J51" s="12"/>
      <c r="K51" s="7" t="s">
        <v>63</v>
      </c>
      <c r="L51" s="8">
        <f t="shared" si="3"/>
        <v>653.6363636</v>
      </c>
      <c r="M51" s="9">
        <f>IFERROR(VLOOKUP(K51, 'Duke 1'!$A$3:$B998,2, 0), 0)</f>
        <v>0</v>
      </c>
      <c r="N51" s="9">
        <f>IFERROR(VLOOKUP(K51, 'Duke 2'!$A$3:$B998,2, 0), 0)</f>
        <v>1500</v>
      </c>
      <c r="O51" s="10">
        <f>IFERROR(VLOOKUP(K51, 'Duke 3'!$A$3:$B998,2, 0), 0)</f>
        <v>0</v>
      </c>
      <c r="P51" s="10">
        <f>IFERROR(VLOOKUP(K51, 'Duke 4'!$A$3:$B998,2, 0), 0)</f>
        <v>0</v>
      </c>
      <c r="Q51" s="10">
        <f>IFERROR(VLOOKUP(K51, Proof!$A$3:B998,2, 0), 0)</f>
        <v>1018.181818</v>
      </c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</row>
    <row r="52">
      <c r="A52" s="1">
        <f t="shared" si="1"/>
        <v>51</v>
      </c>
      <c r="B52" s="7" t="s">
        <v>59</v>
      </c>
      <c r="C52" s="8">
        <f t="shared" si="2"/>
        <v>746.0526316</v>
      </c>
      <c r="D52" s="9">
        <f>IFERROR(VLOOKUP(B52, 'Duke 1'!A$3:$B$85,2, 0), 0)</f>
        <v>631.5789474</v>
      </c>
      <c r="E52" s="9">
        <f>IFERROR(VLOOKUP(B52, 'Duke 2'!A$3:$B$522,2, 0), 0)</f>
        <v>1500</v>
      </c>
      <c r="F52" s="10">
        <f>IFERROR(VLOOKUP(B52, 'Duke 3'!A$3:$B998,2, 0), 0)</f>
        <v>0</v>
      </c>
      <c r="G52" s="10">
        <f>IFERROR(VLOOKUP(B52, 'Duke 4'!A$3:$B998,2, 0), 0)</f>
        <v>0</v>
      </c>
      <c r="H52" s="10">
        <f>IFERROR(VLOOKUP(B52, Proof!A$2:$B998,2, 0), 0)</f>
        <v>0</v>
      </c>
      <c r="I52" s="12"/>
      <c r="J52" s="12"/>
      <c r="K52" s="7" t="s">
        <v>58</v>
      </c>
      <c r="L52" s="8">
        <f t="shared" si="3"/>
        <v>639.4736842</v>
      </c>
      <c r="M52" s="9">
        <f>IFERROR(VLOOKUP(K52, 'Duke 1'!$A$3:$B998,2, 0), 0)</f>
        <v>631.5789474</v>
      </c>
      <c r="N52" s="9">
        <f>IFERROR(VLOOKUP(K52, 'Duke 2'!$A$3:$B998,2, 0), 0)</f>
        <v>1500</v>
      </c>
      <c r="O52" s="10">
        <f>IFERROR(VLOOKUP(K52, 'Duke 3'!$A$3:$B998,2, 0), 0)</f>
        <v>0</v>
      </c>
      <c r="P52" s="10">
        <f>IFERROR(VLOOKUP(K52, 'Duke 4'!$A$3:$B998,2, 0), 0)</f>
        <v>0</v>
      </c>
      <c r="Q52" s="10">
        <f>IFERROR(VLOOKUP(K52, Proof!$A$3:B998,2, 0), 0)</f>
        <v>0</v>
      </c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</row>
    <row r="53">
      <c r="A53" s="1">
        <f t="shared" si="1"/>
        <v>52</v>
      </c>
      <c r="B53" s="7" t="s">
        <v>56</v>
      </c>
      <c r="C53" s="8">
        <f t="shared" si="2"/>
        <v>746.0526316</v>
      </c>
      <c r="D53" s="9">
        <f>IFERROR(VLOOKUP(B53, 'Duke 1'!A$3:$B$85,2, 0), 0)</f>
        <v>631.5789474</v>
      </c>
      <c r="E53" s="9">
        <f>IFERROR(VLOOKUP(B53, 'Duke 2'!A$3:$B$522,2, 0), 0)</f>
        <v>1500</v>
      </c>
      <c r="F53" s="10">
        <f>IFERROR(VLOOKUP(B53, 'Duke 3'!A$3:$B998,2, 0), 0)</f>
        <v>0</v>
      </c>
      <c r="G53" s="10">
        <f>IFERROR(VLOOKUP(B53, 'Duke 4'!A$3:$B998,2, 0), 0)</f>
        <v>0</v>
      </c>
      <c r="H53" s="10">
        <f>IFERROR(VLOOKUP(B53, Proof!A$2:$B998,2, 0), 0)</f>
        <v>0</v>
      </c>
      <c r="I53" s="12"/>
      <c r="J53" s="12"/>
      <c r="K53" s="7" t="s">
        <v>57</v>
      </c>
      <c r="L53" s="8">
        <f t="shared" si="3"/>
        <v>639.4736842</v>
      </c>
      <c r="M53" s="9">
        <f>IFERROR(VLOOKUP(K53, 'Duke 1'!$A$3:$B998,2, 0), 0)</f>
        <v>631.5789474</v>
      </c>
      <c r="N53" s="9">
        <f>IFERROR(VLOOKUP(K53, 'Duke 2'!$A$3:$B998,2, 0), 0)</f>
        <v>1500</v>
      </c>
      <c r="O53" s="10">
        <f>IFERROR(VLOOKUP(K53, 'Duke 3'!$A$3:$B998,2, 0), 0)</f>
        <v>0</v>
      </c>
      <c r="P53" s="10">
        <f>IFERROR(VLOOKUP(K53, 'Duke 4'!$A$3:$B998,2, 0), 0)</f>
        <v>0</v>
      </c>
      <c r="Q53" s="10">
        <f>IFERROR(VLOOKUP(K53, Proof!$A$3:B998,2, 0), 0)</f>
        <v>0</v>
      </c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</row>
    <row r="54">
      <c r="A54" s="1">
        <f t="shared" si="1"/>
        <v>53</v>
      </c>
      <c r="B54" s="7" t="s">
        <v>63</v>
      </c>
      <c r="C54" s="8">
        <f t="shared" si="2"/>
        <v>626.8181818</v>
      </c>
      <c r="D54" s="9">
        <f>IFERROR(VLOOKUP(B54, 'Duke 1'!A$3:$B$85,2, 0), 0)</f>
        <v>0</v>
      </c>
      <c r="E54" s="9">
        <f>IFERROR(VLOOKUP(B54, 'Duke 2'!A$3:$B$522,2, 0), 0)</f>
        <v>1500</v>
      </c>
      <c r="F54" s="10">
        <f>IFERROR(VLOOKUP(B54, 'Duke 3'!A$3:$B998,2, 0), 0)</f>
        <v>0</v>
      </c>
      <c r="G54" s="10">
        <f>IFERROR(VLOOKUP(B54, 'Duke 4'!A$3:$B998,2, 0), 0)</f>
        <v>0</v>
      </c>
      <c r="H54" s="10">
        <f>IFERROR(VLOOKUP(B54, Proof!A$2:$B998,2, 0), 0)</f>
        <v>1018.181818</v>
      </c>
      <c r="I54" s="16"/>
      <c r="J54" s="16"/>
      <c r="K54" s="7" t="s">
        <v>59</v>
      </c>
      <c r="L54" s="8">
        <f t="shared" si="3"/>
        <v>639.4736842</v>
      </c>
      <c r="M54" s="9">
        <f>IFERROR(VLOOKUP(K54, 'Duke 1'!$A$3:$B998,2, 0), 0)</f>
        <v>631.5789474</v>
      </c>
      <c r="N54" s="9">
        <f>IFERROR(VLOOKUP(K54, 'Duke 2'!$A$3:$B998,2, 0), 0)</f>
        <v>1500</v>
      </c>
      <c r="O54" s="10">
        <f>IFERROR(VLOOKUP(K54, 'Duke 3'!$A$3:$B998,2, 0), 0)</f>
        <v>0</v>
      </c>
      <c r="P54" s="10">
        <f>IFERROR(VLOOKUP(K54, 'Duke 4'!$A$3:$B998,2, 0), 0)</f>
        <v>0</v>
      </c>
      <c r="Q54" s="10">
        <f>IFERROR(VLOOKUP(K54, Proof!$A$3:B998,2, 0), 0)</f>
        <v>0</v>
      </c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</row>
    <row r="55">
      <c r="A55" s="1">
        <f t="shared" si="1"/>
        <v>54</v>
      </c>
      <c r="B55" s="7" t="s">
        <v>61</v>
      </c>
      <c r="C55" s="8">
        <f t="shared" si="2"/>
        <v>557.0526316</v>
      </c>
      <c r="D55" s="9">
        <f>IFERROR(VLOOKUP(B55, 'Duke 1'!A$3:$B$85,2, 0), 0)</f>
        <v>631.5789474</v>
      </c>
      <c r="E55" s="9">
        <f>IFERROR(VLOOKUP(B55, 'Duke 2'!A$3:$B$522,2, 0), 0)</f>
        <v>0</v>
      </c>
      <c r="F55" s="10">
        <f>IFERROR(VLOOKUP(B55, 'Duke 3'!A$3:$B998,2, 0), 0)</f>
        <v>0</v>
      </c>
      <c r="G55" s="10">
        <f>IFERROR(VLOOKUP(B55, 'Duke 4'!A$3:$B998,2, 0), 0)</f>
        <v>960</v>
      </c>
      <c r="H55" s="10">
        <f>IFERROR(VLOOKUP(B55, Proof!A$2:$B998,2, 0), 0)</f>
        <v>0</v>
      </c>
      <c r="I55" s="12"/>
      <c r="J55" s="12"/>
      <c r="K55" s="7" t="s">
        <v>56</v>
      </c>
      <c r="L55" s="8">
        <f t="shared" si="3"/>
        <v>639.4736842</v>
      </c>
      <c r="M55" s="9">
        <f>IFERROR(VLOOKUP(K55, 'Duke 1'!$A$3:$B998,2, 0), 0)</f>
        <v>631.5789474</v>
      </c>
      <c r="N55" s="9">
        <f>IFERROR(VLOOKUP(K55, 'Duke 2'!$A$3:$B998,2, 0), 0)</f>
        <v>1500</v>
      </c>
      <c r="O55" s="10">
        <f>IFERROR(VLOOKUP(K55, 'Duke 3'!$A$3:$B998,2, 0), 0)</f>
        <v>0</v>
      </c>
      <c r="P55" s="10">
        <f>IFERROR(VLOOKUP(K55, 'Duke 4'!$A$3:$B998,2, 0), 0)</f>
        <v>0</v>
      </c>
      <c r="Q55" s="10">
        <f>IFERROR(VLOOKUP(K55, Proof!$A$3:B998,2, 0), 0)</f>
        <v>0</v>
      </c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</row>
    <row r="56">
      <c r="A56" s="1">
        <f t="shared" si="1"/>
        <v>55</v>
      </c>
      <c r="B56" s="7" t="s">
        <v>62</v>
      </c>
      <c r="C56" s="8">
        <f t="shared" si="2"/>
        <v>539.5454545</v>
      </c>
      <c r="D56" s="9">
        <f>IFERROR(VLOOKUP(B56, 'Duke 1'!A$3:$B$85,2, 0), 0)</f>
        <v>0</v>
      </c>
      <c r="E56" s="9">
        <f>IFERROR(VLOOKUP(B56, 'Duke 2'!A$3:$B$522,2, 0), 0)</f>
        <v>1500</v>
      </c>
      <c r="F56" s="10">
        <f>IFERROR(VLOOKUP(B56, 'Duke 3'!A$3:$B998,2, 0), 0)</f>
        <v>0</v>
      </c>
      <c r="G56" s="10">
        <f>IFERROR(VLOOKUP(B56, 'Duke 4'!A$3:$B998,2, 0), 0)</f>
        <v>0</v>
      </c>
      <c r="H56" s="10">
        <f>IFERROR(VLOOKUP(B56, Proof!A$2:$B998,2, 0), 0)</f>
        <v>145.4545455</v>
      </c>
      <c r="I56" s="12"/>
      <c r="J56" s="12"/>
      <c r="K56" s="7" t="s">
        <v>62</v>
      </c>
      <c r="L56" s="8">
        <f t="shared" si="3"/>
        <v>479.0909091</v>
      </c>
      <c r="M56" s="9">
        <f>IFERROR(VLOOKUP(K56, 'Duke 1'!$A$3:$B998,2, 0), 0)</f>
        <v>0</v>
      </c>
      <c r="N56" s="9">
        <f>IFERROR(VLOOKUP(K56, 'Duke 2'!$A$3:$B998,2, 0), 0)</f>
        <v>1500</v>
      </c>
      <c r="O56" s="10">
        <f>IFERROR(VLOOKUP(K56, 'Duke 3'!$A$3:$B998,2, 0), 0)</f>
        <v>0</v>
      </c>
      <c r="P56" s="10">
        <f>IFERROR(VLOOKUP(K56, 'Duke 4'!$A$3:$B998,2, 0), 0)</f>
        <v>0</v>
      </c>
      <c r="Q56" s="10">
        <f>IFERROR(VLOOKUP(K56, Proof!$A$3:B998,2, 0), 0)</f>
        <v>145.4545455</v>
      </c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</row>
    <row r="57">
      <c r="A57" s="1">
        <f t="shared" si="1"/>
        <v>56</v>
      </c>
      <c r="B57" s="7" t="s">
        <v>73</v>
      </c>
      <c r="C57" s="8">
        <f t="shared" si="2"/>
        <v>525</v>
      </c>
      <c r="D57" s="9">
        <f>IFERROR(VLOOKUP(B57, 'Duke 1'!A$3:$B$85,2, 0), 0)</f>
        <v>0</v>
      </c>
      <c r="E57" s="9">
        <f>IFERROR(VLOOKUP(B57, 'Duke 2'!A$3:$B$522,2, 0), 0)</f>
        <v>1500</v>
      </c>
      <c r="F57" s="10">
        <f>IFERROR(VLOOKUP(B57, 'Duke 3'!A$3:$B998,2, 0), 0)</f>
        <v>0</v>
      </c>
      <c r="G57" s="10">
        <f>IFERROR(VLOOKUP(B57, 'Duke 4'!A$3:$B998,2, 0), 0)</f>
        <v>0</v>
      </c>
      <c r="H57" s="10">
        <f>IFERROR(VLOOKUP(B57, Proof!A$2:$B998,2, 0), 0)</f>
        <v>0</v>
      </c>
      <c r="I57" s="12"/>
      <c r="J57" s="12"/>
      <c r="K57" s="7" t="s">
        <v>61</v>
      </c>
      <c r="L57" s="8">
        <f t="shared" si="3"/>
        <v>477.4736842</v>
      </c>
      <c r="M57" s="9">
        <f>IFERROR(VLOOKUP(K57, 'Duke 1'!$A$3:$B998,2, 0), 0)</f>
        <v>631.5789474</v>
      </c>
      <c r="N57" s="9">
        <f>IFERROR(VLOOKUP(K57, 'Duke 2'!$A$3:$B998,2, 0), 0)</f>
        <v>0</v>
      </c>
      <c r="O57" s="10">
        <f>IFERROR(VLOOKUP(K57, 'Duke 3'!$A$3:$B998,2, 0), 0)</f>
        <v>0</v>
      </c>
      <c r="P57" s="10">
        <f>IFERROR(VLOOKUP(K57, 'Duke 4'!$A$3:$B998,2, 0), 0)</f>
        <v>960</v>
      </c>
      <c r="Q57" s="10">
        <f>IFERROR(VLOOKUP(K57, Proof!$A$3:B998,2, 0), 0)</f>
        <v>0</v>
      </c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</row>
    <row r="58">
      <c r="A58" s="1">
        <f t="shared" si="1"/>
        <v>57</v>
      </c>
      <c r="B58" s="7" t="s">
        <v>78</v>
      </c>
      <c r="C58" s="8">
        <f t="shared" si="2"/>
        <v>525</v>
      </c>
      <c r="D58" s="9">
        <f>IFERROR(VLOOKUP(B58, 'Duke 1'!A$3:$B$85,2, 0), 0)</f>
        <v>0</v>
      </c>
      <c r="E58" s="9">
        <f>IFERROR(VLOOKUP(B58, 'Duke 2'!A$3:$B$522,2, 0), 0)</f>
        <v>1500</v>
      </c>
      <c r="F58" s="10">
        <f>IFERROR(VLOOKUP(B58, 'Duke 3'!A$3:$B998,2, 0), 0)</f>
        <v>0</v>
      </c>
      <c r="G58" s="10">
        <f>IFERROR(VLOOKUP(B58, 'Duke 4'!A$3:$B998,2, 0), 0)</f>
        <v>0</v>
      </c>
      <c r="H58" s="10">
        <f>IFERROR(VLOOKUP(B58, Proof!A$2:$B998,2, 0), 0)</f>
        <v>0</v>
      </c>
      <c r="I58" s="12"/>
      <c r="J58" s="12"/>
      <c r="K58" s="7" t="s">
        <v>73</v>
      </c>
      <c r="L58" s="8">
        <f t="shared" si="3"/>
        <v>450</v>
      </c>
      <c r="M58" s="9">
        <f>IFERROR(VLOOKUP(K58, 'Duke 1'!$A$3:$B998,2, 0), 0)</f>
        <v>0</v>
      </c>
      <c r="N58" s="9">
        <f>IFERROR(VLOOKUP(K58, 'Duke 2'!$A$3:$B998,2, 0), 0)</f>
        <v>1500</v>
      </c>
      <c r="O58" s="10">
        <f>IFERROR(VLOOKUP(K58, 'Duke 3'!$A$3:$B998,2, 0), 0)</f>
        <v>0</v>
      </c>
      <c r="P58" s="10">
        <f>IFERROR(VLOOKUP(K58, 'Duke 4'!$A$3:$B998,2, 0), 0)</f>
        <v>0</v>
      </c>
      <c r="Q58" s="10">
        <f>IFERROR(VLOOKUP(K58, Proof!$A$3:B998,2, 0), 0)</f>
        <v>0</v>
      </c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</row>
    <row r="59">
      <c r="A59" s="1">
        <f t="shared" si="1"/>
        <v>58</v>
      </c>
      <c r="B59" s="7" t="s">
        <v>79</v>
      </c>
      <c r="C59" s="8">
        <f t="shared" si="2"/>
        <v>525</v>
      </c>
      <c r="D59" s="9">
        <f>IFERROR(VLOOKUP(B59, 'Duke 1'!A$3:$B$85,2, 0), 0)</f>
        <v>0</v>
      </c>
      <c r="E59" s="9">
        <f>IFERROR(VLOOKUP(B59, 'Duke 2'!A$3:$B$522,2, 0), 0)</f>
        <v>1500</v>
      </c>
      <c r="F59" s="10">
        <f>IFERROR(VLOOKUP(B59, 'Duke 3'!A$3:$B998,2, 0), 0)</f>
        <v>0</v>
      </c>
      <c r="G59" s="10">
        <f>IFERROR(VLOOKUP(B59, 'Duke 4'!A$3:$B998,2, 0), 0)</f>
        <v>0</v>
      </c>
      <c r="H59" s="10">
        <f>IFERROR(VLOOKUP(B59, Proof!A$2:$B998,2, 0), 0)</f>
        <v>0</v>
      </c>
      <c r="I59" s="12"/>
      <c r="J59" s="12"/>
      <c r="K59" s="7" t="s">
        <v>78</v>
      </c>
      <c r="L59" s="8">
        <f t="shared" si="3"/>
        <v>450</v>
      </c>
      <c r="M59" s="9">
        <f>IFERROR(VLOOKUP(K59, 'Duke 1'!$A$3:$B998,2, 0), 0)</f>
        <v>0</v>
      </c>
      <c r="N59" s="9">
        <f>IFERROR(VLOOKUP(K59, 'Duke 2'!$A$3:$B998,2, 0), 0)</f>
        <v>1500</v>
      </c>
      <c r="O59" s="10">
        <f>IFERROR(VLOOKUP(K59, 'Duke 3'!$A$3:$B998,2, 0), 0)</f>
        <v>0</v>
      </c>
      <c r="P59" s="10">
        <f>IFERROR(VLOOKUP(K59, 'Duke 4'!$A$3:$B998,2, 0), 0)</f>
        <v>0</v>
      </c>
      <c r="Q59" s="10">
        <f>IFERROR(VLOOKUP(K59, Proof!$A$3:B998,2, 0), 0)</f>
        <v>0</v>
      </c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</row>
    <row r="60">
      <c r="A60" s="1">
        <f t="shared" si="1"/>
        <v>59</v>
      </c>
      <c r="B60" s="7" t="s">
        <v>77</v>
      </c>
      <c r="C60" s="8">
        <f t="shared" si="2"/>
        <v>525</v>
      </c>
      <c r="D60" s="9">
        <f>IFERROR(VLOOKUP(B60, 'Duke 1'!A$3:$B$85,2, 0), 0)</f>
        <v>0</v>
      </c>
      <c r="E60" s="9">
        <f>IFERROR(VLOOKUP(B60, 'Duke 2'!A$3:$B$522,2, 0), 0)</f>
        <v>1500</v>
      </c>
      <c r="F60" s="10">
        <f>IFERROR(VLOOKUP(B60, 'Duke 3'!A$3:$B998,2, 0), 0)</f>
        <v>0</v>
      </c>
      <c r="G60" s="10">
        <f>IFERROR(VLOOKUP(B60, 'Duke 4'!A$3:$B998,2, 0), 0)</f>
        <v>0</v>
      </c>
      <c r="H60" s="10">
        <f>IFERROR(VLOOKUP(B60, Proof!A$2:$B998,2, 0), 0)</f>
        <v>0</v>
      </c>
      <c r="I60" s="12"/>
      <c r="J60" s="12"/>
      <c r="K60" s="7" t="s">
        <v>79</v>
      </c>
      <c r="L60" s="8">
        <f t="shared" si="3"/>
        <v>450</v>
      </c>
      <c r="M60" s="9">
        <f>IFERROR(VLOOKUP(K60, 'Duke 1'!$A$3:$B998,2, 0), 0)</f>
        <v>0</v>
      </c>
      <c r="N60" s="9">
        <f>IFERROR(VLOOKUP(K60, 'Duke 2'!$A$3:$B998,2, 0), 0)</f>
        <v>1500</v>
      </c>
      <c r="O60" s="10">
        <f>IFERROR(VLOOKUP(K60, 'Duke 3'!$A$3:$B998,2, 0), 0)</f>
        <v>0</v>
      </c>
      <c r="P60" s="10">
        <f>IFERROR(VLOOKUP(K60, 'Duke 4'!$A$3:$B998,2, 0), 0)</f>
        <v>0</v>
      </c>
      <c r="Q60" s="10">
        <f>IFERROR(VLOOKUP(K60, Proof!$A$3:B998,2, 0), 0)</f>
        <v>0</v>
      </c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</row>
    <row r="61">
      <c r="A61" s="1">
        <f t="shared" si="1"/>
        <v>60</v>
      </c>
      <c r="B61" s="7" t="s">
        <v>84</v>
      </c>
      <c r="C61" s="8">
        <f t="shared" si="2"/>
        <v>525</v>
      </c>
      <c r="D61" s="9">
        <f>IFERROR(VLOOKUP(B61, 'Duke 1'!A$3:$B$85,2, 0), 0)</f>
        <v>0</v>
      </c>
      <c r="E61" s="9">
        <f>IFERROR(VLOOKUP(B61, 'Duke 2'!A$3:$B$522,2, 0), 0)</f>
        <v>1500</v>
      </c>
      <c r="F61" s="10">
        <f>IFERROR(VLOOKUP(B61, 'Duke 3'!A$3:$B998,2, 0), 0)</f>
        <v>0</v>
      </c>
      <c r="G61" s="10">
        <f>IFERROR(VLOOKUP(B61, 'Duke 4'!A$3:$B998,2, 0), 0)</f>
        <v>0</v>
      </c>
      <c r="H61" s="10">
        <f>IFERROR(VLOOKUP(B61, Proof!A$2:$B998,2, 0), 0)</f>
        <v>0</v>
      </c>
      <c r="I61" s="12"/>
      <c r="J61" s="12"/>
      <c r="K61" s="7" t="s">
        <v>77</v>
      </c>
      <c r="L61" s="8">
        <f t="shared" si="3"/>
        <v>450</v>
      </c>
      <c r="M61" s="9">
        <f>IFERROR(VLOOKUP(K61, 'Duke 1'!$A$3:$B998,2, 0), 0)</f>
        <v>0</v>
      </c>
      <c r="N61" s="9">
        <f>IFERROR(VLOOKUP(K61, 'Duke 2'!$A$3:$B998,2, 0), 0)</f>
        <v>1500</v>
      </c>
      <c r="O61" s="10">
        <f>IFERROR(VLOOKUP(K61, 'Duke 3'!$A$3:$B998,2, 0), 0)</f>
        <v>0</v>
      </c>
      <c r="P61" s="10">
        <f>IFERROR(VLOOKUP(K61, 'Duke 4'!$A$3:$B998,2, 0), 0)</f>
        <v>0</v>
      </c>
      <c r="Q61" s="10">
        <f>IFERROR(VLOOKUP(K61, Proof!$A$3:B998,2, 0), 0)</f>
        <v>0</v>
      </c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</row>
    <row r="62">
      <c r="A62" s="1">
        <f t="shared" si="1"/>
        <v>61</v>
      </c>
      <c r="B62" s="7" t="s">
        <v>83</v>
      </c>
      <c r="C62" s="8">
        <f t="shared" si="2"/>
        <v>525</v>
      </c>
      <c r="D62" s="9">
        <f>IFERROR(VLOOKUP(B62, 'Duke 1'!A$3:$B$85,2, 0), 0)</f>
        <v>0</v>
      </c>
      <c r="E62" s="9">
        <f>IFERROR(VLOOKUP(B62, 'Duke 2'!A$3:$B$522,2, 0), 0)</f>
        <v>1500</v>
      </c>
      <c r="F62" s="10">
        <f>IFERROR(VLOOKUP(B62, 'Duke 3'!A$3:$B998,2, 0), 0)</f>
        <v>0</v>
      </c>
      <c r="G62" s="10">
        <f>IFERROR(VLOOKUP(B62, 'Duke 4'!A$3:$B998,2, 0), 0)</f>
        <v>0</v>
      </c>
      <c r="H62" s="10">
        <f>IFERROR(VLOOKUP(B62, Proof!A$2:$B998,2, 0), 0)</f>
        <v>0</v>
      </c>
      <c r="I62" s="12"/>
      <c r="J62" s="12"/>
      <c r="K62" s="7" t="s">
        <v>84</v>
      </c>
      <c r="L62" s="8">
        <f t="shared" si="3"/>
        <v>450</v>
      </c>
      <c r="M62" s="9">
        <f>IFERROR(VLOOKUP(K62, 'Duke 1'!$A$3:$B998,2, 0), 0)</f>
        <v>0</v>
      </c>
      <c r="N62" s="9">
        <f>IFERROR(VLOOKUP(K62, 'Duke 2'!$A$3:$B998,2, 0), 0)</f>
        <v>1500</v>
      </c>
      <c r="O62" s="10">
        <f>IFERROR(VLOOKUP(K62, 'Duke 3'!$A$3:$B998,2, 0), 0)</f>
        <v>0</v>
      </c>
      <c r="P62" s="10">
        <f>IFERROR(VLOOKUP(K62, 'Duke 4'!$A$3:$B998,2, 0), 0)</f>
        <v>0</v>
      </c>
      <c r="Q62" s="10">
        <f>IFERROR(VLOOKUP(K62, Proof!$A$3:B998,2, 0), 0)</f>
        <v>0</v>
      </c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</row>
    <row r="63">
      <c r="A63" s="1">
        <f t="shared" si="1"/>
        <v>62</v>
      </c>
      <c r="B63" s="7" t="s">
        <v>69</v>
      </c>
      <c r="C63" s="8">
        <f t="shared" si="2"/>
        <v>525</v>
      </c>
      <c r="D63" s="9">
        <f>IFERROR(VLOOKUP(B63, 'Duke 1'!A$3:$B$85,2, 0), 0)</f>
        <v>0</v>
      </c>
      <c r="E63" s="9">
        <f>IFERROR(VLOOKUP(B63, 'Duke 2'!A$3:$B$522,2, 0), 0)</f>
        <v>1500</v>
      </c>
      <c r="F63" s="10">
        <f>IFERROR(VLOOKUP(B63, 'Duke 3'!A$3:$B998,2, 0), 0)</f>
        <v>0</v>
      </c>
      <c r="G63" s="10">
        <f>IFERROR(VLOOKUP(B63, 'Duke 4'!A$3:$B998,2, 0), 0)</f>
        <v>0</v>
      </c>
      <c r="H63" s="10">
        <f>IFERROR(VLOOKUP(B63, Proof!A$2:$B998,2, 0), 0)</f>
        <v>0</v>
      </c>
      <c r="I63" s="12"/>
      <c r="J63" s="12"/>
      <c r="K63" s="7" t="s">
        <v>83</v>
      </c>
      <c r="L63" s="8">
        <f t="shared" si="3"/>
        <v>450</v>
      </c>
      <c r="M63" s="9">
        <f>IFERROR(VLOOKUP(K63, 'Duke 1'!$A$3:$B998,2, 0), 0)</f>
        <v>0</v>
      </c>
      <c r="N63" s="9">
        <f>IFERROR(VLOOKUP(K63, 'Duke 2'!$A$3:$B998,2, 0), 0)</f>
        <v>1500</v>
      </c>
      <c r="O63" s="10">
        <f>IFERROR(VLOOKUP(K63, 'Duke 3'!$A$3:$B998,2, 0), 0)</f>
        <v>0</v>
      </c>
      <c r="P63" s="10">
        <f>IFERROR(VLOOKUP(K63, 'Duke 4'!$A$3:$B998,2, 0), 0)</f>
        <v>0</v>
      </c>
      <c r="Q63" s="10">
        <f>IFERROR(VLOOKUP(K63, Proof!$A$3:B998,2, 0), 0)</f>
        <v>0</v>
      </c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</row>
    <row r="64">
      <c r="A64" s="1">
        <f t="shared" si="1"/>
        <v>63</v>
      </c>
      <c r="B64" s="7" t="s">
        <v>74</v>
      </c>
      <c r="C64" s="8">
        <f t="shared" si="2"/>
        <v>525</v>
      </c>
      <c r="D64" s="9">
        <f>IFERROR(VLOOKUP(B64, 'Duke 1'!A$3:$B$85,2, 0), 0)</f>
        <v>0</v>
      </c>
      <c r="E64" s="9">
        <f>IFERROR(VLOOKUP(B64, 'Duke 2'!A$3:$B$522,2, 0), 0)</f>
        <v>1500</v>
      </c>
      <c r="F64" s="10">
        <f>IFERROR(VLOOKUP(B64, 'Duke 3'!A$3:$B998,2, 0), 0)</f>
        <v>0</v>
      </c>
      <c r="G64" s="10">
        <f>IFERROR(VLOOKUP(B64, 'Duke 4'!A$3:$B998,2, 0), 0)</f>
        <v>0</v>
      </c>
      <c r="H64" s="10">
        <f>IFERROR(VLOOKUP(B64, Proof!A$2:$B998,2, 0), 0)</f>
        <v>0</v>
      </c>
      <c r="I64" s="12"/>
      <c r="J64" s="12"/>
      <c r="K64" s="7" t="s">
        <v>69</v>
      </c>
      <c r="L64" s="8">
        <f t="shared" si="3"/>
        <v>450</v>
      </c>
      <c r="M64" s="9">
        <f>IFERROR(VLOOKUP(K64, 'Duke 1'!$A$3:$B998,2, 0), 0)</f>
        <v>0</v>
      </c>
      <c r="N64" s="9">
        <f>IFERROR(VLOOKUP(K64, 'Duke 2'!$A$3:$B998,2, 0), 0)</f>
        <v>1500</v>
      </c>
      <c r="O64" s="10">
        <f>IFERROR(VLOOKUP(K64, 'Duke 3'!$A$3:$B998,2, 0), 0)</f>
        <v>0</v>
      </c>
      <c r="P64" s="10">
        <f>IFERROR(VLOOKUP(K64, 'Duke 4'!$A$3:$B998,2, 0), 0)</f>
        <v>0</v>
      </c>
      <c r="Q64" s="10">
        <f>IFERROR(VLOOKUP(K64, Proof!$A$3:B998,2, 0), 0)</f>
        <v>0</v>
      </c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</row>
    <row r="65">
      <c r="A65" s="1">
        <f t="shared" si="1"/>
        <v>64</v>
      </c>
      <c r="B65" s="7" t="s">
        <v>66</v>
      </c>
      <c r="C65" s="8">
        <f t="shared" si="2"/>
        <v>525</v>
      </c>
      <c r="D65" s="9">
        <f>IFERROR(VLOOKUP(B65, 'Duke 1'!A$3:$B$85,2, 0), 0)</f>
        <v>0</v>
      </c>
      <c r="E65" s="9">
        <f>IFERROR(VLOOKUP(B65, 'Duke 2'!A$3:$B$522,2, 0), 0)</f>
        <v>1500</v>
      </c>
      <c r="F65" s="10">
        <f>IFERROR(VLOOKUP(B65, 'Duke 3'!A$3:$B998,2, 0), 0)</f>
        <v>0</v>
      </c>
      <c r="G65" s="10">
        <f>IFERROR(VLOOKUP(B65, 'Duke 4'!A$3:$B998,2, 0), 0)</f>
        <v>0</v>
      </c>
      <c r="H65" s="10">
        <f>IFERROR(VLOOKUP(B65, Proof!A$2:$B998,2, 0), 0)</f>
        <v>0</v>
      </c>
      <c r="I65" s="6"/>
      <c r="J65" s="6"/>
      <c r="K65" s="7" t="s">
        <v>74</v>
      </c>
      <c r="L65" s="8">
        <f t="shared" si="3"/>
        <v>450</v>
      </c>
      <c r="M65" s="9">
        <f>IFERROR(VLOOKUP(K65, 'Duke 1'!$A$3:$B998,2, 0), 0)</f>
        <v>0</v>
      </c>
      <c r="N65" s="9">
        <f>IFERROR(VLOOKUP(K65, 'Duke 2'!$A$3:$B998,2, 0), 0)</f>
        <v>1500</v>
      </c>
      <c r="O65" s="10">
        <f>IFERROR(VLOOKUP(K65, 'Duke 3'!$A$3:$B998,2, 0), 0)</f>
        <v>0</v>
      </c>
      <c r="P65" s="10">
        <f>IFERROR(VLOOKUP(K65, 'Duke 4'!$A$3:$B998,2, 0), 0)</f>
        <v>0</v>
      </c>
      <c r="Q65" s="10">
        <f>IFERROR(VLOOKUP(K65, Proof!$A$3:B998,2, 0), 0)</f>
        <v>0</v>
      </c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>
      <c r="A66" s="1">
        <f t="shared" si="1"/>
        <v>65</v>
      </c>
      <c r="B66" s="7" t="s">
        <v>82</v>
      </c>
      <c r="C66" s="8">
        <f t="shared" si="2"/>
        <v>525</v>
      </c>
      <c r="D66" s="9">
        <f>IFERROR(VLOOKUP(B66, 'Duke 1'!A$3:$B$85,2, 0), 0)</f>
        <v>0</v>
      </c>
      <c r="E66" s="9">
        <f>IFERROR(VLOOKUP(B66, 'Duke 2'!A$3:$B$522,2, 0), 0)</f>
        <v>1500</v>
      </c>
      <c r="F66" s="10">
        <f>IFERROR(VLOOKUP(B66, 'Duke 3'!A$3:$B998,2, 0), 0)</f>
        <v>0</v>
      </c>
      <c r="G66" s="10">
        <f>IFERROR(VLOOKUP(B66, 'Duke 4'!A$3:$B998,2, 0), 0)</f>
        <v>0</v>
      </c>
      <c r="H66" s="10">
        <f>IFERROR(VLOOKUP(B66, Proof!A$2:$B998,2, 0), 0)</f>
        <v>0</v>
      </c>
      <c r="I66" s="12"/>
      <c r="J66" s="12"/>
      <c r="K66" s="7" t="s">
        <v>66</v>
      </c>
      <c r="L66" s="8">
        <f t="shared" si="3"/>
        <v>450</v>
      </c>
      <c r="M66" s="9">
        <f>IFERROR(VLOOKUP(K66, 'Duke 1'!$A$3:$B998,2, 0), 0)</f>
        <v>0</v>
      </c>
      <c r="N66" s="9">
        <f>IFERROR(VLOOKUP(K66, 'Duke 2'!$A$3:$B998,2, 0), 0)</f>
        <v>1500</v>
      </c>
      <c r="O66" s="10">
        <f>IFERROR(VLOOKUP(K66, 'Duke 3'!$A$3:$B998,2, 0), 0)</f>
        <v>0</v>
      </c>
      <c r="P66" s="10">
        <f>IFERROR(VLOOKUP(K66, 'Duke 4'!$A$3:$B998,2, 0), 0)</f>
        <v>0</v>
      </c>
      <c r="Q66" s="10">
        <f>IFERROR(VLOOKUP(K66, Proof!$A$3:B998,2, 0), 0)</f>
        <v>0</v>
      </c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</row>
    <row r="67">
      <c r="A67" s="1">
        <f t="shared" si="1"/>
        <v>66</v>
      </c>
      <c r="B67" s="7" t="s">
        <v>85</v>
      </c>
      <c r="C67" s="8">
        <f t="shared" si="2"/>
        <v>525</v>
      </c>
      <c r="D67" s="9">
        <f>IFERROR(VLOOKUP(B67, 'Duke 1'!A$3:$B$85,2, 0), 0)</f>
        <v>0</v>
      </c>
      <c r="E67" s="9">
        <f>IFERROR(VLOOKUP(B67, 'Duke 2'!A$3:$B$522,2, 0), 0)</f>
        <v>1500</v>
      </c>
      <c r="F67" s="10">
        <f>IFERROR(VLOOKUP(B67, 'Duke 3'!A$3:$B998,2, 0), 0)</f>
        <v>0</v>
      </c>
      <c r="G67" s="10">
        <f>IFERROR(VLOOKUP(B67, 'Duke 4'!A$3:$B998,2, 0), 0)</f>
        <v>0</v>
      </c>
      <c r="H67" s="10">
        <f>IFERROR(VLOOKUP(B67, Proof!A$2:$B998,2, 0), 0)</f>
        <v>0</v>
      </c>
      <c r="I67" s="12"/>
      <c r="J67" s="12"/>
      <c r="K67" s="7" t="s">
        <v>82</v>
      </c>
      <c r="L67" s="8">
        <f t="shared" si="3"/>
        <v>450</v>
      </c>
      <c r="M67" s="9">
        <f>IFERROR(VLOOKUP(K67, 'Duke 1'!$A$3:$B998,2, 0), 0)</f>
        <v>0</v>
      </c>
      <c r="N67" s="9">
        <f>IFERROR(VLOOKUP(K67, 'Duke 2'!$A$3:$B998,2, 0), 0)</f>
        <v>1500</v>
      </c>
      <c r="O67" s="10">
        <f>IFERROR(VLOOKUP(K67, 'Duke 3'!$A$3:$B998,2, 0), 0)</f>
        <v>0</v>
      </c>
      <c r="P67" s="10">
        <f>IFERROR(VLOOKUP(K67, 'Duke 4'!$A$3:$B998,2, 0), 0)</f>
        <v>0</v>
      </c>
      <c r="Q67" s="10">
        <f>IFERROR(VLOOKUP(K67, Proof!$A$3:B998,2, 0), 0)</f>
        <v>0</v>
      </c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</row>
    <row r="68">
      <c r="A68" s="1">
        <f t="shared" si="1"/>
        <v>67</v>
      </c>
      <c r="B68" s="7" t="s">
        <v>76</v>
      </c>
      <c r="C68" s="8">
        <f t="shared" si="2"/>
        <v>525</v>
      </c>
      <c r="D68" s="9">
        <f>IFERROR(VLOOKUP(B68, 'Duke 1'!A$3:$B$85,2, 0), 0)</f>
        <v>0</v>
      </c>
      <c r="E68" s="9">
        <f>IFERROR(VLOOKUP(B68, 'Duke 2'!A$3:$B$522,2, 0), 0)</f>
        <v>1500</v>
      </c>
      <c r="F68" s="10">
        <f>IFERROR(VLOOKUP(B68, 'Duke 3'!A$3:$B998,2, 0), 0)</f>
        <v>0</v>
      </c>
      <c r="G68" s="10">
        <f>IFERROR(VLOOKUP(B68, 'Duke 4'!A$3:$B998,2, 0), 0)</f>
        <v>0</v>
      </c>
      <c r="H68" s="10">
        <f>IFERROR(VLOOKUP(B68, Proof!A$2:$B998,2, 0), 0)</f>
        <v>0</v>
      </c>
      <c r="I68" s="6"/>
      <c r="J68" s="6"/>
      <c r="K68" s="7" t="s">
        <v>85</v>
      </c>
      <c r="L68" s="8">
        <f t="shared" si="3"/>
        <v>450</v>
      </c>
      <c r="M68" s="9">
        <f>IFERROR(VLOOKUP(K68, 'Duke 1'!$A$3:$B998,2, 0), 0)</f>
        <v>0</v>
      </c>
      <c r="N68" s="9">
        <f>IFERROR(VLOOKUP(K68, 'Duke 2'!$A$3:$B998,2, 0), 0)</f>
        <v>1500</v>
      </c>
      <c r="O68" s="10">
        <f>IFERROR(VLOOKUP(K68, 'Duke 3'!$A$3:$B998,2, 0), 0)</f>
        <v>0</v>
      </c>
      <c r="P68" s="10">
        <f>IFERROR(VLOOKUP(K68, 'Duke 4'!$A$3:$B998,2, 0), 0)</f>
        <v>0</v>
      </c>
      <c r="Q68" s="10">
        <f>IFERROR(VLOOKUP(K68, Proof!$A$3:B998,2, 0), 0)</f>
        <v>0</v>
      </c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>
      <c r="A69" s="1">
        <f t="shared" si="1"/>
        <v>68</v>
      </c>
      <c r="B69" s="7" t="s">
        <v>72</v>
      </c>
      <c r="C69" s="8">
        <f t="shared" si="2"/>
        <v>525</v>
      </c>
      <c r="D69" s="9">
        <f>IFERROR(VLOOKUP(B69, 'Duke 1'!A$3:$B$85,2, 0), 0)</f>
        <v>0</v>
      </c>
      <c r="E69" s="9">
        <f>IFERROR(VLOOKUP(B69, 'Duke 2'!A$3:$B$522,2, 0), 0)</f>
        <v>1500</v>
      </c>
      <c r="F69" s="10">
        <f>IFERROR(VLOOKUP(B69, 'Duke 3'!A$3:$B998,2, 0), 0)</f>
        <v>0</v>
      </c>
      <c r="G69" s="10">
        <f>IFERROR(VLOOKUP(B69, 'Duke 4'!A$3:$B998,2, 0), 0)</f>
        <v>0</v>
      </c>
      <c r="H69" s="10">
        <f>IFERROR(VLOOKUP(B69, Proof!A$2:$B998,2, 0), 0)</f>
        <v>0</v>
      </c>
      <c r="I69" s="6"/>
      <c r="J69" s="6"/>
      <c r="K69" s="7" t="s">
        <v>76</v>
      </c>
      <c r="L69" s="8">
        <f t="shared" si="3"/>
        <v>450</v>
      </c>
      <c r="M69" s="9">
        <f>IFERROR(VLOOKUP(K69, 'Duke 1'!$A$3:$B998,2, 0), 0)</f>
        <v>0</v>
      </c>
      <c r="N69" s="9">
        <f>IFERROR(VLOOKUP(K69, 'Duke 2'!$A$3:$B998,2, 0), 0)</f>
        <v>1500</v>
      </c>
      <c r="O69" s="10">
        <f>IFERROR(VLOOKUP(K69, 'Duke 3'!$A$3:$B998,2, 0), 0)</f>
        <v>0</v>
      </c>
      <c r="P69" s="10">
        <f>IFERROR(VLOOKUP(K69, 'Duke 4'!$A$3:$B998,2, 0), 0)</f>
        <v>0</v>
      </c>
      <c r="Q69" s="10">
        <f>IFERROR(VLOOKUP(K69, Proof!$A$3:B998,2, 0), 0)</f>
        <v>0</v>
      </c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>
      <c r="A70" s="1">
        <f t="shared" si="1"/>
        <v>69</v>
      </c>
      <c r="B70" s="7" t="s">
        <v>71</v>
      </c>
      <c r="C70" s="8">
        <f t="shared" si="2"/>
        <v>525</v>
      </c>
      <c r="D70" s="9">
        <f>IFERROR(VLOOKUP(B70, 'Duke 1'!A$3:$B$85,2, 0), 0)</f>
        <v>0</v>
      </c>
      <c r="E70" s="9">
        <f>IFERROR(VLOOKUP(B70, 'Duke 2'!A$3:$B$522,2, 0), 0)</f>
        <v>1500</v>
      </c>
      <c r="F70" s="10">
        <f>IFERROR(VLOOKUP(B70, 'Duke 3'!A$3:$B998,2, 0), 0)</f>
        <v>0</v>
      </c>
      <c r="G70" s="10">
        <f>IFERROR(VLOOKUP(B70, 'Duke 4'!A$3:$B998,2, 0), 0)</f>
        <v>0</v>
      </c>
      <c r="H70" s="10">
        <f>IFERROR(VLOOKUP(B70, Proof!A$2:$B998,2, 0), 0)</f>
        <v>0</v>
      </c>
      <c r="I70" s="6"/>
      <c r="J70" s="6"/>
      <c r="K70" s="7" t="s">
        <v>72</v>
      </c>
      <c r="L70" s="8">
        <f t="shared" si="3"/>
        <v>450</v>
      </c>
      <c r="M70" s="9">
        <f>IFERROR(VLOOKUP(K70, 'Duke 1'!$A$3:$B998,2, 0), 0)</f>
        <v>0</v>
      </c>
      <c r="N70" s="9">
        <f>IFERROR(VLOOKUP(K70, 'Duke 2'!$A$3:$B998,2, 0), 0)</f>
        <v>1500</v>
      </c>
      <c r="O70" s="10">
        <f>IFERROR(VLOOKUP(K70, 'Duke 3'!$A$3:$B998,2, 0), 0)</f>
        <v>0</v>
      </c>
      <c r="P70" s="10">
        <f>IFERROR(VLOOKUP(K70, 'Duke 4'!$A$3:$B998,2, 0), 0)</f>
        <v>0</v>
      </c>
      <c r="Q70" s="10">
        <f>IFERROR(VLOOKUP(K70, Proof!$A$3:B998,2, 0), 0)</f>
        <v>0</v>
      </c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>
      <c r="A71" s="1">
        <f t="shared" si="1"/>
        <v>70</v>
      </c>
      <c r="B71" s="7" t="s">
        <v>80</v>
      </c>
      <c r="C71" s="8">
        <f t="shared" si="2"/>
        <v>525</v>
      </c>
      <c r="D71" s="9">
        <f>IFERROR(VLOOKUP(B71, 'Duke 1'!A$3:$B$85,2, 0), 0)</f>
        <v>0</v>
      </c>
      <c r="E71" s="9">
        <f>IFERROR(VLOOKUP(B71, 'Duke 2'!A$3:$B$522,2, 0), 0)</f>
        <v>1500</v>
      </c>
      <c r="F71" s="10">
        <f>IFERROR(VLOOKUP(B71, 'Duke 3'!A$3:$B998,2, 0), 0)</f>
        <v>0</v>
      </c>
      <c r="G71" s="10">
        <f>IFERROR(VLOOKUP(B71, 'Duke 4'!A$3:$B998,2, 0), 0)</f>
        <v>0</v>
      </c>
      <c r="H71" s="10">
        <f>IFERROR(VLOOKUP(B71, Proof!A$2:$B998,2, 0), 0)</f>
        <v>0</v>
      </c>
      <c r="I71" s="6"/>
      <c r="J71" s="6"/>
      <c r="K71" s="7" t="s">
        <v>71</v>
      </c>
      <c r="L71" s="8">
        <f t="shared" si="3"/>
        <v>450</v>
      </c>
      <c r="M71" s="9">
        <f>IFERROR(VLOOKUP(K71, 'Duke 1'!$A$3:$B998,2, 0), 0)</f>
        <v>0</v>
      </c>
      <c r="N71" s="9">
        <f>IFERROR(VLOOKUP(K71, 'Duke 2'!$A$3:$B998,2, 0), 0)</f>
        <v>1500</v>
      </c>
      <c r="O71" s="10">
        <f>IFERROR(VLOOKUP(K71, 'Duke 3'!$A$3:$B998,2, 0), 0)</f>
        <v>0</v>
      </c>
      <c r="P71" s="10">
        <f>IFERROR(VLOOKUP(K71, 'Duke 4'!$A$3:$B998,2, 0), 0)</f>
        <v>0</v>
      </c>
      <c r="Q71" s="10">
        <f>IFERROR(VLOOKUP(K71, Proof!$A$3:B998,2, 0), 0)</f>
        <v>0</v>
      </c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>
      <c r="A72" s="1">
        <f t="shared" si="1"/>
        <v>71</v>
      </c>
      <c r="B72" s="7" t="s">
        <v>70</v>
      </c>
      <c r="C72" s="8">
        <f t="shared" si="2"/>
        <v>525</v>
      </c>
      <c r="D72" s="9">
        <f>IFERROR(VLOOKUP(B72, 'Duke 1'!A$3:$B$85,2, 0), 0)</f>
        <v>0</v>
      </c>
      <c r="E72" s="9">
        <f>IFERROR(VLOOKUP(B72, 'Duke 2'!A$3:$B$522,2, 0), 0)</f>
        <v>1500</v>
      </c>
      <c r="F72" s="10">
        <f>IFERROR(VLOOKUP(B72, 'Duke 3'!A$3:$B998,2, 0), 0)</f>
        <v>0</v>
      </c>
      <c r="G72" s="10">
        <f>IFERROR(VLOOKUP(B72, 'Duke 4'!A$3:$B998,2, 0), 0)</f>
        <v>0</v>
      </c>
      <c r="H72" s="10">
        <f>IFERROR(VLOOKUP(B72, Proof!A$2:$B998,2, 0), 0)</f>
        <v>0</v>
      </c>
      <c r="I72" s="6"/>
      <c r="J72" s="6"/>
      <c r="K72" s="7" t="s">
        <v>80</v>
      </c>
      <c r="L72" s="8">
        <f t="shared" si="3"/>
        <v>450</v>
      </c>
      <c r="M72" s="9">
        <f>IFERROR(VLOOKUP(K72, 'Duke 1'!$A$3:$B998,2, 0), 0)</f>
        <v>0</v>
      </c>
      <c r="N72" s="9">
        <f>IFERROR(VLOOKUP(K72, 'Duke 2'!$A$3:$B998,2, 0), 0)</f>
        <v>1500</v>
      </c>
      <c r="O72" s="10">
        <f>IFERROR(VLOOKUP(K72, 'Duke 3'!$A$3:$B998,2, 0), 0)</f>
        <v>0</v>
      </c>
      <c r="P72" s="10">
        <f>IFERROR(VLOOKUP(K72, 'Duke 4'!$A$3:$B998,2, 0), 0)</f>
        <v>0</v>
      </c>
      <c r="Q72" s="10">
        <f>IFERROR(VLOOKUP(K72, Proof!$A$3:B998,2, 0), 0)</f>
        <v>0</v>
      </c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>
      <c r="A73" s="1">
        <f t="shared" si="1"/>
        <v>72</v>
      </c>
      <c r="B73" s="7" t="s">
        <v>67</v>
      </c>
      <c r="C73" s="8">
        <f t="shared" si="2"/>
        <v>525</v>
      </c>
      <c r="D73" s="9">
        <f>IFERROR(VLOOKUP(B73, 'Duke 1'!A$3:$B$85,2, 0), 0)</f>
        <v>0</v>
      </c>
      <c r="E73" s="9">
        <f>IFERROR(VLOOKUP(B73, 'Duke 2'!A$3:$B$522,2, 0), 0)</f>
        <v>1500</v>
      </c>
      <c r="F73" s="10">
        <f>IFERROR(VLOOKUP(B73, 'Duke 3'!A$3:$B998,2, 0), 0)</f>
        <v>0</v>
      </c>
      <c r="G73" s="10">
        <f>IFERROR(VLOOKUP(B73, 'Duke 4'!A$3:$B998,2, 0), 0)</f>
        <v>0</v>
      </c>
      <c r="H73" s="10">
        <f>IFERROR(VLOOKUP(B73, Proof!A$2:$B998,2, 0), 0)</f>
        <v>0</v>
      </c>
      <c r="I73" s="6"/>
      <c r="J73" s="6"/>
      <c r="K73" s="7" t="s">
        <v>70</v>
      </c>
      <c r="L73" s="8">
        <f t="shared" si="3"/>
        <v>450</v>
      </c>
      <c r="M73" s="9">
        <f>IFERROR(VLOOKUP(K73, 'Duke 1'!$A$3:$B998,2, 0), 0)</f>
        <v>0</v>
      </c>
      <c r="N73" s="9">
        <f>IFERROR(VLOOKUP(K73, 'Duke 2'!$A$3:$B998,2, 0), 0)</f>
        <v>1500</v>
      </c>
      <c r="O73" s="10">
        <f>IFERROR(VLOOKUP(K73, 'Duke 3'!$A$3:$B998,2, 0), 0)</f>
        <v>0</v>
      </c>
      <c r="P73" s="10">
        <f>IFERROR(VLOOKUP(K73, 'Duke 4'!$A$3:$B998,2, 0), 0)</f>
        <v>0</v>
      </c>
      <c r="Q73" s="10">
        <f>IFERROR(VLOOKUP(K73, Proof!$A$3:B998,2, 0), 0)</f>
        <v>0</v>
      </c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>
      <c r="A74" s="1">
        <f t="shared" si="1"/>
        <v>73</v>
      </c>
      <c r="B74" s="7" t="s">
        <v>64</v>
      </c>
      <c r="C74" s="8">
        <f t="shared" si="2"/>
        <v>525</v>
      </c>
      <c r="D74" s="9">
        <f>IFERROR(VLOOKUP(B74, 'Duke 1'!A$3:$B$85,2, 0), 0)</f>
        <v>0</v>
      </c>
      <c r="E74" s="9">
        <f>IFERROR(VLOOKUP(B74, 'Duke 2'!A$3:$B$522,2, 0), 0)</f>
        <v>1500</v>
      </c>
      <c r="F74" s="10">
        <f>IFERROR(VLOOKUP(B74, 'Duke 3'!A$3:$B998,2, 0), 0)</f>
        <v>0</v>
      </c>
      <c r="G74" s="10">
        <f>IFERROR(VLOOKUP(B74, 'Duke 4'!A$3:$B998,2, 0), 0)</f>
        <v>0</v>
      </c>
      <c r="H74" s="10">
        <f>IFERROR(VLOOKUP(B74, Proof!A$2:$B998,2, 0), 0)</f>
        <v>0</v>
      </c>
      <c r="I74" s="12"/>
      <c r="J74" s="12"/>
      <c r="K74" s="7" t="s">
        <v>67</v>
      </c>
      <c r="L74" s="8">
        <f t="shared" si="3"/>
        <v>450</v>
      </c>
      <c r="M74" s="9">
        <f>IFERROR(VLOOKUP(K74, 'Duke 1'!$A$3:$B998,2, 0), 0)</f>
        <v>0</v>
      </c>
      <c r="N74" s="9">
        <f>IFERROR(VLOOKUP(K74, 'Duke 2'!$A$3:$B998,2, 0), 0)</f>
        <v>1500</v>
      </c>
      <c r="O74" s="10">
        <f>IFERROR(VLOOKUP(K74, 'Duke 3'!$A$3:$B998,2, 0), 0)</f>
        <v>0</v>
      </c>
      <c r="P74" s="10">
        <f>IFERROR(VLOOKUP(K74, 'Duke 4'!$A$3:$B998,2, 0), 0)</f>
        <v>0</v>
      </c>
      <c r="Q74" s="10">
        <f>IFERROR(VLOOKUP(K74, Proof!$A$3:B998,2, 0), 0)</f>
        <v>0</v>
      </c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</row>
    <row r="75">
      <c r="A75" s="1">
        <f t="shared" si="1"/>
        <v>74</v>
      </c>
      <c r="B75" s="7" t="s">
        <v>75</v>
      </c>
      <c r="C75" s="8">
        <f t="shared" si="2"/>
        <v>525</v>
      </c>
      <c r="D75" s="9">
        <f>IFERROR(VLOOKUP(B75, 'Duke 1'!A$3:$B$85,2, 0), 0)</f>
        <v>0</v>
      </c>
      <c r="E75" s="9">
        <f>IFERROR(VLOOKUP(B75, 'Duke 2'!A$3:$B$522,2, 0), 0)</f>
        <v>1500</v>
      </c>
      <c r="F75" s="10">
        <f>IFERROR(VLOOKUP(B75, 'Duke 3'!A$3:$B998,2, 0), 0)</f>
        <v>0</v>
      </c>
      <c r="G75" s="10">
        <f>IFERROR(VLOOKUP(B75, 'Duke 4'!A$3:$B998,2, 0), 0)</f>
        <v>0</v>
      </c>
      <c r="H75" s="10">
        <f>IFERROR(VLOOKUP(B75, Proof!A$2:$B998,2, 0), 0)</f>
        <v>0</v>
      </c>
      <c r="I75" s="12"/>
      <c r="J75" s="12"/>
      <c r="K75" s="7" t="s">
        <v>64</v>
      </c>
      <c r="L75" s="8">
        <f t="shared" si="3"/>
        <v>450</v>
      </c>
      <c r="M75" s="9">
        <f>IFERROR(VLOOKUP(K75, 'Duke 1'!$A$3:$B998,2, 0), 0)</f>
        <v>0</v>
      </c>
      <c r="N75" s="9">
        <f>IFERROR(VLOOKUP(K75, 'Duke 2'!$A$3:$B998,2, 0), 0)</f>
        <v>1500</v>
      </c>
      <c r="O75" s="10">
        <f>IFERROR(VLOOKUP(K75, 'Duke 3'!$A$3:$B998,2, 0), 0)</f>
        <v>0</v>
      </c>
      <c r="P75" s="10">
        <f>IFERROR(VLOOKUP(K75, 'Duke 4'!$A$3:$B998,2, 0), 0)</f>
        <v>0</v>
      </c>
      <c r="Q75" s="10">
        <f>IFERROR(VLOOKUP(K75, Proof!$A$3:B998,2, 0), 0)</f>
        <v>0</v>
      </c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</row>
    <row r="76">
      <c r="A76" s="1">
        <f t="shared" si="1"/>
        <v>75</v>
      </c>
      <c r="B76" s="7" t="s">
        <v>81</v>
      </c>
      <c r="C76" s="8">
        <f t="shared" si="2"/>
        <v>525</v>
      </c>
      <c r="D76" s="9">
        <f>IFERROR(VLOOKUP(B76, 'Duke 1'!A$3:$B$85,2, 0), 0)</f>
        <v>0</v>
      </c>
      <c r="E76" s="9">
        <f>IFERROR(VLOOKUP(B76, 'Duke 2'!A$3:$B$522,2, 0), 0)</f>
        <v>1500</v>
      </c>
      <c r="F76" s="10">
        <f>IFERROR(VLOOKUP(B76, 'Duke 3'!A$3:$B998,2, 0), 0)</f>
        <v>0</v>
      </c>
      <c r="G76" s="10">
        <f>IFERROR(VLOOKUP(B76, 'Duke 4'!A$3:$B998,2, 0), 0)</f>
        <v>0</v>
      </c>
      <c r="H76" s="10">
        <f>IFERROR(VLOOKUP(B76, Proof!A$2:$B998,2, 0), 0)</f>
        <v>0</v>
      </c>
      <c r="I76" s="12"/>
      <c r="J76" s="12"/>
      <c r="K76" s="7" t="s">
        <v>75</v>
      </c>
      <c r="L76" s="8">
        <f t="shared" si="3"/>
        <v>450</v>
      </c>
      <c r="M76" s="9">
        <f>IFERROR(VLOOKUP(K76, 'Duke 1'!$A$3:$B998,2, 0), 0)</f>
        <v>0</v>
      </c>
      <c r="N76" s="9">
        <f>IFERROR(VLOOKUP(K76, 'Duke 2'!$A$3:$B998,2, 0), 0)</f>
        <v>1500</v>
      </c>
      <c r="O76" s="10">
        <f>IFERROR(VLOOKUP(K76, 'Duke 3'!$A$3:$B998,2, 0), 0)</f>
        <v>0</v>
      </c>
      <c r="P76" s="10">
        <f>IFERROR(VLOOKUP(K76, 'Duke 4'!$A$3:$B998,2, 0), 0)</f>
        <v>0</v>
      </c>
      <c r="Q76" s="10">
        <f>IFERROR(VLOOKUP(K76, Proof!$A$3:B998,2, 0), 0)</f>
        <v>0</v>
      </c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</row>
    <row r="77">
      <c r="A77" s="1">
        <f t="shared" si="1"/>
        <v>76</v>
      </c>
      <c r="B77" s="7" t="s">
        <v>68</v>
      </c>
      <c r="C77" s="8">
        <f t="shared" si="2"/>
        <v>525</v>
      </c>
      <c r="D77" s="9">
        <f>IFERROR(VLOOKUP(B77, 'Duke 1'!A$3:$B$85,2, 0), 0)</f>
        <v>0</v>
      </c>
      <c r="E77" s="9">
        <f>IFERROR(VLOOKUP(B77, 'Duke 2'!A$3:$B$522,2, 0), 0)</f>
        <v>1500</v>
      </c>
      <c r="F77" s="10">
        <f>IFERROR(VLOOKUP(B77, 'Duke 3'!A$3:$B998,2, 0), 0)</f>
        <v>0</v>
      </c>
      <c r="G77" s="10">
        <f>IFERROR(VLOOKUP(B77, 'Duke 4'!A$3:$B998,2, 0), 0)</f>
        <v>0</v>
      </c>
      <c r="H77" s="10">
        <f>IFERROR(VLOOKUP(B77, Proof!A$2:$B998,2, 0), 0)</f>
        <v>0</v>
      </c>
      <c r="I77" s="12"/>
      <c r="J77" s="12"/>
      <c r="K77" s="7" t="s">
        <v>81</v>
      </c>
      <c r="L77" s="8">
        <f t="shared" si="3"/>
        <v>450</v>
      </c>
      <c r="M77" s="9">
        <f>IFERROR(VLOOKUP(K77, 'Duke 1'!$A$3:$B998,2, 0), 0)</f>
        <v>0</v>
      </c>
      <c r="N77" s="9">
        <f>IFERROR(VLOOKUP(K77, 'Duke 2'!$A$3:$B998,2, 0), 0)</f>
        <v>1500</v>
      </c>
      <c r="O77" s="10">
        <f>IFERROR(VLOOKUP(K77, 'Duke 3'!$A$3:$B998,2, 0), 0)</f>
        <v>0</v>
      </c>
      <c r="P77" s="10">
        <f>IFERROR(VLOOKUP(K77, 'Duke 4'!$A$3:$B998,2, 0), 0)</f>
        <v>0</v>
      </c>
      <c r="Q77" s="10">
        <f>IFERROR(VLOOKUP(K77, Proof!$A$3:B998,2, 0), 0)</f>
        <v>0</v>
      </c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</row>
    <row r="78">
      <c r="A78" s="1">
        <f t="shared" si="1"/>
        <v>77</v>
      </c>
      <c r="B78" s="7" t="s">
        <v>65</v>
      </c>
      <c r="C78" s="8">
        <f t="shared" si="2"/>
        <v>525</v>
      </c>
      <c r="D78" s="9">
        <f>IFERROR(VLOOKUP(B78, 'Duke 1'!A$3:$B$85,2, 0), 0)</f>
        <v>0</v>
      </c>
      <c r="E78" s="9">
        <f>IFERROR(VLOOKUP(B78, 'Duke 2'!A$3:$B$522,2, 0), 0)</f>
        <v>1500</v>
      </c>
      <c r="F78" s="10">
        <f>IFERROR(VLOOKUP(B78, 'Duke 3'!A$3:$B998,2, 0), 0)</f>
        <v>0</v>
      </c>
      <c r="G78" s="10">
        <f>IFERROR(VLOOKUP(B78, 'Duke 4'!A$3:$B998,2, 0), 0)</f>
        <v>0</v>
      </c>
      <c r="H78" s="10">
        <f>IFERROR(VLOOKUP(B78, Proof!A$2:$B998,2, 0), 0)</f>
        <v>0</v>
      </c>
      <c r="I78" s="12"/>
      <c r="J78" s="12"/>
      <c r="K78" s="7" t="s">
        <v>68</v>
      </c>
      <c r="L78" s="8">
        <f t="shared" si="3"/>
        <v>450</v>
      </c>
      <c r="M78" s="9">
        <f>IFERROR(VLOOKUP(K78, 'Duke 1'!$A$3:$B998,2, 0), 0)</f>
        <v>0</v>
      </c>
      <c r="N78" s="9">
        <f>IFERROR(VLOOKUP(K78, 'Duke 2'!$A$3:$B998,2, 0), 0)</f>
        <v>1500</v>
      </c>
      <c r="O78" s="10">
        <f>IFERROR(VLOOKUP(K78, 'Duke 3'!$A$3:$B998,2, 0), 0)</f>
        <v>0</v>
      </c>
      <c r="P78" s="10">
        <f>IFERROR(VLOOKUP(K78, 'Duke 4'!$A$3:$B998,2, 0), 0)</f>
        <v>0</v>
      </c>
      <c r="Q78" s="10">
        <f>IFERROR(VLOOKUP(K78, Proof!$A$3:B998,2, 0), 0)</f>
        <v>0</v>
      </c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</row>
    <row r="79">
      <c r="A79" s="1">
        <f t="shared" si="1"/>
        <v>78</v>
      </c>
      <c r="B79" s="7" t="s">
        <v>92</v>
      </c>
      <c r="C79" s="8">
        <f t="shared" si="2"/>
        <v>407.2727273</v>
      </c>
      <c r="D79" s="9">
        <f>IFERROR(VLOOKUP(B79, 'Duke 1'!A$3:$B$85,2, 0), 0)</f>
        <v>0</v>
      </c>
      <c r="E79" s="9">
        <f>IFERROR(VLOOKUP(B79, 'Duke 2'!A$3:$B$522,2, 0), 0)</f>
        <v>0</v>
      </c>
      <c r="F79" s="10">
        <f>IFERROR(VLOOKUP(B79, 'Duke 3'!A$3:$B998,2, 0), 0)</f>
        <v>0</v>
      </c>
      <c r="G79" s="10">
        <f>IFERROR(VLOOKUP(B79, 'Duke 4'!A$3:$B998,2, 0), 0)</f>
        <v>0</v>
      </c>
      <c r="H79" s="10">
        <f>IFERROR(VLOOKUP(B79, Proof!A$2:$B998,2, 0), 0)</f>
        <v>4072.727273</v>
      </c>
      <c r="I79" s="12"/>
      <c r="J79" s="12"/>
      <c r="K79" s="7" t="s">
        <v>65</v>
      </c>
      <c r="L79" s="8">
        <f t="shared" si="3"/>
        <v>450</v>
      </c>
      <c r="M79" s="9">
        <f>IFERROR(VLOOKUP(K79, 'Duke 1'!$A$3:$B998,2, 0), 0)</f>
        <v>0</v>
      </c>
      <c r="N79" s="9">
        <f>IFERROR(VLOOKUP(K79, 'Duke 2'!$A$3:$B998,2, 0), 0)</f>
        <v>1500</v>
      </c>
      <c r="O79" s="10">
        <f>IFERROR(VLOOKUP(K79, 'Duke 3'!$A$3:$B998,2, 0), 0)</f>
        <v>0</v>
      </c>
      <c r="P79" s="10">
        <f>IFERROR(VLOOKUP(K79, 'Duke 4'!$A$3:$B998,2, 0), 0)</f>
        <v>0</v>
      </c>
      <c r="Q79" s="10">
        <f>IFERROR(VLOOKUP(K79, Proof!$A$3:B998,2, 0), 0)</f>
        <v>0</v>
      </c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</row>
    <row r="80">
      <c r="A80" s="1">
        <f t="shared" si="1"/>
        <v>79</v>
      </c>
      <c r="B80" s="7" t="s">
        <v>86</v>
      </c>
      <c r="C80" s="8">
        <f t="shared" si="2"/>
        <v>336</v>
      </c>
      <c r="D80" s="9">
        <f>IFERROR(VLOOKUP(B80, 'Duke 1'!A$3:$B$85,2, 0), 0)</f>
        <v>0</v>
      </c>
      <c r="E80" s="9">
        <f>IFERROR(VLOOKUP(B80, 'Duke 2'!A$3:$B$522,2, 0), 0)</f>
        <v>0</v>
      </c>
      <c r="F80" s="10">
        <f>IFERROR(VLOOKUP(B80, 'Duke 3'!A$3:$B998,2, 0), 0)</f>
        <v>0</v>
      </c>
      <c r="G80" s="10">
        <f>IFERROR(VLOOKUP(B80, 'Duke 4'!A$3:$B998,2, 0), 0)</f>
        <v>960</v>
      </c>
      <c r="H80" s="10">
        <f>IFERROR(VLOOKUP(B80, Proof!A$2:$B998,2, 0), 0)</f>
        <v>0</v>
      </c>
      <c r="I80" s="12"/>
      <c r="J80" s="12"/>
      <c r="K80" s="7" t="s">
        <v>431</v>
      </c>
      <c r="L80" s="8">
        <f t="shared" si="3"/>
        <v>378.1818182</v>
      </c>
      <c r="M80" s="9">
        <f>IFERROR(VLOOKUP(K80, 'Duke 1'!$A$3:$B998,2, 0), 0)</f>
        <v>0</v>
      </c>
      <c r="N80" s="9">
        <f>IFERROR(VLOOKUP(K80, 'Duke 2'!$A$3:$B998,2, 0), 0)</f>
        <v>0</v>
      </c>
      <c r="O80" s="10">
        <f>IFERROR(VLOOKUP(K80, 'Duke 3'!$A$3:$B998,2, 0), 0)</f>
        <v>0</v>
      </c>
      <c r="P80" s="10">
        <f>IFERROR(VLOOKUP(K80, 'Duke 4'!$A$3:$B998,2, 0), 0)</f>
        <v>0</v>
      </c>
      <c r="Q80" s="10">
        <f>IFERROR(VLOOKUP(K80, Proof!$A$3:B998,2, 0), 0)</f>
        <v>1890.909091</v>
      </c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</row>
    <row r="81">
      <c r="A81" s="1">
        <f t="shared" si="1"/>
        <v>80</v>
      </c>
      <c r="B81" s="7" t="s">
        <v>87</v>
      </c>
      <c r="C81" s="8">
        <f t="shared" si="2"/>
        <v>221.0526316</v>
      </c>
      <c r="D81" s="9">
        <f>IFERROR(VLOOKUP(B81, 'Duke 1'!A$3:$B$85,2, 0), 0)</f>
        <v>631.5789474</v>
      </c>
      <c r="E81" s="9">
        <f>IFERROR(VLOOKUP(B81, 'Duke 2'!A$3:$B$522,2, 0), 0)</f>
        <v>0</v>
      </c>
      <c r="F81" s="10">
        <f>IFERROR(VLOOKUP(B81, 'Duke 3'!A$3:$B998,2, 0), 0)</f>
        <v>0</v>
      </c>
      <c r="G81" s="10">
        <f>IFERROR(VLOOKUP(B81, 'Duke 4'!A$3:$B998,2, 0), 0)</f>
        <v>0</v>
      </c>
      <c r="H81" s="10">
        <f>IFERROR(VLOOKUP(B81, Proof!A$2:$B998,2, 0), 0)</f>
        <v>0</v>
      </c>
      <c r="I81" s="12"/>
      <c r="J81" s="12"/>
      <c r="K81" s="7" t="s">
        <v>86</v>
      </c>
      <c r="L81" s="8">
        <f t="shared" si="3"/>
        <v>288</v>
      </c>
      <c r="M81" s="9">
        <f>IFERROR(VLOOKUP(K81, 'Duke 1'!$A$3:$B998,2, 0), 0)</f>
        <v>0</v>
      </c>
      <c r="N81" s="9">
        <f>IFERROR(VLOOKUP(K81, 'Duke 2'!$A$3:$B998,2, 0), 0)</f>
        <v>0</v>
      </c>
      <c r="O81" s="10">
        <f>IFERROR(VLOOKUP(K81, 'Duke 3'!$A$3:$B998,2, 0), 0)</f>
        <v>0</v>
      </c>
      <c r="P81" s="10">
        <f>IFERROR(VLOOKUP(K81, 'Duke 4'!$A$3:$B998,2, 0), 0)</f>
        <v>960</v>
      </c>
      <c r="Q81" s="10">
        <f>IFERROR(VLOOKUP(K81, Proof!$A$3:B998,2, 0), 0)</f>
        <v>0</v>
      </c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</row>
    <row r="82">
      <c r="A82" s="1">
        <f t="shared" si="1"/>
        <v>81</v>
      </c>
      <c r="B82" s="7" t="s">
        <v>431</v>
      </c>
      <c r="C82" s="8">
        <f t="shared" si="2"/>
        <v>189.0909091</v>
      </c>
      <c r="D82" s="9">
        <f>IFERROR(VLOOKUP(B82, 'Duke 1'!A$3:$B$85,2, 0), 0)</f>
        <v>0</v>
      </c>
      <c r="E82" s="9">
        <f>IFERROR(VLOOKUP(B82, 'Duke 2'!A$3:$B$522,2, 0), 0)</f>
        <v>0</v>
      </c>
      <c r="F82" s="10">
        <f>IFERROR(VLOOKUP(B82, 'Duke 3'!A$3:$B998,2, 0), 0)</f>
        <v>0</v>
      </c>
      <c r="G82" s="10">
        <f>IFERROR(VLOOKUP(B82, 'Duke 4'!A$3:$B998,2, 0), 0)</f>
        <v>0</v>
      </c>
      <c r="H82" s="10">
        <f>IFERROR(VLOOKUP(B82, Proof!A$2:$B998,2, 0), 0)</f>
        <v>1890.909091</v>
      </c>
      <c r="I82" s="12"/>
      <c r="J82" s="12"/>
      <c r="K82" s="7" t="s">
        <v>87</v>
      </c>
      <c r="L82" s="8">
        <f t="shared" si="3"/>
        <v>189.4736842</v>
      </c>
      <c r="M82" s="9">
        <f>IFERROR(VLOOKUP(K82, 'Duke 1'!$A$3:$B998,2, 0), 0)</f>
        <v>631.5789474</v>
      </c>
      <c r="N82" s="9">
        <f>IFERROR(VLOOKUP(K82, 'Duke 2'!$A$3:$B998,2, 0), 0)</f>
        <v>0</v>
      </c>
      <c r="O82" s="10">
        <f>IFERROR(VLOOKUP(K82, 'Duke 3'!$A$3:$B998,2, 0), 0)</f>
        <v>0</v>
      </c>
      <c r="P82" s="10">
        <f>IFERROR(VLOOKUP(K82, 'Duke 4'!$A$3:$B998,2, 0), 0)</f>
        <v>0</v>
      </c>
      <c r="Q82" s="10">
        <f>IFERROR(VLOOKUP(K82, Proof!$A$3:B998,2, 0), 0)</f>
        <v>0</v>
      </c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</row>
    <row r="83">
      <c r="A83" s="1">
        <f t="shared" si="1"/>
        <v>82</v>
      </c>
      <c r="B83" s="7" t="s">
        <v>89</v>
      </c>
      <c r="C83" s="8">
        <f t="shared" si="2"/>
        <v>14.54545455</v>
      </c>
      <c r="D83" s="9">
        <f>IFERROR(VLOOKUP(B83, 'Duke 1'!A$3:$B$85,2, 0), 0)</f>
        <v>0</v>
      </c>
      <c r="E83" s="9">
        <f>IFERROR(VLOOKUP(B83, 'Duke 2'!A$3:$B$522,2, 0), 0)</f>
        <v>0</v>
      </c>
      <c r="F83" s="10">
        <f>IFERROR(VLOOKUP(B83, 'Duke 3'!A$3:$B998,2, 0), 0)</f>
        <v>0</v>
      </c>
      <c r="G83" s="10">
        <f>IFERROR(VLOOKUP(B83, 'Duke 4'!A$3:$B998,2, 0), 0)</f>
        <v>0</v>
      </c>
      <c r="H83" s="10">
        <f>IFERROR(VLOOKUP(B83, Proof!A$2:$B998,2, 0), 0)</f>
        <v>145.4545455</v>
      </c>
      <c r="I83" s="6"/>
      <c r="J83" s="6"/>
      <c r="K83" s="7" t="s">
        <v>89</v>
      </c>
      <c r="L83" s="8">
        <f t="shared" si="3"/>
        <v>29.09090909</v>
      </c>
      <c r="M83" s="9">
        <f>IFERROR(VLOOKUP(K83, 'Duke 1'!$A$3:$B998,2, 0), 0)</f>
        <v>0</v>
      </c>
      <c r="N83" s="9">
        <f>IFERROR(VLOOKUP(K83, 'Duke 2'!$A$3:$B998,2, 0), 0)</f>
        <v>0</v>
      </c>
      <c r="O83" s="10">
        <f>IFERROR(VLOOKUP(K83, 'Duke 3'!$A$3:$B998,2, 0), 0)</f>
        <v>0</v>
      </c>
      <c r="P83" s="10">
        <f>IFERROR(VLOOKUP(K83, 'Duke 4'!$A$3:$B998,2, 0), 0)</f>
        <v>0</v>
      </c>
      <c r="Q83" s="10">
        <f>IFERROR(VLOOKUP(K83, Proof!$A$3:B998,2, 0), 0)</f>
        <v>145.4545455</v>
      </c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>
      <c r="A84" s="1">
        <f t="shared" si="1"/>
        <v>83</v>
      </c>
      <c r="B84" s="7" t="s">
        <v>427</v>
      </c>
      <c r="C84" s="8">
        <f t="shared" si="2"/>
        <v>0</v>
      </c>
      <c r="D84" s="9">
        <f>IFERROR(VLOOKUP(B84, 'Duke 1'!A$3:$B$85,2, 0), 0)</f>
        <v>0</v>
      </c>
      <c r="E84" s="9">
        <f>IFERROR(VLOOKUP(B84, 'Duke 2'!A$3:$B$522,2, 0), 0)</f>
        <v>0</v>
      </c>
      <c r="F84" s="10">
        <f>IFERROR(VLOOKUP(B84, 'Duke 3'!A$3:$B998,2, 0), 0)</f>
        <v>0</v>
      </c>
      <c r="G84" s="10">
        <f>IFERROR(VLOOKUP(B84, 'Duke 4'!A$3:$B998,2, 0), 0)</f>
        <v>0</v>
      </c>
      <c r="H84" s="10">
        <f>IFERROR(VLOOKUP(B84, Proof!A$2:$B998,2, 0), 0)</f>
        <v>0</v>
      </c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>
      <c r="A85" s="1">
        <f t="shared" si="1"/>
        <v>84</v>
      </c>
      <c r="B85" s="7" t="s">
        <v>421</v>
      </c>
      <c r="C85" s="8">
        <f t="shared" si="2"/>
        <v>0</v>
      </c>
      <c r="D85" s="9">
        <f>IFERROR(VLOOKUP(B85, 'Duke 1'!A$3:$B$85,2, 0), 0)</f>
        <v>0</v>
      </c>
      <c r="E85" s="9">
        <f>IFERROR(VLOOKUP(B85, 'Duke 2'!A$3:$B$522,2, 0), 0)</f>
        <v>0</v>
      </c>
      <c r="F85" s="10">
        <f>IFERROR(VLOOKUP(B85, 'Duke 3'!A$3:$B998,2, 0), 0)</f>
        <v>0</v>
      </c>
      <c r="G85" s="10">
        <f>IFERROR(VLOOKUP(B85, 'Duke 4'!A$3:$B998,2, 0), 0)</f>
        <v>0</v>
      </c>
      <c r="H85" s="10">
        <f>IFERROR(VLOOKUP(B85, Proof!A$2:$B998,2, 0), 0)</f>
        <v>0</v>
      </c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>
      <c r="A86" s="1">
        <f t="shared" si="1"/>
        <v>85</v>
      </c>
      <c r="B86" s="7" t="s">
        <v>415</v>
      </c>
      <c r="C86" s="8">
        <f t="shared" si="2"/>
        <v>0</v>
      </c>
      <c r="D86" s="9">
        <f>IFERROR(VLOOKUP(B86, 'Duke 1'!A$3:$B$85,2, 0), 0)</f>
        <v>0</v>
      </c>
      <c r="E86" s="9">
        <f>IFERROR(VLOOKUP(B86, 'Duke 2'!A$3:$B$522,2, 0), 0)</f>
        <v>0</v>
      </c>
      <c r="F86" s="10">
        <f>IFERROR(VLOOKUP(B86, 'Duke 3'!A$3:$B998,2, 0), 0)</f>
        <v>0</v>
      </c>
      <c r="G86" s="10">
        <f>IFERROR(VLOOKUP(B86, 'Duke 4'!A$3:$B998,2, 0), 0)</f>
        <v>0</v>
      </c>
      <c r="H86" s="10">
        <f>IFERROR(VLOOKUP(B86, Proof!A$2:$B998,2, 0), 0)</f>
        <v>0</v>
      </c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>
      <c r="A87" s="1">
        <f t="shared" si="1"/>
        <v>86</v>
      </c>
      <c r="B87" s="7" t="s">
        <v>416</v>
      </c>
      <c r="C87" s="8">
        <f t="shared" si="2"/>
        <v>0</v>
      </c>
      <c r="D87" s="9">
        <f>IFERROR(VLOOKUP(B87, 'Duke 1'!A$3:$B$85,2, 0), 0)</f>
        <v>0</v>
      </c>
      <c r="E87" s="9">
        <f>IFERROR(VLOOKUP(B87, 'Duke 2'!A$3:$B$522,2, 0), 0)</f>
        <v>0</v>
      </c>
      <c r="F87" s="10">
        <f>IFERROR(VLOOKUP(B87, 'Duke 3'!A$3:$B998,2, 0), 0)</f>
        <v>0</v>
      </c>
      <c r="G87" s="10">
        <f>IFERROR(VLOOKUP(B87, 'Duke 4'!A$3:$B998,2, 0), 0)</f>
        <v>0</v>
      </c>
      <c r="H87" s="10">
        <f>IFERROR(VLOOKUP(B87, Proof!A$2:$B998,2, 0), 0)</f>
        <v>0</v>
      </c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>
      <c r="A88" s="1">
        <f t="shared" si="1"/>
        <v>87</v>
      </c>
      <c r="B88" s="7" t="s">
        <v>422</v>
      </c>
      <c r="C88" s="8">
        <f t="shared" si="2"/>
        <v>0</v>
      </c>
      <c r="D88" s="9">
        <f>IFERROR(VLOOKUP(B88, 'Duke 1'!A$3:$B$85,2, 0), 0)</f>
        <v>0</v>
      </c>
      <c r="E88" s="9">
        <f>IFERROR(VLOOKUP(B88, 'Duke 2'!A$3:$B$522,2, 0), 0)</f>
        <v>0</v>
      </c>
      <c r="F88" s="10">
        <f>IFERROR(VLOOKUP(B88, 'Duke 3'!A$3:$B998,2, 0), 0)</f>
        <v>0</v>
      </c>
      <c r="G88" s="10">
        <f>IFERROR(VLOOKUP(B88, 'Duke 4'!A$3:$B998,2, 0), 0)</f>
        <v>0</v>
      </c>
      <c r="H88" s="10">
        <f>IFERROR(VLOOKUP(B88, Proof!A$2:$B998,2, 0), 0)</f>
        <v>0</v>
      </c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>
      <c r="A89" s="1">
        <f t="shared" si="1"/>
        <v>88</v>
      </c>
      <c r="B89" s="7" t="s">
        <v>426</v>
      </c>
      <c r="C89" s="8">
        <f t="shared" si="2"/>
        <v>0</v>
      </c>
      <c r="D89" s="9">
        <f>IFERROR(VLOOKUP(B89, 'Duke 1'!A$3:$B$85,2, 0), 0)</f>
        <v>0</v>
      </c>
      <c r="E89" s="9">
        <f>IFERROR(VLOOKUP(B89, 'Duke 2'!A$3:$B$522,2, 0), 0)</f>
        <v>0</v>
      </c>
      <c r="F89" s="10">
        <f>IFERROR(VLOOKUP(B89, 'Duke 3'!A$3:$B998,2, 0), 0)</f>
        <v>0</v>
      </c>
      <c r="G89" s="10">
        <f>IFERROR(VLOOKUP(B89, 'Duke 4'!A$3:$B998,2, 0), 0)</f>
        <v>0</v>
      </c>
      <c r="H89" s="10">
        <f>IFERROR(VLOOKUP(B89, Proof!A$2:$B998,2, 0), 0)</f>
        <v>0</v>
      </c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>
      <c r="A90" s="1">
        <f t="shared" si="1"/>
        <v>89</v>
      </c>
      <c r="B90" s="7" t="s">
        <v>418</v>
      </c>
      <c r="C90" s="8">
        <f t="shared" si="2"/>
        <v>0</v>
      </c>
      <c r="D90" s="9">
        <f>IFERROR(VLOOKUP(B90, 'Duke 1'!A$3:$B$85,2, 0), 0)</f>
        <v>0</v>
      </c>
      <c r="E90" s="9">
        <f>IFERROR(VLOOKUP(B90, 'Duke 2'!A$3:$B$522,2, 0), 0)</f>
        <v>0</v>
      </c>
      <c r="F90" s="10">
        <f>IFERROR(VLOOKUP(B90, 'Duke 3'!A$3:$B998,2, 0), 0)</f>
        <v>0</v>
      </c>
      <c r="G90" s="10">
        <f>IFERROR(VLOOKUP(B90, 'Duke 4'!A$3:$B998,2, 0), 0)</f>
        <v>0</v>
      </c>
      <c r="H90" s="10">
        <f>IFERROR(VLOOKUP(B90, Proof!A$2:$B998,2, 0), 0)</f>
        <v>0</v>
      </c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>
      <c r="A91" s="1">
        <f t="shared" si="1"/>
        <v>90</v>
      </c>
      <c r="B91" s="7" t="s">
        <v>414</v>
      </c>
      <c r="C91" s="8">
        <f t="shared" si="2"/>
        <v>0</v>
      </c>
      <c r="D91" s="9">
        <f>IFERROR(VLOOKUP(B91, 'Duke 1'!A$3:$B$85,2, 0), 0)</f>
        <v>0</v>
      </c>
      <c r="E91" s="9">
        <f>IFERROR(VLOOKUP(B91, 'Duke 2'!A$3:$B$522,2, 0), 0)</f>
        <v>0</v>
      </c>
      <c r="F91" s="10">
        <f>IFERROR(VLOOKUP(B91, 'Duke 3'!A$3:$B998,2, 0), 0)</f>
        <v>0</v>
      </c>
      <c r="G91" s="10">
        <f>IFERROR(VLOOKUP(B91, 'Duke 4'!A$3:$B998,2, 0), 0)</f>
        <v>0</v>
      </c>
      <c r="H91" s="10">
        <f>IFERROR(VLOOKUP(B91, Proof!A$2:$B998,2, 0), 0)</f>
        <v>0</v>
      </c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>
      <c r="A92" s="1">
        <f t="shared" si="1"/>
        <v>91</v>
      </c>
      <c r="B92" s="7" t="s">
        <v>425</v>
      </c>
      <c r="C92" s="8">
        <f t="shared" si="2"/>
        <v>0</v>
      </c>
      <c r="D92" s="9">
        <f>IFERROR(VLOOKUP(B92, 'Duke 1'!A$3:$B$85,2, 0), 0)</f>
        <v>0</v>
      </c>
      <c r="E92" s="9">
        <f>IFERROR(VLOOKUP(B92, 'Duke 2'!A$3:$B$522,2, 0), 0)</f>
        <v>0</v>
      </c>
      <c r="F92" s="10">
        <f>IFERROR(VLOOKUP(B92, 'Duke 3'!A$3:$B998,2, 0), 0)</f>
        <v>0</v>
      </c>
      <c r="G92" s="10">
        <f>IFERROR(VLOOKUP(B92, 'Duke 4'!A$3:$B998,2, 0), 0)</f>
        <v>0</v>
      </c>
      <c r="H92" s="10">
        <f>IFERROR(VLOOKUP(B92, Proof!A$2:$B998,2, 0), 0)</f>
        <v>0</v>
      </c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>
      <c r="A93" s="1">
        <f t="shared" si="1"/>
        <v>92</v>
      </c>
      <c r="B93" s="7" t="s">
        <v>91</v>
      </c>
      <c r="C93" s="8">
        <f t="shared" si="2"/>
        <v>0</v>
      </c>
      <c r="D93" s="9">
        <f>IFERROR(VLOOKUP(B93, 'Duke 1'!A$3:$B$85,2, 0), 0)</f>
        <v>0</v>
      </c>
      <c r="E93" s="9">
        <f>IFERROR(VLOOKUP(B93, 'Duke 2'!A$3:$B$522,2, 0), 0)</f>
        <v>0</v>
      </c>
      <c r="F93" s="10">
        <f>IFERROR(VLOOKUP(B93, 'Duke 3'!A$3:$B998,2, 0), 0)</f>
        <v>0</v>
      </c>
      <c r="G93" s="10">
        <f>IFERROR(VLOOKUP(B93, 'Duke 4'!A$3:$B998,2, 0), 0)</f>
        <v>0</v>
      </c>
      <c r="H93" s="10">
        <f>IFERROR(VLOOKUP(B93, Proof!A$2:$B998,2, 0), 0)</f>
        <v>0</v>
      </c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>
      <c r="A94" s="1">
        <f t="shared" si="1"/>
        <v>93</v>
      </c>
      <c r="B94" s="7" t="s">
        <v>429</v>
      </c>
      <c r="C94" s="8">
        <f t="shared" si="2"/>
        <v>0</v>
      </c>
      <c r="D94" s="9">
        <f>IFERROR(VLOOKUP(B94, 'Duke 1'!A$3:$B$85,2, 0), 0)</f>
        <v>0</v>
      </c>
      <c r="E94" s="9">
        <f>IFERROR(VLOOKUP(B94, 'Duke 2'!A$3:$B$522,2, 0), 0)</f>
        <v>0</v>
      </c>
      <c r="F94" s="10">
        <f>IFERROR(VLOOKUP(B94, 'Duke 3'!A$3:$B998,2, 0), 0)</f>
        <v>0</v>
      </c>
      <c r="G94" s="10">
        <f>IFERROR(VLOOKUP(B94, 'Duke 4'!A$3:$B998,2, 0), 0)</f>
        <v>0</v>
      </c>
      <c r="H94" s="10">
        <f>IFERROR(VLOOKUP(B94, Proof!A$2:$B998,2, 0), 0)</f>
        <v>0</v>
      </c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>
      <c r="A95" s="1">
        <f t="shared" si="1"/>
        <v>94</v>
      </c>
      <c r="B95" s="7" t="s">
        <v>417</v>
      </c>
      <c r="C95" s="8">
        <f t="shared" si="2"/>
        <v>0</v>
      </c>
      <c r="D95" s="9">
        <f>IFERROR(VLOOKUP(B95, 'Duke 1'!A$3:$B$85,2, 0), 0)</f>
        <v>0</v>
      </c>
      <c r="E95" s="9">
        <f>IFERROR(VLOOKUP(B95, 'Duke 2'!A$3:$B$522,2, 0), 0)</f>
        <v>0</v>
      </c>
      <c r="F95" s="10">
        <f>IFERROR(VLOOKUP(B95, 'Duke 3'!A$3:$B998,2, 0), 0)</f>
        <v>0</v>
      </c>
      <c r="G95" s="10">
        <f>IFERROR(VLOOKUP(B95, 'Duke 4'!A$3:$B998,2, 0), 0)</f>
        <v>0</v>
      </c>
      <c r="H95" s="10">
        <f>IFERROR(VLOOKUP(B95, Proof!A$2:$B998,2, 0), 0)</f>
        <v>0</v>
      </c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  <row r="96">
      <c r="A96" s="1">
        <f t="shared" si="1"/>
        <v>95</v>
      </c>
      <c r="B96" s="7" t="s">
        <v>413</v>
      </c>
      <c r="C96" s="8">
        <f t="shared" si="2"/>
        <v>0</v>
      </c>
      <c r="D96" s="9">
        <f>IFERROR(VLOOKUP(B96, 'Duke 1'!A$3:$B$85,2, 0), 0)</f>
        <v>0</v>
      </c>
      <c r="E96" s="9">
        <f>IFERROR(VLOOKUP(B96, 'Duke 2'!A$3:$B$522,2, 0), 0)</f>
        <v>0</v>
      </c>
      <c r="F96" s="10">
        <f>IFERROR(VLOOKUP(B96, 'Duke 3'!A$3:$B998,2, 0), 0)</f>
        <v>0</v>
      </c>
      <c r="G96" s="10">
        <f>IFERROR(VLOOKUP(B96, 'Duke 4'!A$3:$B998,2, 0), 0)</f>
        <v>0</v>
      </c>
      <c r="H96" s="10">
        <f>IFERROR(VLOOKUP(B96, Proof!A$2:$B998,2, 0), 0)</f>
        <v>0</v>
      </c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</row>
    <row r="97">
      <c r="A97" s="1">
        <f t="shared" si="1"/>
        <v>96</v>
      </c>
      <c r="B97" s="7" t="s">
        <v>420</v>
      </c>
      <c r="C97" s="8">
        <f t="shared" si="2"/>
        <v>0</v>
      </c>
      <c r="D97" s="9">
        <f>IFERROR(VLOOKUP(B97, 'Duke 1'!A$3:$B$85,2, 0), 0)</f>
        <v>0</v>
      </c>
      <c r="E97" s="9">
        <f>IFERROR(VLOOKUP(B97, 'Duke 2'!A$3:$B$522,2, 0), 0)</f>
        <v>0</v>
      </c>
      <c r="F97" s="10">
        <f>IFERROR(VLOOKUP(B97, 'Duke 3'!A$3:$B998,2, 0), 0)</f>
        <v>0</v>
      </c>
      <c r="G97" s="10">
        <f>IFERROR(VLOOKUP(B97, 'Duke 4'!A$3:$B998,2, 0), 0)</f>
        <v>0</v>
      </c>
      <c r="H97" s="10">
        <f>IFERROR(VLOOKUP(B97, Proof!A$2:$B998,2, 0), 0)</f>
        <v>0</v>
      </c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</row>
    <row r="98">
      <c r="A98" s="1">
        <f t="shared" si="1"/>
        <v>97</v>
      </c>
      <c r="B98" s="7" t="s">
        <v>412</v>
      </c>
      <c r="C98" s="8">
        <f t="shared" si="2"/>
        <v>0</v>
      </c>
      <c r="D98" s="9">
        <f>IFERROR(VLOOKUP(B98, 'Duke 1'!A$3:$B$85,2, 0), 0)</f>
        <v>0</v>
      </c>
      <c r="E98" s="9">
        <f>IFERROR(VLOOKUP(B98, 'Duke 2'!A$3:$B$522,2, 0), 0)</f>
        <v>0</v>
      </c>
      <c r="F98" s="10">
        <f>IFERROR(VLOOKUP(B98, 'Duke 3'!A$3:$B998,2, 0), 0)</f>
        <v>0</v>
      </c>
      <c r="G98" s="10">
        <f>IFERROR(VLOOKUP(B98, 'Duke 4'!A$3:$B998,2, 0), 0)</f>
        <v>0</v>
      </c>
      <c r="H98" s="10">
        <f>IFERROR(VLOOKUP(B98, Proof!A$2:$B998,2, 0), 0)</f>
        <v>0</v>
      </c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</row>
    <row r="99">
      <c r="A99" s="1">
        <f t="shared" si="1"/>
        <v>98</v>
      </c>
      <c r="B99" s="7" t="s">
        <v>335</v>
      </c>
      <c r="C99" s="8">
        <f t="shared" si="2"/>
        <v>0</v>
      </c>
      <c r="D99" s="9">
        <f>IFERROR(VLOOKUP(B99, 'Duke 1'!A$3:$B$85,2, 0), 0)</f>
        <v>0</v>
      </c>
      <c r="E99" s="9">
        <f>IFERROR(VLOOKUP(B99, 'Duke 2'!A$3:$B$522,2, 0), 0)</f>
        <v>0</v>
      </c>
      <c r="F99" s="10">
        <f>IFERROR(VLOOKUP(B99, 'Duke 3'!A$3:$B998,2, 0), 0)</f>
        <v>0</v>
      </c>
      <c r="G99" s="10">
        <f>IFERROR(VLOOKUP(B99, 'Duke 4'!A$3:$B998,2, 0), 0)</f>
        <v>0</v>
      </c>
      <c r="H99" s="10">
        <f>IFERROR(VLOOKUP(B99, Proof!A$2:$B998,2, 0), 0)</f>
        <v>0</v>
      </c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</row>
    <row r="100">
      <c r="A100" s="1">
        <f t="shared" si="1"/>
        <v>99</v>
      </c>
      <c r="B100" s="7" t="s">
        <v>290</v>
      </c>
      <c r="C100" s="8">
        <f t="shared" si="2"/>
        <v>0</v>
      </c>
      <c r="D100" s="9">
        <f>IFERROR(VLOOKUP(B100, 'Duke 1'!A$3:$B$85,2, 0), 0)</f>
        <v>0</v>
      </c>
      <c r="E100" s="9">
        <f>IFERROR(VLOOKUP(B100, 'Duke 2'!A$3:$B$522,2, 0), 0)</f>
        <v>0</v>
      </c>
      <c r="F100" s="10">
        <f>IFERROR(VLOOKUP(B100, 'Duke 3'!A$3:$B998,2, 0), 0)</f>
        <v>0</v>
      </c>
      <c r="G100" s="10">
        <f>IFERROR(VLOOKUP(B100, 'Duke 4'!A$3:$B998,2, 0), 0)</f>
        <v>0</v>
      </c>
      <c r="H100" s="10">
        <f>IFERROR(VLOOKUP(B100, Proof!A$2:$B998,2, 0), 0)</f>
        <v>0</v>
      </c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</row>
    <row r="101">
      <c r="A101" s="1">
        <f t="shared" si="1"/>
        <v>100</v>
      </c>
      <c r="B101" s="7" t="s">
        <v>383</v>
      </c>
      <c r="C101" s="8">
        <f t="shared" si="2"/>
        <v>0</v>
      </c>
      <c r="D101" s="9">
        <f>IFERROR(VLOOKUP(B101, 'Duke 1'!A$3:$B$85,2, 0), 0)</f>
        <v>0</v>
      </c>
      <c r="E101" s="9">
        <f>IFERROR(VLOOKUP(B101, 'Duke 2'!A$3:$B$522,2, 0), 0)</f>
        <v>0</v>
      </c>
      <c r="F101" s="10">
        <f>IFERROR(VLOOKUP(B101, 'Duke 3'!A$3:$B998,2, 0), 0)</f>
        <v>0</v>
      </c>
      <c r="G101" s="10">
        <f>IFERROR(VLOOKUP(B101, 'Duke 4'!A$3:$B998,2, 0), 0)</f>
        <v>0</v>
      </c>
      <c r="H101" s="10">
        <f>IFERROR(VLOOKUP(B101, Proof!A$2:$B998,2, 0), 0)</f>
        <v>0</v>
      </c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</row>
    <row r="102">
      <c r="A102" s="1">
        <f t="shared" si="1"/>
        <v>101</v>
      </c>
      <c r="B102" s="7" t="s">
        <v>99</v>
      </c>
      <c r="C102" s="8">
        <f t="shared" si="2"/>
        <v>0</v>
      </c>
      <c r="D102" s="9">
        <f>IFERROR(VLOOKUP(B102, 'Duke 1'!A$3:$B$85,2, 0), 0)</f>
        <v>0</v>
      </c>
      <c r="E102" s="9">
        <f>IFERROR(VLOOKUP(B102, 'Duke 2'!A$3:$B$522,2, 0), 0)</f>
        <v>0</v>
      </c>
      <c r="F102" s="10">
        <f>IFERROR(VLOOKUP(B102, 'Duke 3'!A$3:$B998,2, 0), 0)</f>
        <v>0</v>
      </c>
      <c r="G102" s="10">
        <f>IFERROR(VLOOKUP(B102, 'Duke 4'!A$3:$B998,2, 0), 0)</f>
        <v>0</v>
      </c>
      <c r="H102" s="10">
        <f>IFERROR(VLOOKUP(B102, Proof!A$2:$B998,2, 0), 0)</f>
        <v>0</v>
      </c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</row>
    <row r="103">
      <c r="A103" s="1">
        <f t="shared" si="1"/>
        <v>102</v>
      </c>
      <c r="B103" s="7" t="s">
        <v>291</v>
      </c>
      <c r="C103" s="8">
        <f t="shared" si="2"/>
        <v>0</v>
      </c>
      <c r="D103" s="9">
        <f>IFERROR(VLOOKUP(B103, 'Duke 1'!A$3:$B$85,2, 0), 0)</f>
        <v>0</v>
      </c>
      <c r="E103" s="9">
        <f>IFERROR(VLOOKUP(B103, 'Duke 2'!A$3:$B$522,2, 0), 0)</f>
        <v>0</v>
      </c>
      <c r="F103" s="10">
        <f>IFERROR(VLOOKUP(B103, 'Duke 3'!A$3:$B998,2, 0), 0)</f>
        <v>0</v>
      </c>
      <c r="G103" s="10">
        <f>IFERROR(VLOOKUP(B103, 'Duke 4'!A$3:$B998,2, 0), 0)</f>
        <v>0</v>
      </c>
      <c r="H103" s="10">
        <f>IFERROR(VLOOKUP(B103, Proof!A$2:$B998,2, 0), 0)</f>
        <v>0</v>
      </c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</row>
    <row r="104">
      <c r="A104" s="1">
        <f t="shared" si="1"/>
        <v>103</v>
      </c>
      <c r="B104" s="7" t="s">
        <v>282</v>
      </c>
      <c r="C104" s="8">
        <f t="shared" si="2"/>
        <v>0</v>
      </c>
      <c r="D104" s="9">
        <f>IFERROR(VLOOKUP(B104, 'Duke 1'!A$3:$B$85,2, 0), 0)</f>
        <v>0</v>
      </c>
      <c r="E104" s="9">
        <f>IFERROR(VLOOKUP(B104, 'Duke 2'!A$3:$B$522,2, 0), 0)</f>
        <v>0</v>
      </c>
      <c r="F104" s="10">
        <f>IFERROR(VLOOKUP(B104, 'Duke 3'!A$3:$B998,2, 0), 0)</f>
        <v>0</v>
      </c>
      <c r="G104" s="10">
        <f>IFERROR(VLOOKUP(B104, 'Duke 4'!A$3:$B998,2, 0), 0)</f>
        <v>0</v>
      </c>
      <c r="H104" s="10">
        <f>IFERROR(VLOOKUP(B104, Proof!A$2:$B998,2, 0), 0)</f>
        <v>0</v>
      </c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</row>
    <row r="105">
      <c r="A105" s="1">
        <f t="shared" si="1"/>
        <v>104</v>
      </c>
      <c r="B105" s="7" t="s">
        <v>405</v>
      </c>
      <c r="C105" s="8">
        <f t="shared" si="2"/>
        <v>0</v>
      </c>
      <c r="D105" s="9">
        <f>IFERROR(VLOOKUP(B105, 'Duke 1'!A$3:$B$85,2, 0), 0)</f>
        <v>0</v>
      </c>
      <c r="E105" s="9">
        <f>IFERROR(VLOOKUP(B105, 'Duke 2'!A$3:$B$522,2, 0), 0)</f>
        <v>0</v>
      </c>
      <c r="F105" s="10">
        <f>IFERROR(VLOOKUP(B105, 'Duke 3'!A$3:$B998,2, 0), 0)</f>
        <v>0</v>
      </c>
      <c r="G105" s="10">
        <f>IFERROR(VLOOKUP(B105, 'Duke 4'!A$3:$B998,2, 0), 0)</f>
        <v>0</v>
      </c>
      <c r="H105" s="10">
        <f>IFERROR(VLOOKUP(B105, Proof!A$2:$B998,2, 0), 0)</f>
        <v>0</v>
      </c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</row>
    <row r="106">
      <c r="A106" s="1">
        <f t="shared" si="1"/>
        <v>105</v>
      </c>
      <c r="B106" s="7" t="s">
        <v>296</v>
      </c>
      <c r="C106" s="8">
        <f t="shared" si="2"/>
        <v>0</v>
      </c>
      <c r="D106" s="9">
        <f>IFERROR(VLOOKUP(B106, 'Duke 1'!A$3:$B$85,2, 0), 0)</f>
        <v>0</v>
      </c>
      <c r="E106" s="9">
        <f>IFERROR(VLOOKUP(B106, 'Duke 2'!A$3:$B$522,2, 0), 0)</f>
        <v>0</v>
      </c>
      <c r="F106" s="10">
        <f>IFERROR(VLOOKUP(B106, 'Duke 3'!A$3:$B998,2, 0), 0)</f>
        <v>0</v>
      </c>
      <c r="G106" s="10">
        <f>IFERROR(VLOOKUP(B106, 'Duke 4'!A$3:$B998,2, 0), 0)</f>
        <v>0</v>
      </c>
      <c r="H106" s="10">
        <f>IFERROR(VLOOKUP(B106, Proof!A$2:$B998,2, 0), 0)</f>
        <v>0</v>
      </c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</row>
    <row r="107">
      <c r="A107" s="1">
        <f t="shared" si="1"/>
        <v>106</v>
      </c>
      <c r="B107" s="7" t="s">
        <v>423</v>
      </c>
      <c r="C107" s="8">
        <f t="shared" si="2"/>
        <v>0</v>
      </c>
      <c r="D107" s="9">
        <f>IFERROR(VLOOKUP(B107, 'Duke 1'!A$3:$B$85,2, 0), 0)</f>
        <v>0</v>
      </c>
      <c r="E107" s="9">
        <f>IFERROR(VLOOKUP(B107, 'Duke 2'!A$3:$B$522,2, 0), 0)</f>
        <v>0</v>
      </c>
      <c r="F107" s="10">
        <f>IFERROR(VLOOKUP(B107, 'Duke 3'!A$3:$B998,2, 0), 0)</f>
        <v>0</v>
      </c>
      <c r="G107" s="10">
        <f>IFERROR(VLOOKUP(B107, 'Duke 4'!A$3:$B998,2, 0), 0)</f>
        <v>0</v>
      </c>
      <c r="H107" s="10">
        <f>IFERROR(VLOOKUP(B107, Proof!A$2:$B998,2, 0), 0)</f>
        <v>0</v>
      </c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</row>
    <row r="108">
      <c r="A108" s="1">
        <f t="shared" si="1"/>
        <v>107</v>
      </c>
      <c r="B108" s="7" t="s">
        <v>369</v>
      </c>
      <c r="C108" s="8">
        <f t="shared" si="2"/>
        <v>0</v>
      </c>
      <c r="D108" s="9">
        <f>IFERROR(VLOOKUP(B108, 'Duke 1'!A$3:$B$85,2, 0), 0)</f>
        <v>0</v>
      </c>
      <c r="E108" s="9">
        <f>IFERROR(VLOOKUP(B108, 'Duke 2'!A$3:$B$522,2, 0), 0)</f>
        <v>0</v>
      </c>
      <c r="F108" s="10">
        <f>IFERROR(VLOOKUP(B108, 'Duke 3'!A$3:$B998,2, 0), 0)</f>
        <v>0</v>
      </c>
      <c r="G108" s="10">
        <f>IFERROR(VLOOKUP(B108, 'Duke 4'!A$3:$B998,2, 0), 0)</f>
        <v>0</v>
      </c>
      <c r="H108" s="10">
        <f>IFERROR(VLOOKUP(B108, Proof!A$2:$B998,2, 0), 0)</f>
        <v>0</v>
      </c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</row>
    <row r="109">
      <c r="A109" s="1">
        <f t="shared" si="1"/>
        <v>108</v>
      </c>
      <c r="B109" s="7" t="s">
        <v>382</v>
      </c>
      <c r="C109" s="8">
        <f t="shared" si="2"/>
        <v>0</v>
      </c>
      <c r="D109" s="9">
        <f>IFERROR(VLOOKUP(B109, 'Duke 1'!A$3:$B$85,2, 0), 0)</f>
        <v>0</v>
      </c>
      <c r="E109" s="9">
        <f>IFERROR(VLOOKUP(B109, 'Duke 2'!A$3:$B$522,2, 0), 0)</f>
        <v>0</v>
      </c>
      <c r="F109" s="10">
        <f>IFERROR(VLOOKUP(B109, 'Duke 3'!A$3:$B998,2, 0), 0)</f>
        <v>0</v>
      </c>
      <c r="G109" s="10">
        <f>IFERROR(VLOOKUP(B109, 'Duke 4'!A$3:$B998,2, 0), 0)</f>
        <v>0</v>
      </c>
      <c r="H109" s="10">
        <f>IFERROR(VLOOKUP(B109, Proof!A$2:$B998,2, 0), 0)</f>
        <v>0</v>
      </c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</row>
    <row r="110">
      <c r="A110" s="1">
        <f t="shared" si="1"/>
        <v>109</v>
      </c>
      <c r="B110" s="7" t="s">
        <v>409</v>
      </c>
      <c r="C110" s="8">
        <f t="shared" si="2"/>
        <v>0</v>
      </c>
      <c r="D110" s="9">
        <f>IFERROR(VLOOKUP(B110, 'Duke 1'!A$3:$B$85,2, 0), 0)</f>
        <v>0</v>
      </c>
      <c r="E110" s="9">
        <f>IFERROR(VLOOKUP(B110, 'Duke 2'!A$3:$B$522,2, 0), 0)</f>
        <v>0</v>
      </c>
      <c r="F110" s="10">
        <f>IFERROR(VLOOKUP(B110, 'Duke 3'!A$3:$B998,2, 0), 0)</f>
        <v>0</v>
      </c>
      <c r="G110" s="10">
        <f>IFERROR(VLOOKUP(B110, 'Duke 4'!A$3:$B998,2, 0), 0)</f>
        <v>0</v>
      </c>
      <c r="H110" s="10">
        <f>IFERROR(VLOOKUP(B110, Proof!A$2:$B998,2, 0), 0)</f>
        <v>0</v>
      </c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</row>
    <row r="111">
      <c r="A111" s="1">
        <f t="shared" si="1"/>
        <v>110</v>
      </c>
      <c r="B111" s="7" t="s">
        <v>362</v>
      </c>
      <c r="C111" s="8">
        <f t="shared" si="2"/>
        <v>0</v>
      </c>
      <c r="D111" s="9">
        <f>IFERROR(VLOOKUP(B111, 'Duke 1'!A$3:$B$85,2, 0), 0)</f>
        <v>0</v>
      </c>
      <c r="E111" s="9">
        <f>IFERROR(VLOOKUP(B111, 'Duke 2'!A$3:$B$522,2, 0), 0)</f>
        <v>0</v>
      </c>
      <c r="F111" s="10">
        <f>IFERROR(VLOOKUP(B111, 'Duke 3'!A$3:$B998,2, 0), 0)</f>
        <v>0</v>
      </c>
      <c r="G111" s="10">
        <f>IFERROR(VLOOKUP(B111, 'Duke 4'!A$3:$B998,2, 0), 0)</f>
        <v>0</v>
      </c>
      <c r="H111" s="10">
        <f>IFERROR(VLOOKUP(B111, Proof!A$2:$B998,2, 0), 0)</f>
        <v>0</v>
      </c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</row>
    <row r="112">
      <c r="A112" s="1">
        <f t="shared" si="1"/>
        <v>111</v>
      </c>
      <c r="B112" s="7" t="s">
        <v>344</v>
      </c>
      <c r="C112" s="8">
        <f t="shared" si="2"/>
        <v>0</v>
      </c>
      <c r="D112" s="9">
        <f>IFERROR(VLOOKUP(B112, 'Duke 1'!A$3:$B$85,2, 0), 0)</f>
        <v>0</v>
      </c>
      <c r="E112" s="9">
        <f>IFERROR(VLOOKUP(B112, 'Duke 2'!A$3:$B$522,2, 0), 0)</f>
        <v>0</v>
      </c>
      <c r="F112" s="10">
        <f>IFERROR(VLOOKUP(B112, 'Duke 3'!A$3:$B998,2, 0), 0)</f>
        <v>0</v>
      </c>
      <c r="G112" s="10">
        <f>IFERROR(VLOOKUP(B112, 'Duke 4'!A$3:$B998,2, 0), 0)</f>
        <v>0</v>
      </c>
      <c r="H112" s="10">
        <f>IFERROR(VLOOKUP(B112, Proof!A$2:$B998,2, 0), 0)</f>
        <v>0</v>
      </c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</row>
    <row r="113">
      <c r="A113" s="1">
        <f t="shared" si="1"/>
        <v>112</v>
      </c>
      <c r="B113" s="7" t="s">
        <v>424</v>
      </c>
      <c r="C113" s="8">
        <f t="shared" si="2"/>
        <v>0</v>
      </c>
      <c r="D113" s="9">
        <f>IFERROR(VLOOKUP(B113, 'Duke 1'!A$3:$B$85,2, 0), 0)</f>
        <v>0</v>
      </c>
      <c r="E113" s="9">
        <f>IFERROR(VLOOKUP(B113, 'Duke 2'!A$3:$B$522,2, 0), 0)</f>
        <v>0</v>
      </c>
      <c r="F113" s="10">
        <f>IFERROR(VLOOKUP(B113, 'Duke 3'!A$3:$B998,2, 0), 0)</f>
        <v>0</v>
      </c>
      <c r="G113" s="10">
        <f>IFERROR(VLOOKUP(B113, 'Duke 4'!A$3:$B998,2, 0), 0)</f>
        <v>0</v>
      </c>
      <c r="H113" s="10">
        <f>IFERROR(VLOOKUP(B113, Proof!A$2:$B998,2, 0), 0)</f>
        <v>0</v>
      </c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</row>
    <row r="114">
      <c r="A114" s="1">
        <f t="shared" si="1"/>
        <v>113</v>
      </c>
      <c r="B114" s="7" t="s">
        <v>294</v>
      </c>
      <c r="C114" s="8">
        <f t="shared" si="2"/>
        <v>0</v>
      </c>
      <c r="D114" s="9">
        <f>IFERROR(VLOOKUP(B114, 'Duke 1'!A$3:$B$85,2, 0), 0)</f>
        <v>0</v>
      </c>
      <c r="E114" s="9">
        <f>IFERROR(VLOOKUP(B114, 'Duke 2'!A$3:$B$522,2, 0), 0)</f>
        <v>0</v>
      </c>
      <c r="F114" s="10">
        <f>IFERROR(VLOOKUP(B114, 'Duke 3'!A$3:$B998,2, 0), 0)</f>
        <v>0</v>
      </c>
      <c r="G114" s="10">
        <f>IFERROR(VLOOKUP(B114, 'Duke 4'!A$3:$B998,2, 0), 0)</f>
        <v>0</v>
      </c>
      <c r="H114" s="10">
        <f>IFERROR(VLOOKUP(B114, Proof!A$2:$B998,2, 0), 0)</f>
        <v>0</v>
      </c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</row>
    <row r="115">
      <c r="A115" s="1">
        <f t="shared" si="1"/>
        <v>114</v>
      </c>
      <c r="B115" s="7" t="s">
        <v>390</v>
      </c>
      <c r="C115" s="8">
        <f t="shared" si="2"/>
        <v>0</v>
      </c>
      <c r="D115" s="9">
        <f>IFERROR(VLOOKUP(B115, 'Duke 1'!A$3:$B$85,2, 0), 0)</f>
        <v>0</v>
      </c>
      <c r="E115" s="9">
        <f>IFERROR(VLOOKUP(B115, 'Duke 2'!A$3:$B$522,2, 0), 0)</f>
        <v>0</v>
      </c>
      <c r="F115" s="10">
        <f>IFERROR(VLOOKUP(B115, 'Duke 3'!A$3:$B998,2, 0), 0)</f>
        <v>0</v>
      </c>
      <c r="G115" s="10">
        <f>IFERROR(VLOOKUP(B115, 'Duke 4'!A$3:$B998,2, 0), 0)</f>
        <v>0</v>
      </c>
      <c r="H115" s="10">
        <f>IFERROR(VLOOKUP(B115, Proof!A$2:$B998,2, 0), 0)</f>
        <v>0</v>
      </c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</row>
    <row r="116">
      <c r="A116" s="1">
        <f t="shared" si="1"/>
        <v>115</v>
      </c>
      <c r="B116" s="7" t="s">
        <v>396</v>
      </c>
      <c r="C116" s="8">
        <f t="shared" si="2"/>
        <v>0</v>
      </c>
      <c r="D116" s="9">
        <f>IFERROR(VLOOKUP(B116, 'Duke 1'!A$3:$B$85,2, 0), 0)</f>
        <v>0</v>
      </c>
      <c r="E116" s="9">
        <f>IFERROR(VLOOKUP(B116, 'Duke 2'!A$3:$B$522,2, 0), 0)</f>
        <v>0</v>
      </c>
      <c r="F116" s="10">
        <f>IFERROR(VLOOKUP(B116, 'Duke 3'!A$3:$B998,2, 0), 0)</f>
        <v>0</v>
      </c>
      <c r="G116" s="10">
        <f>IFERROR(VLOOKUP(B116, 'Duke 4'!A$3:$B998,2, 0), 0)</f>
        <v>0</v>
      </c>
      <c r="H116" s="10">
        <f>IFERROR(VLOOKUP(B116, Proof!A$2:$B998,2, 0), 0)</f>
        <v>0</v>
      </c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</row>
    <row r="117">
      <c r="A117" s="1">
        <f t="shared" si="1"/>
        <v>116</v>
      </c>
      <c r="B117" s="7" t="s">
        <v>352</v>
      </c>
      <c r="C117" s="8">
        <f t="shared" si="2"/>
        <v>0</v>
      </c>
      <c r="D117" s="9">
        <f>IFERROR(VLOOKUP(B117, 'Duke 1'!A$3:$B$85,2, 0), 0)</f>
        <v>0</v>
      </c>
      <c r="E117" s="9">
        <f>IFERROR(VLOOKUP(B117, 'Duke 2'!A$3:$B$522,2, 0), 0)</f>
        <v>0</v>
      </c>
      <c r="F117" s="10">
        <f>IFERROR(VLOOKUP(B117, 'Duke 3'!A$3:$B998,2, 0), 0)</f>
        <v>0</v>
      </c>
      <c r="G117" s="10">
        <f>IFERROR(VLOOKUP(B117, 'Duke 4'!A$3:$B998,2, 0), 0)</f>
        <v>0</v>
      </c>
      <c r="H117" s="10">
        <f>IFERROR(VLOOKUP(B117, Proof!A$2:$B998,2, 0), 0)</f>
        <v>0</v>
      </c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</row>
    <row r="118">
      <c r="A118" s="1">
        <f t="shared" si="1"/>
        <v>117</v>
      </c>
      <c r="B118" s="7" t="s">
        <v>298</v>
      </c>
      <c r="C118" s="8">
        <f t="shared" si="2"/>
        <v>0</v>
      </c>
      <c r="D118" s="9">
        <f>IFERROR(VLOOKUP(B118, 'Duke 1'!A$3:$B$85,2, 0), 0)</f>
        <v>0</v>
      </c>
      <c r="E118" s="9">
        <f>IFERROR(VLOOKUP(B118, 'Duke 2'!A$3:$B$522,2, 0), 0)</f>
        <v>0</v>
      </c>
      <c r="F118" s="10">
        <f>IFERROR(VLOOKUP(B118, 'Duke 3'!A$3:$B998,2, 0), 0)</f>
        <v>0</v>
      </c>
      <c r="G118" s="10">
        <f>IFERROR(VLOOKUP(B118, 'Duke 4'!A$3:$B998,2, 0), 0)</f>
        <v>0</v>
      </c>
      <c r="H118" s="10">
        <f>IFERROR(VLOOKUP(B118, Proof!A$2:$B998,2, 0), 0)</f>
        <v>0</v>
      </c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</row>
    <row r="119">
      <c r="A119" s="1">
        <f t="shared" si="1"/>
        <v>118</v>
      </c>
      <c r="B119" s="7" t="s">
        <v>325</v>
      </c>
      <c r="C119" s="8">
        <f t="shared" si="2"/>
        <v>0</v>
      </c>
      <c r="D119" s="9">
        <f>IFERROR(VLOOKUP(B119, 'Duke 1'!A$3:$B$85,2, 0), 0)</f>
        <v>0</v>
      </c>
      <c r="E119" s="9">
        <f>IFERROR(VLOOKUP(B119, 'Duke 2'!A$3:$B$522,2, 0), 0)</f>
        <v>0</v>
      </c>
      <c r="F119" s="10">
        <f>IFERROR(VLOOKUP(B119, 'Duke 3'!A$3:$B998,2, 0), 0)</f>
        <v>0</v>
      </c>
      <c r="G119" s="10">
        <f>IFERROR(VLOOKUP(B119, 'Duke 4'!A$3:$B998,2, 0), 0)</f>
        <v>0</v>
      </c>
      <c r="H119" s="10">
        <f>IFERROR(VLOOKUP(B119, Proof!A$2:$B998,2, 0), 0)</f>
        <v>0</v>
      </c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</row>
    <row r="120">
      <c r="A120" s="1">
        <f t="shared" si="1"/>
        <v>119</v>
      </c>
      <c r="B120" s="7" t="s">
        <v>330</v>
      </c>
      <c r="C120" s="8">
        <f t="shared" si="2"/>
        <v>0</v>
      </c>
      <c r="D120" s="9">
        <f>IFERROR(VLOOKUP(B120, 'Duke 1'!A$3:$B$85,2, 0), 0)</f>
        <v>0</v>
      </c>
      <c r="E120" s="9">
        <f>IFERROR(VLOOKUP(B120, 'Duke 2'!A$3:$B$522,2, 0), 0)</f>
        <v>0</v>
      </c>
      <c r="F120" s="10">
        <f>IFERROR(VLOOKUP(B120, 'Duke 3'!A$3:$B998,2, 0), 0)</f>
        <v>0</v>
      </c>
      <c r="G120" s="10">
        <f>IFERROR(VLOOKUP(B120, 'Duke 4'!A$3:$B998,2, 0), 0)</f>
        <v>0</v>
      </c>
      <c r="H120" s="10">
        <f>IFERROR(VLOOKUP(B120, Proof!A$2:$B998,2, 0), 0)</f>
        <v>0</v>
      </c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</row>
    <row r="121">
      <c r="A121" s="1">
        <f t="shared" si="1"/>
        <v>120</v>
      </c>
      <c r="B121" s="7" t="s">
        <v>393</v>
      </c>
      <c r="C121" s="8">
        <f t="shared" si="2"/>
        <v>0</v>
      </c>
      <c r="D121" s="9">
        <f>IFERROR(VLOOKUP(B121, 'Duke 1'!A$3:$B$85,2, 0), 0)</f>
        <v>0</v>
      </c>
      <c r="E121" s="9">
        <f>IFERROR(VLOOKUP(B121, 'Duke 2'!A$3:$B$522,2, 0), 0)</f>
        <v>0</v>
      </c>
      <c r="F121" s="10">
        <f>IFERROR(VLOOKUP(B121, 'Duke 3'!A$3:$B998,2, 0), 0)</f>
        <v>0</v>
      </c>
      <c r="G121" s="10">
        <f>IFERROR(VLOOKUP(B121, 'Duke 4'!A$3:$B998,2, 0), 0)</f>
        <v>0</v>
      </c>
      <c r="H121" s="10">
        <f>IFERROR(VLOOKUP(B121, Proof!A$2:$B998,2, 0), 0)</f>
        <v>0</v>
      </c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</row>
    <row r="122">
      <c r="A122" s="1">
        <f t="shared" si="1"/>
        <v>121</v>
      </c>
      <c r="B122" s="7" t="s">
        <v>320</v>
      </c>
      <c r="C122" s="8">
        <f t="shared" si="2"/>
        <v>0</v>
      </c>
      <c r="D122" s="9">
        <f>IFERROR(VLOOKUP(B122, 'Duke 1'!A$3:$B$85,2, 0), 0)</f>
        <v>0</v>
      </c>
      <c r="E122" s="9">
        <f>IFERROR(VLOOKUP(B122, 'Duke 2'!A$3:$B$522,2, 0), 0)</f>
        <v>0</v>
      </c>
      <c r="F122" s="10">
        <f>IFERROR(VLOOKUP(B122, 'Duke 3'!A$3:$B998,2, 0), 0)</f>
        <v>0</v>
      </c>
      <c r="G122" s="10">
        <f>IFERROR(VLOOKUP(B122, 'Duke 4'!A$3:$B998,2, 0), 0)</f>
        <v>0</v>
      </c>
      <c r="H122" s="10">
        <f>IFERROR(VLOOKUP(B122, Proof!A$2:$B998,2, 0), 0)</f>
        <v>0</v>
      </c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</row>
    <row r="123">
      <c r="A123" s="1">
        <f t="shared" si="1"/>
        <v>122</v>
      </c>
      <c r="B123" s="7" t="s">
        <v>342</v>
      </c>
      <c r="C123" s="8">
        <f t="shared" si="2"/>
        <v>0</v>
      </c>
      <c r="D123" s="9">
        <f>IFERROR(VLOOKUP(B123, 'Duke 1'!A$3:$B$85,2, 0), 0)</f>
        <v>0</v>
      </c>
      <c r="E123" s="9">
        <f>IFERROR(VLOOKUP(B123, 'Duke 2'!A$3:$B$522,2, 0), 0)</f>
        <v>0</v>
      </c>
      <c r="F123" s="10">
        <f>IFERROR(VLOOKUP(B123, 'Duke 3'!A$3:$B998,2, 0), 0)</f>
        <v>0</v>
      </c>
      <c r="G123" s="10">
        <f>IFERROR(VLOOKUP(B123, 'Duke 4'!A$3:$B998,2, 0), 0)</f>
        <v>0</v>
      </c>
      <c r="H123" s="10">
        <f>IFERROR(VLOOKUP(B123, Proof!A$2:$B998,2, 0), 0)</f>
        <v>0</v>
      </c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</row>
    <row r="124">
      <c r="A124" s="1">
        <f t="shared" si="1"/>
        <v>123</v>
      </c>
      <c r="B124" s="7" t="s">
        <v>373</v>
      </c>
      <c r="C124" s="8">
        <f t="shared" si="2"/>
        <v>0</v>
      </c>
      <c r="D124" s="9">
        <f>IFERROR(VLOOKUP(B124, 'Duke 1'!A$3:$B$85,2, 0), 0)</f>
        <v>0</v>
      </c>
      <c r="E124" s="9">
        <f>IFERROR(VLOOKUP(B124, 'Duke 2'!A$3:$B$522,2, 0), 0)</f>
        <v>0</v>
      </c>
      <c r="F124" s="10">
        <f>IFERROR(VLOOKUP(B124, 'Duke 3'!A$3:$B998,2, 0), 0)</f>
        <v>0</v>
      </c>
      <c r="G124" s="10">
        <f>IFERROR(VLOOKUP(B124, 'Duke 4'!A$3:$B998,2, 0), 0)</f>
        <v>0</v>
      </c>
      <c r="H124" s="10">
        <f>IFERROR(VLOOKUP(B124, Proof!A$2:$B998,2, 0), 0)</f>
        <v>0</v>
      </c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</row>
    <row r="125">
      <c r="A125" s="1">
        <f t="shared" si="1"/>
        <v>124</v>
      </c>
      <c r="B125" s="7" t="s">
        <v>285</v>
      </c>
      <c r="C125" s="8">
        <f t="shared" si="2"/>
        <v>0</v>
      </c>
      <c r="D125" s="9">
        <f>IFERROR(VLOOKUP(B125, 'Duke 1'!A$3:$B$85,2, 0), 0)</f>
        <v>0</v>
      </c>
      <c r="E125" s="9">
        <f>IFERROR(VLOOKUP(B125, 'Duke 2'!A$3:$B$522,2, 0), 0)</f>
        <v>0</v>
      </c>
      <c r="F125" s="10">
        <f>IFERROR(VLOOKUP(B125, 'Duke 3'!A$3:$B998,2, 0), 0)</f>
        <v>0</v>
      </c>
      <c r="G125" s="10">
        <f>IFERROR(VLOOKUP(B125, 'Duke 4'!A$3:$B998,2, 0), 0)</f>
        <v>0</v>
      </c>
      <c r="H125" s="10">
        <f>IFERROR(VLOOKUP(B125, Proof!A$2:$B998,2, 0), 0)</f>
        <v>0</v>
      </c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</row>
    <row r="126">
      <c r="A126" s="1">
        <f t="shared" si="1"/>
        <v>125</v>
      </c>
      <c r="B126" s="7" t="s">
        <v>399</v>
      </c>
      <c r="C126" s="8">
        <f t="shared" si="2"/>
        <v>0</v>
      </c>
      <c r="D126" s="9">
        <f>IFERROR(VLOOKUP(B126, 'Duke 1'!A$3:$B$85,2, 0), 0)</f>
        <v>0</v>
      </c>
      <c r="E126" s="9">
        <f>IFERROR(VLOOKUP(B126, 'Duke 2'!A$3:$B$522,2, 0), 0)</f>
        <v>0</v>
      </c>
      <c r="F126" s="10">
        <f>IFERROR(VLOOKUP(B126, 'Duke 3'!A$3:$B998,2, 0), 0)</f>
        <v>0</v>
      </c>
      <c r="G126" s="10">
        <f>IFERROR(VLOOKUP(B126, 'Duke 4'!A$3:$B998,2, 0), 0)</f>
        <v>0</v>
      </c>
      <c r="H126" s="10">
        <f>IFERROR(VLOOKUP(B126, Proof!A$2:$B998,2, 0), 0)</f>
        <v>0</v>
      </c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</row>
    <row r="127">
      <c r="A127" s="1">
        <f t="shared" si="1"/>
        <v>126</v>
      </c>
      <c r="B127" s="7" t="s">
        <v>329</v>
      </c>
      <c r="C127" s="8">
        <f t="shared" si="2"/>
        <v>0</v>
      </c>
      <c r="D127" s="9">
        <f>IFERROR(VLOOKUP(B127, 'Duke 1'!A$3:$B$85,2, 0), 0)</f>
        <v>0</v>
      </c>
      <c r="E127" s="9">
        <f>IFERROR(VLOOKUP(B127, 'Duke 2'!A$3:$B$522,2, 0), 0)</f>
        <v>0</v>
      </c>
      <c r="F127" s="10">
        <f>IFERROR(VLOOKUP(B127, 'Duke 3'!A$3:$B998,2, 0), 0)</f>
        <v>0</v>
      </c>
      <c r="G127" s="10">
        <f>IFERROR(VLOOKUP(B127, 'Duke 4'!A$3:$B998,2, 0), 0)</f>
        <v>0</v>
      </c>
      <c r="H127" s="10">
        <f>IFERROR(VLOOKUP(B127, Proof!A$2:$B998,2, 0), 0)</f>
        <v>0</v>
      </c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</row>
    <row r="128">
      <c r="A128" s="1">
        <f t="shared" si="1"/>
        <v>127</v>
      </c>
      <c r="B128" s="7" t="s">
        <v>375</v>
      </c>
      <c r="C128" s="8">
        <f t="shared" si="2"/>
        <v>0</v>
      </c>
      <c r="D128" s="9">
        <f>IFERROR(VLOOKUP(B128, 'Duke 1'!A$3:$B$85,2, 0), 0)</f>
        <v>0</v>
      </c>
      <c r="E128" s="9">
        <f>IFERROR(VLOOKUP(B128, 'Duke 2'!A$3:$B$522,2, 0), 0)</f>
        <v>0</v>
      </c>
      <c r="F128" s="10">
        <f>IFERROR(VLOOKUP(B128, 'Duke 3'!A$3:$B998,2, 0), 0)</f>
        <v>0</v>
      </c>
      <c r="G128" s="10">
        <f>IFERROR(VLOOKUP(B128, 'Duke 4'!A$3:$B998,2, 0), 0)</f>
        <v>0</v>
      </c>
      <c r="H128" s="10">
        <f>IFERROR(VLOOKUP(B128, Proof!A$2:$B998,2, 0), 0)</f>
        <v>0</v>
      </c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</row>
    <row r="129">
      <c r="A129" s="1">
        <f t="shared" si="1"/>
        <v>128</v>
      </c>
      <c r="B129" s="7" t="s">
        <v>372</v>
      </c>
      <c r="C129" s="8">
        <f t="shared" si="2"/>
        <v>0</v>
      </c>
      <c r="D129" s="9">
        <f>IFERROR(VLOOKUP(B129, 'Duke 1'!A$3:$B$85,2, 0), 0)</f>
        <v>0</v>
      </c>
      <c r="E129" s="9">
        <f>IFERROR(VLOOKUP(B129, 'Duke 2'!A$3:$B$522,2, 0), 0)</f>
        <v>0</v>
      </c>
      <c r="F129" s="10">
        <f>IFERROR(VLOOKUP(B129, 'Duke 3'!A$3:$B998,2, 0), 0)</f>
        <v>0</v>
      </c>
      <c r="G129" s="10">
        <f>IFERROR(VLOOKUP(B129, 'Duke 4'!A$3:$B998,2, 0), 0)</f>
        <v>0</v>
      </c>
      <c r="H129" s="10">
        <f>IFERROR(VLOOKUP(B129, Proof!A$2:$B998,2, 0), 0)</f>
        <v>0</v>
      </c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</row>
    <row r="130">
      <c r="A130" s="1">
        <f t="shared" si="1"/>
        <v>129</v>
      </c>
      <c r="B130" s="7" t="s">
        <v>289</v>
      </c>
      <c r="C130" s="8">
        <f t="shared" si="2"/>
        <v>0</v>
      </c>
      <c r="D130" s="9">
        <f>IFERROR(VLOOKUP(B130, 'Duke 1'!A$3:$B$85,2, 0), 0)</f>
        <v>0</v>
      </c>
      <c r="E130" s="9">
        <f>IFERROR(VLOOKUP(B130, 'Duke 2'!A$3:$B$522,2, 0), 0)</f>
        <v>0</v>
      </c>
      <c r="F130" s="10">
        <f>IFERROR(VLOOKUP(B130, 'Duke 3'!A$3:$B998,2, 0), 0)</f>
        <v>0</v>
      </c>
      <c r="G130" s="10">
        <f>IFERROR(VLOOKUP(B130, 'Duke 4'!A$3:$B998,2, 0), 0)</f>
        <v>0</v>
      </c>
      <c r="H130" s="10">
        <f>IFERROR(VLOOKUP(B130, Proof!A$2:$B998,2, 0), 0)</f>
        <v>0</v>
      </c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</row>
    <row r="131">
      <c r="A131" s="1">
        <f t="shared" si="1"/>
        <v>130</v>
      </c>
      <c r="B131" s="7" t="s">
        <v>338</v>
      </c>
      <c r="C131" s="8">
        <f t="shared" si="2"/>
        <v>0</v>
      </c>
      <c r="D131" s="9">
        <f>IFERROR(VLOOKUP(B131, 'Duke 1'!A$3:$B$85,2, 0), 0)</f>
        <v>0</v>
      </c>
      <c r="E131" s="9">
        <f>IFERROR(VLOOKUP(B131, 'Duke 2'!A$3:$B$522,2, 0), 0)</f>
        <v>0</v>
      </c>
      <c r="F131" s="10">
        <f>IFERROR(VLOOKUP(B131, 'Duke 3'!A$3:$B998,2, 0), 0)</f>
        <v>0</v>
      </c>
      <c r="G131" s="10">
        <f>IFERROR(VLOOKUP(B131, 'Duke 4'!A$3:$B998,2, 0), 0)</f>
        <v>0</v>
      </c>
      <c r="H131" s="10">
        <f>IFERROR(VLOOKUP(B131, Proof!A$2:$B998,2, 0), 0)</f>
        <v>0</v>
      </c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</row>
    <row r="132">
      <c r="A132" s="1">
        <f t="shared" si="1"/>
        <v>131</v>
      </c>
      <c r="B132" s="7" t="s">
        <v>277</v>
      </c>
      <c r="C132" s="8">
        <f t="shared" si="2"/>
        <v>0</v>
      </c>
      <c r="D132" s="9">
        <f>IFERROR(VLOOKUP(B132, 'Duke 1'!A$3:$B$85,2, 0), 0)</f>
        <v>0</v>
      </c>
      <c r="E132" s="9">
        <f>IFERROR(VLOOKUP(B132, 'Duke 2'!A$3:$B$522,2, 0), 0)</f>
        <v>0</v>
      </c>
      <c r="F132" s="10">
        <f>IFERROR(VLOOKUP(B132, 'Duke 3'!A$3:$B998,2, 0), 0)</f>
        <v>0</v>
      </c>
      <c r="G132" s="10">
        <f>IFERROR(VLOOKUP(B132, 'Duke 4'!A$3:$B998,2, 0), 0)</f>
        <v>0</v>
      </c>
      <c r="H132" s="10">
        <f>IFERROR(VLOOKUP(B132, Proof!A$2:$B998,2, 0), 0)</f>
        <v>0</v>
      </c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</row>
    <row r="133">
      <c r="A133" s="1">
        <f t="shared" si="1"/>
        <v>132</v>
      </c>
      <c r="B133" s="7" t="s">
        <v>360</v>
      </c>
      <c r="C133" s="8">
        <f t="shared" si="2"/>
        <v>0</v>
      </c>
      <c r="D133" s="9">
        <f>IFERROR(VLOOKUP(B133, 'Duke 1'!A$3:$B$85,2, 0), 0)</f>
        <v>0</v>
      </c>
      <c r="E133" s="9">
        <f>IFERROR(VLOOKUP(B133, 'Duke 2'!A$3:$B$522,2, 0), 0)</f>
        <v>0</v>
      </c>
      <c r="F133" s="10">
        <f>IFERROR(VLOOKUP(B133, 'Duke 3'!A$3:$B998,2, 0), 0)</f>
        <v>0</v>
      </c>
      <c r="G133" s="10">
        <f>IFERROR(VLOOKUP(B133, 'Duke 4'!A$3:$B998,2, 0), 0)</f>
        <v>0</v>
      </c>
      <c r="H133" s="10">
        <f>IFERROR(VLOOKUP(B133, Proof!A$2:$B998,2, 0), 0)</f>
        <v>0</v>
      </c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</row>
    <row r="134">
      <c r="A134" s="1">
        <f t="shared" si="1"/>
        <v>133</v>
      </c>
      <c r="B134" s="7" t="s">
        <v>381</v>
      </c>
      <c r="C134" s="8">
        <f t="shared" si="2"/>
        <v>0</v>
      </c>
      <c r="D134" s="9">
        <f>IFERROR(VLOOKUP(B134, 'Duke 1'!A$3:$B$85,2, 0), 0)</f>
        <v>0</v>
      </c>
      <c r="E134" s="9">
        <f>IFERROR(VLOOKUP(B134, 'Duke 2'!A$3:$B$522,2, 0), 0)</f>
        <v>0</v>
      </c>
      <c r="F134" s="10">
        <f>IFERROR(VLOOKUP(B134, 'Duke 3'!A$3:$B998,2, 0), 0)</f>
        <v>0</v>
      </c>
      <c r="G134" s="10">
        <f>IFERROR(VLOOKUP(B134, 'Duke 4'!A$3:$B998,2, 0), 0)</f>
        <v>0</v>
      </c>
      <c r="H134" s="10">
        <f>IFERROR(VLOOKUP(B134, Proof!A$2:$B998,2, 0), 0)</f>
        <v>0</v>
      </c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</row>
    <row r="135">
      <c r="A135" s="1">
        <f t="shared" si="1"/>
        <v>134</v>
      </c>
      <c r="B135" s="7" t="s">
        <v>319</v>
      </c>
      <c r="C135" s="8">
        <f t="shared" si="2"/>
        <v>0</v>
      </c>
      <c r="D135" s="9">
        <f>IFERROR(VLOOKUP(B135, 'Duke 1'!A$3:$B$85,2, 0), 0)</f>
        <v>0</v>
      </c>
      <c r="E135" s="9">
        <f>IFERROR(VLOOKUP(B135, 'Duke 2'!A$3:$B$522,2, 0), 0)</f>
        <v>0</v>
      </c>
      <c r="F135" s="10">
        <f>IFERROR(VLOOKUP(B135, 'Duke 3'!A$3:$B998,2, 0), 0)</f>
        <v>0</v>
      </c>
      <c r="G135" s="10">
        <f>IFERROR(VLOOKUP(B135, 'Duke 4'!A$3:$B998,2, 0), 0)</f>
        <v>0</v>
      </c>
      <c r="H135" s="10">
        <f>IFERROR(VLOOKUP(B135, Proof!A$2:$B998,2, 0), 0)</f>
        <v>0</v>
      </c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</row>
    <row r="136">
      <c r="A136" s="1">
        <f t="shared" si="1"/>
        <v>135</v>
      </c>
      <c r="B136" s="7" t="s">
        <v>411</v>
      </c>
      <c r="C136" s="8">
        <f t="shared" si="2"/>
        <v>0</v>
      </c>
      <c r="D136" s="9">
        <f>IFERROR(VLOOKUP(B136, 'Duke 1'!A$3:$B$85,2, 0), 0)</f>
        <v>0</v>
      </c>
      <c r="E136" s="9">
        <f>IFERROR(VLOOKUP(B136, 'Duke 2'!A$3:$B$522,2, 0), 0)</f>
        <v>0</v>
      </c>
      <c r="F136" s="10">
        <f>IFERROR(VLOOKUP(B136, 'Duke 3'!A$3:$B998,2, 0), 0)</f>
        <v>0</v>
      </c>
      <c r="G136" s="10">
        <f>IFERROR(VLOOKUP(B136, 'Duke 4'!A$3:$B998,2, 0), 0)</f>
        <v>0</v>
      </c>
      <c r="H136" s="10">
        <f>IFERROR(VLOOKUP(B136, Proof!A$2:$B998,2, 0), 0)</f>
        <v>0</v>
      </c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</row>
    <row r="137">
      <c r="A137" s="1">
        <f t="shared" si="1"/>
        <v>136</v>
      </c>
      <c r="B137" s="7" t="s">
        <v>374</v>
      </c>
      <c r="C137" s="8">
        <f t="shared" si="2"/>
        <v>0</v>
      </c>
      <c r="D137" s="9">
        <f>IFERROR(VLOOKUP(B137, 'Duke 1'!A$3:$B$85,2, 0), 0)</f>
        <v>0</v>
      </c>
      <c r="E137" s="9">
        <f>IFERROR(VLOOKUP(B137, 'Duke 2'!A$3:$B$522,2, 0), 0)</f>
        <v>0</v>
      </c>
      <c r="F137" s="10">
        <f>IFERROR(VLOOKUP(B137, 'Duke 3'!A$3:$B998,2, 0), 0)</f>
        <v>0</v>
      </c>
      <c r="G137" s="10">
        <f>IFERROR(VLOOKUP(B137, 'Duke 4'!A$3:$B998,2, 0), 0)</f>
        <v>0</v>
      </c>
      <c r="H137" s="10">
        <f>IFERROR(VLOOKUP(B137, Proof!A$2:$B998,2, 0), 0)</f>
        <v>0</v>
      </c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</row>
    <row r="138">
      <c r="A138" s="1">
        <f t="shared" si="1"/>
        <v>137</v>
      </c>
      <c r="B138" s="7" t="s">
        <v>98</v>
      </c>
      <c r="C138" s="8">
        <f t="shared" si="2"/>
        <v>0</v>
      </c>
      <c r="D138" s="9">
        <f>IFERROR(VLOOKUP(B138, 'Duke 1'!A$3:$B$85,2, 0), 0)</f>
        <v>0</v>
      </c>
      <c r="E138" s="9">
        <f>IFERROR(VLOOKUP(B138, 'Duke 2'!A$3:$B$522,2, 0), 0)</f>
        <v>0</v>
      </c>
      <c r="F138" s="10">
        <f>IFERROR(VLOOKUP(B138, 'Duke 3'!A$3:$B998,2, 0), 0)</f>
        <v>0</v>
      </c>
      <c r="G138" s="10">
        <f>IFERROR(VLOOKUP(B138, 'Duke 4'!A$3:$B998,2, 0), 0)</f>
        <v>0</v>
      </c>
      <c r="H138" s="10">
        <f>IFERROR(VLOOKUP(B138, Proof!A$2:$B998,2, 0), 0)</f>
        <v>0</v>
      </c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</row>
    <row r="139">
      <c r="A139" s="1">
        <f t="shared" si="1"/>
        <v>138</v>
      </c>
      <c r="B139" s="7" t="s">
        <v>333</v>
      </c>
      <c r="C139" s="8">
        <f t="shared" si="2"/>
        <v>0</v>
      </c>
      <c r="D139" s="9">
        <f>IFERROR(VLOOKUP(B139, 'Duke 1'!A$3:$B$85,2, 0), 0)</f>
        <v>0</v>
      </c>
      <c r="E139" s="9">
        <f>IFERROR(VLOOKUP(B139, 'Duke 2'!A$3:$B$522,2, 0), 0)</f>
        <v>0</v>
      </c>
      <c r="F139" s="10">
        <f>IFERROR(VLOOKUP(B139, 'Duke 3'!A$3:$B998,2, 0), 0)</f>
        <v>0</v>
      </c>
      <c r="G139" s="10">
        <f>IFERROR(VLOOKUP(B139, 'Duke 4'!A$3:$B998,2, 0), 0)</f>
        <v>0</v>
      </c>
      <c r="H139" s="10">
        <f>IFERROR(VLOOKUP(B139, Proof!A$2:$B998,2, 0), 0)</f>
        <v>0</v>
      </c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</row>
    <row r="140">
      <c r="A140" s="1">
        <f t="shared" si="1"/>
        <v>139</v>
      </c>
      <c r="B140" s="7" t="s">
        <v>323</v>
      </c>
      <c r="C140" s="8">
        <f t="shared" si="2"/>
        <v>0</v>
      </c>
      <c r="D140" s="9">
        <f>IFERROR(VLOOKUP(B140, 'Duke 1'!A$3:$B$85,2, 0), 0)</f>
        <v>0</v>
      </c>
      <c r="E140" s="9">
        <f>IFERROR(VLOOKUP(B140, 'Duke 2'!A$3:$B$522,2, 0), 0)</f>
        <v>0</v>
      </c>
      <c r="F140" s="10">
        <f>IFERROR(VLOOKUP(B140, 'Duke 3'!A$3:$B998,2, 0), 0)</f>
        <v>0</v>
      </c>
      <c r="G140" s="10">
        <f>IFERROR(VLOOKUP(B140, 'Duke 4'!A$3:$B998,2, 0), 0)</f>
        <v>0</v>
      </c>
      <c r="H140" s="10">
        <f>IFERROR(VLOOKUP(B140, Proof!A$2:$B998,2, 0), 0)</f>
        <v>0</v>
      </c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</row>
    <row r="141">
      <c r="A141" s="1">
        <f t="shared" si="1"/>
        <v>140</v>
      </c>
      <c r="B141" s="7" t="s">
        <v>380</v>
      </c>
      <c r="C141" s="8">
        <f t="shared" si="2"/>
        <v>0</v>
      </c>
      <c r="D141" s="9">
        <f>IFERROR(VLOOKUP(B141, 'Duke 1'!A$3:$B$85,2, 0), 0)</f>
        <v>0</v>
      </c>
      <c r="E141" s="9">
        <f>IFERROR(VLOOKUP(B141, 'Duke 2'!A$3:$B$522,2, 0), 0)</f>
        <v>0</v>
      </c>
      <c r="F141" s="10">
        <f>IFERROR(VLOOKUP(B141, 'Duke 3'!A$3:$B998,2, 0), 0)</f>
        <v>0</v>
      </c>
      <c r="G141" s="10">
        <f>IFERROR(VLOOKUP(B141, 'Duke 4'!A$3:$B998,2, 0), 0)</f>
        <v>0</v>
      </c>
      <c r="H141" s="10">
        <f>IFERROR(VLOOKUP(B141, Proof!A$2:$B998,2, 0), 0)</f>
        <v>0</v>
      </c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</row>
    <row r="142">
      <c r="A142" s="1">
        <f t="shared" si="1"/>
        <v>141</v>
      </c>
      <c r="B142" s="7" t="s">
        <v>359</v>
      </c>
      <c r="C142" s="8">
        <f t="shared" si="2"/>
        <v>0</v>
      </c>
      <c r="D142" s="9">
        <f>IFERROR(VLOOKUP(B142, 'Duke 1'!A$3:$B$85,2, 0), 0)</f>
        <v>0</v>
      </c>
      <c r="E142" s="9">
        <f>IFERROR(VLOOKUP(B142, 'Duke 2'!A$3:$B$522,2, 0), 0)</f>
        <v>0</v>
      </c>
      <c r="F142" s="10">
        <f>IFERROR(VLOOKUP(B142, 'Duke 3'!A$3:$B998,2, 0), 0)</f>
        <v>0</v>
      </c>
      <c r="G142" s="10">
        <f>IFERROR(VLOOKUP(B142, 'Duke 4'!A$3:$B998,2, 0), 0)</f>
        <v>0</v>
      </c>
      <c r="H142" s="10">
        <f>IFERROR(VLOOKUP(B142, Proof!A$2:$B998,2, 0), 0)</f>
        <v>0</v>
      </c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</row>
    <row r="143">
      <c r="A143" s="1">
        <f t="shared" si="1"/>
        <v>142</v>
      </c>
      <c r="B143" s="7" t="s">
        <v>377</v>
      </c>
      <c r="C143" s="8">
        <f t="shared" si="2"/>
        <v>0</v>
      </c>
      <c r="D143" s="9">
        <f>IFERROR(VLOOKUP(B143, 'Duke 1'!A$3:$B$85,2, 0), 0)</f>
        <v>0</v>
      </c>
      <c r="E143" s="9">
        <f>IFERROR(VLOOKUP(B143, 'Duke 2'!A$3:$B$522,2, 0), 0)</f>
        <v>0</v>
      </c>
      <c r="F143" s="10">
        <f>IFERROR(VLOOKUP(B143, 'Duke 3'!A$3:$B998,2, 0), 0)</f>
        <v>0</v>
      </c>
      <c r="G143" s="10">
        <f>IFERROR(VLOOKUP(B143, 'Duke 4'!A$3:$B998,2, 0), 0)</f>
        <v>0</v>
      </c>
      <c r="H143" s="10">
        <f>IFERROR(VLOOKUP(B143, Proof!A$2:$B998,2, 0), 0)</f>
        <v>0</v>
      </c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</row>
    <row r="144">
      <c r="A144" s="1">
        <f t="shared" si="1"/>
        <v>143</v>
      </c>
      <c r="B144" s="7" t="s">
        <v>356</v>
      </c>
      <c r="C144" s="8">
        <f t="shared" si="2"/>
        <v>0</v>
      </c>
      <c r="D144" s="9">
        <f>IFERROR(VLOOKUP(B144, 'Duke 1'!A$3:$B$85,2, 0), 0)</f>
        <v>0</v>
      </c>
      <c r="E144" s="9">
        <f>IFERROR(VLOOKUP(B144, 'Duke 2'!A$3:$B$522,2, 0), 0)</f>
        <v>0</v>
      </c>
      <c r="F144" s="10">
        <f>IFERROR(VLOOKUP(B144, 'Duke 3'!A$3:$B998,2, 0), 0)</f>
        <v>0</v>
      </c>
      <c r="G144" s="10">
        <f>IFERROR(VLOOKUP(B144, 'Duke 4'!A$3:$B998,2, 0), 0)</f>
        <v>0</v>
      </c>
      <c r="H144" s="10">
        <f>IFERROR(VLOOKUP(B144, Proof!A$2:$B998,2, 0), 0)</f>
        <v>0</v>
      </c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</row>
    <row r="145">
      <c r="A145" s="1">
        <f t="shared" si="1"/>
        <v>144</v>
      </c>
      <c r="B145" s="7" t="s">
        <v>303</v>
      </c>
      <c r="C145" s="8">
        <f t="shared" si="2"/>
        <v>0</v>
      </c>
      <c r="D145" s="9">
        <f>IFERROR(VLOOKUP(B145, 'Duke 1'!A$3:$B$85,2, 0), 0)</f>
        <v>0</v>
      </c>
      <c r="E145" s="9">
        <f>IFERROR(VLOOKUP(B145, 'Duke 2'!A$3:$B$522,2, 0), 0)</f>
        <v>0</v>
      </c>
      <c r="F145" s="10">
        <f>IFERROR(VLOOKUP(B145, 'Duke 3'!A$3:$B998,2, 0), 0)</f>
        <v>0</v>
      </c>
      <c r="G145" s="10">
        <f>IFERROR(VLOOKUP(B145, 'Duke 4'!A$3:$B998,2, 0), 0)</f>
        <v>0</v>
      </c>
      <c r="H145" s="10">
        <f>IFERROR(VLOOKUP(B145, Proof!A$2:$B998,2, 0), 0)</f>
        <v>0</v>
      </c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</row>
    <row r="146">
      <c r="A146" s="1">
        <f t="shared" si="1"/>
        <v>145</v>
      </c>
      <c r="B146" s="7" t="s">
        <v>276</v>
      </c>
      <c r="C146" s="8">
        <f t="shared" si="2"/>
        <v>0</v>
      </c>
      <c r="D146" s="9">
        <f>IFERROR(VLOOKUP(B146, 'Duke 1'!A$3:$B$85,2, 0), 0)</f>
        <v>0</v>
      </c>
      <c r="E146" s="9">
        <f>IFERROR(VLOOKUP(B146, 'Duke 2'!A$3:$B$522,2, 0), 0)</f>
        <v>0</v>
      </c>
      <c r="F146" s="10">
        <f>IFERROR(VLOOKUP(B146, 'Duke 3'!A$3:$B998,2, 0), 0)</f>
        <v>0</v>
      </c>
      <c r="G146" s="10">
        <f>IFERROR(VLOOKUP(B146, 'Duke 4'!A$3:$B998,2, 0), 0)</f>
        <v>0</v>
      </c>
      <c r="H146" s="10">
        <f>IFERROR(VLOOKUP(B146, Proof!A$2:$B998,2, 0), 0)</f>
        <v>0</v>
      </c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</row>
    <row r="147">
      <c r="A147" s="1">
        <f t="shared" si="1"/>
        <v>146</v>
      </c>
      <c r="B147" s="7" t="s">
        <v>301</v>
      </c>
      <c r="C147" s="8">
        <f t="shared" si="2"/>
        <v>0</v>
      </c>
      <c r="D147" s="9">
        <f>IFERROR(VLOOKUP(B147, 'Duke 1'!A$3:$B$85,2, 0), 0)</f>
        <v>0</v>
      </c>
      <c r="E147" s="9">
        <f>IFERROR(VLOOKUP(B147, 'Duke 2'!A$3:$B$522,2, 0), 0)</f>
        <v>0</v>
      </c>
      <c r="F147" s="10">
        <f>IFERROR(VLOOKUP(B147, 'Duke 3'!A$3:$B998,2, 0), 0)</f>
        <v>0</v>
      </c>
      <c r="G147" s="10">
        <f>IFERROR(VLOOKUP(B147, 'Duke 4'!A$3:$B998,2, 0), 0)</f>
        <v>0</v>
      </c>
      <c r="H147" s="10">
        <f>IFERROR(VLOOKUP(B147, Proof!A$2:$B998,2, 0), 0)</f>
        <v>0</v>
      </c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</row>
    <row r="148">
      <c r="A148" s="1">
        <f t="shared" si="1"/>
        <v>147</v>
      </c>
      <c r="B148" s="7" t="s">
        <v>368</v>
      </c>
      <c r="C148" s="8">
        <f t="shared" si="2"/>
        <v>0</v>
      </c>
      <c r="D148" s="9">
        <f>IFERROR(VLOOKUP(B148, 'Duke 1'!A$3:$B$85,2, 0), 0)</f>
        <v>0</v>
      </c>
      <c r="E148" s="9">
        <f>IFERROR(VLOOKUP(B148, 'Duke 2'!A$3:$B$522,2, 0), 0)</f>
        <v>0</v>
      </c>
      <c r="F148" s="10">
        <f>IFERROR(VLOOKUP(B148, 'Duke 3'!A$3:$B998,2, 0), 0)</f>
        <v>0</v>
      </c>
      <c r="G148" s="10">
        <f>IFERROR(VLOOKUP(B148, 'Duke 4'!A$3:$B998,2, 0), 0)</f>
        <v>0</v>
      </c>
      <c r="H148" s="10">
        <f>IFERROR(VLOOKUP(B148, Proof!A$2:$B998,2, 0), 0)</f>
        <v>0</v>
      </c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</row>
    <row r="149">
      <c r="A149" s="1">
        <f t="shared" si="1"/>
        <v>148</v>
      </c>
      <c r="B149" s="7" t="s">
        <v>357</v>
      </c>
      <c r="C149" s="8">
        <f t="shared" si="2"/>
        <v>0</v>
      </c>
      <c r="D149" s="9">
        <f>IFERROR(VLOOKUP(B149, 'Duke 1'!A$3:$B$85,2, 0), 0)</f>
        <v>0</v>
      </c>
      <c r="E149" s="9">
        <f>IFERROR(VLOOKUP(B149, 'Duke 2'!A$3:$B$522,2, 0), 0)</f>
        <v>0</v>
      </c>
      <c r="F149" s="10">
        <f>IFERROR(VLOOKUP(B149, 'Duke 3'!A$3:$B998,2, 0), 0)</f>
        <v>0</v>
      </c>
      <c r="G149" s="10">
        <f>IFERROR(VLOOKUP(B149, 'Duke 4'!A$3:$B998,2, 0), 0)</f>
        <v>0</v>
      </c>
      <c r="H149" s="10">
        <f>IFERROR(VLOOKUP(B149, Proof!A$2:$B998,2, 0), 0)</f>
        <v>0</v>
      </c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</row>
    <row r="150">
      <c r="A150" s="1">
        <f t="shared" si="1"/>
        <v>149</v>
      </c>
      <c r="B150" s="7" t="s">
        <v>341</v>
      </c>
      <c r="C150" s="8">
        <f t="shared" si="2"/>
        <v>0</v>
      </c>
      <c r="D150" s="9">
        <f>IFERROR(VLOOKUP(B150, 'Duke 1'!A$3:$B$85,2, 0), 0)</f>
        <v>0</v>
      </c>
      <c r="E150" s="9">
        <f>IFERROR(VLOOKUP(B150, 'Duke 2'!A$3:$B$522,2, 0), 0)</f>
        <v>0</v>
      </c>
      <c r="F150" s="10">
        <f>IFERROR(VLOOKUP(B150, 'Duke 3'!A$3:$B998,2, 0), 0)</f>
        <v>0</v>
      </c>
      <c r="G150" s="10">
        <f>IFERROR(VLOOKUP(B150, 'Duke 4'!A$3:$B998,2, 0), 0)</f>
        <v>0</v>
      </c>
      <c r="H150" s="10">
        <f>IFERROR(VLOOKUP(B150, Proof!A$2:$B998,2, 0), 0)</f>
        <v>0</v>
      </c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</row>
    <row r="151">
      <c r="A151" s="1">
        <f t="shared" si="1"/>
        <v>150</v>
      </c>
      <c r="B151" s="7" t="s">
        <v>376</v>
      </c>
      <c r="C151" s="8">
        <f t="shared" si="2"/>
        <v>0</v>
      </c>
      <c r="D151" s="9">
        <f>IFERROR(VLOOKUP(B151, 'Duke 1'!A$3:$B$85,2, 0), 0)</f>
        <v>0</v>
      </c>
      <c r="E151" s="9">
        <f>IFERROR(VLOOKUP(B151, 'Duke 2'!A$3:$B$522,2, 0), 0)</f>
        <v>0</v>
      </c>
      <c r="F151" s="10">
        <f>IFERROR(VLOOKUP(B151, 'Duke 3'!A$3:$B998,2, 0), 0)</f>
        <v>0</v>
      </c>
      <c r="G151" s="10">
        <f>IFERROR(VLOOKUP(B151, 'Duke 4'!A$3:$B998,2, 0), 0)</f>
        <v>0</v>
      </c>
      <c r="H151" s="10">
        <f>IFERROR(VLOOKUP(B151, Proof!A$2:$B998,2, 0), 0)</f>
        <v>0</v>
      </c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</row>
    <row r="152">
      <c r="A152" s="1">
        <f t="shared" si="1"/>
        <v>151</v>
      </c>
      <c r="B152" s="7" t="s">
        <v>397</v>
      </c>
      <c r="C152" s="8">
        <f t="shared" si="2"/>
        <v>0</v>
      </c>
      <c r="D152" s="9">
        <f>IFERROR(VLOOKUP(B152, 'Duke 1'!A$3:$B$85,2, 0), 0)</f>
        <v>0</v>
      </c>
      <c r="E152" s="9">
        <f>IFERROR(VLOOKUP(B152, 'Duke 2'!A$3:$B$522,2, 0), 0)</f>
        <v>0</v>
      </c>
      <c r="F152" s="10">
        <f>IFERROR(VLOOKUP(B152, 'Duke 3'!A$3:$B998,2, 0), 0)</f>
        <v>0</v>
      </c>
      <c r="G152" s="10">
        <f>IFERROR(VLOOKUP(B152, 'Duke 4'!A$3:$B998,2, 0), 0)</f>
        <v>0</v>
      </c>
      <c r="H152" s="10">
        <f>IFERROR(VLOOKUP(B152, Proof!A$2:$B998,2, 0), 0)</f>
        <v>0</v>
      </c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</row>
    <row r="153">
      <c r="A153" s="1">
        <f t="shared" si="1"/>
        <v>152</v>
      </c>
      <c r="B153" s="7" t="s">
        <v>315</v>
      </c>
      <c r="C153" s="8">
        <f t="shared" si="2"/>
        <v>0</v>
      </c>
      <c r="D153" s="9">
        <f>IFERROR(VLOOKUP(B153, 'Duke 1'!A$3:$B$85,2, 0), 0)</f>
        <v>0</v>
      </c>
      <c r="E153" s="9">
        <f>IFERROR(VLOOKUP(B153, 'Duke 2'!A$3:$B$522,2, 0), 0)</f>
        <v>0</v>
      </c>
      <c r="F153" s="10">
        <f>IFERROR(VLOOKUP(B153, 'Duke 3'!A$3:$B998,2, 0), 0)</f>
        <v>0</v>
      </c>
      <c r="G153" s="10">
        <f>IFERROR(VLOOKUP(B153, 'Duke 4'!A$3:$B998,2, 0), 0)</f>
        <v>0</v>
      </c>
      <c r="H153" s="10">
        <f>IFERROR(VLOOKUP(B153, Proof!A$2:$B998,2, 0), 0)</f>
        <v>0</v>
      </c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</row>
    <row r="154">
      <c r="A154" s="1">
        <f t="shared" si="1"/>
        <v>153</v>
      </c>
      <c r="B154" s="7" t="s">
        <v>295</v>
      </c>
      <c r="C154" s="8">
        <f t="shared" si="2"/>
        <v>0</v>
      </c>
      <c r="D154" s="9">
        <f>IFERROR(VLOOKUP(B154, 'Duke 1'!A$3:$B$85,2, 0), 0)</f>
        <v>0</v>
      </c>
      <c r="E154" s="9">
        <f>IFERROR(VLOOKUP(B154, 'Duke 2'!A$3:$B$522,2, 0), 0)</f>
        <v>0</v>
      </c>
      <c r="F154" s="10">
        <f>IFERROR(VLOOKUP(B154, 'Duke 3'!A$3:$B998,2, 0), 0)</f>
        <v>0</v>
      </c>
      <c r="G154" s="10">
        <f>IFERROR(VLOOKUP(B154, 'Duke 4'!A$3:$B998,2, 0), 0)</f>
        <v>0</v>
      </c>
      <c r="H154" s="10">
        <f>IFERROR(VLOOKUP(B154, Proof!A$2:$B998,2, 0), 0)</f>
        <v>0</v>
      </c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</row>
    <row r="155">
      <c r="A155" s="1">
        <f t="shared" si="1"/>
        <v>154</v>
      </c>
      <c r="B155" s="7" t="s">
        <v>293</v>
      </c>
      <c r="C155" s="8">
        <f t="shared" si="2"/>
        <v>0</v>
      </c>
      <c r="D155" s="9">
        <f>IFERROR(VLOOKUP(B155, 'Duke 1'!A$3:$B$85,2, 0), 0)</f>
        <v>0</v>
      </c>
      <c r="E155" s="9">
        <f>IFERROR(VLOOKUP(B155, 'Duke 2'!A$3:$B$522,2, 0), 0)</f>
        <v>0</v>
      </c>
      <c r="F155" s="10">
        <f>IFERROR(VLOOKUP(B155, 'Duke 3'!A$3:$B998,2, 0), 0)</f>
        <v>0</v>
      </c>
      <c r="G155" s="10">
        <f>IFERROR(VLOOKUP(B155, 'Duke 4'!A$3:$B998,2, 0), 0)</f>
        <v>0</v>
      </c>
      <c r="H155" s="10">
        <f>IFERROR(VLOOKUP(B155, Proof!A$2:$B998,2, 0), 0)</f>
        <v>0</v>
      </c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</row>
    <row r="156">
      <c r="A156" s="1">
        <f t="shared" si="1"/>
        <v>155</v>
      </c>
      <c r="B156" s="7" t="s">
        <v>308</v>
      </c>
      <c r="C156" s="8">
        <f t="shared" si="2"/>
        <v>0</v>
      </c>
      <c r="D156" s="9">
        <f>IFERROR(VLOOKUP(B156, 'Duke 1'!A$3:$B$85,2, 0), 0)</f>
        <v>0</v>
      </c>
      <c r="E156" s="9">
        <f>IFERROR(VLOOKUP(B156, 'Duke 2'!A$3:$B$522,2, 0), 0)</f>
        <v>0</v>
      </c>
      <c r="F156" s="10">
        <f>IFERROR(VLOOKUP(B156, 'Duke 3'!A$3:$B998,2, 0), 0)</f>
        <v>0</v>
      </c>
      <c r="G156" s="10">
        <f>IFERROR(VLOOKUP(B156, 'Duke 4'!A$3:$B998,2, 0), 0)</f>
        <v>0</v>
      </c>
      <c r="H156" s="10">
        <f>IFERROR(VLOOKUP(B156, Proof!A$2:$B998,2, 0), 0)</f>
        <v>0</v>
      </c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</row>
    <row r="157">
      <c r="A157" s="1">
        <f t="shared" si="1"/>
        <v>156</v>
      </c>
      <c r="B157" s="7" t="s">
        <v>327</v>
      </c>
      <c r="C157" s="8">
        <f t="shared" si="2"/>
        <v>0</v>
      </c>
      <c r="D157" s="9">
        <f>IFERROR(VLOOKUP(B157, 'Duke 1'!A$3:$B$85,2, 0), 0)</f>
        <v>0</v>
      </c>
      <c r="E157" s="9">
        <f>IFERROR(VLOOKUP(B157, 'Duke 2'!A$3:$B$522,2, 0), 0)</f>
        <v>0</v>
      </c>
      <c r="F157" s="10">
        <f>IFERROR(VLOOKUP(B157, 'Duke 3'!A$3:$B998,2, 0), 0)</f>
        <v>0</v>
      </c>
      <c r="G157" s="10">
        <f>IFERROR(VLOOKUP(B157, 'Duke 4'!A$3:$B998,2, 0), 0)</f>
        <v>0</v>
      </c>
      <c r="H157" s="10">
        <f>IFERROR(VLOOKUP(B157, Proof!A$2:$B998,2, 0), 0)</f>
        <v>0</v>
      </c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</row>
    <row r="158">
      <c r="A158" s="1">
        <f t="shared" si="1"/>
        <v>157</v>
      </c>
      <c r="B158" s="7" t="s">
        <v>312</v>
      </c>
      <c r="C158" s="8">
        <f t="shared" si="2"/>
        <v>0</v>
      </c>
      <c r="D158" s="9">
        <f>IFERROR(VLOOKUP(B158, 'Duke 1'!A$3:$B$85,2, 0), 0)</f>
        <v>0</v>
      </c>
      <c r="E158" s="9">
        <f>IFERROR(VLOOKUP(B158, 'Duke 2'!A$3:$B$522,2, 0), 0)</f>
        <v>0</v>
      </c>
      <c r="F158" s="10">
        <f>IFERROR(VLOOKUP(B158, 'Duke 3'!A$3:$B998,2, 0), 0)</f>
        <v>0</v>
      </c>
      <c r="G158" s="10">
        <f>IFERROR(VLOOKUP(B158, 'Duke 4'!A$3:$B998,2, 0), 0)</f>
        <v>0</v>
      </c>
      <c r="H158" s="10">
        <f>IFERROR(VLOOKUP(B158, Proof!A$2:$B998,2, 0), 0)</f>
        <v>0</v>
      </c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</row>
    <row r="159">
      <c r="A159" s="1">
        <f t="shared" si="1"/>
        <v>158</v>
      </c>
      <c r="B159" s="7" t="s">
        <v>363</v>
      </c>
      <c r="C159" s="8">
        <f t="shared" si="2"/>
        <v>0</v>
      </c>
      <c r="D159" s="9">
        <f>IFERROR(VLOOKUP(B159, 'Duke 1'!A$3:$B$85,2, 0), 0)</f>
        <v>0</v>
      </c>
      <c r="E159" s="9">
        <f>IFERROR(VLOOKUP(B159, 'Duke 2'!A$3:$B$522,2, 0), 0)</f>
        <v>0</v>
      </c>
      <c r="F159" s="10">
        <f>IFERROR(VLOOKUP(B159, 'Duke 3'!A$3:$B998,2, 0), 0)</f>
        <v>0</v>
      </c>
      <c r="G159" s="10">
        <f>IFERROR(VLOOKUP(B159, 'Duke 4'!A$3:$B998,2, 0), 0)</f>
        <v>0</v>
      </c>
      <c r="H159" s="10">
        <f>IFERROR(VLOOKUP(B159, Proof!A$2:$B998,2, 0), 0)</f>
        <v>0</v>
      </c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</row>
    <row r="160">
      <c r="A160" s="1">
        <f t="shared" si="1"/>
        <v>159</v>
      </c>
      <c r="B160" s="7" t="s">
        <v>331</v>
      </c>
      <c r="C160" s="8">
        <f t="shared" si="2"/>
        <v>0</v>
      </c>
      <c r="D160" s="9">
        <f>IFERROR(VLOOKUP(B160, 'Duke 1'!A$3:$B$85,2, 0), 0)</f>
        <v>0</v>
      </c>
      <c r="E160" s="9">
        <f>IFERROR(VLOOKUP(B160, 'Duke 2'!A$3:$B$522,2, 0), 0)</f>
        <v>0</v>
      </c>
      <c r="F160" s="10">
        <f>IFERROR(VLOOKUP(B160, 'Duke 3'!A$3:$B998,2, 0), 0)</f>
        <v>0</v>
      </c>
      <c r="G160" s="10">
        <f>IFERROR(VLOOKUP(B160, 'Duke 4'!A$3:$B998,2, 0), 0)</f>
        <v>0</v>
      </c>
      <c r="H160" s="10">
        <f>IFERROR(VLOOKUP(B160, Proof!A$2:$B998,2, 0), 0)</f>
        <v>0</v>
      </c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</row>
    <row r="161">
      <c r="A161" s="1">
        <f t="shared" si="1"/>
        <v>160</v>
      </c>
      <c r="B161" s="7" t="s">
        <v>324</v>
      </c>
      <c r="C161" s="8">
        <f t="shared" si="2"/>
        <v>0</v>
      </c>
      <c r="D161" s="9">
        <f>IFERROR(VLOOKUP(B161, 'Duke 1'!A$3:$B$85,2, 0), 0)</f>
        <v>0</v>
      </c>
      <c r="E161" s="9">
        <f>IFERROR(VLOOKUP(B161, 'Duke 2'!A$3:$B$522,2, 0), 0)</f>
        <v>0</v>
      </c>
      <c r="F161" s="10">
        <f>IFERROR(VLOOKUP(B161, 'Duke 3'!A$3:$B998,2, 0), 0)</f>
        <v>0</v>
      </c>
      <c r="G161" s="10">
        <f>IFERROR(VLOOKUP(B161, 'Duke 4'!A$3:$B998,2, 0), 0)</f>
        <v>0</v>
      </c>
      <c r="H161" s="10">
        <f>IFERROR(VLOOKUP(B161, Proof!A$2:$B998,2, 0), 0)</f>
        <v>0</v>
      </c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</row>
    <row r="162">
      <c r="A162" s="1">
        <f t="shared" si="1"/>
        <v>161</v>
      </c>
      <c r="B162" s="7" t="s">
        <v>321</v>
      </c>
      <c r="C162" s="8">
        <f t="shared" si="2"/>
        <v>0</v>
      </c>
      <c r="D162" s="9">
        <f>IFERROR(VLOOKUP(B162, 'Duke 1'!A$3:$B$85,2, 0), 0)</f>
        <v>0</v>
      </c>
      <c r="E162" s="9">
        <f>IFERROR(VLOOKUP(B162, 'Duke 2'!A$3:$B$522,2, 0), 0)</f>
        <v>0</v>
      </c>
      <c r="F162" s="10">
        <f>IFERROR(VLOOKUP(B162, 'Duke 3'!A$3:$B998,2, 0), 0)</f>
        <v>0</v>
      </c>
      <c r="G162" s="10">
        <f>IFERROR(VLOOKUP(B162, 'Duke 4'!A$3:$B998,2, 0), 0)</f>
        <v>0</v>
      </c>
      <c r="H162" s="10">
        <f>IFERROR(VLOOKUP(B162, Proof!A$2:$B998,2, 0), 0)</f>
        <v>0</v>
      </c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</row>
    <row r="163">
      <c r="A163" s="1">
        <f t="shared" si="1"/>
        <v>162</v>
      </c>
      <c r="B163" s="7" t="s">
        <v>305</v>
      </c>
      <c r="C163" s="8">
        <f t="shared" si="2"/>
        <v>0</v>
      </c>
      <c r="D163" s="9">
        <f>IFERROR(VLOOKUP(B163, 'Duke 1'!A$3:$B$85,2, 0), 0)</f>
        <v>0</v>
      </c>
      <c r="E163" s="9">
        <f>IFERROR(VLOOKUP(B163, 'Duke 2'!A$3:$B$522,2, 0), 0)</f>
        <v>0</v>
      </c>
      <c r="F163" s="10">
        <f>IFERROR(VLOOKUP(B163, 'Duke 3'!A$3:$B998,2, 0), 0)</f>
        <v>0</v>
      </c>
      <c r="G163" s="10">
        <f>IFERROR(VLOOKUP(B163, 'Duke 4'!A$3:$B998,2, 0), 0)</f>
        <v>0</v>
      </c>
      <c r="H163" s="10">
        <f>IFERROR(VLOOKUP(B163, Proof!A$2:$B998,2, 0), 0)</f>
        <v>0</v>
      </c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</row>
    <row r="164">
      <c r="A164" s="1">
        <f t="shared" si="1"/>
        <v>163</v>
      </c>
      <c r="B164" s="7" t="s">
        <v>346</v>
      </c>
      <c r="C164" s="8">
        <f t="shared" si="2"/>
        <v>0</v>
      </c>
      <c r="D164" s="9">
        <f>IFERROR(VLOOKUP(B164, 'Duke 1'!A$3:$B$85,2, 0), 0)</f>
        <v>0</v>
      </c>
      <c r="E164" s="9">
        <f>IFERROR(VLOOKUP(B164, 'Duke 2'!A$3:$B$522,2, 0), 0)</f>
        <v>0</v>
      </c>
      <c r="F164" s="10">
        <f>IFERROR(VLOOKUP(B164, 'Duke 3'!A$3:$B998,2, 0), 0)</f>
        <v>0</v>
      </c>
      <c r="G164" s="10">
        <f>IFERROR(VLOOKUP(B164, 'Duke 4'!A$3:$B998,2, 0), 0)</f>
        <v>0</v>
      </c>
      <c r="H164" s="10">
        <f>IFERROR(VLOOKUP(B164, Proof!A$2:$B998,2, 0), 0)</f>
        <v>0</v>
      </c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</row>
    <row r="165">
      <c r="A165" s="1">
        <f t="shared" si="1"/>
        <v>164</v>
      </c>
      <c r="B165" s="7" t="s">
        <v>392</v>
      </c>
      <c r="C165" s="8">
        <f t="shared" si="2"/>
        <v>0</v>
      </c>
      <c r="D165" s="9">
        <f>IFERROR(VLOOKUP(B165, 'Duke 1'!A$3:$B$85,2, 0), 0)</f>
        <v>0</v>
      </c>
      <c r="E165" s="9">
        <f>IFERROR(VLOOKUP(B165, 'Duke 2'!A$3:$B$522,2, 0), 0)</f>
        <v>0</v>
      </c>
      <c r="F165" s="10">
        <f>IFERROR(VLOOKUP(B165, 'Duke 3'!A$3:$B998,2, 0), 0)</f>
        <v>0</v>
      </c>
      <c r="G165" s="10">
        <f>IFERROR(VLOOKUP(B165, 'Duke 4'!A$3:$B998,2, 0), 0)</f>
        <v>0</v>
      </c>
      <c r="H165" s="10">
        <f>IFERROR(VLOOKUP(B165, Proof!A$2:$B998,2, 0), 0)</f>
        <v>0</v>
      </c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</row>
    <row r="166">
      <c r="A166" s="1">
        <f t="shared" si="1"/>
        <v>165</v>
      </c>
      <c r="B166" s="7" t="s">
        <v>370</v>
      </c>
      <c r="C166" s="8">
        <f t="shared" si="2"/>
        <v>0</v>
      </c>
      <c r="D166" s="9">
        <f>IFERROR(VLOOKUP(B166, 'Duke 1'!A$3:$B$85,2, 0), 0)</f>
        <v>0</v>
      </c>
      <c r="E166" s="9">
        <f>IFERROR(VLOOKUP(B166, 'Duke 2'!A$3:$B$522,2, 0), 0)</f>
        <v>0</v>
      </c>
      <c r="F166" s="10">
        <f>IFERROR(VLOOKUP(B166, 'Duke 3'!A$3:$B998,2, 0), 0)</f>
        <v>0</v>
      </c>
      <c r="G166" s="10">
        <f>IFERROR(VLOOKUP(B166, 'Duke 4'!A$3:$B998,2, 0), 0)</f>
        <v>0</v>
      </c>
      <c r="H166" s="10">
        <f>IFERROR(VLOOKUP(B166, Proof!A$2:$B998,2, 0), 0)</f>
        <v>0</v>
      </c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</row>
    <row r="167">
      <c r="A167" s="1">
        <f t="shared" si="1"/>
        <v>166</v>
      </c>
      <c r="B167" s="7" t="s">
        <v>365</v>
      </c>
      <c r="C167" s="8">
        <f t="shared" si="2"/>
        <v>0</v>
      </c>
      <c r="D167" s="9">
        <f>IFERROR(VLOOKUP(B167, 'Duke 1'!A$3:$B$85,2, 0), 0)</f>
        <v>0</v>
      </c>
      <c r="E167" s="9">
        <f>IFERROR(VLOOKUP(B167, 'Duke 2'!A$3:$B$522,2, 0), 0)</f>
        <v>0</v>
      </c>
      <c r="F167" s="10">
        <f>IFERROR(VLOOKUP(B167, 'Duke 3'!A$3:$B998,2, 0), 0)</f>
        <v>0</v>
      </c>
      <c r="G167" s="10">
        <f>IFERROR(VLOOKUP(B167, 'Duke 4'!A$3:$B998,2, 0), 0)</f>
        <v>0</v>
      </c>
      <c r="H167" s="10">
        <f>IFERROR(VLOOKUP(B167, Proof!A$2:$B998,2, 0), 0)</f>
        <v>0</v>
      </c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</row>
    <row r="168">
      <c r="A168" s="1">
        <f t="shared" si="1"/>
        <v>167</v>
      </c>
      <c r="B168" s="7" t="s">
        <v>351</v>
      </c>
      <c r="C168" s="8">
        <f t="shared" si="2"/>
        <v>0</v>
      </c>
      <c r="D168" s="9">
        <f>IFERROR(VLOOKUP(B168, 'Duke 1'!A$3:$B$85,2, 0), 0)</f>
        <v>0</v>
      </c>
      <c r="E168" s="9">
        <f>IFERROR(VLOOKUP(B168, 'Duke 2'!A$3:$B$522,2, 0), 0)</f>
        <v>0</v>
      </c>
      <c r="F168" s="10">
        <f>IFERROR(VLOOKUP(B168, 'Duke 3'!A$3:$B998,2, 0), 0)</f>
        <v>0</v>
      </c>
      <c r="G168" s="10">
        <f>IFERROR(VLOOKUP(B168, 'Duke 4'!A$3:$B998,2, 0), 0)</f>
        <v>0</v>
      </c>
      <c r="H168" s="10">
        <f>IFERROR(VLOOKUP(B168, Proof!A$2:$B998,2, 0), 0)</f>
        <v>0</v>
      </c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</row>
    <row r="169">
      <c r="A169" s="1">
        <f t="shared" si="1"/>
        <v>168</v>
      </c>
      <c r="B169" s="7" t="s">
        <v>318</v>
      </c>
      <c r="C169" s="8">
        <f t="shared" si="2"/>
        <v>0</v>
      </c>
      <c r="D169" s="9">
        <f>IFERROR(VLOOKUP(B169, 'Duke 1'!A$3:$B$85,2, 0), 0)</f>
        <v>0</v>
      </c>
      <c r="E169" s="9">
        <f>IFERROR(VLOOKUP(B169, 'Duke 2'!A$3:$B$522,2, 0), 0)</f>
        <v>0</v>
      </c>
      <c r="F169" s="10">
        <f>IFERROR(VLOOKUP(B169, 'Duke 3'!A$3:$B998,2, 0), 0)</f>
        <v>0</v>
      </c>
      <c r="G169" s="10">
        <f>IFERROR(VLOOKUP(B169, 'Duke 4'!A$3:$B998,2, 0), 0)</f>
        <v>0</v>
      </c>
      <c r="H169" s="10">
        <f>IFERROR(VLOOKUP(B169, Proof!A$2:$B998,2, 0), 0)</f>
        <v>0</v>
      </c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</row>
    <row r="170">
      <c r="A170" s="1">
        <f t="shared" si="1"/>
        <v>169</v>
      </c>
      <c r="B170" s="7" t="s">
        <v>395</v>
      </c>
      <c r="C170" s="8">
        <f t="shared" si="2"/>
        <v>0</v>
      </c>
      <c r="D170" s="9">
        <f>IFERROR(VLOOKUP(B170, 'Duke 1'!A$3:$B$85,2, 0), 0)</f>
        <v>0</v>
      </c>
      <c r="E170" s="9">
        <f>IFERROR(VLOOKUP(B170, 'Duke 2'!A$3:$B$522,2, 0), 0)</f>
        <v>0</v>
      </c>
      <c r="F170" s="10">
        <f>IFERROR(VLOOKUP(B170, 'Duke 3'!A$3:$B998,2, 0), 0)</f>
        <v>0</v>
      </c>
      <c r="G170" s="10">
        <f>IFERROR(VLOOKUP(B170, 'Duke 4'!A$3:$B998,2, 0), 0)</f>
        <v>0</v>
      </c>
      <c r="H170" s="10">
        <f>IFERROR(VLOOKUP(B170, Proof!A$2:$B998,2, 0), 0)</f>
        <v>0</v>
      </c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</row>
    <row r="171">
      <c r="A171" s="1">
        <f t="shared" si="1"/>
        <v>170</v>
      </c>
      <c r="B171" s="7" t="s">
        <v>328</v>
      </c>
      <c r="C171" s="8">
        <f t="shared" si="2"/>
        <v>0</v>
      </c>
      <c r="D171" s="9">
        <f>IFERROR(VLOOKUP(B171, 'Duke 1'!A$3:$B$85,2, 0), 0)</f>
        <v>0</v>
      </c>
      <c r="E171" s="9">
        <f>IFERROR(VLOOKUP(B171, 'Duke 2'!A$3:$B$522,2, 0), 0)</f>
        <v>0</v>
      </c>
      <c r="F171" s="10">
        <f>IFERROR(VLOOKUP(B171, 'Duke 3'!A$3:$B998,2, 0), 0)</f>
        <v>0</v>
      </c>
      <c r="G171" s="10">
        <f>IFERROR(VLOOKUP(B171, 'Duke 4'!A$3:$B998,2, 0), 0)</f>
        <v>0</v>
      </c>
      <c r="H171" s="10">
        <f>IFERROR(VLOOKUP(B171, Proof!A$2:$B998,2, 0), 0)</f>
        <v>0</v>
      </c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</row>
    <row r="172">
      <c r="A172" s="1">
        <f t="shared" si="1"/>
        <v>171</v>
      </c>
      <c r="B172" s="7" t="s">
        <v>306</v>
      </c>
      <c r="C172" s="8">
        <f t="shared" si="2"/>
        <v>0</v>
      </c>
      <c r="D172" s="9">
        <f>IFERROR(VLOOKUP(B172, 'Duke 1'!A$3:$B$85,2, 0), 0)</f>
        <v>0</v>
      </c>
      <c r="E172" s="9">
        <f>IFERROR(VLOOKUP(B172, 'Duke 2'!A$3:$B$522,2, 0), 0)</f>
        <v>0</v>
      </c>
      <c r="F172" s="10">
        <f>IFERROR(VLOOKUP(B172, 'Duke 3'!A$3:$B998,2, 0), 0)</f>
        <v>0</v>
      </c>
      <c r="G172" s="10">
        <f>IFERROR(VLOOKUP(B172, 'Duke 4'!A$3:$B998,2, 0), 0)</f>
        <v>0</v>
      </c>
      <c r="H172" s="10">
        <f>IFERROR(VLOOKUP(B172, Proof!A$2:$B998,2, 0), 0)</f>
        <v>0</v>
      </c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</row>
    <row r="173">
      <c r="A173" s="1">
        <f t="shared" si="1"/>
        <v>172</v>
      </c>
      <c r="B173" s="7" t="s">
        <v>322</v>
      </c>
      <c r="C173" s="8">
        <f t="shared" si="2"/>
        <v>0</v>
      </c>
      <c r="D173" s="9">
        <f>IFERROR(VLOOKUP(B173, 'Duke 1'!A$3:$B$85,2, 0), 0)</f>
        <v>0</v>
      </c>
      <c r="E173" s="9">
        <f>IFERROR(VLOOKUP(B173, 'Duke 2'!A$3:$B$522,2, 0), 0)</f>
        <v>0</v>
      </c>
      <c r="F173" s="10">
        <f>IFERROR(VLOOKUP(B173, 'Duke 3'!A$3:$B998,2, 0), 0)</f>
        <v>0</v>
      </c>
      <c r="G173" s="10">
        <f>IFERROR(VLOOKUP(B173, 'Duke 4'!A$3:$B998,2, 0), 0)</f>
        <v>0</v>
      </c>
      <c r="H173" s="10">
        <f>IFERROR(VLOOKUP(B173, Proof!A$2:$B998,2, 0), 0)</f>
        <v>0</v>
      </c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</row>
    <row r="174">
      <c r="A174" s="1">
        <f t="shared" si="1"/>
        <v>173</v>
      </c>
      <c r="B174" s="7" t="s">
        <v>345</v>
      </c>
      <c r="C174" s="8">
        <f t="shared" si="2"/>
        <v>0</v>
      </c>
      <c r="D174" s="9">
        <f>IFERROR(VLOOKUP(B174, 'Duke 1'!A$3:$B$85,2, 0), 0)</f>
        <v>0</v>
      </c>
      <c r="E174" s="9">
        <f>IFERROR(VLOOKUP(B174, 'Duke 2'!A$3:$B$522,2, 0), 0)</f>
        <v>0</v>
      </c>
      <c r="F174" s="10">
        <f>IFERROR(VLOOKUP(B174, 'Duke 3'!A$3:$B998,2, 0), 0)</f>
        <v>0</v>
      </c>
      <c r="G174" s="10">
        <f>IFERROR(VLOOKUP(B174, 'Duke 4'!A$3:$B998,2, 0), 0)</f>
        <v>0</v>
      </c>
      <c r="H174" s="10">
        <f>IFERROR(VLOOKUP(B174, Proof!A$2:$B998,2, 0), 0)</f>
        <v>0</v>
      </c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</row>
    <row r="175">
      <c r="A175" s="1">
        <f t="shared" si="1"/>
        <v>174</v>
      </c>
      <c r="B175" s="7" t="s">
        <v>334</v>
      </c>
      <c r="C175" s="8">
        <f t="shared" si="2"/>
        <v>0</v>
      </c>
      <c r="D175" s="9">
        <f>IFERROR(VLOOKUP(B175, 'Duke 1'!A$3:$B$85,2, 0), 0)</f>
        <v>0</v>
      </c>
      <c r="E175" s="9">
        <f>IFERROR(VLOOKUP(B175, 'Duke 2'!A$3:$B$522,2, 0), 0)</f>
        <v>0</v>
      </c>
      <c r="F175" s="10">
        <f>IFERROR(VLOOKUP(B175, 'Duke 3'!A$3:$B998,2, 0), 0)</f>
        <v>0</v>
      </c>
      <c r="G175" s="10">
        <f>IFERROR(VLOOKUP(B175, 'Duke 4'!A$3:$B998,2, 0), 0)</f>
        <v>0</v>
      </c>
      <c r="H175" s="10">
        <f>IFERROR(VLOOKUP(B175, Proof!A$2:$B998,2, 0), 0)</f>
        <v>0</v>
      </c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</row>
    <row r="176">
      <c r="A176" s="1">
        <f t="shared" si="1"/>
        <v>175</v>
      </c>
      <c r="B176" s="7" t="s">
        <v>278</v>
      </c>
      <c r="C176" s="8">
        <f t="shared" si="2"/>
        <v>0</v>
      </c>
      <c r="D176" s="9">
        <f>IFERROR(VLOOKUP(B176, 'Duke 1'!A$3:$B$85,2, 0), 0)</f>
        <v>0</v>
      </c>
      <c r="E176" s="9">
        <f>IFERROR(VLOOKUP(B176, 'Duke 2'!A$3:$B$522,2, 0), 0)</f>
        <v>0</v>
      </c>
      <c r="F176" s="10">
        <f>IFERROR(VLOOKUP(B176, 'Duke 3'!A$3:$B998,2, 0), 0)</f>
        <v>0</v>
      </c>
      <c r="G176" s="10">
        <f>IFERROR(VLOOKUP(B176, 'Duke 4'!A$3:$B998,2, 0), 0)</f>
        <v>0</v>
      </c>
      <c r="H176" s="10">
        <f>IFERROR(VLOOKUP(B176, Proof!A$2:$B998,2, 0), 0)</f>
        <v>0</v>
      </c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</row>
    <row r="177">
      <c r="A177" s="1">
        <f t="shared" si="1"/>
        <v>176</v>
      </c>
      <c r="B177" s="7" t="s">
        <v>97</v>
      </c>
      <c r="C177" s="8">
        <f t="shared" si="2"/>
        <v>0</v>
      </c>
      <c r="D177" s="9">
        <f>IFERROR(VLOOKUP(B177, 'Duke 1'!A$3:$B$85,2, 0), 0)</f>
        <v>0</v>
      </c>
      <c r="E177" s="9">
        <f>IFERROR(VLOOKUP(B177, 'Duke 2'!A$3:$B$522,2, 0), 0)</f>
        <v>0</v>
      </c>
      <c r="F177" s="10">
        <f>IFERROR(VLOOKUP(B177, 'Duke 3'!A$3:$B998,2, 0), 0)</f>
        <v>0</v>
      </c>
      <c r="G177" s="10">
        <f>IFERROR(VLOOKUP(B177, 'Duke 4'!A$3:$B998,2, 0), 0)</f>
        <v>0</v>
      </c>
      <c r="H177" s="10">
        <f>IFERROR(VLOOKUP(B177, Proof!A$2:$B998,2, 0), 0)</f>
        <v>0</v>
      </c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</row>
    <row r="178">
      <c r="A178" s="1">
        <f t="shared" si="1"/>
        <v>177</v>
      </c>
      <c r="B178" s="7" t="s">
        <v>288</v>
      </c>
      <c r="C178" s="8">
        <f t="shared" si="2"/>
        <v>0</v>
      </c>
      <c r="D178" s="9">
        <f>IFERROR(VLOOKUP(B178, 'Duke 1'!A$3:$B$85,2, 0), 0)</f>
        <v>0</v>
      </c>
      <c r="E178" s="9">
        <f>IFERROR(VLOOKUP(B178, 'Duke 2'!A$3:$B$522,2, 0), 0)</f>
        <v>0</v>
      </c>
      <c r="F178" s="10">
        <f>IFERROR(VLOOKUP(B178, 'Duke 3'!A$3:$B998,2, 0), 0)</f>
        <v>0</v>
      </c>
      <c r="G178" s="10">
        <f>IFERROR(VLOOKUP(B178, 'Duke 4'!A$3:$B998,2, 0), 0)</f>
        <v>0</v>
      </c>
      <c r="H178" s="10">
        <f>IFERROR(VLOOKUP(B178, Proof!A$2:$B998,2, 0), 0)</f>
        <v>0</v>
      </c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</row>
    <row r="179">
      <c r="A179" s="1">
        <f t="shared" si="1"/>
        <v>178</v>
      </c>
      <c r="B179" s="7" t="s">
        <v>355</v>
      </c>
      <c r="C179" s="8">
        <f t="shared" si="2"/>
        <v>0</v>
      </c>
      <c r="D179" s="9">
        <f>IFERROR(VLOOKUP(B179, 'Duke 1'!A$3:$B$85,2, 0), 0)</f>
        <v>0</v>
      </c>
      <c r="E179" s="9">
        <f>IFERROR(VLOOKUP(B179, 'Duke 2'!A$3:$B$522,2, 0), 0)</f>
        <v>0</v>
      </c>
      <c r="F179" s="10">
        <f>IFERROR(VLOOKUP(B179, 'Duke 3'!A$3:$B998,2, 0), 0)</f>
        <v>0</v>
      </c>
      <c r="G179" s="10">
        <f>IFERROR(VLOOKUP(B179, 'Duke 4'!A$3:$B998,2, 0), 0)</f>
        <v>0</v>
      </c>
      <c r="H179" s="10">
        <f>IFERROR(VLOOKUP(B179, Proof!A$2:$B998,2, 0), 0)</f>
        <v>0</v>
      </c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</row>
    <row r="180">
      <c r="A180" s="1">
        <f t="shared" si="1"/>
        <v>179</v>
      </c>
      <c r="B180" s="7" t="s">
        <v>402</v>
      </c>
      <c r="C180" s="8">
        <f t="shared" si="2"/>
        <v>0</v>
      </c>
      <c r="D180" s="9">
        <f>IFERROR(VLOOKUP(B180, 'Duke 1'!A$3:$B$85,2, 0), 0)</f>
        <v>0</v>
      </c>
      <c r="E180" s="9">
        <f>IFERROR(VLOOKUP(B180, 'Duke 2'!A$3:$B$522,2, 0), 0)</f>
        <v>0</v>
      </c>
      <c r="F180" s="10">
        <f>IFERROR(VLOOKUP(B180, 'Duke 3'!A$3:$B998,2, 0), 0)</f>
        <v>0</v>
      </c>
      <c r="G180" s="10">
        <f>IFERROR(VLOOKUP(B180, 'Duke 4'!A$3:$B998,2, 0), 0)</f>
        <v>0</v>
      </c>
      <c r="H180" s="10">
        <f>IFERROR(VLOOKUP(B180, Proof!A$2:$B998,2, 0), 0)</f>
        <v>0</v>
      </c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</row>
    <row r="181">
      <c r="A181" s="1">
        <f t="shared" si="1"/>
        <v>180</v>
      </c>
      <c r="B181" s="7" t="s">
        <v>100</v>
      </c>
      <c r="C181" s="8">
        <f t="shared" si="2"/>
        <v>0</v>
      </c>
      <c r="D181" s="9">
        <f>IFERROR(VLOOKUP(B181, 'Duke 1'!A$3:$B$85,2, 0), 0)</f>
        <v>0</v>
      </c>
      <c r="E181" s="9">
        <f>IFERROR(VLOOKUP(B181, 'Duke 2'!A$3:$B$522,2, 0), 0)</f>
        <v>0</v>
      </c>
      <c r="F181" s="10">
        <f>IFERROR(VLOOKUP(B181, 'Duke 3'!A$3:$B998,2, 0), 0)</f>
        <v>0</v>
      </c>
      <c r="G181" s="10">
        <f>IFERROR(VLOOKUP(B181, 'Duke 4'!A$3:$B998,2, 0), 0)</f>
        <v>0</v>
      </c>
      <c r="H181" s="10">
        <f>IFERROR(VLOOKUP(B181, Proof!A$2:$B998,2, 0), 0)</f>
        <v>0</v>
      </c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</row>
    <row r="182">
      <c r="A182" s="1">
        <f t="shared" si="1"/>
        <v>181</v>
      </c>
      <c r="B182" s="7" t="s">
        <v>371</v>
      </c>
      <c r="C182" s="8">
        <f t="shared" si="2"/>
        <v>0</v>
      </c>
      <c r="D182" s="9">
        <f>IFERROR(VLOOKUP(B182, 'Duke 1'!A$3:$B$85,2, 0), 0)</f>
        <v>0</v>
      </c>
      <c r="E182" s="9">
        <f>IFERROR(VLOOKUP(B182, 'Duke 2'!A$3:$B$522,2, 0), 0)</f>
        <v>0</v>
      </c>
      <c r="F182" s="10">
        <f>IFERROR(VLOOKUP(B182, 'Duke 3'!A$3:$B998,2, 0), 0)</f>
        <v>0</v>
      </c>
      <c r="G182" s="10">
        <f>IFERROR(VLOOKUP(B182, 'Duke 4'!A$3:$B998,2, 0), 0)</f>
        <v>0</v>
      </c>
      <c r="H182" s="10">
        <f>IFERROR(VLOOKUP(B182, Proof!A$2:$B998,2, 0), 0)</f>
        <v>0</v>
      </c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</row>
    <row r="183">
      <c r="A183" s="1">
        <f t="shared" si="1"/>
        <v>182</v>
      </c>
      <c r="B183" s="7" t="s">
        <v>350</v>
      </c>
      <c r="C183" s="8">
        <f t="shared" si="2"/>
        <v>0</v>
      </c>
      <c r="D183" s="9">
        <f>IFERROR(VLOOKUP(B183, 'Duke 1'!A$3:$B$85,2, 0), 0)</f>
        <v>0</v>
      </c>
      <c r="E183" s="9">
        <f>IFERROR(VLOOKUP(B183, 'Duke 2'!A$3:$B$522,2, 0), 0)</f>
        <v>0</v>
      </c>
      <c r="F183" s="10">
        <f>IFERROR(VLOOKUP(B183, 'Duke 3'!A$3:$B998,2, 0), 0)</f>
        <v>0</v>
      </c>
      <c r="G183" s="10">
        <f>IFERROR(VLOOKUP(B183, 'Duke 4'!A$3:$B998,2, 0), 0)</f>
        <v>0</v>
      </c>
      <c r="H183" s="10">
        <f>IFERROR(VLOOKUP(B183, Proof!A$2:$B998,2, 0), 0)</f>
        <v>0</v>
      </c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</row>
    <row r="184">
      <c r="A184" s="1">
        <f t="shared" si="1"/>
        <v>183</v>
      </c>
      <c r="B184" s="7" t="s">
        <v>348</v>
      </c>
      <c r="C184" s="8">
        <f t="shared" si="2"/>
        <v>0</v>
      </c>
      <c r="D184" s="9">
        <f>IFERROR(VLOOKUP(B184, 'Duke 1'!A$3:$B$85,2, 0), 0)</f>
        <v>0</v>
      </c>
      <c r="E184" s="9">
        <f>IFERROR(VLOOKUP(B184, 'Duke 2'!A$3:$B$522,2, 0), 0)</f>
        <v>0</v>
      </c>
      <c r="F184" s="10">
        <f>IFERROR(VLOOKUP(B184, 'Duke 3'!A$3:$B998,2, 0), 0)</f>
        <v>0</v>
      </c>
      <c r="G184" s="10">
        <f>IFERROR(VLOOKUP(B184, 'Duke 4'!A$3:$B998,2, 0), 0)</f>
        <v>0</v>
      </c>
      <c r="H184" s="10">
        <f>IFERROR(VLOOKUP(B184, Proof!A$2:$B998,2, 0), 0)</f>
        <v>0</v>
      </c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</row>
    <row r="185">
      <c r="A185" s="1">
        <f t="shared" si="1"/>
        <v>184</v>
      </c>
      <c r="B185" s="7" t="s">
        <v>310</v>
      </c>
      <c r="C185" s="8">
        <f t="shared" si="2"/>
        <v>0</v>
      </c>
      <c r="D185" s="9">
        <f>IFERROR(VLOOKUP(B185, 'Duke 1'!A$3:$B$85,2, 0), 0)</f>
        <v>0</v>
      </c>
      <c r="E185" s="9">
        <f>IFERROR(VLOOKUP(B185, 'Duke 2'!A$3:$B$522,2, 0), 0)</f>
        <v>0</v>
      </c>
      <c r="F185" s="10">
        <f>IFERROR(VLOOKUP(B185, 'Duke 3'!A$3:$B998,2, 0), 0)</f>
        <v>0</v>
      </c>
      <c r="G185" s="10">
        <f>IFERROR(VLOOKUP(B185, 'Duke 4'!A$3:$B998,2, 0), 0)</f>
        <v>0</v>
      </c>
      <c r="H185" s="10">
        <f>IFERROR(VLOOKUP(B185, Proof!A$2:$B998,2, 0), 0)</f>
        <v>0</v>
      </c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</row>
    <row r="186">
      <c r="A186" s="1">
        <f t="shared" si="1"/>
        <v>185</v>
      </c>
      <c r="B186" s="7" t="s">
        <v>297</v>
      </c>
      <c r="C186" s="8">
        <f t="shared" si="2"/>
        <v>0</v>
      </c>
      <c r="D186" s="9">
        <f>IFERROR(VLOOKUP(B186, 'Duke 1'!A$3:$B$85,2, 0), 0)</f>
        <v>0</v>
      </c>
      <c r="E186" s="9">
        <f>IFERROR(VLOOKUP(B186, 'Duke 2'!A$3:$B$522,2, 0), 0)</f>
        <v>0</v>
      </c>
      <c r="F186" s="10">
        <f>IFERROR(VLOOKUP(B186, 'Duke 3'!A$3:$B998,2, 0), 0)</f>
        <v>0</v>
      </c>
      <c r="G186" s="10">
        <f>IFERROR(VLOOKUP(B186, 'Duke 4'!A$3:$B998,2, 0), 0)</f>
        <v>0</v>
      </c>
      <c r="H186" s="10">
        <f>IFERROR(VLOOKUP(B186, Proof!A$2:$B998,2, 0), 0)</f>
        <v>0</v>
      </c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</row>
    <row r="187">
      <c r="A187" s="1">
        <f t="shared" si="1"/>
        <v>186</v>
      </c>
      <c r="B187" s="7" t="s">
        <v>361</v>
      </c>
      <c r="C187" s="8">
        <f t="shared" si="2"/>
        <v>0</v>
      </c>
      <c r="D187" s="9">
        <f>IFERROR(VLOOKUP(B187, 'Duke 1'!A$3:$B$85,2, 0), 0)</f>
        <v>0</v>
      </c>
      <c r="E187" s="9">
        <f>IFERROR(VLOOKUP(B187, 'Duke 2'!A$3:$B$522,2, 0), 0)</f>
        <v>0</v>
      </c>
      <c r="F187" s="10">
        <f>IFERROR(VLOOKUP(B187, 'Duke 3'!A$3:$B998,2, 0), 0)</f>
        <v>0</v>
      </c>
      <c r="G187" s="10">
        <f>IFERROR(VLOOKUP(B187, 'Duke 4'!A$3:$B998,2, 0), 0)</f>
        <v>0</v>
      </c>
      <c r="H187" s="10">
        <f>IFERROR(VLOOKUP(B187, Proof!A$2:$B998,2, 0), 0)</f>
        <v>0</v>
      </c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</row>
    <row r="188">
      <c r="A188" s="1">
        <f t="shared" si="1"/>
        <v>187</v>
      </c>
      <c r="B188" s="7" t="s">
        <v>347</v>
      </c>
      <c r="C188" s="8">
        <f t="shared" si="2"/>
        <v>0</v>
      </c>
      <c r="D188" s="9">
        <f>IFERROR(VLOOKUP(B188, 'Duke 1'!A$3:$B$85,2, 0), 0)</f>
        <v>0</v>
      </c>
      <c r="E188" s="9">
        <f>IFERROR(VLOOKUP(B188, 'Duke 2'!A$3:$B$522,2, 0), 0)</f>
        <v>0</v>
      </c>
      <c r="F188" s="10">
        <f>IFERROR(VLOOKUP(B188, 'Duke 3'!A$3:$B998,2, 0), 0)</f>
        <v>0</v>
      </c>
      <c r="G188" s="10">
        <f>IFERROR(VLOOKUP(B188, 'Duke 4'!A$3:$B998,2, 0), 0)</f>
        <v>0</v>
      </c>
      <c r="H188" s="10">
        <f>IFERROR(VLOOKUP(B188, Proof!A$2:$B998,2, 0), 0)</f>
        <v>0</v>
      </c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</row>
    <row r="189">
      <c r="A189" s="1">
        <f t="shared" si="1"/>
        <v>188</v>
      </c>
      <c r="B189" s="7" t="s">
        <v>309</v>
      </c>
      <c r="C189" s="8">
        <f t="shared" si="2"/>
        <v>0</v>
      </c>
      <c r="D189" s="9">
        <f>IFERROR(VLOOKUP(B189, 'Duke 1'!A$3:$B$85,2, 0), 0)</f>
        <v>0</v>
      </c>
      <c r="E189" s="9">
        <f>IFERROR(VLOOKUP(B189, 'Duke 2'!A$3:$B$522,2, 0), 0)</f>
        <v>0</v>
      </c>
      <c r="F189" s="10">
        <f>IFERROR(VLOOKUP(B189, 'Duke 3'!A$3:$B998,2, 0), 0)</f>
        <v>0</v>
      </c>
      <c r="G189" s="10">
        <f>IFERROR(VLOOKUP(B189, 'Duke 4'!A$3:$B998,2, 0), 0)</f>
        <v>0</v>
      </c>
      <c r="H189" s="10">
        <f>IFERROR(VLOOKUP(B189, Proof!A$2:$B998,2, 0), 0)</f>
        <v>0</v>
      </c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</row>
    <row r="190">
      <c r="A190" s="1">
        <f t="shared" si="1"/>
        <v>189</v>
      </c>
      <c r="B190" s="7" t="s">
        <v>340</v>
      </c>
      <c r="C190" s="8">
        <f t="shared" si="2"/>
        <v>0</v>
      </c>
      <c r="D190" s="9">
        <f>IFERROR(VLOOKUP(B190, 'Duke 1'!A$3:$B$85,2, 0), 0)</f>
        <v>0</v>
      </c>
      <c r="E190" s="9">
        <f>IFERROR(VLOOKUP(B190, 'Duke 2'!A$3:$B$522,2, 0), 0)</f>
        <v>0</v>
      </c>
      <c r="F190" s="10">
        <f>IFERROR(VLOOKUP(B190, 'Duke 3'!A$3:$B998,2, 0), 0)</f>
        <v>0</v>
      </c>
      <c r="G190" s="10">
        <f>IFERROR(VLOOKUP(B190, 'Duke 4'!A$3:$B998,2, 0), 0)</f>
        <v>0</v>
      </c>
      <c r="H190" s="10">
        <f>IFERROR(VLOOKUP(B190, Proof!A$2:$B998,2, 0), 0)</f>
        <v>0</v>
      </c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</row>
    <row r="191">
      <c r="A191" s="1">
        <f t="shared" si="1"/>
        <v>190</v>
      </c>
      <c r="B191" s="7" t="s">
        <v>281</v>
      </c>
      <c r="C191" s="8">
        <f t="shared" si="2"/>
        <v>0</v>
      </c>
      <c r="D191" s="9">
        <f>IFERROR(VLOOKUP(B191, 'Duke 1'!A$3:$B$85,2, 0), 0)</f>
        <v>0</v>
      </c>
      <c r="E191" s="9">
        <f>IFERROR(VLOOKUP(B191, 'Duke 2'!A$3:$B$522,2, 0), 0)</f>
        <v>0</v>
      </c>
      <c r="F191" s="10">
        <f>IFERROR(VLOOKUP(B191, 'Duke 3'!A$3:$B998,2, 0), 0)</f>
        <v>0</v>
      </c>
      <c r="G191" s="10">
        <f>IFERROR(VLOOKUP(B191, 'Duke 4'!A$3:$B998,2, 0), 0)</f>
        <v>0</v>
      </c>
      <c r="H191" s="10">
        <f>IFERROR(VLOOKUP(B191, Proof!A$2:$B998,2, 0), 0)</f>
        <v>0</v>
      </c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</row>
    <row r="192">
      <c r="A192" s="1">
        <f t="shared" si="1"/>
        <v>191</v>
      </c>
      <c r="B192" s="7" t="s">
        <v>336</v>
      </c>
      <c r="C192" s="8">
        <f t="shared" si="2"/>
        <v>0</v>
      </c>
      <c r="D192" s="9">
        <f>IFERROR(VLOOKUP(B192, 'Duke 1'!A$3:$B$85,2, 0), 0)</f>
        <v>0</v>
      </c>
      <c r="E192" s="9">
        <f>IFERROR(VLOOKUP(B192, 'Duke 2'!A$3:$B$522,2, 0), 0)</f>
        <v>0</v>
      </c>
      <c r="F192" s="10">
        <f>IFERROR(VLOOKUP(B192, 'Duke 3'!A$3:$B998,2, 0), 0)</f>
        <v>0</v>
      </c>
      <c r="G192" s="10">
        <f>IFERROR(VLOOKUP(B192, 'Duke 4'!A$3:$B998,2, 0), 0)</f>
        <v>0</v>
      </c>
      <c r="H192" s="10">
        <f>IFERROR(VLOOKUP(B192, Proof!A$2:$B998,2, 0), 0)</f>
        <v>0</v>
      </c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</row>
    <row r="193">
      <c r="A193" s="1">
        <f t="shared" si="1"/>
        <v>192</v>
      </c>
      <c r="B193" s="7" t="s">
        <v>391</v>
      </c>
      <c r="C193" s="8">
        <f t="shared" si="2"/>
        <v>0</v>
      </c>
      <c r="D193" s="9">
        <f>IFERROR(VLOOKUP(B193, 'Duke 1'!A$3:$B$85,2, 0), 0)</f>
        <v>0</v>
      </c>
      <c r="E193" s="9">
        <f>IFERROR(VLOOKUP(B193, 'Duke 2'!A$3:$B$522,2, 0), 0)</f>
        <v>0</v>
      </c>
      <c r="F193" s="10">
        <f>IFERROR(VLOOKUP(B193, 'Duke 3'!A$3:$B998,2, 0), 0)</f>
        <v>0</v>
      </c>
      <c r="G193" s="10">
        <f>IFERROR(VLOOKUP(B193, 'Duke 4'!A$3:$B998,2, 0), 0)</f>
        <v>0</v>
      </c>
      <c r="H193" s="10">
        <f>IFERROR(VLOOKUP(B193, Proof!A$2:$B998,2, 0), 0)</f>
        <v>0</v>
      </c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</row>
    <row r="194">
      <c r="A194" s="1">
        <f t="shared" si="1"/>
        <v>193</v>
      </c>
      <c r="B194" s="7" t="s">
        <v>326</v>
      </c>
      <c r="C194" s="8">
        <f t="shared" si="2"/>
        <v>0</v>
      </c>
      <c r="D194" s="9">
        <f>IFERROR(VLOOKUP(B194, 'Duke 1'!A$3:$B$85,2, 0), 0)</f>
        <v>0</v>
      </c>
      <c r="E194" s="9">
        <f>IFERROR(VLOOKUP(B194, 'Duke 2'!A$3:$B$522,2, 0), 0)</f>
        <v>0</v>
      </c>
      <c r="F194" s="10">
        <f>IFERROR(VLOOKUP(B194, 'Duke 3'!A$3:$B998,2, 0), 0)</f>
        <v>0</v>
      </c>
      <c r="G194" s="10">
        <f>IFERROR(VLOOKUP(B194, 'Duke 4'!A$3:$B998,2, 0), 0)</f>
        <v>0</v>
      </c>
      <c r="H194" s="10">
        <f>IFERROR(VLOOKUP(B194, Proof!A$2:$B998,2, 0), 0)</f>
        <v>0</v>
      </c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</row>
    <row r="195">
      <c r="A195" s="1">
        <f t="shared" si="1"/>
        <v>194</v>
      </c>
      <c r="B195" s="7" t="s">
        <v>366</v>
      </c>
      <c r="C195" s="8">
        <f t="shared" si="2"/>
        <v>0</v>
      </c>
      <c r="D195" s="9">
        <f>IFERROR(VLOOKUP(B195, 'Duke 1'!A$3:$B$85,2, 0), 0)</f>
        <v>0</v>
      </c>
      <c r="E195" s="9">
        <f>IFERROR(VLOOKUP(B195, 'Duke 2'!A$3:$B$522,2, 0), 0)</f>
        <v>0</v>
      </c>
      <c r="F195" s="10">
        <f>IFERROR(VLOOKUP(B195, 'Duke 3'!A$3:$B998,2, 0), 0)</f>
        <v>0</v>
      </c>
      <c r="G195" s="10">
        <f>IFERROR(VLOOKUP(B195, 'Duke 4'!A$3:$B998,2, 0), 0)</f>
        <v>0</v>
      </c>
      <c r="H195" s="10">
        <f>IFERROR(VLOOKUP(B195, Proof!A$2:$B998,2, 0), 0)</f>
        <v>0</v>
      </c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</row>
    <row r="196">
      <c r="A196" s="1">
        <f t="shared" si="1"/>
        <v>195</v>
      </c>
      <c r="B196" s="7" t="s">
        <v>332</v>
      </c>
      <c r="C196" s="8">
        <f t="shared" si="2"/>
        <v>0</v>
      </c>
      <c r="D196" s="9">
        <f>IFERROR(VLOOKUP(B196, 'Duke 1'!A$3:$B$85,2, 0), 0)</f>
        <v>0</v>
      </c>
      <c r="E196" s="9">
        <f>IFERROR(VLOOKUP(B196, 'Duke 2'!A$3:$B$522,2, 0), 0)</f>
        <v>0</v>
      </c>
      <c r="F196" s="10">
        <f>IFERROR(VLOOKUP(B196, 'Duke 3'!A$3:$B998,2, 0), 0)</f>
        <v>0</v>
      </c>
      <c r="G196" s="10">
        <f>IFERROR(VLOOKUP(B196, 'Duke 4'!A$3:$B998,2, 0), 0)</f>
        <v>0</v>
      </c>
      <c r="H196" s="10">
        <f>IFERROR(VLOOKUP(B196, Proof!A$2:$B998,2, 0), 0)</f>
        <v>0</v>
      </c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</row>
    <row r="197">
      <c r="A197" s="1">
        <f t="shared" si="1"/>
        <v>196</v>
      </c>
      <c r="B197" s="7" t="s">
        <v>408</v>
      </c>
      <c r="C197" s="8">
        <f t="shared" si="2"/>
        <v>0</v>
      </c>
      <c r="D197" s="9">
        <f>IFERROR(VLOOKUP(B197, 'Duke 1'!A$3:$B$85,2, 0), 0)</f>
        <v>0</v>
      </c>
      <c r="E197" s="9">
        <f>IFERROR(VLOOKUP(B197, 'Duke 2'!A$3:$B$522,2, 0), 0)</f>
        <v>0</v>
      </c>
      <c r="F197" s="10">
        <f>IFERROR(VLOOKUP(B197, 'Duke 3'!A$3:$B998,2, 0), 0)</f>
        <v>0</v>
      </c>
      <c r="G197" s="10">
        <f>IFERROR(VLOOKUP(B197, 'Duke 4'!A$3:$B998,2, 0), 0)</f>
        <v>0</v>
      </c>
      <c r="H197" s="10">
        <f>IFERROR(VLOOKUP(B197, Proof!A$2:$B998,2, 0), 0)</f>
        <v>0</v>
      </c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</row>
    <row r="198">
      <c r="A198" s="1">
        <f t="shared" si="1"/>
        <v>197</v>
      </c>
      <c r="B198" s="7" t="s">
        <v>304</v>
      </c>
      <c r="C198" s="8">
        <f t="shared" si="2"/>
        <v>0</v>
      </c>
      <c r="D198" s="9">
        <f>IFERROR(VLOOKUP(B198, 'Duke 1'!A$3:$B$85,2, 0), 0)</f>
        <v>0</v>
      </c>
      <c r="E198" s="9">
        <f>IFERROR(VLOOKUP(B198, 'Duke 2'!A$3:$B$522,2, 0), 0)</f>
        <v>0</v>
      </c>
      <c r="F198" s="10">
        <f>IFERROR(VLOOKUP(B198, 'Duke 3'!A$3:$B998,2, 0), 0)</f>
        <v>0</v>
      </c>
      <c r="G198" s="10">
        <f>IFERROR(VLOOKUP(B198, 'Duke 4'!A$3:$B998,2, 0), 0)</f>
        <v>0</v>
      </c>
      <c r="H198" s="10">
        <f>IFERROR(VLOOKUP(B198, Proof!A$2:$B998,2, 0), 0)</f>
        <v>0</v>
      </c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</row>
    <row r="199">
      <c r="A199" s="1">
        <f t="shared" si="1"/>
        <v>198</v>
      </c>
      <c r="B199" s="7" t="s">
        <v>90</v>
      </c>
      <c r="C199" s="8">
        <f t="shared" si="2"/>
        <v>0</v>
      </c>
      <c r="D199" s="9">
        <f>IFERROR(VLOOKUP(B199, 'Duke 1'!A$3:$B$85,2, 0), 0)</f>
        <v>0</v>
      </c>
      <c r="E199" s="9">
        <f>IFERROR(VLOOKUP(B199, 'Duke 2'!A$3:$B$522,2, 0), 0)</f>
        <v>0</v>
      </c>
      <c r="F199" s="10">
        <f>IFERROR(VLOOKUP(B199, 'Duke 3'!A$3:$B998,2, 0), 0)</f>
        <v>0</v>
      </c>
      <c r="G199" s="10">
        <f>IFERROR(VLOOKUP(B199, 'Duke 4'!A$3:$B998,2, 0), 0)</f>
        <v>0</v>
      </c>
      <c r="H199" s="10">
        <f>IFERROR(VLOOKUP(B199, Proof!A$2:$B998,2, 0), 0)</f>
        <v>0</v>
      </c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</row>
    <row r="200">
      <c r="A200" s="1">
        <f t="shared" si="1"/>
        <v>199</v>
      </c>
      <c r="B200" s="7" t="s">
        <v>90</v>
      </c>
      <c r="C200" s="8">
        <f t="shared" si="2"/>
        <v>0</v>
      </c>
      <c r="D200" s="9">
        <f>IFERROR(VLOOKUP(B200, 'Duke 1'!A$3:$B$85,2, 0), 0)</f>
        <v>0</v>
      </c>
      <c r="E200" s="9">
        <f>IFERROR(VLOOKUP(B200, 'Duke 2'!A$3:$B$522,2, 0), 0)</f>
        <v>0</v>
      </c>
      <c r="F200" s="10">
        <f>IFERROR(VLOOKUP(B200, 'Duke 3'!A$3:$B998,2, 0), 0)</f>
        <v>0</v>
      </c>
      <c r="G200" s="10">
        <f>IFERROR(VLOOKUP(B200, 'Duke 4'!A$3:$B998,2, 0), 0)</f>
        <v>0</v>
      </c>
      <c r="H200" s="10">
        <f>IFERROR(VLOOKUP(B200, Proof!A$2:$B998,2, 0), 0)</f>
        <v>0</v>
      </c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</row>
    <row r="201">
      <c r="A201" s="1">
        <f t="shared" si="1"/>
        <v>200</v>
      </c>
      <c r="B201" s="7" t="s">
        <v>302</v>
      </c>
      <c r="C201" s="8">
        <f t="shared" si="2"/>
        <v>0</v>
      </c>
      <c r="D201" s="9">
        <f>IFERROR(VLOOKUP(B201, 'Duke 1'!A$3:$B$85,2, 0), 0)</f>
        <v>0</v>
      </c>
      <c r="E201" s="9">
        <f>IFERROR(VLOOKUP(B201, 'Duke 2'!A$3:$B$522,2, 0), 0)</f>
        <v>0</v>
      </c>
      <c r="F201" s="10">
        <f>IFERROR(VLOOKUP(B201, 'Duke 3'!A$3:$B998,2, 0), 0)</f>
        <v>0</v>
      </c>
      <c r="G201" s="10">
        <f>IFERROR(VLOOKUP(B201, 'Duke 4'!A$3:$B998,2, 0), 0)</f>
        <v>0</v>
      </c>
      <c r="H201" s="10">
        <f>IFERROR(VLOOKUP(B201, Proof!A$2:$B998,2, 0), 0)</f>
        <v>0</v>
      </c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</row>
    <row r="202">
      <c r="A202" s="1">
        <f t="shared" si="1"/>
        <v>201</v>
      </c>
      <c r="B202" s="7" t="s">
        <v>292</v>
      </c>
      <c r="C202" s="8">
        <f t="shared" si="2"/>
        <v>0</v>
      </c>
      <c r="D202" s="9">
        <f>IFERROR(VLOOKUP(B202, 'Duke 1'!A$3:$B$85,2, 0), 0)</f>
        <v>0</v>
      </c>
      <c r="E202" s="9">
        <f>IFERROR(VLOOKUP(B202, 'Duke 2'!A$3:$B$522,2, 0), 0)</f>
        <v>0</v>
      </c>
      <c r="F202" s="10">
        <f>IFERROR(VLOOKUP(B202, 'Duke 3'!A$3:$B998,2, 0), 0)</f>
        <v>0</v>
      </c>
      <c r="G202" s="10">
        <f>IFERROR(VLOOKUP(B202, 'Duke 4'!A$3:$B998,2, 0), 0)</f>
        <v>0</v>
      </c>
      <c r="H202" s="10">
        <f>IFERROR(VLOOKUP(B202, Proof!A$2:$B998,2, 0), 0)</f>
        <v>0</v>
      </c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</row>
    <row r="203">
      <c r="A203" s="1">
        <f t="shared" si="1"/>
        <v>202</v>
      </c>
      <c r="B203" s="7" t="s">
        <v>349</v>
      </c>
      <c r="C203" s="8">
        <f t="shared" si="2"/>
        <v>0</v>
      </c>
      <c r="D203" s="9">
        <f>IFERROR(VLOOKUP(B203, 'Duke 1'!A$3:$B$85,2, 0), 0)</f>
        <v>0</v>
      </c>
      <c r="E203" s="9">
        <f>IFERROR(VLOOKUP(B203, 'Duke 2'!A$3:$B$522,2, 0), 0)</f>
        <v>0</v>
      </c>
      <c r="F203" s="10">
        <f>IFERROR(VLOOKUP(B203, 'Duke 3'!A$3:$B998,2, 0), 0)</f>
        <v>0</v>
      </c>
      <c r="G203" s="10">
        <f>IFERROR(VLOOKUP(B203, 'Duke 4'!A$3:$B998,2, 0), 0)</f>
        <v>0</v>
      </c>
      <c r="H203" s="10">
        <f>IFERROR(VLOOKUP(B203, Proof!A$2:$B998,2, 0), 0)</f>
        <v>0</v>
      </c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</row>
    <row r="204">
      <c r="A204" s="1">
        <f t="shared" si="1"/>
        <v>203</v>
      </c>
      <c r="B204" s="7" t="s">
        <v>401</v>
      </c>
      <c r="C204" s="8">
        <f t="shared" si="2"/>
        <v>0</v>
      </c>
      <c r="D204" s="9">
        <f>IFERROR(VLOOKUP(B204, 'Duke 1'!A$3:$B$85,2, 0), 0)</f>
        <v>0</v>
      </c>
      <c r="E204" s="9">
        <f>IFERROR(VLOOKUP(B204, 'Duke 2'!A$3:$B$522,2, 0), 0)</f>
        <v>0</v>
      </c>
      <c r="F204" s="10">
        <f>IFERROR(VLOOKUP(B204, 'Duke 3'!A$3:$B998,2, 0), 0)</f>
        <v>0</v>
      </c>
      <c r="G204" s="10">
        <f>IFERROR(VLOOKUP(B204, 'Duke 4'!A$3:$B998,2, 0), 0)</f>
        <v>0</v>
      </c>
      <c r="H204" s="10">
        <f>IFERROR(VLOOKUP(B204, Proof!A$2:$B998,2, 0), 0)</f>
        <v>0</v>
      </c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</row>
    <row r="205">
      <c r="A205" s="1">
        <f t="shared" si="1"/>
        <v>204</v>
      </c>
      <c r="B205" s="7" t="s">
        <v>343</v>
      </c>
      <c r="C205" s="8">
        <f t="shared" si="2"/>
        <v>0</v>
      </c>
      <c r="D205" s="9">
        <f>IFERROR(VLOOKUP(B205, 'Duke 1'!A$3:$B$85,2, 0), 0)</f>
        <v>0</v>
      </c>
      <c r="E205" s="9">
        <f>IFERROR(VLOOKUP(B205, 'Duke 2'!A$3:$B$522,2, 0), 0)</f>
        <v>0</v>
      </c>
      <c r="F205" s="10">
        <f>IFERROR(VLOOKUP(B205, 'Duke 3'!A$3:$B998,2, 0), 0)</f>
        <v>0</v>
      </c>
      <c r="G205" s="10">
        <f>IFERROR(VLOOKUP(B205, 'Duke 4'!A$3:$B998,2, 0), 0)</f>
        <v>0</v>
      </c>
      <c r="H205" s="10">
        <f>IFERROR(VLOOKUP(B205, Proof!A$2:$B998,2, 0), 0)</f>
        <v>0</v>
      </c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</row>
    <row r="206">
      <c r="A206" s="1">
        <f t="shared" si="1"/>
        <v>205</v>
      </c>
      <c r="B206" s="7" t="s">
        <v>300</v>
      </c>
      <c r="C206" s="8">
        <f t="shared" si="2"/>
        <v>0</v>
      </c>
      <c r="D206" s="9">
        <f>IFERROR(VLOOKUP(B206, 'Duke 1'!A$3:$B$85,2, 0), 0)</f>
        <v>0</v>
      </c>
      <c r="E206" s="9">
        <f>IFERROR(VLOOKUP(B206, 'Duke 2'!A$3:$B$522,2, 0), 0)</f>
        <v>0</v>
      </c>
      <c r="F206" s="10">
        <f>IFERROR(VLOOKUP(B206, 'Duke 3'!A$3:$B998,2, 0), 0)</f>
        <v>0</v>
      </c>
      <c r="G206" s="10">
        <f>IFERROR(VLOOKUP(B206, 'Duke 4'!A$3:$B998,2, 0), 0)</f>
        <v>0</v>
      </c>
      <c r="H206" s="10">
        <f>IFERROR(VLOOKUP(B206, Proof!A$2:$B998,2, 0), 0)</f>
        <v>0</v>
      </c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</row>
    <row r="207">
      <c r="A207" s="1">
        <f t="shared" si="1"/>
        <v>206</v>
      </c>
      <c r="B207" s="7" t="s">
        <v>428</v>
      </c>
      <c r="C207" s="8">
        <f t="shared" si="2"/>
        <v>0</v>
      </c>
      <c r="D207" s="9">
        <f>IFERROR(VLOOKUP(B207, 'Duke 1'!A$3:$B$85,2, 0), 0)</f>
        <v>0</v>
      </c>
      <c r="E207" s="9">
        <f>IFERROR(VLOOKUP(B207, 'Duke 2'!A$3:$B$522,2, 0), 0)</f>
        <v>0</v>
      </c>
      <c r="F207" s="10">
        <f>IFERROR(VLOOKUP(B207, 'Duke 3'!A$3:$B998,2, 0), 0)</f>
        <v>0</v>
      </c>
      <c r="G207" s="10">
        <f>IFERROR(VLOOKUP(B207, 'Duke 4'!A$3:$B998,2, 0), 0)</f>
        <v>0</v>
      </c>
      <c r="H207" s="10">
        <f>IFERROR(VLOOKUP(B207, Proof!A$2:$B998,2, 0), 0)</f>
        <v>0</v>
      </c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</row>
    <row r="208">
      <c r="A208" s="1">
        <f t="shared" si="1"/>
        <v>207</v>
      </c>
      <c r="B208" s="7" t="s">
        <v>180</v>
      </c>
      <c r="C208" s="8">
        <f t="shared" si="2"/>
        <v>0</v>
      </c>
      <c r="D208" s="9">
        <f>IFERROR(VLOOKUP(B208, 'Duke 1'!A$3:$B$85,2, 0), 0)</f>
        <v>0</v>
      </c>
      <c r="E208" s="9">
        <f>IFERROR(VLOOKUP(B208, 'Duke 2'!A$3:$B$522,2, 0), 0)</f>
        <v>0</v>
      </c>
      <c r="F208" s="10">
        <f>IFERROR(VLOOKUP(B208, 'Duke 3'!A$3:$B998,2, 0), 0)</f>
        <v>0</v>
      </c>
      <c r="G208" s="10">
        <f>IFERROR(VLOOKUP(B208, 'Duke 4'!A$3:$B998,2, 0), 0)</f>
        <v>0</v>
      </c>
      <c r="H208" s="10">
        <f>IFERROR(VLOOKUP(B208, Proof!A$2:$B998,2, 0), 0)</f>
        <v>0</v>
      </c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</row>
    <row r="209">
      <c r="A209" s="1">
        <f t="shared" si="1"/>
        <v>208</v>
      </c>
      <c r="B209" s="7" t="s">
        <v>129</v>
      </c>
      <c r="C209" s="8">
        <f t="shared" si="2"/>
        <v>0</v>
      </c>
      <c r="D209" s="9">
        <f>IFERROR(VLOOKUP(B209, 'Duke 1'!A$3:$B$85,2, 0), 0)</f>
        <v>0</v>
      </c>
      <c r="E209" s="9">
        <f>IFERROR(VLOOKUP(B209, 'Duke 2'!A$3:$B$522,2, 0), 0)</f>
        <v>0</v>
      </c>
      <c r="F209" s="10">
        <f>IFERROR(VLOOKUP(B209, 'Duke 3'!A$3:$B998,2, 0), 0)</f>
        <v>0</v>
      </c>
      <c r="G209" s="10">
        <f>IFERROR(VLOOKUP(B209, 'Duke 4'!A$3:$B998,2, 0), 0)</f>
        <v>0</v>
      </c>
      <c r="H209" s="10">
        <f>IFERROR(VLOOKUP(B209, Proof!A$2:$B998,2, 0), 0)</f>
        <v>0</v>
      </c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</row>
    <row r="210">
      <c r="A210" s="1">
        <f t="shared" si="1"/>
        <v>209</v>
      </c>
      <c r="B210" s="7" t="s">
        <v>134</v>
      </c>
      <c r="C210" s="8">
        <f t="shared" si="2"/>
        <v>0</v>
      </c>
      <c r="D210" s="9">
        <f>IFERROR(VLOOKUP(B210, 'Duke 1'!A$3:$B$85,2, 0), 0)</f>
        <v>0</v>
      </c>
      <c r="E210" s="9">
        <f>IFERROR(VLOOKUP(B210, 'Duke 2'!A$3:$B$522,2, 0), 0)</f>
        <v>0</v>
      </c>
      <c r="F210" s="10">
        <f>IFERROR(VLOOKUP(B210, 'Duke 3'!A$3:$B998,2, 0), 0)</f>
        <v>0</v>
      </c>
      <c r="G210" s="10">
        <f>IFERROR(VLOOKUP(B210, 'Duke 4'!A$3:$B998,2, 0), 0)</f>
        <v>0</v>
      </c>
      <c r="H210" s="10">
        <f>IFERROR(VLOOKUP(B210, Proof!A$2:$B998,2, 0), 0)</f>
        <v>0</v>
      </c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</row>
    <row r="211">
      <c r="A211" s="1">
        <f t="shared" si="1"/>
        <v>210</v>
      </c>
      <c r="B211" s="7" t="s">
        <v>127</v>
      </c>
      <c r="C211" s="8">
        <f t="shared" si="2"/>
        <v>0</v>
      </c>
      <c r="D211" s="9">
        <f>IFERROR(VLOOKUP(B211, 'Duke 1'!A$3:$B$85,2, 0), 0)</f>
        <v>0</v>
      </c>
      <c r="E211" s="9">
        <f>IFERROR(VLOOKUP(B211, 'Duke 2'!A$3:$B$522,2, 0), 0)</f>
        <v>0</v>
      </c>
      <c r="F211" s="10">
        <f>IFERROR(VLOOKUP(B211, 'Duke 3'!A$3:$B998,2, 0), 0)</f>
        <v>0</v>
      </c>
      <c r="G211" s="10">
        <f>IFERROR(VLOOKUP(B211, 'Duke 4'!A$3:$B998,2, 0), 0)</f>
        <v>0</v>
      </c>
      <c r="H211" s="10">
        <f>IFERROR(VLOOKUP(B211, Proof!A$2:$B998,2, 0), 0)</f>
        <v>0</v>
      </c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</row>
    <row r="212">
      <c r="A212" s="1">
        <f t="shared" si="1"/>
        <v>211</v>
      </c>
      <c r="B212" s="7" t="s">
        <v>254</v>
      </c>
      <c r="C212" s="8">
        <f t="shared" si="2"/>
        <v>0</v>
      </c>
      <c r="D212" s="9">
        <f>IFERROR(VLOOKUP(B212, 'Duke 1'!A$3:$B$85,2, 0), 0)</f>
        <v>0</v>
      </c>
      <c r="E212" s="9">
        <f>IFERROR(VLOOKUP(B212, 'Duke 2'!A$3:$B$522,2, 0), 0)</f>
        <v>0</v>
      </c>
      <c r="F212" s="10">
        <f>IFERROR(VLOOKUP(B212, 'Duke 3'!A$3:$B998,2, 0), 0)</f>
        <v>0</v>
      </c>
      <c r="G212" s="10">
        <f>IFERROR(VLOOKUP(B212, 'Duke 4'!A$3:$B998,2, 0), 0)</f>
        <v>0</v>
      </c>
      <c r="H212" s="10">
        <f>IFERROR(VLOOKUP(B212, Proof!A$2:$B998,2, 0), 0)</f>
        <v>0</v>
      </c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</row>
    <row r="213">
      <c r="A213" s="1">
        <f t="shared" si="1"/>
        <v>212</v>
      </c>
      <c r="B213" s="7" t="s">
        <v>173</v>
      </c>
      <c r="C213" s="8">
        <f t="shared" si="2"/>
        <v>0</v>
      </c>
      <c r="D213" s="9">
        <f>IFERROR(VLOOKUP(B213, 'Duke 1'!A$3:$B$85,2, 0), 0)</f>
        <v>0</v>
      </c>
      <c r="E213" s="9">
        <f>IFERROR(VLOOKUP(B213, 'Duke 2'!A$3:$B$522,2, 0), 0)</f>
        <v>0</v>
      </c>
      <c r="F213" s="10">
        <f>IFERROR(VLOOKUP(B213, 'Duke 3'!A$3:$B998,2, 0), 0)</f>
        <v>0</v>
      </c>
      <c r="G213" s="10">
        <f>IFERROR(VLOOKUP(B213, 'Duke 4'!A$3:$B998,2, 0), 0)</f>
        <v>0</v>
      </c>
      <c r="H213" s="10">
        <f>IFERROR(VLOOKUP(B213, Proof!A$2:$B998,2, 0), 0)</f>
        <v>0</v>
      </c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</row>
    <row r="214">
      <c r="A214" s="1">
        <f t="shared" si="1"/>
        <v>213</v>
      </c>
      <c r="B214" s="7" t="s">
        <v>198</v>
      </c>
      <c r="C214" s="8">
        <f t="shared" si="2"/>
        <v>0</v>
      </c>
      <c r="D214" s="9">
        <f>IFERROR(VLOOKUP(B214, 'Duke 1'!A$3:$B$85,2, 0), 0)</f>
        <v>0</v>
      </c>
      <c r="E214" s="9">
        <f>IFERROR(VLOOKUP(B214, 'Duke 2'!A$3:$B$522,2, 0), 0)</f>
        <v>0</v>
      </c>
      <c r="F214" s="10">
        <f>IFERROR(VLOOKUP(B214, 'Duke 3'!A$3:$B998,2, 0), 0)</f>
        <v>0</v>
      </c>
      <c r="G214" s="10">
        <f>IFERROR(VLOOKUP(B214, 'Duke 4'!A$3:$B998,2, 0), 0)</f>
        <v>0</v>
      </c>
      <c r="H214" s="10">
        <f>IFERROR(VLOOKUP(B214, Proof!A$2:$B998,2, 0), 0)</f>
        <v>0</v>
      </c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</row>
    <row r="215">
      <c r="A215" s="1">
        <f t="shared" si="1"/>
        <v>214</v>
      </c>
      <c r="B215" s="7" t="s">
        <v>264</v>
      </c>
      <c r="C215" s="8">
        <f t="shared" si="2"/>
        <v>0</v>
      </c>
      <c r="D215" s="9">
        <f>IFERROR(VLOOKUP(B215, 'Duke 1'!A$3:$B$85,2, 0), 0)</f>
        <v>0</v>
      </c>
      <c r="E215" s="9">
        <f>IFERROR(VLOOKUP(B215, 'Duke 2'!A$3:$B$522,2, 0), 0)</f>
        <v>0</v>
      </c>
      <c r="F215" s="10">
        <f>IFERROR(VLOOKUP(B215, 'Duke 3'!A$3:$B998,2, 0), 0)</f>
        <v>0</v>
      </c>
      <c r="G215" s="10">
        <f>IFERROR(VLOOKUP(B215, 'Duke 4'!A$3:$B998,2, 0), 0)</f>
        <v>0</v>
      </c>
      <c r="H215" s="10">
        <f>IFERROR(VLOOKUP(B215, Proof!A$2:$B998,2, 0), 0)</f>
        <v>0</v>
      </c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</row>
    <row r="216">
      <c r="A216" s="1">
        <f t="shared" si="1"/>
        <v>215</v>
      </c>
      <c r="B216" s="7" t="s">
        <v>317</v>
      </c>
      <c r="C216" s="8">
        <f t="shared" si="2"/>
        <v>0</v>
      </c>
      <c r="D216" s="9">
        <f>IFERROR(VLOOKUP(B216, 'Duke 1'!A$3:$B$85,2, 0), 0)</f>
        <v>0</v>
      </c>
      <c r="E216" s="9">
        <f>IFERROR(VLOOKUP(B216, 'Duke 2'!A$3:$B$522,2, 0), 0)</f>
        <v>0</v>
      </c>
      <c r="F216" s="10">
        <f>IFERROR(VLOOKUP(B216, 'Duke 3'!A$3:$B998,2, 0), 0)</f>
        <v>0</v>
      </c>
      <c r="G216" s="10">
        <f>IFERROR(VLOOKUP(B216, 'Duke 4'!A$3:$B998,2, 0), 0)</f>
        <v>0</v>
      </c>
      <c r="H216" s="10">
        <f>IFERROR(VLOOKUP(B216, Proof!A$2:$B998,2, 0), 0)</f>
        <v>0</v>
      </c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</row>
    <row r="217">
      <c r="A217" s="1">
        <f t="shared" si="1"/>
        <v>216</v>
      </c>
      <c r="B217" s="7" t="s">
        <v>267</v>
      </c>
      <c r="C217" s="8">
        <f t="shared" si="2"/>
        <v>0</v>
      </c>
      <c r="D217" s="9">
        <f>IFERROR(VLOOKUP(B217, 'Duke 1'!A$3:$B$85,2, 0), 0)</f>
        <v>0</v>
      </c>
      <c r="E217" s="9">
        <f>IFERROR(VLOOKUP(B217, 'Duke 2'!A$3:$B$522,2, 0), 0)</f>
        <v>0</v>
      </c>
      <c r="F217" s="10">
        <f>IFERROR(VLOOKUP(B217, 'Duke 3'!A$3:$B998,2, 0), 0)</f>
        <v>0</v>
      </c>
      <c r="G217" s="10">
        <f>IFERROR(VLOOKUP(B217, 'Duke 4'!A$3:$B998,2, 0), 0)</f>
        <v>0</v>
      </c>
      <c r="H217" s="10">
        <f>IFERROR(VLOOKUP(B217, Proof!A$2:$B998,2, 0), 0)</f>
        <v>0</v>
      </c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</row>
    <row r="218">
      <c r="A218" s="1">
        <f t="shared" si="1"/>
        <v>217</v>
      </c>
      <c r="B218" s="7" t="s">
        <v>384</v>
      </c>
      <c r="C218" s="8">
        <f t="shared" si="2"/>
        <v>0</v>
      </c>
      <c r="D218" s="9">
        <f>IFERROR(VLOOKUP(B218, 'Duke 1'!A$3:$B$85,2, 0), 0)</f>
        <v>0</v>
      </c>
      <c r="E218" s="9">
        <f>IFERROR(VLOOKUP(B218, 'Duke 2'!A$3:$B$522,2, 0), 0)</f>
        <v>0</v>
      </c>
      <c r="F218" s="10">
        <f>IFERROR(VLOOKUP(B218, 'Duke 3'!A$3:$B998,2, 0), 0)</f>
        <v>0</v>
      </c>
      <c r="G218" s="10">
        <f>IFERROR(VLOOKUP(B218, 'Duke 4'!A$3:$B998,2, 0), 0)</f>
        <v>0</v>
      </c>
      <c r="H218" s="10">
        <f>IFERROR(VLOOKUP(B218, Proof!A$2:$B998,2, 0), 0)</f>
        <v>0</v>
      </c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</row>
    <row r="219">
      <c r="A219" s="1">
        <f t="shared" si="1"/>
        <v>218</v>
      </c>
      <c r="B219" s="7" t="s">
        <v>143</v>
      </c>
      <c r="C219" s="8">
        <f t="shared" si="2"/>
        <v>0</v>
      </c>
      <c r="D219" s="9">
        <f>IFERROR(VLOOKUP(B219, 'Duke 1'!A$3:$B$85,2, 0), 0)</f>
        <v>0</v>
      </c>
      <c r="E219" s="9">
        <f>IFERROR(VLOOKUP(B219, 'Duke 2'!A$3:$B$522,2, 0), 0)</f>
        <v>0</v>
      </c>
      <c r="F219" s="10">
        <f>IFERROR(VLOOKUP(B219, 'Duke 3'!A$3:$B998,2, 0), 0)</f>
        <v>0</v>
      </c>
      <c r="G219" s="10">
        <f>IFERROR(VLOOKUP(B219, 'Duke 4'!A$3:$B998,2, 0), 0)</f>
        <v>0</v>
      </c>
      <c r="H219" s="10">
        <f>IFERROR(VLOOKUP(B219, Proof!A$2:$B998,2, 0), 0)</f>
        <v>0</v>
      </c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</row>
    <row r="220">
      <c r="A220" s="1">
        <f t="shared" si="1"/>
        <v>219</v>
      </c>
      <c r="B220" s="7" t="s">
        <v>153</v>
      </c>
      <c r="C220" s="8">
        <f t="shared" si="2"/>
        <v>0</v>
      </c>
      <c r="D220" s="9">
        <f>IFERROR(VLOOKUP(B220, 'Duke 1'!A$3:$B$85,2, 0), 0)</f>
        <v>0</v>
      </c>
      <c r="E220" s="9">
        <f>IFERROR(VLOOKUP(B220, 'Duke 2'!A$3:$B$522,2, 0), 0)</f>
        <v>0</v>
      </c>
      <c r="F220" s="10">
        <f>IFERROR(VLOOKUP(B220, 'Duke 3'!A$3:$B998,2, 0), 0)</f>
        <v>0</v>
      </c>
      <c r="G220" s="10">
        <f>IFERROR(VLOOKUP(B220, 'Duke 4'!A$3:$B998,2, 0), 0)</f>
        <v>0</v>
      </c>
      <c r="H220" s="10">
        <f>IFERROR(VLOOKUP(B220, Proof!A$2:$B998,2, 0), 0)</f>
        <v>0</v>
      </c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</row>
    <row r="221">
      <c r="A221" s="1">
        <f t="shared" si="1"/>
        <v>220</v>
      </c>
      <c r="B221" s="7" t="s">
        <v>201</v>
      </c>
      <c r="C221" s="8">
        <f t="shared" si="2"/>
        <v>0</v>
      </c>
      <c r="D221" s="9">
        <f>IFERROR(VLOOKUP(B221, 'Duke 1'!A$3:$B$85,2, 0), 0)</f>
        <v>0</v>
      </c>
      <c r="E221" s="9">
        <f>IFERROR(VLOOKUP(B221, 'Duke 2'!A$3:$B$522,2, 0), 0)</f>
        <v>0</v>
      </c>
      <c r="F221" s="10">
        <f>IFERROR(VLOOKUP(B221, 'Duke 3'!A$3:$B998,2, 0), 0)</f>
        <v>0</v>
      </c>
      <c r="G221" s="10">
        <f>IFERROR(VLOOKUP(B221, 'Duke 4'!A$3:$B998,2, 0), 0)</f>
        <v>0</v>
      </c>
      <c r="H221" s="10">
        <f>IFERROR(VLOOKUP(B221, Proof!A$2:$B998,2, 0), 0)</f>
        <v>0</v>
      </c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</row>
    <row r="222">
      <c r="A222" s="1">
        <f t="shared" si="1"/>
        <v>221</v>
      </c>
      <c r="B222" s="7" t="s">
        <v>181</v>
      </c>
      <c r="C222" s="8">
        <f t="shared" si="2"/>
        <v>0</v>
      </c>
      <c r="D222" s="9">
        <f>IFERROR(VLOOKUP(B222, 'Duke 1'!A$3:$B$85,2, 0), 0)</f>
        <v>0</v>
      </c>
      <c r="E222" s="9">
        <f>IFERROR(VLOOKUP(B222, 'Duke 2'!A$3:$B$522,2, 0), 0)</f>
        <v>0</v>
      </c>
      <c r="F222" s="10">
        <f>IFERROR(VLOOKUP(B222, 'Duke 3'!A$3:$B998,2, 0), 0)</f>
        <v>0</v>
      </c>
      <c r="G222" s="10">
        <f>IFERROR(VLOOKUP(B222, 'Duke 4'!A$3:$B998,2, 0), 0)</f>
        <v>0</v>
      </c>
      <c r="H222" s="10">
        <f>IFERROR(VLOOKUP(B222, Proof!A$2:$B998,2, 0), 0)</f>
        <v>0</v>
      </c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</row>
    <row r="223">
      <c r="A223" s="1">
        <f t="shared" si="1"/>
        <v>222</v>
      </c>
      <c r="B223" s="7" t="s">
        <v>204</v>
      </c>
      <c r="C223" s="8">
        <f t="shared" si="2"/>
        <v>0</v>
      </c>
      <c r="D223" s="9">
        <f>IFERROR(VLOOKUP(B223, 'Duke 1'!A$3:$B$85,2, 0), 0)</f>
        <v>0</v>
      </c>
      <c r="E223" s="9">
        <f>IFERROR(VLOOKUP(B223, 'Duke 2'!A$3:$B$522,2, 0), 0)</f>
        <v>0</v>
      </c>
      <c r="F223" s="10">
        <f>IFERROR(VLOOKUP(B223, 'Duke 3'!A$3:$B998,2, 0), 0)</f>
        <v>0</v>
      </c>
      <c r="G223" s="10">
        <f>IFERROR(VLOOKUP(B223, 'Duke 4'!A$3:$B998,2, 0), 0)</f>
        <v>0</v>
      </c>
      <c r="H223" s="10">
        <f>IFERROR(VLOOKUP(B223, Proof!A$2:$B998,2, 0), 0)</f>
        <v>0</v>
      </c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</row>
    <row r="224">
      <c r="A224" s="1">
        <f t="shared" si="1"/>
        <v>223</v>
      </c>
      <c r="B224" s="7" t="s">
        <v>132</v>
      </c>
      <c r="C224" s="8">
        <f t="shared" si="2"/>
        <v>0</v>
      </c>
      <c r="D224" s="9">
        <f>IFERROR(VLOOKUP(B224, 'Duke 1'!A$3:$B$85,2, 0), 0)</f>
        <v>0</v>
      </c>
      <c r="E224" s="9">
        <f>IFERROR(VLOOKUP(B224, 'Duke 2'!A$3:$B$522,2, 0), 0)</f>
        <v>0</v>
      </c>
      <c r="F224" s="10">
        <f>IFERROR(VLOOKUP(B224, 'Duke 3'!A$3:$B998,2, 0), 0)</f>
        <v>0</v>
      </c>
      <c r="G224" s="10">
        <f>IFERROR(VLOOKUP(B224, 'Duke 4'!A$3:$B998,2, 0), 0)</f>
        <v>0</v>
      </c>
      <c r="H224" s="10">
        <f>IFERROR(VLOOKUP(B224, Proof!A$2:$B998,2, 0), 0)</f>
        <v>0</v>
      </c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</row>
    <row r="225">
      <c r="A225" s="1">
        <f t="shared" si="1"/>
        <v>224</v>
      </c>
      <c r="B225" s="7" t="s">
        <v>159</v>
      </c>
      <c r="C225" s="8">
        <f t="shared" si="2"/>
        <v>0</v>
      </c>
      <c r="D225" s="9">
        <f>IFERROR(VLOOKUP(B225, 'Duke 1'!A$3:$B$85,2, 0), 0)</f>
        <v>0</v>
      </c>
      <c r="E225" s="9">
        <f>IFERROR(VLOOKUP(B225, 'Duke 2'!A$3:$B$522,2, 0), 0)</f>
        <v>0</v>
      </c>
      <c r="F225" s="10">
        <f>IFERROR(VLOOKUP(B225, 'Duke 3'!A$3:$B998,2, 0), 0)</f>
        <v>0</v>
      </c>
      <c r="G225" s="10">
        <f>IFERROR(VLOOKUP(B225, 'Duke 4'!A$3:$B998,2, 0), 0)</f>
        <v>0</v>
      </c>
      <c r="H225" s="10">
        <f>IFERROR(VLOOKUP(B225, Proof!A$2:$B998,2, 0), 0)</f>
        <v>0</v>
      </c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</row>
    <row r="226">
      <c r="A226" s="1">
        <f t="shared" si="1"/>
        <v>225</v>
      </c>
      <c r="B226" s="7" t="s">
        <v>385</v>
      </c>
      <c r="C226" s="8">
        <f t="shared" si="2"/>
        <v>0</v>
      </c>
      <c r="D226" s="9">
        <f>IFERROR(VLOOKUP(B226, 'Duke 1'!A$3:$B$85,2, 0), 0)</f>
        <v>0</v>
      </c>
      <c r="E226" s="9">
        <f>IFERROR(VLOOKUP(B226, 'Duke 2'!A$3:$B$522,2, 0), 0)</f>
        <v>0</v>
      </c>
      <c r="F226" s="10">
        <f>IFERROR(VLOOKUP(B226, 'Duke 3'!A$3:$B998,2, 0), 0)</f>
        <v>0</v>
      </c>
      <c r="G226" s="10">
        <f>IFERROR(VLOOKUP(B226, 'Duke 4'!A$3:$B998,2, 0), 0)</f>
        <v>0</v>
      </c>
      <c r="H226" s="10">
        <f>IFERROR(VLOOKUP(B226, Proof!A$2:$B998,2, 0), 0)</f>
        <v>0</v>
      </c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</row>
    <row r="227">
      <c r="A227" s="1">
        <f t="shared" si="1"/>
        <v>226</v>
      </c>
      <c r="B227" s="7" t="s">
        <v>410</v>
      </c>
      <c r="C227" s="8">
        <f t="shared" si="2"/>
        <v>0</v>
      </c>
      <c r="D227" s="9">
        <f>IFERROR(VLOOKUP(B227, 'Duke 1'!A$3:$B$85,2, 0), 0)</f>
        <v>0</v>
      </c>
      <c r="E227" s="9">
        <f>IFERROR(VLOOKUP(B227, 'Duke 2'!A$3:$B$522,2, 0), 0)</f>
        <v>0</v>
      </c>
      <c r="F227" s="10">
        <f>IFERROR(VLOOKUP(B227, 'Duke 3'!A$3:$B998,2, 0), 0)</f>
        <v>0</v>
      </c>
      <c r="G227" s="10">
        <f>IFERROR(VLOOKUP(B227, 'Duke 4'!A$3:$B998,2, 0), 0)</f>
        <v>0</v>
      </c>
      <c r="H227" s="10">
        <f>IFERROR(VLOOKUP(B227, Proof!A$2:$B998,2, 0), 0)</f>
        <v>0</v>
      </c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</row>
    <row r="228">
      <c r="A228" s="1">
        <f t="shared" si="1"/>
        <v>227</v>
      </c>
      <c r="B228" s="7" t="s">
        <v>157</v>
      </c>
      <c r="C228" s="8">
        <f t="shared" si="2"/>
        <v>0</v>
      </c>
      <c r="D228" s="9">
        <f>IFERROR(VLOOKUP(B228, 'Duke 1'!A$3:$B$85,2, 0), 0)</f>
        <v>0</v>
      </c>
      <c r="E228" s="9">
        <f>IFERROR(VLOOKUP(B228, 'Duke 2'!A$3:$B$522,2, 0), 0)</f>
        <v>0</v>
      </c>
      <c r="F228" s="10">
        <f>IFERROR(VLOOKUP(B228, 'Duke 3'!A$3:$B998,2, 0), 0)</f>
        <v>0</v>
      </c>
      <c r="G228" s="10">
        <f>IFERROR(VLOOKUP(B228, 'Duke 4'!A$3:$B998,2, 0), 0)</f>
        <v>0</v>
      </c>
      <c r="H228" s="10">
        <f>IFERROR(VLOOKUP(B228, Proof!A$2:$B998,2, 0), 0)</f>
        <v>0</v>
      </c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</row>
    <row r="229">
      <c r="A229" s="1">
        <f t="shared" si="1"/>
        <v>228</v>
      </c>
      <c r="B229" s="7" t="s">
        <v>364</v>
      </c>
      <c r="C229" s="8">
        <f t="shared" si="2"/>
        <v>0</v>
      </c>
      <c r="D229" s="9">
        <f>IFERROR(VLOOKUP(B229, 'Duke 1'!A$3:$B$85,2, 0), 0)</f>
        <v>0</v>
      </c>
      <c r="E229" s="9">
        <f>IFERROR(VLOOKUP(B229, 'Duke 2'!A$3:$B$522,2, 0), 0)</f>
        <v>0</v>
      </c>
      <c r="F229" s="10">
        <f>IFERROR(VLOOKUP(B229, 'Duke 3'!A$3:$B998,2, 0), 0)</f>
        <v>0</v>
      </c>
      <c r="G229" s="10">
        <f>IFERROR(VLOOKUP(B229, 'Duke 4'!A$3:$B998,2, 0), 0)</f>
        <v>0</v>
      </c>
      <c r="H229" s="10">
        <f>IFERROR(VLOOKUP(B229, Proof!A$2:$B998,2, 0), 0)</f>
        <v>0</v>
      </c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</row>
    <row r="230">
      <c r="A230" s="1">
        <f t="shared" si="1"/>
        <v>229</v>
      </c>
      <c r="B230" s="7" t="s">
        <v>247</v>
      </c>
      <c r="C230" s="8">
        <f t="shared" si="2"/>
        <v>0</v>
      </c>
      <c r="D230" s="9">
        <f>IFERROR(VLOOKUP(B230, 'Duke 1'!A$3:$B$85,2, 0), 0)</f>
        <v>0</v>
      </c>
      <c r="E230" s="9">
        <f>IFERROR(VLOOKUP(B230, 'Duke 2'!A$3:$B$522,2, 0), 0)</f>
        <v>0</v>
      </c>
      <c r="F230" s="10">
        <f>IFERROR(VLOOKUP(B230, 'Duke 3'!A$3:$B998,2, 0), 0)</f>
        <v>0</v>
      </c>
      <c r="G230" s="10">
        <f>IFERROR(VLOOKUP(B230, 'Duke 4'!A$3:$B998,2, 0), 0)</f>
        <v>0</v>
      </c>
      <c r="H230" s="10">
        <f>IFERROR(VLOOKUP(B230, Proof!A$2:$B998,2, 0), 0)</f>
        <v>0</v>
      </c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</row>
    <row r="231">
      <c r="A231" s="1">
        <f t="shared" si="1"/>
        <v>230</v>
      </c>
      <c r="B231" s="7" t="s">
        <v>189</v>
      </c>
      <c r="C231" s="8">
        <f t="shared" si="2"/>
        <v>0</v>
      </c>
      <c r="D231" s="9">
        <f>IFERROR(VLOOKUP(B231, 'Duke 1'!A$3:$B$85,2, 0), 0)</f>
        <v>0</v>
      </c>
      <c r="E231" s="9">
        <f>IFERROR(VLOOKUP(B231, 'Duke 2'!A$3:$B$522,2, 0), 0)</f>
        <v>0</v>
      </c>
      <c r="F231" s="10">
        <f>IFERROR(VLOOKUP(B231, 'Duke 3'!A$3:$B998,2, 0), 0)</f>
        <v>0</v>
      </c>
      <c r="G231" s="10">
        <f>IFERROR(VLOOKUP(B231, 'Duke 4'!A$3:$B998,2, 0), 0)</f>
        <v>0</v>
      </c>
      <c r="H231" s="10">
        <f>IFERROR(VLOOKUP(B231, Proof!A$2:$B998,2, 0), 0)</f>
        <v>0</v>
      </c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</row>
    <row r="232">
      <c r="A232" s="1">
        <f t="shared" si="1"/>
        <v>231</v>
      </c>
      <c r="B232" s="7" t="s">
        <v>184</v>
      </c>
      <c r="C232" s="8">
        <f t="shared" si="2"/>
        <v>0</v>
      </c>
      <c r="D232" s="9">
        <f>IFERROR(VLOOKUP(B232, 'Duke 1'!A$3:$B$85,2, 0), 0)</f>
        <v>0</v>
      </c>
      <c r="E232" s="9">
        <f>IFERROR(VLOOKUP(B232, 'Duke 2'!A$3:$B$522,2, 0), 0)</f>
        <v>0</v>
      </c>
      <c r="F232" s="10">
        <f>IFERROR(VLOOKUP(B232, 'Duke 3'!A$3:$B998,2, 0), 0)</f>
        <v>0</v>
      </c>
      <c r="G232" s="10">
        <f>IFERROR(VLOOKUP(B232, 'Duke 4'!A$3:$B998,2, 0), 0)</f>
        <v>0</v>
      </c>
      <c r="H232" s="10">
        <f>IFERROR(VLOOKUP(B232, Proof!A$2:$B998,2, 0), 0)</f>
        <v>0</v>
      </c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</row>
    <row r="233">
      <c r="A233" s="1">
        <f t="shared" si="1"/>
        <v>232</v>
      </c>
      <c r="B233" s="7" t="s">
        <v>179</v>
      </c>
      <c r="C233" s="8">
        <f t="shared" si="2"/>
        <v>0</v>
      </c>
      <c r="D233" s="9">
        <f>IFERROR(VLOOKUP(B233, 'Duke 1'!A$3:$B$85,2, 0), 0)</f>
        <v>0</v>
      </c>
      <c r="E233" s="9">
        <f>IFERROR(VLOOKUP(B233, 'Duke 2'!A$3:$B$522,2, 0), 0)</f>
        <v>0</v>
      </c>
      <c r="F233" s="10">
        <f>IFERROR(VLOOKUP(B233, 'Duke 3'!A$3:$B998,2, 0), 0)</f>
        <v>0</v>
      </c>
      <c r="G233" s="10">
        <f>IFERROR(VLOOKUP(B233, 'Duke 4'!A$3:$B998,2, 0), 0)</f>
        <v>0</v>
      </c>
      <c r="H233" s="10">
        <f>IFERROR(VLOOKUP(B233, Proof!A$2:$B998,2, 0), 0)</f>
        <v>0</v>
      </c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</row>
    <row r="234">
      <c r="A234" s="1">
        <f t="shared" si="1"/>
        <v>233</v>
      </c>
      <c r="B234" s="17" t="s">
        <v>169</v>
      </c>
      <c r="C234" s="8">
        <f t="shared" si="2"/>
        <v>0</v>
      </c>
      <c r="D234" s="9">
        <f>IFERROR(VLOOKUP(B234, 'Duke 1'!A$3:$B$85,2, 0), 0)</f>
        <v>0</v>
      </c>
      <c r="E234" s="9">
        <f>IFERROR(VLOOKUP(B234, 'Duke 2'!A$3:$B$522,2, 0), 0)</f>
        <v>0</v>
      </c>
      <c r="F234" s="10">
        <f>IFERROR(VLOOKUP(B234, 'Duke 3'!A$3:$B998,2, 0), 0)</f>
        <v>0</v>
      </c>
      <c r="G234" s="10">
        <f>IFERROR(VLOOKUP(B234, 'Duke 4'!A$3:$B998,2, 0), 0)</f>
        <v>0</v>
      </c>
      <c r="H234" s="10">
        <f>IFERROR(VLOOKUP(B234, Proof!A$2:$B998,2, 0), 0)</f>
        <v>0</v>
      </c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</row>
    <row r="235">
      <c r="A235" s="1">
        <f t="shared" si="1"/>
        <v>234</v>
      </c>
      <c r="B235" s="7" t="s">
        <v>283</v>
      </c>
      <c r="C235" s="8">
        <f t="shared" si="2"/>
        <v>0</v>
      </c>
      <c r="D235" s="9">
        <f>IFERROR(VLOOKUP(B235, 'Duke 1'!A$3:$B$85,2, 0), 0)</f>
        <v>0</v>
      </c>
      <c r="E235" s="9">
        <f>IFERROR(VLOOKUP(B235, 'Duke 2'!A$3:$B$522,2, 0), 0)</f>
        <v>0</v>
      </c>
      <c r="F235" s="10">
        <f>IFERROR(VLOOKUP(B235, 'Duke 3'!A$3:$B998,2, 0), 0)</f>
        <v>0</v>
      </c>
      <c r="G235" s="10">
        <f>IFERROR(VLOOKUP(B235, 'Duke 4'!A$3:$B998,2, 0), 0)</f>
        <v>0</v>
      </c>
      <c r="H235" s="10">
        <f>IFERROR(VLOOKUP(B235, Proof!A$2:$B998,2, 0), 0)</f>
        <v>0</v>
      </c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</row>
    <row r="236">
      <c r="A236" s="1">
        <f t="shared" si="1"/>
        <v>235</v>
      </c>
      <c r="B236" s="7" t="s">
        <v>299</v>
      </c>
      <c r="C236" s="8">
        <f t="shared" si="2"/>
        <v>0</v>
      </c>
      <c r="D236" s="9">
        <f>IFERROR(VLOOKUP(B236, 'Duke 1'!A$3:$B$85,2, 0), 0)</f>
        <v>0</v>
      </c>
      <c r="E236" s="9">
        <f>IFERROR(VLOOKUP(B236, 'Duke 2'!A$3:$B$522,2, 0), 0)</f>
        <v>0</v>
      </c>
      <c r="F236" s="10">
        <f>IFERROR(VLOOKUP(B236, 'Duke 3'!A$3:$B998,2, 0), 0)</f>
        <v>0</v>
      </c>
      <c r="G236" s="10">
        <f>IFERROR(VLOOKUP(B236, 'Duke 4'!A$3:$B998,2, 0), 0)</f>
        <v>0</v>
      </c>
      <c r="H236" s="10">
        <f>IFERROR(VLOOKUP(B236, Proof!A$2:$B998,2, 0), 0)</f>
        <v>0</v>
      </c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</row>
    <row r="237">
      <c r="A237" s="1">
        <f t="shared" si="1"/>
        <v>236</v>
      </c>
      <c r="B237" s="7" t="s">
        <v>269</v>
      </c>
      <c r="C237" s="8">
        <f t="shared" si="2"/>
        <v>0</v>
      </c>
      <c r="D237" s="9">
        <f>IFERROR(VLOOKUP(B237, 'Duke 1'!A$3:$B$85,2, 0), 0)</f>
        <v>0</v>
      </c>
      <c r="E237" s="9">
        <f>IFERROR(VLOOKUP(B237, 'Duke 2'!A$3:$B$522,2, 0), 0)</f>
        <v>0</v>
      </c>
      <c r="F237" s="10">
        <f>IFERROR(VLOOKUP(B237, 'Duke 3'!A$3:$B998,2, 0), 0)</f>
        <v>0</v>
      </c>
      <c r="G237" s="10">
        <f>IFERROR(VLOOKUP(B237, 'Duke 4'!A$3:$B998,2, 0), 0)</f>
        <v>0</v>
      </c>
      <c r="H237" s="10">
        <f>IFERROR(VLOOKUP(B237, Proof!A$2:$B998,2, 0), 0)</f>
        <v>0</v>
      </c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</row>
    <row r="238">
      <c r="A238" s="1">
        <f t="shared" si="1"/>
        <v>237</v>
      </c>
      <c r="B238" s="7" t="s">
        <v>316</v>
      </c>
      <c r="C238" s="8">
        <f t="shared" si="2"/>
        <v>0</v>
      </c>
      <c r="D238" s="9">
        <f>IFERROR(VLOOKUP(B238, 'Duke 1'!A$3:$B$85,2, 0), 0)</f>
        <v>0</v>
      </c>
      <c r="E238" s="9">
        <f>IFERROR(VLOOKUP(B238, 'Duke 2'!A$3:$B$522,2, 0), 0)</f>
        <v>0</v>
      </c>
      <c r="F238" s="10">
        <f>IFERROR(VLOOKUP(B238, 'Duke 3'!A$3:$B998,2, 0), 0)</f>
        <v>0</v>
      </c>
      <c r="G238" s="10">
        <f>IFERROR(VLOOKUP(B238, 'Duke 4'!A$3:$B998,2, 0), 0)</f>
        <v>0</v>
      </c>
      <c r="H238" s="10">
        <f>IFERROR(VLOOKUP(B238, Proof!A$2:$B998,2, 0), 0)</f>
        <v>0</v>
      </c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</row>
    <row r="239">
      <c r="A239" s="1">
        <f t="shared" si="1"/>
        <v>238</v>
      </c>
      <c r="B239" s="7" t="s">
        <v>261</v>
      </c>
      <c r="C239" s="8">
        <f t="shared" si="2"/>
        <v>0</v>
      </c>
      <c r="D239" s="9">
        <f>IFERROR(VLOOKUP(B239, 'Duke 1'!A$3:$B$85,2, 0), 0)</f>
        <v>0</v>
      </c>
      <c r="E239" s="9">
        <f>IFERROR(VLOOKUP(B239, 'Duke 2'!A$3:$B$522,2, 0), 0)</f>
        <v>0</v>
      </c>
      <c r="F239" s="10">
        <f>IFERROR(VLOOKUP(B239, 'Duke 3'!A$3:$B998,2, 0), 0)</f>
        <v>0</v>
      </c>
      <c r="G239" s="10">
        <f>IFERROR(VLOOKUP(B239, 'Duke 4'!A$3:$B998,2, 0), 0)</f>
        <v>0</v>
      </c>
      <c r="H239" s="10">
        <f>IFERROR(VLOOKUP(B239, Proof!A$2:$B998,2, 0), 0)</f>
        <v>0</v>
      </c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</row>
    <row r="240">
      <c r="A240" s="1">
        <f t="shared" si="1"/>
        <v>239</v>
      </c>
      <c r="B240" s="7" t="s">
        <v>148</v>
      </c>
      <c r="C240" s="8">
        <f t="shared" si="2"/>
        <v>0</v>
      </c>
      <c r="D240" s="9">
        <f>IFERROR(VLOOKUP(B240, 'Duke 1'!A$3:$B$85,2, 0), 0)</f>
        <v>0</v>
      </c>
      <c r="E240" s="9">
        <f>IFERROR(VLOOKUP(B240, 'Duke 2'!A$3:$B$522,2, 0), 0)</f>
        <v>0</v>
      </c>
      <c r="F240" s="10">
        <f>IFERROR(VLOOKUP(B240, 'Duke 3'!A$3:$B998,2, 0), 0)</f>
        <v>0</v>
      </c>
      <c r="G240" s="10">
        <f>IFERROR(VLOOKUP(B240, 'Duke 4'!A$3:$B998,2, 0), 0)</f>
        <v>0</v>
      </c>
      <c r="H240" s="10">
        <f>IFERROR(VLOOKUP(B240, Proof!A$2:$B998,2, 0), 0)</f>
        <v>0</v>
      </c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</row>
    <row r="241">
      <c r="A241" s="1">
        <f t="shared" si="1"/>
        <v>240</v>
      </c>
      <c r="B241" s="7" t="s">
        <v>245</v>
      </c>
      <c r="C241" s="8">
        <f t="shared" si="2"/>
        <v>0</v>
      </c>
      <c r="D241" s="9">
        <f>IFERROR(VLOOKUP(B241, 'Duke 1'!A$3:$B$85,2, 0), 0)</f>
        <v>0</v>
      </c>
      <c r="E241" s="9">
        <f>IFERROR(VLOOKUP(B241, 'Duke 2'!A$3:$B$522,2, 0), 0)</f>
        <v>0</v>
      </c>
      <c r="F241" s="10">
        <f>IFERROR(VLOOKUP(B241, 'Duke 3'!A$3:$B998,2, 0), 0)</f>
        <v>0</v>
      </c>
      <c r="G241" s="10">
        <f>IFERROR(VLOOKUP(B241, 'Duke 4'!A$3:$B998,2, 0), 0)</f>
        <v>0</v>
      </c>
      <c r="H241" s="10">
        <f>IFERROR(VLOOKUP(B241, Proof!A$2:$B998,2, 0), 0)</f>
        <v>0</v>
      </c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</row>
    <row r="242">
      <c r="A242" s="1">
        <f t="shared" si="1"/>
        <v>241</v>
      </c>
      <c r="B242" s="7" t="s">
        <v>88</v>
      </c>
      <c r="C242" s="8">
        <f t="shared" si="2"/>
        <v>0</v>
      </c>
      <c r="D242" s="9">
        <f>IFERROR(VLOOKUP(B242, 'Duke 1'!A$3:$B$85,2, 0), 0)</f>
        <v>0</v>
      </c>
      <c r="E242" s="9">
        <f>IFERROR(VLOOKUP(B242, 'Duke 2'!A$3:$B$522,2, 0), 0)</f>
        <v>0</v>
      </c>
      <c r="F242" s="10">
        <f>IFERROR(VLOOKUP(B242, 'Duke 3'!A$3:$B998,2, 0), 0)</f>
        <v>0</v>
      </c>
      <c r="G242" s="10">
        <f>IFERROR(VLOOKUP(B242, 'Duke 4'!A$3:$B998,2, 0), 0)</f>
        <v>0</v>
      </c>
      <c r="H242" s="10">
        <f>IFERROR(VLOOKUP(B242, Proof!A$2:$B998,2, 0), 0)</f>
        <v>0</v>
      </c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</row>
    <row r="243">
      <c r="A243" s="1">
        <f t="shared" si="1"/>
        <v>242</v>
      </c>
      <c r="B243" s="7" t="s">
        <v>88</v>
      </c>
      <c r="C243" s="8">
        <f t="shared" si="2"/>
        <v>0</v>
      </c>
      <c r="D243" s="9">
        <f>IFERROR(VLOOKUP(B243, 'Duke 1'!A$3:$B$85,2, 0), 0)</f>
        <v>0</v>
      </c>
      <c r="E243" s="9">
        <f>IFERROR(VLOOKUP(B243, 'Duke 2'!A$3:$B$522,2, 0), 0)</f>
        <v>0</v>
      </c>
      <c r="F243" s="10">
        <f>IFERROR(VLOOKUP(B243, 'Duke 3'!A$3:$B998,2, 0), 0)</f>
        <v>0</v>
      </c>
      <c r="G243" s="10">
        <f>IFERROR(VLOOKUP(B243, 'Duke 4'!A$3:$B998,2, 0), 0)</f>
        <v>0</v>
      </c>
      <c r="H243" s="10">
        <f>IFERROR(VLOOKUP(B243, Proof!A$2:$B998,2, 0), 0)</f>
        <v>0</v>
      </c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</row>
    <row r="244">
      <c r="A244" s="1">
        <f t="shared" si="1"/>
        <v>243</v>
      </c>
      <c r="B244" s="7" t="s">
        <v>207</v>
      </c>
      <c r="C244" s="8">
        <f t="shared" si="2"/>
        <v>0</v>
      </c>
      <c r="D244" s="9">
        <f>IFERROR(VLOOKUP(B244, 'Duke 1'!A$3:$B$85,2, 0), 0)</f>
        <v>0</v>
      </c>
      <c r="E244" s="9">
        <f>IFERROR(VLOOKUP(B244, 'Duke 2'!A$3:$B$522,2, 0), 0)</f>
        <v>0</v>
      </c>
      <c r="F244" s="10">
        <f>IFERROR(VLOOKUP(B244, 'Duke 3'!A$3:$B998,2, 0), 0)</f>
        <v>0</v>
      </c>
      <c r="G244" s="10">
        <f>IFERROR(VLOOKUP(B244, 'Duke 4'!A$3:$B998,2, 0), 0)</f>
        <v>0</v>
      </c>
      <c r="H244" s="10">
        <f>IFERROR(VLOOKUP(B244, Proof!A$2:$B998,2, 0), 0)</f>
        <v>0</v>
      </c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</row>
    <row r="245">
      <c r="A245" s="1">
        <f t="shared" si="1"/>
        <v>244</v>
      </c>
      <c r="B245" s="7" t="s">
        <v>174</v>
      </c>
      <c r="C245" s="8">
        <f t="shared" si="2"/>
        <v>0</v>
      </c>
      <c r="D245" s="9">
        <f>IFERROR(VLOOKUP(B245, 'Duke 1'!A$3:$B$85,2, 0), 0)</f>
        <v>0</v>
      </c>
      <c r="E245" s="9">
        <f>IFERROR(VLOOKUP(B245, 'Duke 2'!A$3:$B$522,2, 0), 0)</f>
        <v>0</v>
      </c>
      <c r="F245" s="10">
        <f>IFERROR(VLOOKUP(B245, 'Duke 3'!A$3:$B998,2, 0), 0)</f>
        <v>0</v>
      </c>
      <c r="G245" s="10">
        <f>IFERROR(VLOOKUP(B245, 'Duke 4'!A$3:$B998,2, 0), 0)</f>
        <v>0</v>
      </c>
      <c r="H245" s="10">
        <f>IFERROR(VLOOKUP(B245, Proof!A$2:$B998,2, 0), 0)</f>
        <v>0</v>
      </c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</row>
    <row r="246">
      <c r="A246" s="1">
        <f t="shared" si="1"/>
        <v>245</v>
      </c>
      <c r="B246" s="7" t="s">
        <v>279</v>
      </c>
      <c r="C246" s="8">
        <f t="shared" si="2"/>
        <v>0</v>
      </c>
      <c r="D246" s="9">
        <f>IFERROR(VLOOKUP(B246, 'Duke 1'!A$3:$B$85,2, 0), 0)</f>
        <v>0</v>
      </c>
      <c r="E246" s="9">
        <f>IFERROR(VLOOKUP(B246, 'Duke 2'!A$3:$B$522,2, 0), 0)</f>
        <v>0</v>
      </c>
      <c r="F246" s="10">
        <f>IFERROR(VLOOKUP(B246, 'Duke 3'!A$3:$B998,2, 0), 0)</f>
        <v>0</v>
      </c>
      <c r="G246" s="10">
        <f>IFERROR(VLOOKUP(B246, 'Duke 4'!A$3:$B998,2, 0), 0)</f>
        <v>0</v>
      </c>
      <c r="H246" s="10">
        <f>IFERROR(VLOOKUP(B246, Proof!A$2:$B998,2, 0), 0)</f>
        <v>0</v>
      </c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</row>
    <row r="247">
      <c r="A247" s="1">
        <f t="shared" si="1"/>
        <v>246</v>
      </c>
      <c r="B247" s="7" t="s">
        <v>131</v>
      </c>
      <c r="C247" s="8">
        <f t="shared" si="2"/>
        <v>0</v>
      </c>
      <c r="D247" s="9">
        <f>IFERROR(VLOOKUP(B247, 'Duke 1'!A$3:$B$85,2, 0), 0)</f>
        <v>0</v>
      </c>
      <c r="E247" s="9">
        <f>IFERROR(VLOOKUP(B247, 'Duke 2'!A$3:$B$522,2, 0), 0)</f>
        <v>0</v>
      </c>
      <c r="F247" s="10">
        <f>IFERROR(VLOOKUP(B247, 'Duke 3'!A$3:$B998,2, 0), 0)</f>
        <v>0</v>
      </c>
      <c r="G247" s="10">
        <f>IFERROR(VLOOKUP(B247, 'Duke 4'!A$3:$B998,2, 0), 0)</f>
        <v>0</v>
      </c>
      <c r="H247" s="10">
        <f>IFERROR(VLOOKUP(B247, Proof!A$2:$B998,2, 0), 0)</f>
        <v>0</v>
      </c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</row>
    <row r="248">
      <c r="A248" s="1">
        <f t="shared" si="1"/>
        <v>247</v>
      </c>
      <c r="B248" s="7" t="s">
        <v>222</v>
      </c>
      <c r="C248" s="8">
        <f t="shared" si="2"/>
        <v>0</v>
      </c>
      <c r="D248" s="9">
        <f>IFERROR(VLOOKUP(B248, 'Duke 1'!A$3:$B$85,2, 0), 0)</f>
        <v>0</v>
      </c>
      <c r="E248" s="9">
        <f>IFERROR(VLOOKUP(B248, 'Duke 2'!A$3:$B$522,2, 0), 0)</f>
        <v>0</v>
      </c>
      <c r="F248" s="10">
        <f>IFERROR(VLOOKUP(B248, 'Duke 3'!A$3:$B998,2, 0), 0)</f>
        <v>0</v>
      </c>
      <c r="G248" s="10">
        <f>IFERROR(VLOOKUP(B248, 'Duke 4'!A$3:$B998,2, 0), 0)</f>
        <v>0</v>
      </c>
      <c r="H248" s="10">
        <f>IFERROR(VLOOKUP(B248, Proof!A$2:$B998,2, 0), 0)</f>
        <v>0</v>
      </c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</row>
    <row r="249">
      <c r="A249" s="1">
        <f t="shared" si="1"/>
        <v>248</v>
      </c>
      <c r="B249" s="7" t="s">
        <v>190</v>
      </c>
      <c r="C249" s="8">
        <f t="shared" si="2"/>
        <v>0</v>
      </c>
      <c r="D249" s="9">
        <f>IFERROR(VLOOKUP(B249, 'Duke 1'!A$3:$B$85,2, 0), 0)</f>
        <v>0</v>
      </c>
      <c r="E249" s="9">
        <f>IFERROR(VLOOKUP(B249, 'Duke 2'!A$3:$B$522,2, 0), 0)</f>
        <v>0</v>
      </c>
      <c r="F249" s="10">
        <f>IFERROR(VLOOKUP(B249, 'Duke 3'!A$3:$B998,2, 0), 0)</f>
        <v>0</v>
      </c>
      <c r="G249" s="10">
        <f>IFERROR(VLOOKUP(B249, 'Duke 4'!A$3:$B998,2, 0), 0)</f>
        <v>0</v>
      </c>
      <c r="H249" s="10">
        <f>IFERROR(VLOOKUP(B249, Proof!A$2:$B998,2, 0), 0)</f>
        <v>0</v>
      </c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</row>
    <row r="250">
      <c r="A250" s="1">
        <f t="shared" si="1"/>
        <v>249</v>
      </c>
      <c r="B250" s="7" t="s">
        <v>358</v>
      </c>
      <c r="C250" s="8">
        <f t="shared" si="2"/>
        <v>0</v>
      </c>
      <c r="D250" s="9">
        <f>IFERROR(VLOOKUP(B250, 'Duke 1'!A$3:$B$85,2, 0), 0)</f>
        <v>0</v>
      </c>
      <c r="E250" s="9">
        <f>IFERROR(VLOOKUP(B250, 'Duke 2'!A$3:$B$522,2, 0), 0)</f>
        <v>0</v>
      </c>
      <c r="F250" s="10">
        <f>IFERROR(VLOOKUP(B250, 'Duke 3'!A$3:$B998,2, 0), 0)</f>
        <v>0</v>
      </c>
      <c r="G250" s="10">
        <f>IFERROR(VLOOKUP(B250, 'Duke 4'!A$3:$B998,2, 0), 0)</f>
        <v>0</v>
      </c>
      <c r="H250" s="10">
        <f>IFERROR(VLOOKUP(B250, Proof!A$2:$B998,2, 0), 0)</f>
        <v>0</v>
      </c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</row>
    <row r="251">
      <c r="A251" s="1">
        <f t="shared" si="1"/>
        <v>250</v>
      </c>
      <c r="B251" s="7" t="s">
        <v>215</v>
      </c>
      <c r="C251" s="8">
        <f t="shared" si="2"/>
        <v>0</v>
      </c>
      <c r="D251" s="9">
        <f>IFERROR(VLOOKUP(B251, 'Duke 1'!A$3:$B$85,2, 0), 0)</f>
        <v>0</v>
      </c>
      <c r="E251" s="9">
        <f>IFERROR(VLOOKUP(B251, 'Duke 2'!A$3:$B$522,2, 0), 0)</f>
        <v>0</v>
      </c>
      <c r="F251" s="10">
        <f>IFERROR(VLOOKUP(B251, 'Duke 3'!A$3:$B998,2, 0), 0)</f>
        <v>0</v>
      </c>
      <c r="G251" s="10">
        <f>IFERROR(VLOOKUP(B251, 'Duke 4'!A$3:$B998,2, 0), 0)</f>
        <v>0</v>
      </c>
      <c r="H251" s="10">
        <f>IFERROR(VLOOKUP(B251, Proof!A$2:$B998,2, 0), 0)</f>
        <v>0</v>
      </c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</row>
    <row r="252">
      <c r="A252" s="1">
        <f t="shared" si="1"/>
        <v>251</v>
      </c>
      <c r="B252" s="7" t="s">
        <v>353</v>
      </c>
      <c r="C252" s="8">
        <f t="shared" si="2"/>
        <v>0</v>
      </c>
      <c r="D252" s="9">
        <f>IFERROR(VLOOKUP(B252, 'Duke 1'!A$3:$B$85,2, 0), 0)</f>
        <v>0</v>
      </c>
      <c r="E252" s="9">
        <f>IFERROR(VLOOKUP(B252, 'Duke 2'!A$3:$B$522,2, 0), 0)</f>
        <v>0</v>
      </c>
      <c r="F252" s="10">
        <f>IFERROR(VLOOKUP(B252, 'Duke 3'!A$3:$B998,2, 0), 0)</f>
        <v>0</v>
      </c>
      <c r="G252" s="10">
        <f>IFERROR(VLOOKUP(B252, 'Duke 4'!A$3:$B998,2, 0), 0)</f>
        <v>0</v>
      </c>
      <c r="H252" s="10">
        <f>IFERROR(VLOOKUP(B252, Proof!A$2:$B998,2, 0), 0)</f>
        <v>0</v>
      </c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</row>
    <row r="253">
      <c r="A253" s="1">
        <f t="shared" si="1"/>
        <v>252</v>
      </c>
      <c r="B253" s="7" t="s">
        <v>141</v>
      </c>
      <c r="C253" s="8">
        <f t="shared" si="2"/>
        <v>0</v>
      </c>
      <c r="D253" s="9">
        <f>IFERROR(VLOOKUP(B253, 'Duke 1'!A$3:$B$85,2, 0), 0)</f>
        <v>0</v>
      </c>
      <c r="E253" s="9">
        <f>IFERROR(VLOOKUP(B253, 'Duke 2'!A$3:$B$522,2, 0), 0)</f>
        <v>0</v>
      </c>
      <c r="F253" s="10">
        <f>IFERROR(VLOOKUP(B253, 'Duke 3'!A$3:$B998,2, 0), 0)</f>
        <v>0</v>
      </c>
      <c r="G253" s="10">
        <f>IFERROR(VLOOKUP(B253, 'Duke 4'!A$3:$B998,2, 0), 0)</f>
        <v>0</v>
      </c>
      <c r="H253" s="10">
        <f>IFERROR(VLOOKUP(B253, Proof!A$2:$B998,2, 0), 0)</f>
        <v>0</v>
      </c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</row>
    <row r="254">
      <c r="A254" s="1">
        <f t="shared" si="1"/>
        <v>253</v>
      </c>
      <c r="B254" s="7" t="s">
        <v>175</v>
      </c>
      <c r="C254" s="8">
        <f t="shared" si="2"/>
        <v>0</v>
      </c>
      <c r="D254" s="9">
        <f>IFERROR(VLOOKUP(B254, 'Duke 1'!A$3:$B$85,2, 0), 0)</f>
        <v>0</v>
      </c>
      <c r="E254" s="9">
        <f>IFERROR(VLOOKUP(B254, 'Duke 2'!A$3:$B$522,2, 0), 0)</f>
        <v>0</v>
      </c>
      <c r="F254" s="10">
        <f>IFERROR(VLOOKUP(B254, 'Duke 3'!A$3:$B998,2, 0), 0)</f>
        <v>0</v>
      </c>
      <c r="G254" s="10">
        <f>IFERROR(VLOOKUP(B254, 'Duke 4'!A$3:$B998,2, 0), 0)</f>
        <v>0</v>
      </c>
      <c r="H254" s="10">
        <f>IFERROR(VLOOKUP(B254, Proof!A$2:$B998,2, 0), 0)</f>
        <v>0</v>
      </c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</row>
    <row r="255">
      <c r="A255" s="1">
        <f t="shared" si="1"/>
        <v>254</v>
      </c>
      <c r="B255" s="7" t="s">
        <v>196</v>
      </c>
      <c r="C255" s="8">
        <f t="shared" si="2"/>
        <v>0</v>
      </c>
      <c r="D255" s="9">
        <f>IFERROR(VLOOKUP(B255, 'Duke 1'!A$3:$B$85,2, 0), 0)</f>
        <v>0</v>
      </c>
      <c r="E255" s="9">
        <f>IFERROR(VLOOKUP(B255, 'Duke 2'!A$3:$B$522,2, 0), 0)</f>
        <v>0</v>
      </c>
      <c r="F255" s="10">
        <f>IFERROR(VLOOKUP(B255, 'Duke 3'!A$3:$B998,2, 0), 0)</f>
        <v>0</v>
      </c>
      <c r="G255" s="10">
        <f>IFERROR(VLOOKUP(B255, 'Duke 4'!A$3:$B998,2, 0), 0)</f>
        <v>0</v>
      </c>
      <c r="H255" s="10">
        <f>IFERROR(VLOOKUP(B255, Proof!A$2:$B998,2, 0), 0)</f>
        <v>0</v>
      </c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</row>
    <row r="256">
      <c r="A256" s="1">
        <f t="shared" si="1"/>
        <v>255</v>
      </c>
      <c r="B256" s="7" t="s">
        <v>314</v>
      </c>
      <c r="C256" s="8">
        <f t="shared" si="2"/>
        <v>0</v>
      </c>
      <c r="D256" s="9">
        <f>IFERROR(VLOOKUP(B256, 'Duke 1'!A$3:$B$85,2, 0), 0)</f>
        <v>0</v>
      </c>
      <c r="E256" s="9">
        <f>IFERROR(VLOOKUP(B256, 'Duke 2'!A$3:$B$522,2, 0), 0)</f>
        <v>0</v>
      </c>
      <c r="F256" s="10">
        <f>IFERROR(VLOOKUP(B256, 'Duke 3'!A$3:$B998,2, 0), 0)</f>
        <v>0</v>
      </c>
      <c r="G256" s="10">
        <f>IFERROR(VLOOKUP(B256, 'Duke 4'!A$3:$B998,2, 0), 0)</f>
        <v>0</v>
      </c>
      <c r="H256" s="10">
        <f>IFERROR(VLOOKUP(B256, Proof!A$2:$B998,2, 0), 0)</f>
        <v>0</v>
      </c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</row>
    <row r="257">
      <c r="A257" s="1">
        <f t="shared" si="1"/>
        <v>256</v>
      </c>
      <c r="B257" s="7" t="s">
        <v>150</v>
      </c>
      <c r="C257" s="8">
        <f t="shared" si="2"/>
        <v>0</v>
      </c>
      <c r="D257" s="9">
        <f>IFERROR(VLOOKUP(B257, 'Duke 1'!A$3:$B$85,2, 0), 0)</f>
        <v>0</v>
      </c>
      <c r="E257" s="9">
        <f>IFERROR(VLOOKUP(B257, 'Duke 2'!A$3:$B$522,2, 0), 0)</f>
        <v>0</v>
      </c>
      <c r="F257" s="10">
        <f>IFERROR(VLOOKUP(B257, 'Duke 3'!A$3:$B998,2, 0), 0)</f>
        <v>0</v>
      </c>
      <c r="G257" s="10">
        <f>IFERROR(VLOOKUP(B257, 'Duke 4'!A$3:$B998,2, 0), 0)</f>
        <v>0</v>
      </c>
      <c r="H257" s="10">
        <f>IFERROR(VLOOKUP(B257, Proof!A$2:$B998,2, 0), 0)</f>
        <v>0</v>
      </c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</row>
    <row r="258">
      <c r="A258" s="1">
        <f t="shared" si="1"/>
        <v>257</v>
      </c>
      <c r="B258" s="7" t="s">
        <v>202</v>
      </c>
      <c r="C258" s="8">
        <f t="shared" si="2"/>
        <v>0</v>
      </c>
      <c r="D258" s="9">
        <f>IFERROR(VLOOKUP(B258, 'Duke 1'!A$3:$B$85,2, 0), 0)</f>
        <v>0</v>
      </c>
      <c r="E258" s="9">
        <f>IFERROR(VLOOKUP(B258, 'Duke 2'!A$3:$B$522,2, 0), 0)</f>
        <v>0</v>
      </c>
      <c r="F258" s="10">
        <f>IFERROR(VLOOKUP(B258, 'Duke 3'!A$3:$B998,2, 0), 0)</f>
        <v>0</v>
      </c>
      <c r="G258" s="10">
        <f>IFERROR(VLOOKUP(B258, 'Duke 4'!A$3:$B998,2, 0), 0)</f>
        <v>0</v>
      </c>
      <c r="H258" s="10">
        <f>IFERROR(VLOOKUP(B258, Proof!A$2:$B998,2, 0), 0)</f>
        <v>0</v>
      </c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</row>
    <row r="259">
      <c r="A259" s="1">
        <f t="shared" si="1"/>
        <v>258</v>
      </c>
      <c r="B259" s="7" t="s">
        <v>403</v>
      </c>
      <c r="C259" s="8">
        <f t="shared" si="2"/>
        <v>0</v>
      </c>
      <c r="D259" s="9">
        <f>IFERROR(VLOOKUP(B259, 'Duke 1'!A$3:$B$85,2, 0), 0)</f>
        <v>0</v>
      </c>
      <c r="E259" s="9">
        <f>IFERROR(VLOOKUP(B259, 'Duke 2'!A$3:$B$522,2, 0), 0)</f>
        <v>0</v>
      </c>
      <c r="F259" s="10">
        <f>IFERROR(VLOOKUP(B259, 'Duke 3'!A$3:$B998,2, 0), 0)</f>
        <v>0</v>
      </c>
      <c r="G259" s="10">
        <f>IFERROR(VLOOKUP(B259, 'Duke 4'!A$3:$B998,2, 0), 0)</f>
        <v>0</v>
      </c>
      <c r="H259" s="10">
        <f>IFERROR(VLOOKUP(B259, Proof!A$2:$B998,2, 0), 0)</f>
        <v>0</v>
      </c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</row>
    <row r="260">
      <c r="A260" s="1">
        <f t="shared" si="1"/>
        <v>259</v>
      </c>
      <c r="B260" s="7" t="s">
        <v>226</v>
      </c>
      <c r="C260" s="8">
        <f t="shared" si="2"/>
        <v>0</v>
      </c>
      <c r="D260" s="9">
        <f>IFERROR(VLOOKUP(B260, 'Duke 1'!A$3:$B$85,2, 0), 0)</f>
        <v>0</v>
      </c>
      <c r="E260" s="9">
        <f>IFERROR(VLOOKUP(B260, 'Duke 2'!A$3:$B$522,2, 0), 0)</f>
        <v>0</v>
      </c>
      <c r="F260" s="10">
        <f>IFERROR(VLOOKUP(B260, 'Duke 3'!A$3:$B998,2, 0), 0)</f>
        <v>0</v>
      </c>
      <c r="G260" s="10">
        <f>IFERROR(VLOOKUP(B260, 'Duke 4'!A$3:$B998,2, 0), 0)</f>
        <v>0</v>
      </c>
      <c r="H260" s="10">
        <f>IFERROR(VLOOKUP(B260, Proof!A$2:$B998,2, 0), 0)</f>
        <v>0</v>
      </c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</row>
    <row r="261">
      <c r="A261" s="1">
        <f t="shared" si="1"/>
        <v>260</v>
      </c>
      <c r="B261" s="7" t="s">
        <v>194</v>
      </c>
      <c r="C261" s="8">
        <f t="shared" si="2"/>
        <v>0</v>
      </c>
      <c r="D261" s="9">
        <f>IFERROR(VLOOKUP(B261, 'Duke 1'!A$3:$B$85,2, 0), 0)</f>
        <v>0</v>
      </c>
      <c r="E261" s="9">
        <f>IFERROR(VLOOKUP(B261, 'Duke 2'!A$3:$B$522,2, 0), 0)</f>
        <v>0</v>
      </c>
      <c r="F261" s="10">
        <f>IFERROR(VLOOKUP(B261, 'Duke 3'!A$3:$B998,2, 0), 0)</f>
        <v>0</v>
      </c>
      <c r="G261" s="10">
        <f>IFERROR(VLOOKUP(B261, 'Duke 4'!A$3:$B998,2, 0), 0)</f>
        <v>0</v>
      </c>
      <c r="H261" s="10">
        <f>IFERROR(VLOOKUP(B261, Proof!A$2:$B998,2, 0), 0)</f>
        <v>0</v>
      </c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</row>
    <row r="262">
      <c r="A262" s="1">
        <f t="shared" si="1"/>
        <v>261</v>
      </c>
      <c r="B262" s="7" t="s">
        <v>386</v>
      </c>
      <c r="C262" s="8">
        <f t="shared" si="2"/>
        <v>0</v>
      </c>
      <c r="D262" s="9">
        <f>IFERROR(VLOOKUP(B262, 'Duke 1'!A$3:$B$85,2, 0), 0)</f>
        <v>0</v>
      </c>
      <c r="E262" s="9">
        <f>IFERROR(VLOOKUP(B262, 'Duke 2'!A$3:$B$522,2, 0), 0)</f>
        <v>0</v>
      </c>
      <c r="F262" s="10">
        <f>IFERROR(VLOOKUP(B262, 'Duke 3'!A$3:$B998,2, 0), 0)</f>
        <v>0</v>
      </c>
      <c r="G262" s="10">
        <f>IFERROR(VLOOKUP(B262, 'Duke 4'!A$3:$B998,2, 0), 0)</f>
        <v>0</v>
      </c>
      <c r="H262" s="10">
        <f>IFERROR(VLOOKUP(B262, Proof!A$2:$B998,2, 0), 0)</f>
        <v>0</v>
      </c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</row>
    <row r="263">
      <c r="A263" s="1">
        <f t="shared" si="1"/>
        <v>262</v>
      </c>
      <c r="B263" s="7" t="s">
        <v>136</v>
      </c>
      <c r="C263" s="8">
        <f t="shared" si="2"/>
        <v>0</v>
      </c>
      <c r="D263" s="9">
        <f>IFERROR(VLOOKUP(B263, 'Duke 1'!A$3:$B$85,2, 0), 0)</f>
        <v>0</v>
      </c>
      <c r="E263" s="9">
        <f>IFERROR(VLOOKUP(B263, 'Duke 2'!A$3:$B$522,2, 0), 0)</f>
        <v>0</v>
      </c>
      <c r="F263" s="10">
        <f>IFERROR(VLOOKUP(B263, 'Duke 3'!A$3:$B998,2, 0), 0)</f>
        <v>0</v>
      </c>
      <c r="G263" s="10">
        <f>IFERROR(VLOOKUP(B263, 'Duke 4'!A$3:$B998,2, 0), 0)</f>
        <v>0</v>
      </c>
      <c r="H263" s="10">
        <f>IFERROR(VLOOKUP(B263, Proof!A$2:$B998,2, 0), 0)</f>
        <v>0</v>
      </c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</row>
    <row r="264">
      <c r="A264" s="1">
        <f t="shared" si="1"/>
        <v>263</v>
      </c>
      <c r="B264" s="7" t="s">
        <v>311</v>
      </c>
      <c r="C264" s="8">
        <f t="shared" si="2"/>
        <v>0</v>
      </c>
      <c r="D264" s="9">
        <f>IFERROR(VLOOKUP(B264, 'Duke 1'!A$3:$B$85,2, 0), 0)</f>
        <v>0</v>
      </c>
      <c r="E264" s="9">
        <f>IFERROR(VLOOKUP(B264, 'Duke 2'!A$3:$B$522,2, 0), 0)</f>
        <v>0</v>
      </c>
      <c r="F264" s="10">
        <f>IFERROR(VLOOKUP(B264, 'Duke 3'!A$3:$B998,2, 0), 0)</f>
        <v>0</v>
      </c>
      <c r="G264" s="10">
        <f>IFERROR(VLOOKUP(B264, 'Duke 4'!A$3:$B998,2, 0), 0)</f>
        <v>0</v>
      </c>
      <c r="H264" s="10">
        <f>IFERROR(VLOOKUP(B264, Proof!A$2:$B998,2, 0), 0)</f>
        <v>0</v>
      </c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</row>
    <row r="265">
      <c r="A265" s="1">
        <f t="shared" si="1"/>
        <v>264</v>
      </c>
      <c r="B265" s="7" t="s">
        <v>262</v>
      </c>
      <c r="C265" s="8">
        <f t="shared" si="2"/>
        <v>0</v>
      </c>
      <c r="D265" s="9">
        <f>IFERROR(VLOOKUP(B265, 'Duke 1'!A$3:$B$85,2, 0), 0)</f>
        <v>0</v>
      </c>
      <c r="E265" s="9">
        <f>IFERROR(VLOOKUP(B265, 'Duke 2'!A$3:$B$522,2, 0), 0)</f>
        <v>0</v>
      </c>
      <c r="F265" s="10">
        <f>IFERROR(VLOOKUP(B265, 'Duke 3'!A$3:$B998,2, 0), 0)</f>
        <v>0</v>
      </c>
      <c r="G265" s="10">
        <f>IFERROR(VLOOKUP(B265, 'Duke 4'!A$3:$B998,2, 0), 0)</f>
        <v>0</v>
      </c>
      <c r="H265" s="10">
        <f>IFERROR(VLOOKUP(B265, Proof!A$2:$B998,2, 0), 0)</f>
        <v>0</v>
      </c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</row>
    <row r="266">
      <c r="A266" s="1">
        <f t="shared" si="1"/>
        <v>265</v>
      </c>
      <c r="B266" s="7" t="s">
        <v>144</v>
      </c>
      <c r="C266" s="8">
        <f t="shared" si="2"/>
        <v>0</v>
      </c>
      <c r="D266" s="9">
        <f>IFERROR(VLOOKUP(B266, 'Duke 1'!A$3:$B$85,2, 0), 0)</f>
        <v>0</v>
      </c>
      <c r="E266" s="9">
        <f>IFERROR(VLOOKUP(B266, 'Duke 2'!A$3:$B$522,2, 0), 0)</f>
        <v>0</v>
      </c>
      <c r="F266" s="10">
        <f>IFERROR(VLOOKUP(B266, 'Duke 3'!A$3:$B998,2, 0), 0)</f>
        <v>0</v>
      </c>
      <c r="G266" s="10">
        <f>IFERROR(VLOOKUP(B266, 'Duke 4'!A$3:$B998,2, 0), 0)</f>
        <v>0</v>
      </c>
      <c r="H266" s="10">
        <f>IFERROR(VLOOKUP(B266, Proof!A$2:$B998,2, 0), 0)</f>
        <v>0</v>
      </c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</row>
    <row r="267">
      <c r="A267" s="1">
        <f t="shared" si="1"/>
        <v>266</v>
      </c>
      <c r="B267" s="7" t="s">
        <v>242</v>
      </c>
      <c r="C267" s="8">
        <f t="shared" si="2"/>
        <v>0</v>
      </c>
      <c r="D267" s="9">
        <f>IFERROR(VLOOKUP(B267, 'Duke 1'!A$3:$B$85,2, 0), 0)</f>
        <v>0</v>
      </c>
      <c r="E267" s="9">
        <f>IFERROR(VLOOKUP(B267, 'Duke 2'!A$3:$B$522,2, 0), 0)</f>
        <v>0</v>
      </c>
      <c r="F267" s="10">
        <f>IFERROR(VLOOKUP(B267, 'Duke 3'!A$3:$B998,2, 0), 0)</f>
        <v>0</v>
      </c>
      <c r="G267" s="10">
        <f>IFERROR(VLOOKUP(B267, 'Duke 4'!A$3:$B998,2, 0), 0)</f>
        <v>0</v>
      </c>
      <c r="H267" s="10">
        <f>IFERROR(VLOOKUP(B267, Proof!A$2:$B998,2, 0), 0)</f>
        <v>0</v>
      </c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</row>
    <row r="268">
      <c r="A268" s="1">
        <f t="shared" si="1"/>
        <v>267</v>
      </c>
      <c r="B268" s="7" t="s">
        <v>388</v>
      </c>
      <c r="C268" s="8">
        <f t="shared" si="2"/>
        <v>0</v>
      </c>
      <c r="D268" s="9">
        <f>IFERROR(VLOOKUP(B268, 'Duke 1'!A$3:$B$85,2, 0), 0)</f>
        <v>0</v>
      </c>
      <c r="E268" s="9">
        <f>IFERROR(VLOOKUP(B268, 'Duke 2'!A$3:$B$522,2, 0), 0)</f>
        <v>0</v>
      </c>
      <c r="F268" s="10">
        <f>IFERROR(VLOOKUP(B268, 'Duke 3'!A$3:$B998,2, 0), 0)</f>
        <v>0</v>
      </c>
      <c r="G268" s="10">
        <f>IFERROR(VLOOKUP(B268, 'Duke 4'!A$3:$B998,2, 0), 0)</f>
        <v>0</v>
      </c>
      <c r="H268" s="10">
        <f>IFERROR(VLOOKUP(B268, Proof!A$2:$B998,2, 0), 0)</f>
        <v>0</v>
      </c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</row>
    <row r="269">
      <c r="A269" s="1">
        <f t="shared" si="1"/>
        <v>268</v>
      </c>
      <c r="B269" s="7" t="s">
        <v>221</v>
      </c>
      <c r="C269" s="8">
        <f t="shared" si="2"/>
        <v>0</v>
      </c>
      <c r="D269" s="9">
        <f>IFERROR(VLOOKUP(B269, 'Duke 1'!A$3:$B$85,2, 0), 0)</f>
        <v>0</v>
      </c>
      <c r="E269" s="9">
        <f>IFERROR(VLOOKUP(B269, 'Duke 2'!A$3:$B$522,2, 0), 0)</f>
        <v>0</v>
      </c>
      <c r="F269" s="10">
        <f>IFERROR(VLOOKUP(B269, 'Duke 3'!A$3:$B998,2, 0), 0)</f>
        <v>0</v>
      </c>
      <c r="G269" s="10">
        <f>IFERROR(VLOOKUP(B269, 'Duke 4'!A$3:$B998,2, 0), 0)</f>
        <v>0</v>
      </c>
      <c r="H269" s="10">
        <f>IFERROR(VLOOKUP(B269, Proof!A$2:$B998,2, 0), 0)</f>
        <v>0</v>
      </c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</row>
    <row r="270">
      <c r="A270" s="1">
        <f t="shared" si="1"/>
        <v>269</v>
      </c>
      <c r="B270" s="7" t="s">
        <v>389</v>
      </c>
      <c r="C270" s="8">
        <f t="shared" si="2"/>
        <v>0</v>
      </c>
      <c r="D270" s="9">
        <f>IFERROR(VLOOKUP(B270, 'Duke 1'!A$3:$B$85,2, 0), 0)</f>
        <v>0</v>
      </c>
      <c r="E270" s="9">
        <f>IFERROR(VLOOKUP(B270, 'Duke 2'!A$3:$B$522,2, 0), 0)</f>
        <v>0</v>
      </c>
      <c r="F270" s="10">
        <f>IFERROR(VLOOKUP(B270, 'Duke 3'!A$3:$B998,2, 0), 0)</f>
        <v>0</v>
      </c>
      <c r="G270" s="10">
        <f>IFERROR(VLOOKUP(B270, 'Duke 4'!A$3:$B998,2, 0), 0)</f>
        <v>0</v>
      </c>
      <c r="H270" s="10">
        <f>IFERROR(VLOOKUP(B270, Proof!A$2:$B998,2, 0), 0)</f>
        <v>0</v>
      </c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</row>
    <row r="271">
      <c r="A271" s="1">
        <f t="shared" si="1"/>
        <v>270</v>
      </c>
      <c r="B271" s="7" t="s">
        <v>251</v>
      </c>
      <c r="C271" s="8">
        <f t="shared" si="2"/>
        <v>0</v>
      </c>
      <c r="D271" s="9">
        <f>IFERROR(VLOOKUP(B271, 'Duke 1'!A$3:$B$85,2, 0), 0)</f>
        <v>0</v>
      </c>
      <c r="E271" s="9">
        <f>IFERROR(VLOOKUP(B271, 'Duke 2'!A$3:$B$522,2, 0), 0)</f>
        <v>0</v>
      </c>
      <c r="F271" s="10">
        <f>IFERROR(VLOOKUP(B271, 'Duke 3'!A$3:$B998,2, 0), 0)</f>
        <v>0</v>
      </c>
      <c r="G271" s="10">
        <f>IFERROR(VLOOKUP(B271, 'Duke 4'!A$3:$B998,2, 0), 0)</f>
        <v>0</v>
      </c>
      <c r="H271" s="10">
        <f>IFERROR(VLOOKUP(B271, Proof!A$2:$B998,2, 0), 0)</f>
        <v>0</v>
      </c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</row>
    <row r="272">
      <c r="A272" s="1">
        <f t="shared" si="1"/>
        <v>271</v>
      </c>
      <c r="B272" s="7" t="s">
        <v>130</v>
      </c>
      <c r="C272" s="8">
        <f t="shared" si="2"/>
        <v>0</v>
      </c>
      <c r="D272" s="9">
        <f>IFERROR(VLOOKUP(B272, 'Duke 1'!A$3:$B$85,2, 0), 0)</f>
        <v>0</v>
      </c>
      <c r="E272" s="9">
        <f>IFERROR(VLOOKUP(B272, 'Duke 2'!A$3:$B$522,2, 0), 0)</f>
        <v>0</v>
      </c>
      <c r="F272" s="10">
        <f>IFERROR(VLOOKUP(B272, 'Duke 3'!A$3:$B998,2, 0), 0)</f>
        <v>0</v>
      </c>
      <c r="G272" s="10">
        <f>IFERROR(VLOOKUP(B272, 'Duke 4'!A$3:$B998,2, 0), 0)</f>
        <v>0</v>
      </c>
      <c r="H272" s="10">
        <f>IFERROR(VLOOKUP(B272, Proof!A$2:$B998,2, 0), 0)</f>
        <v>0</v>
      </c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</row>
    <row r="273">
      <c r="A273" s="1">
        <f t="shared" si="1"/>
        <v>272</v>
      </c>
      <c r="B273" s="7" t="s">
        <v>160</v>
      </c>
      <c r="C273" s="8">
        <f t="shared" si="2"/>
        <v>0</v>
      </c>
      <c r="D273" s="9">
        <f>IFERROR(VLOOKUP(B273, 'Duke 1'!A$3:$B$85,2, 0), 0)</f>
        <v>0</v>
      </c>
      <c r="E273" s="9">
        <f>IFERROR(VLOOKUP(B273, 'Duke 2'!A$3:$B$522,2, 0), 0)</f>
        <v>0</v>
      </c>
      <c r="F273" s="10">
        <f>IFERROR(VLOOKUP(B273, 'Duke 3'!A$3:$B998,2, 0), 0)</f>
        <v>0</v>
      </c>
      <c r="G273" s="10">
        <f>IFERROR(VLOOKUP(B273, 'Duke 4'!A$3:$B998,2, 0), 0)</f>
        <v>0</v>
      </c>
      <c r="H273" s="10">
        <f>IFERROR(VLOOKUP(B273, Proof!A$2:$B998,2, 0), 0)</f>
        <v>0</v>
      </c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</row>
    <row r="274">
      <c r="A274" s="1">
        <f t="shared" si="1"/>
        <v>273</v>
      </c>
      <c r="B274" s="7" t="s">
        <v>193</v>
      </c>
      <c r="C274" s="8">
        <f t="shared" si="2"/>
        <v>0</v>
      </c>
      <c r="D274" s="9">
        <f>IFERROR(VLOOKUP(B274, 'Duke 1'!A$3:$B$85,2, 0), 0)</f>
        <v>0</v>
      </c>
      <c r="E274" s="9">
        <f>IFERROR(VLOOKUP(B274, 'Duke 2'!A$3:$B$522,2, 0), 0)</f>
        <v>0</v>
      </c>
      <c r="F274" s="10">
        <f>IFERROR(VLOOKUP(B274, 'Duke 3'!A$3:$B998,2, 0), 0)</f>
        <v>0</v>
      </c>
      <c r="G274" s="10">
        <f>IFERROR(VLOOKUP(B274, 'Duke 4'!A$3:$B998,2, 0), 0)</f>
        <v>0</v>
      </c>
      <c r="H274" s="10">
        <f>IFERROR(VLOOKUP(B274, Proof!A$2:$B998,2, 0), 0)</f>
        <v>0</v>
      </c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</row>
    <row r="275">
      <c r="A275" s="1">
        <f t="shared" si="1"/>
        <v>274</v>
      </c>
      <c r="B275" s="7" t="s">
        <v>249</v>
      </c>
      <c r="C275" s="8">
        <f t="shared" si="2"/>
        <v>0</v>
      </c>
      <c r="D275" s="9">
        <f>IFERROR(VLOOKUP(B275, 'Duke 1'!A$3:$B$85,2, 0), 0)</f>
        <v>0</v>
      </c>
      <c r="E275" s="9">
        <f>IFERROR(VLOOKUP(B275, 'Duke 2'!A$3:$B$522,2, 0), 0)</f>
        <v>0</v>
      </c>
      <c r="F275" s="10">
        <f>IFERROR(VLOOKUP(B275, 'Duke 3'!A$3:$B998,2, 0), 0)</f>
        <v>0</v>
      </c>
      <c r="G275" s="10">
        <f>IFERROR(VLOOKUP(B275, 'Duke 4'!A$3:$B998,2, 0), 0)</f>
        <v>0</v>
      </c>
      <c r="H275" s="10">
        <f>IFERROR(VLOOKUP(B275, Proof!A$2:$B998,2, 0), 0)</f>
        <v>0</v>
      </c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</row>
    <row r="276">
      <c r="A276" s="1">
        <f t="shared" si="1"/>
        <v>275</v>
      </c>
      <c r="B276" s="7" t="s">
        <v>268</v>
      </c>
      <c r="C276" s="8">
        <f t="shared" si="2"/>
        <v>0</v>
      </c>
      <c r="D276" s="9">
        <f>IFERROR(VLOOKUP(B276, 'Duke 1'!A$3:$B$85,2, 0), 0)</f>
        <v>0</v>
      </c>
      <c r="E276" s="9">
        <f>IFERROR(VLOOKUP(B276, 'Duke 2'!A$3:$B$522,2, 0), 0)</f>
        <v>0</v>
      </c>
      <c r="F276" s="10">
        <f>IFERROR(VLOOKUP(B276, 'Duke 3'!A$3:$B998,2, 0), 0)</f>
        <v>0</v>
      </c>
      <c r="G276" s="10">
        <f>IFERROR(VLOOKUP(B276, 'Duke 4'!A$3:$B998,2, 0), 0)</f>
        <v>0</v>
      </c>
      <c r="H276" s="10">
        <f>IFERROR(VLOOKUP(B276, Proof!A$2:$B998,2, 0), 0)</f>
        <v>0</v>
      </c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</row>
    <row r="277">
      <c r="A277" s="1">
        <f t="shared" si="1"/>
        <v>276</v>
      </c>
      <c r="B277" s="7" t="s">
        <v>96</v>
      </c>
      <c r="C277" s="8">
        <f t="shared" si="2"/>
        <v>0</v>
      </c>
      <c r="D277" s="9">
        <f>IFERROR(VLOOKUP(B277, 'Duke 1'!A$3:$B$85,2, 0), 0)</f>
        <v>0</v>
      </c>
      <c r="E277" s="9">
        <f>IFERROR(VLOOKUP(B277, 'Duke 2'!A$3:$B$522,2, 0), 0)</f>
        <v>0</v>
      </c>
      <c r="F277" s="10">
        <f>IFERROR(VLOOKUP(B277, 'Duke 3'!A$3:$B998,2, 0), 0)</f>
        <v>0</v>
      </c>
      <c r="G277" s="10">
        <f>IFERROR(VLOOKUP(B277, 'Duke 4'!A$3:$B998,2, 0), 0)</f>
        <v>0</v>
      </c>
      <c r="H277" s="10">
        <f>IFERROR(VLOOKUP(B277, Proof!A$2:$B998,2, 0), 0)</f>
        <v>0</v>
      </c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</row>
    <row r="278">
      <c r="A278" s="1">
        <f t="shared" si="1"/>
        <v>277</v>
      </c>
      <c r="B278" s="7" t="s">
        <v>378</v>
      </c>
      <c r="C278" s="8">
        <f t="shared" si="2"/>
        <v>0</v>
      </c>
      <c r="D278" s="9">
        <f>IFERROR(VLOOKUP(B278, 'Duke 1'!A$3:$B$85,2, 0), 0)</f>
        <v>0</v>
      </c>
      <c r="E278" s="9">
        <f>IFERROR(VLOOKUP(B278, 'Duke 2'!A$3:$B$522,2, 0), 0)</f>
        <v>0</v>
      </c>
      <c r="F278" s="10">
        <f>IFERROR(VLOOKUP(B278, 'Duke 3'!A$3:$B998,2, 0), 0)</f>
        <v>0</v>
      </c>
      <c r="G278" s="10">
        <f>IFERROR(VLOOKUP(B278, 'Duke 4'!A$3:$B998,2, 0), 0)</f>
        <v>0</v>
      </c>
      <c r="H278" s="10">
        <f>IFERROR(VLOOKUP(B278, Proof!A$2:$B998,2, 0), 0)</f>
        <v>0</v>
      </c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</row>
    <row r="279">
      <c r="A279" s="1">
        <f t="shared" si="1"/>
        <v>278</v>
      </c>
      <c r="B279" s="7" t="s">
        <v>265</v>
      </c>
      <c r="C279" s="8">
        <f t="shared" si="2"/>
        <v>0</v>
      </c>
      <c r="D279" s="9">
        <f>IFERROR(VLOOKUP(B279, 'Duke 1'!A$3:$B$85,2, 0), 0)</f>
        <v>0</v>
      </c>
      <c r="E279" s="9">
        <f>IFERROR(VLOOKUP(B279, 'Duke 2'!A$3:$B$522,2, 0), 0)</f>
        <v>0</v>
      </c>
      <c r="F279" s="10">
        <f>IFERROR(VLOOKUP(B279, 'Duke 3'!A$3:$B998,2, 0), 0)</f>
        <v>0</v>
      </c>
      <c r="G279" s="10">
        <f>IFERROR(VLOOKUP(B279, 'Duke 4'!A$3:$B998,2, 0), 0)</f>
        <v>0</v>
      </c>
      <c r="H279" s="10">
        <f>IFERROR(VLOOKUP(B279, Proof!A$2:$B998,2, 0), 0)</f>
        <v>0</v>
      </c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</row>
    <row r="280">
      <c r="A280" s="1">
        <f t="shared" si="1"/>
        <v>279</v>
      </c>
      <c r="B280" s="7" t="s">
        <v>250</v>
      </c>
      <c r="C280" s="8">
        <f t="shared" si="2"/>
        <v>0</v>
      </c>
      <c r="D280" s="9">
        <f>IFERROR(VLOOKUP(B280, 'Duke 1'!A$3:$B$85,2, 0), 0)</f>
        <v>0</v>
      </c>
      <c r="E280" s="9">
        <f>IFERROR(VLOOKUP(B280, 'Duke 2'!A$3:$B$522,2, 0), 0)</f>
        <v>0</v>
      </c>
      <c r="F280" s="10">
        <f>IFERROR(VLOOKUP(B280, 'Duke 3'!A$3:$B998,2, 0), 0)</f>
        <v>0</v>
      </c>
      <c r="G280" s="10">
        <f>IFERROR(VLOOKUP(B280, 'Duke 4'!A$3:$B998,2, 0), 0)</f>
        <v>0</v>
      </c>
      <c r="H280" s="10">
        <f>IFERROR(VLOOKUP(B280, Proof!A$2:$B998,2, 0), 0)</f>
        <v>0</v>
      </c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</row>
    <row r="281">
      <c r="A281" s="1">
        <f t="shared" si="1"/>
        <v>280</v>
      </c>
      <c r="B281" s="7" t="s">
        <v>146</v>
      </c>
      <c r="C281" s="8">
        <f t="shared" si="2"/>
        <v>0</v>
      </c>
      <c r="D281" s="9">
        <f>IFERROR(VLOOKUP(B281, 'Duke 1'!A$3:$B$85,2, 0), 0)</f>
        <v>0</v>
      </c>
      <c r="E281" s="9">
        <f>IFERROR(VLOOKUP(B281, 'Duke 2'!A$3:$B$522,2, 0), 0)</f>
        <v>0</v>
      </c>
      <c r="F281" s="10">
        <f>IFERROR(VLOOKUP(B281, 'Duke 3'!A$3:$B998,2, 0), 0)</f>
        <v>0</v>
      </c>
      <c r="G281" s="10">
        <f>IFERROR(VLOOKUP(B281, 'Duke 4'!A$3:$B998,2, 0), 0)</f>
        <v>0</v>
      </c>
      <c r="H281" s="10">
        <f>IFERROR(VLOOKUP(B281, Proof!A$2:$B998,2, 0), 0)</f>
        <v>0</v>
      </c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</row>
    <row r="282">
      <c r="A282" s="1">
        <f t="shared" si="1"/>
        <v>281</v>
      </c>
      <c r="B282" s="7" t="s">
        <v>199</v>
      </c>
      <c r="C282" s="8">
        <f t="shared" si="2"/>
        <v>0</v>
      </c>
      <c r="D282" s="9">
        <f>IFERROR(VLOOKUP(B282, 'Duke 1'!A$3:$B$85,2, 0), 0)</f>
        <v>0</v>
      </c>
      <c r="E282" s="9">
        <f>IFERROR(VLOOKUP(B282, 'Duke 2'!A$3:$B$522,2, 0), 0)</f>
        <v>0</v>
      </c>
      <c r="F282" s="10">
        <f>IFERROR(VLOOKUP(B282, 'Duke 3'!A$3:$B998,2, 0), 0)</f>
        <v>0</v>
      </c>
      <c r="G282" s="10">
        <f>IFERROR(VLOOKUP(B282, 'Duke 4'!A$3:$B998,2, 0), 0)</f>
        <v>0</v>
      </c>
      <c r="H282" s="10">
        <f>IFERROR(VLOOKUP(B282, Proof!A$2:$B998,2, 0), 0)</f>
        <v>0</v>
      </c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</row>
    <row r="283">
      <c r="A283" s="1">
        <f t="shared" si="1"/>
        <v>282</v>
      </c>
      <c r="B283" s="7" t="s">
        <v>313</v>
      </c>
      <c r="C283" s="8">
        <f t="shared" si="2"/>
        <v>0</v>
      </c>
      <c r="D283" s="9">
        <f>IFERROR(VLOOKUP(B283, 'Duke 1'!A$3:$B$85,2, 0), 0)</f>
        <v>0</v>
      </c>
      <c r="E283" s="9">
        <f>IFERROR(VLOOKUP(B283, 'Duke 2'!A$3:$B$522,2, 0), 0)</f>
        <v>0</v>
      </c>
      <c r="F283" s="10">
        <f>IFERROR(VLOOKUP(B283, 'Duke 3'!A$3:$B998,2, 0), 0)</f>
        <v>0</v>
      </c>
      <c r="G283" s="10">
        <f>IFERROR(VLOOKUP(B283, 'Duke 4'!A$3:$B998,2, 0), 0)</f>
        <v>0</v>
      </c>
      <c r="H283" s="10">
        <f>IFERROR(VLOOKUP(B283, Proof!A$2:$B998,2, 0), 0)</f>
        <v>0</v>
      </c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</row>
    <row r="284">
      <c r="A284" s="1">
        <f t="shared" si="1"/>
        <v>283</v>
      </c>
      <c r="B284" s="7" t="s">
        <v>284</v>
      </c>
      <c r="C284" s="8">
        <f t="shared" si="2"/>
        <v>0</v>
      </c>
      <c r="D284" s="9">
        <f>IFERROR(VLOOKUP(B284, 'Duke 1'!A$3:$B$85,2, 0), 0)</f>
        <v>0</v>
      </c>
      <c r="E284" s="9">
        <f>IFERROR(VLOOKUP(B284, 'Duke 2'!A$3:$B$522,2, 0), 0)</f>
        <v>0</v>
      </c>
      <c r="F284" s="10">
        <f>IFERROR(VLOOKUP(B284, 'Duke 3'!A$3:$B998,2, 0), 0)</f>
        <v>0</v>
      </c>
      <c r="G284" s="10">
        <f>IFERROR(VLOOKUP(B284, 'Duke 4'!A$3:$B998,2, 0), 0)</f>
        <v>0</v>
      </c>
      <c r="H284" s="10">
        <f>IFERROR(VLOOKUP(B284, Proof!A$2:$B998,2, 0), 0)</f>
        <v>0</v>
      </c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</row>
    <row r="285">
      <c r="A285" s="1">
        <f t="shared" si="1"/>
        <v>284</v>
      </c>
      <c r="B285" s="7" t="s">
        <v>197</v>
      </c>
      <c r="C285" s="8">
        <f t="shared" si="2"/>
        <v>0</v>
      </c>
      <c r="D285" s="9">
        <f>IFERROR(VLOOKUP(B285, 'Duke 1'!A$3:$B$85,2, 0), 0)</f>
        <v>0</v>
      </c>
      <c r="E285" s="9">
        <f>IFERROR(VLOOKUP(B285, 'Duke 2'!A$3:$B$522,2, 0), 0)</f>
        <v>0</v>
      </c>
      <c r="F285" s="10">
        <f>IFERROR(VLOOKUP(B285, 'Duke 3'!A$3:$B998,2, 0), 0)</f>
        <v>0</v>
      </c>
      <c r="G285" s="10">
        <f>IFERROR(VLOOKUP(B285, 'Duke 4'!A$3:$B998,2, 0), 0)</f>
        <v>0</v>
      </c>
      <c r="H285" s="10">
        <f>IFERROR(VLOOKUP(B285, Proof!A$2:$B998,2, 0), 0)</f>
        <v>0</v>
      </c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</row>
    <row r="286">
      <c r="A286" s="1">
        <f t="shared" si="1"/>
        <v>285</v>
      </c>
      <c r="B286" s="17" t="s">
        <v>213</v>
      </c>
      <c r="C286" s="8">
        <f t="shared" si="2"/>
        <v>0</v>
      </c>
      <c r="D286" s="9">
        <f>IFERROR(VLOOKUP(B286, 'Duke 1'!A$3:$B$85,2, 0), 0)</f>
        <v>0</v>
      </c>
      <c r="E286" s="9">
        <f>IFERROR(VLOOKUP(B286, 'Duke 2'!A$3:$B$522,2, 0), 0)</f>
        <v>0</v>
      </c>
      <c r="F286" s="10">
        <f>IFERROR(VLOOKUP(B286, 'Duke 3'!A$3:$B998,2, 0), 0)</f>
        <v>0</v>
      </c>
      <c r="G286" s="10">
        <f>IFERROR(VLOOKUP(B286, 'Duke 4'!A$3:$B998,2, 0), 0)</f>
        <v>0</v>
      </c>
      <c r="H286" s="10">
        <f>IFERROR(VLOOKUP(B286, Proof!A$2:$B998,2, 0), 0)</f>
        <v>0</v>
      </c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</row>
    <row r="287">
      <c r="A287" s="1">
        <f t="shared" si="1"/>
        <v>286</v>
      </c>
      <c r="B287" s="7" t="s">
        <v>209</v>
      </c>
      <c r="C287" s="8">
        <f t="shared" si="2"/>
        <v>0</v>
      </c>
      <c r="D287" s="9">
        <f>IFERROR(VLOOKUP(B287, 'Duke 1'!A$3:$B$85,2, 0), 0)</f>
        <v>0</v>
      </c>
      <c r="E287" s="9">
        <f>IFERROR(VLOOKUP(B287, 'Duke 2'!A$3:$B$522,2, 0), 0)</f>
        <v>0</v>
      </c>
      <c r="F287" s="10">
        <f>IFERROR(VLOOKUP(B287, 'Duke 3'!A$3:$B998,2, 0), 0)</f>
        <v>0</v>
      </c>
      <c r="G287" s="10">
        <f>IFERROR(VLOOKUP(B287, 'Duke 4'!A$3:$B998,2, 0), 0)</f>
        <v>0</v>
      </c>
      <c r="H287" s="10">
        <f>IFERROR(VLOOKUP(B287, Proof!A$2:$B998,2, 0), 0)</f>
        <v>0</v>
      </c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</row>
    <row r="288">
      <c r="A288" s="1">
        <f t="shared" si="1"/>
        <v>287</v>
      </c>
      <c r="B288" s="7" t="s">
        <v>145</v>
      </c>
      <c r="C288" s="8">
        <f t="shared" si="2"/>
        <v>0</v>
      </c>
      <c r="D288" s="9">
        <f>IFERROR(VLOOKUP(B288, 'Duke 1'!A$3:$B$85,2, 0), 0)</f>
        <v>0</v>
      </c>
      <c r="E288" s="9">
        <f>IFERROR(VLOOKUP(B288, 'Duke 2'!A$3:$B$522,2, 0), 0)</f>
        <v>0</v>
      </c>
      <c r="F288" s="10">
        <f>IFERROR(VLOOKUP(B288, 'Duke 3'!A$3:$B998,2, 0), 0)</f>
        <v>0</v>
      </c>
      <c r="G288" s="10">
        <f>IFERROR(VLOOKUP(B288, 'Duke 4'!A$3:$B998,2, 0), 0)</f>
        <v>0</v>
      </c>
      <c r="H288" s="10">
        <f>IFERROR(VLOOKUP(B288, Proof!A$2:$B998,2, 0), 0)</f>
        <v>0</v>
      </c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</row>
    <row r="289">
      <c r="A289" s="1">
        <f t="shared" si="1"/>
        <v>288</v>
      </c>
      <c r="B289" s="7" t="s">
        <v>339</v>
      </c>
      <c r="C289" s="8">
        <f t="shared" si="2"/>
        <v>0</v>
      </c>
      <c r="D289" s="9">
        <f>IFERROR(VLOOKUP(B289, 'Duke 1'!A$3:$B$85,2, 0), 0)</f>
        <v>0</v>
      </c>
      <c r="E289" s="9">
        <f>IFERROR(VLOOKUP(B289, 'Duke 2'!A$3:$B$522,2, 0), 0)</f>
        <v>0</v>
      </c>
      <c r="F289" s="10">
        <f>IFERROR(VLOOKUP(B289, 'Duke 3'!A$3:$B998,2, 0), 0)</f>
        <v>0</v>
      </c>
      <c r="G289" s="10">
        <f>IFERROR(VLOOKUP(B289, 'Duke 4'!A$3:$B998,2, 0), 0)</f>
        <v>0</v>
      </c>
      <c r="H289" s="10">
        <f>IFERROR(VLOOKUP(B289, Proof!A$2:$B998,2, 0), 0)</f>
        <v>0</v>
      </c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</row>
    <row r="290">
      <c r="A290" s="1">
        <f t="shared" si="1"/>
        <v>289</v>
      </c>
      <c r="B290" s="7" t="s">
        <v>208</v>
      </c>
      <c r="C290" s="8">
        <f t="shared" si="2"/>
        <v>0</v>
      </c>
      <c r="D290" s="9">
        <f>IFERROR(VLOOKUP(B290, 'Duke 1'!A$3:$B$85,2, 0), 0)</f>
        <v>0</v>
      </c>
      <c r="E290" s="9">
        <f>IFERROR(VLOOKUP(B290, 'Duke 2'!A$3:$B$522,2, 0), 0)</f>
        <v>0</v>
      </c>
      <c r="F290" s="10">
        <f>IFERROR(VLOOKUP(B290, 'Duke 3'!A$3:$B998,2, 0), 0)</f>
        <v>0</v>
      </c>
      <c r="G290" s="10">
        <f>IFERROR(VLOOKUP(B290, 'Duke 4'!A$3:$B998,2, 0), 0)</f>
        <v>0</v>
      </c>
      <c r="H290" s="10">
        <f>IFERROR(VLOOKUP(B290, Proof!A$2:$B998,2, 0), 0)</f>
        <v>0</v>
      </c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</row>
    <row r="291">
      <c r="A291" s="1">
        <f t="shared" si="1"/>
        <v>290</v>
      </c>
      <c r="B291" s="7" t="s">
        <v>270</v>
      </c>
      <c r="C291" s="8">
        <f t="shared" si="2"/>
        <v>0</v>
      </c>
      <c r="D291" s="9">
        <f>IFERROR(VLOOKUP(B291, 'Duke 1'!A$3:$B$85,2, 0), 0)</f>
        <v>0</v>
      </c>
      <c r="E291" s="9">
        <f>IFERROR(VLOOKUP(B291, 'Duke 2'!A$3:$B$522,2, 0), 0)</f>
        <v>0</v>
      </c>
      <c r="F291" s="10">
        <f>IFERROR(VLOOKUP(B291, 'Duke 3'!A$3:$B998,2, 0), 0)</f>
        <v>0</v>
      </c>
      <c r="G291" s="10">
        <f>IFERROR(VLOOKUP(B291, 'Duke 4'!A$3:$B998,2, 0), 0)</f>
        <v>0</v>
      </c>
      <c r="H291" s="10">
        <f>IFERROR(VLOOKUP(B291, Proof!A$2:$B998,2, 0), 0)</f>
        <v>0</v>
      </c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</row>
    <row r="292">
      <c r="A292" s="1">
        <f t="shared" si="1"/>
        <v>291</v>
      </c>
      <c r="B292" s="7" t="s">
        <v>404</v>
      </c>
      <c r="C292" s="8">
        <f t="shared" si="2"/>
        <v>0</v>
      </c>
      <c r="D292" s="9">
        <f>IFERROR(VLOOKUP(B292, 'Duke 1'!A$3:$B$85,2, 0), 0)</f>
        <v>0</v>
      </c>
      <c r="E292" s="9">
        <f>IFERROR(VLOOKUP(B292, 'Duke 2'!A$3:$B$522,2, 0), 0)</f>
        <v>0</v>
      </c>
      <c r="F292" s="10">
        <f>IFERROR(VLOOKUP(B292, 'Duke 3'!A$3:$B998,2, 0), 0)</f>
        <v>0</v>
      </c>
      <c r="G292" s="10">
        <f>IFERROR(VLOOKUP(B292, 'Duke 4'!A$3:$B998,2, 0), 0)</f>
        <v>0</v>
      </c>
      <c r="H292" s="10">
        <f>IFERROR(VLOOKUP(B292, Proof!A$2:$B998,2, 0), 0)</f>
        <v>0</v>
      </c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</row>
    <row r="293">
      <c r="A293" s="1">
        <f t="shared" si="1"/>
        <v>292</v>
      </c>
      <c r="B293" s="7" t="s">
        <v>142</v>
      </c>
      <c r="C293" s="8">
        <f t="shared" si="2"/>
        <v>0</v>
      </c>
      <c r="D293" s="9">
        <f>IFERROR(VLOOKUP(B293, 'Duke 1'!A$3:$B$85,2, 0), 0)</f>
        <v>0</v>
      </c>
      <c r="E293" s="9">
        <f>IFERROR(VLOOKUP(B293, 'Duke 2'!A$3:$B$522,2, 0), 0)</f>
        <v>0</v>
      </c>
      <c r="F293" s="10">
        <f>IFERROR(VLOOKUP(B293, 'Duke 3'!A$3:$B998,2, 0), 0)</f>
        <v>0</v>
      </c>
      <c r="G293" s="10">
        <f>IFERROR(VLOOKUP(B293, 'Duke 4'!A$3:$B998,2, 0), 0)</f>
        <v>0</v>
      </c>
      <c r="H293" s="10">
        <f>IFERROR(VLOOKUP(B293, Proof!A$2:$B998,2, 0), 0)</f>
        <v>0</v>
      </c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</row>
    <row r="294">
      <c r="A294" s="1">
        <f t="shared" si="1"/>
        <v>293</v>
      </c>
      <c r="B294" s="7" t="s">
        <v>211</v>
      </c>
      <c r="C294" s="8">
        <f t="shared" si="2"/>
        <v>0</v>
      </c>
      <c r="D294" s="9">
        <f>IFERROR(VLOOKUP(B294, 'Duke 1'!A$3:$B$85,2, 0), 0)</f>
        <v>0</v>
      </c>
      <c r="E294" s="9">
        <f>IFERROR(VLOOKUP(B294, 'Duke 2'!A$3:$B$522,2, 0), 0)</f>
        <v>0</v>
      </c>
      <c r="F294" s="10">
        <f>IFERROR(VLOOKUP(B294, 'Duke 3'!A$3:$B998,2, 0), 0)</f>
        <v>0</v>
      </c>
      <c r="G294" s="10">
        <f>IFERROR(VLOOKUP(B294, 'Duke 4'!A$3:$B998,2, 0), 0)</f>
        <v>0</v>
      </c>
      <c r="H294" s="10">
        <f>IFERROR(VLOOKUP(B294, Proof!A$2:$B998,2, 0), 0)</f>
        <v>0</v>
      </c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</row>
    <row r="295">
      <c r="A295" s="1">
        <f t="shared" si="1"/>
        <v>294</v>
      </c>
      <c r="B295" s="7" t="s">
        <v>274</v>
      </c>
      <c r="C295" s="8">
        <f t="shared" si="2"/>
        <v>0</v>
      </c>
      <c r="D295" s="9">
        <f>IFERROR(VLOOKUP(B295, 'Duke 1'!A$3:$B$85,2, 0), 0)</f>
        <v>0</v>
      </c>
      <c r="E295" s="9">
        <f>IFERROR(VLOOKUP(B295, 'Duke 2'!A$3:$B$522,2, 0), 0)</f>
        <v>0</v>
      </c>
      <c r="F295" s="10">
        <f>IFERROR(VLOOKUP(B295, 'Duke 3'!A$3:$B998,2, 0), 0)</f>
        <v>0</v>
      </c>
      <c r="G295" s="10">
        <f>IFERROR(VLOOKUP(B295, 'Duke 4'!A$3:$B998,2, 0), 0)</f>
        <v>0</v>
      </c>
      <c r="H295" s="10">
        <f>IFERROR(VLOOKUP(B295, Proof!A$2:$B998,2, 0), 0)</f>
        <v>0</v>
      </c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</row>
    <row r="296">
      <c r="A296" s="1">
        <f t="shared" si="1"/>
        <v>295</v>
      </c>
      <c r="B296" s="7" t="s">
        <v>187</v>
      </c>
      <c r="C296" s="8">
        <f t="shared" si="2"/>
        <v>0</v>
      </c>
      <c r="D296" s="9">
        <f>IFERROR(VLOOKUP(B296, 'Duke 1'!A$3:$B$85,2, 0), 0)</f>
        <v>0</v>
      </c>
      <c r="E296" s="9">
        <f>IFERROR(VLOOKUP(B296, 'Duke 2'!A$3:$B$522,2, 0), 0)</f>
        <v>0</v>
      </c>
      <c r="F296" s="10">
        <f>IFERROR(VLOOKUP(B296, 'Duke 3'!A$3:$B998,2, 0), 0)</f>
        <v>0</v>
      </c>
      <c r="G296" s="10">
        <f>IFERROR(VLOOKUP(B296, 'Duke 4'!A$3:$B998,2, 0), 0)</f>
        <v>0</v>
      </c>
      <c r="H296" s="10">
        <f>IFERROR(VLOOKUP(B296, Proof!A$2:$B998,2, 0), 0)</f>
        <v>0</v>
      </c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</row>
    <row r="297">
      <c r="A297" s="1">
        <f t="shared" si="1"/>
        <v>296</v>
      </c>
      <c r="B297" s="7" t="s">
        <v>154</v>
      </c>
      <c r="C297" s="8">
        <f t="shared" si="2"/>
        <v>0</v>
      </c>
      <c r="D297" s="9">
        <f>IFERROR(VLOOKUP(B297, 'Duke 1'!A$3:$B$85,2, 0), 0)</f>
        <v>0</v>
      </c>
      <c r="E297" s="9">
        <f>IFERROR(VLOOKUP(B297, 'Duke 2'!A$3:$B$522,2, 0), 0)</f>
        <v>0</v>
      </c>
      <c r="F297" s="10">
        <f>IFERROR(VLOOKUP(B297, 'Duke 3'!A$3:$B998,2, 0), 0)</f>
        <v>0</v>
      </c>
      <c r="G297" s="10">
        <f>IFERROR(VLOOKUP(B297, 'Duke 4'!A$3:$B998,2, 0), 0)</f>
        <v>0</v>
      </c>
      <c r="H297" s="10">
        <f>IFERROR(VLOOKUP(B297, Proof!A$2:$B998,2, 0), 0)</f>
        <v>0</v>
      </c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</row>
    <row r="298">
      <c r="A298" s="1">
        <f t="shared" si="1"/>
        <v>297</v>
      </c>
      <c r="B298" s="7" t="s">
        <v>272</v>
      </c>
      <c r="C298" s="8">
        <f t="shared" si="2"/>
        <v>0</v>
      </c>
      <c r="D298" s="9">
        <f>IFERROR(VLOOKUP(B298, 'Duke 1'!A$3:$B$85,2, 0), 0)</f>
        <v>0</v>
      </c>
      <c r="E298" s="9">
        <f>IFERROR(VLOOKUP(B298, 'Duke 2'!A$3:$B$522,2, 0), 0)</f>
        <v>0</v>
      </c>
      <c r="F298" s="10">
        <f>IFERROR(VLOOKUP(B298, 'Duke 3'!A$3:$B998,2, 0), 0)</f>
        <v>0</v>
      </c>
      <c r="G298" s="10">
        <f>IFERROR(VLOOKUP(B298, 'Duke 4'!A$3:$B998,2, 0), 0)</f>
        <v>0</v>
      </c>
      <c r="H298" s="10">
        <f>IFERROR(VLOOKUP(B298, Proof!A$2:$B998,2, 0), 0)</f>
        <v>0</v>
      </c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</row>
    <row r="299">
      <c r="A299" s="1">
        <f t="shared" si="1"/>
        <v>298</v>
      </c>
      <c r="B299" s="7" t="s">
        <v>149</v>
      </c>
      <c r="C299" s="8">
        <f t="shared" si="2"/>
        <v>0</v>
      </c>
      <c r="D299" s="9">
        <f>IFERROR(VLOOKUP(B299, 'Duke 1'!A$3:$B$85,2, 0), 0)</f>
        <v>0</v>
      </c>
      <c r="E299" s="9">
        <f>IFERROR(VLOOKUP(B299, 'Duke 2'!A$3:$B$522,2, 0), 0)</f>
        <v>0</v>
      </c>
      <c r="F299" s="10">
        <f>IFERROR(VLOOKUP(B299, 'Duke 3'!A$3:$B998,2, 0), 0)</f>
        <v>0</v>
      </c>
      <c r="G299" s="10">
        <f>IFERROR(VLOOKUP(B299, 'Duke 4'!A$3:$B998,2, 0), 0)</f>
        <v>0</v>
      </c>
      <c r="H299" s="10">
        <f>IFERROR(VLOOKUP(B299, Proof!A$2:$B998,2, 0), 0)</f>
        <v>0</v>
      </c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</row>
    <row r="300">
      <c r="A300" s="1">
        <f t="shared" si="1"/>
        <v>299</v>
      </c>
      <c r="B300" s="7" t="s">
        <v>224</v>
      </c>
      <c r="C300" s="8">
        <f t="shared" si="2"/>
        <v>0</v>
      </c>
      <c r="D300" s="9">
        <f>IFERROR(VLOOKUP(B300, 'Duke 1'!A$3:$B$85,2, 0), 0)</f>
        <v>0</v>
      </c>
      <c r="E300" s="9">
        <f>IFERROR(VLOOKUP(B300, 'Duke 2'!A$3:$B$522,2, 0), 0)</f>
        <v>0</v>
      </c>
      <c r="F300" s="10">
        <f>IFERROR(VLOOKUP(B300, 'Duke 3'!A$3:$B998,2, 0), 0)</f>
        <v>0</v>
      </c>
      <c r="G300" s="10">
        <f>IFERROR(VLOOKUP(B300, 'Duke 4'!A$3:$B998,2, 0), 0)</f>
        <v>0</v>
      </c>
      <c r="H300" s="10">
        <f>IFERROR(VLOOKUP(B300, Proof!A$2:$B998,2, 0), 0)</f>
        <v>0</v>
      </c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</row>
    <row r="301">
      <c r="A301" s="1">
        <f t="shared" si="1"/>
        <v>300</v>
      </c>
      <c r="B301" s="7" t="s">
        <v>170</v>
      </c>
      <c r="C301" s="8">
        <f t="shared" si="2"/>
        <v>0</v>
      </c>
      <c r="D301" s="9">
        <f>IFERROR(VLOOKUP(B301, 'Duke 1'!A$3:$B$85,2, 0), 0)</f>
        <v>0</v>
      </c>
      <c r="E301" s="9">
        <f>IFERROR(VLOOKUP(B301, 'Duke 2'!A$3:$B$522,2, 0), 0)</f>
        <v>0</v>
      </c>
      <c r="F301" s="10">
        <f>IFERROR(VLOOKUP(B301, 'Duke 3'!A$3:$B998,2, 0), 0)</f>
        <v>0</v>
      </c>
      <c r="G301" s="10">
        <f>IFERROR(VLOOKUP(B301, 'Duke 4'!A$3:$B998,2, 0), 0)</f>
        <v>0</v>
      </c>
      <c r="H301" s="10">
        <f>IFERROR(VLOOKUP(B301, Proof!A$2:$B998,2, 0), 0)</f>
        <v>0</v>
      </c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</row>
    <row r="302">
      <c r="A302" s="1">
        <f t="shared" si="1"/>
        <v>301</v>
      </c>
      <c r="B302" s="7" t="s">
        <v>394</v>
      </c>
      <c r="C302" s="8">
        <f t="shared" si="2"/>
        <v>0</v>
      </c>
      <c r="D302" s="9">
        <f>IFERROR(VLOOKUP(B302, 'Duke 1'!A$3:$B$85,2, 0), 0)</f>
        <v>0</v>
      </c>
      <c r="E302" s="9">
        <f>IFERROR(VLOOKUP(B302, 'Duke 2'!A$3:$B$522,2, 0), 0)</f>
        <v>0</v>
      </c>
      <c r="F302" s="10">
        <f>IFERROR(VLOOKUP(B302, 'Duke 3'!A$3:$B998,2, 0), 0)</f>
        <v>0</v>
      </c>
      <c r="G302" s="10">
        <f>IFERROR(VLOOKUP(B302, 'Duke 4'!A$3:$B998,2, 0), 0)</f>
        <v>0</v>
      </c>
      <c r="H302" s="10">
        <f>IFERROR(VLOOKUP(B302, Proof!A$2:$B998,2, 0), 0)</f>
        <v>0</v>
      </c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</row>
    <row r="303">
      <c r="A303" s="1">
        <f t="shared" si="1"/>
        <v>302</v>
      </c>
      <c r="B303" s="7" t="s">
        <v>271</v>
      </c>
      <c r="C303" s="8">
        <f t="shared" si="2"/>
        <v>0</v>
      </c>
      <c r="D303" s="9">
        <f>IFERROR(VLOOKUP(B303, 'Duke 1'!A$3:$B$85,2, 0), 0)</f>
        <v>0</v>
      </c>
      <c r="E303" s="9">
        <f>IFERROR(VLOOKUP(B303, 'Duke 2'!A$3:$B$522,2, 0), 0)</f>
        <v>0</v>
      </c>
      <c r="F303" s="10">
        <f>IFERROR(VLOOKUP(B303, 'Duke 3'!A$3:$B998,2, 0), 0)</f>
        <v>0</v>
      </c>
      <c r="G303" s="10">
        <f>IFERROR(VLOOKUP(B303, 'Duke 4'!A$3:$B998,2, 0), 0)</f>
        <v>0</v>
      </c>
      <c r="H303" s="10">
        <f>IFERROR(VLOOKUP(B303, Proof!A$2:$B998,2, 0), 0)</f>
        <v>0</v>
      </c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</row>
    <row r="304">
      <c r="A304" s="1">
        <f t="shared" si="1"/>
        <v>303</v>
      </c>
      <c r="B304" s="7" t="s">
        <v>239</v>
      </c>
      <c r="C304" s="8">
        <f t="shared" si="2"/>
        <v>0</v>
      </c>
      <c r="D304" s="9">
        <f>IFERROR(VLOOKUP(B304, 'Duke 1'!A$3:$B$85,2, 0), 0)</f>
        <v>0</v>
      </c>
      <c r="E304" s="9">
        <f>IFERROR(VLOOKUP(B304, 'Duke 2'!A$3:$B$522,2, 0), 0)</f>
        <v>0</v>
      </c>
      <c r="F304" s="10">
        <f>IFERROR(VLOOKUP(B304, 'Duke 3'!A$3:$B998,2, 0), 0)</f>
        <v>0</v>
      </c>
      <c r="G304" s="10">
        <f>IFERROR(VLOOKUP(B304, 'Duke 4'!A$3:$B998,2, 0), 0)</f>
        <v>0</v>
      </c>
      <c r="H304" s="10">
        <f>IFERROR(VLOOKUP(B304, Proof!A$2:$B998,2, 0), 0)</f>
        <v>0</v>
      </c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</row>
    <row r="305">
      <c r="A305" s="1">
        <f t="shared" si="1"/>
        <v>304</v>
      </c>
      <c r="B305" s="7" t="s">
        <v>398</v>
      </c>
      <c r="C305" s="8">
        <f t="shared" si="2"/>
        <v>0</v>
      </c>
      <c r="D305" s="9">
        <f>IFERROR(VLOOKUP(B305, 'Duke 1'!A$3:$B$85,2, 0), 0)</f>
        <v>0</v>
      </c>
      <c r="E305" s="9">
        <f>IFERROR(VLOOKUP(B305, 'Duke 2'!A$3:$B$522,2, 0), 0)</f>
        <v>0</v>
      </c>
      <c r="F305" s="10">
        <f>IFERROR(VLOOKUP(B305, 'Duke 3'!A$3:$B998,2, 0), 0)</f>
        <v>0</v>
      </c>
      <c r="G305" s="10">
        <f>IFERROR(VLOOKUP(B305, 'Duke 4'!A$3:$B998,2, 0), 0)</f>
        <v>0</v>
      </c>
      <c r="H305" s="10">
        <f>IFERROR(VLOOKUP(B305, Proof!A$2:$B998,2, 0), 0)</f>
        <v>0</v>
      </c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</row>
    <row r="306">
      <c r="A306" s="1">
        <f t="shared" si="1"/>
        <v>305</v>
      </c>
      <c r="B306" s="7" t="s">
        <v>379</v>
      </c>
      <c r="C306" s="8">
        <f t="shared" si="2"/>
        <v>0</v>
      </c>
      <c r="D306" s="9">
        <f>IFERROR(VLOOKUP(B306, 'Duke 1'!A$3:$B$85,2, 0), 0)</f>
        <v>0</v>
      </c>
      <c r="E306" s="9">
        <f>IFERROR(VLOOKUP(B306, 'Duke 2'!A$3:$B$522,2, 0), 0)</f>
        <v>0</v>
      </c>
      <c r="F306" s="10">
        <f>IFERROR(VLOOKUP(B306, 'Duke 3'!A$3:$B998,2, 0), 0)</f>
        <v>0</v>
      </c>
      <c r="G306" s="10">
        <f>IFERROR(VLOOKUP(B306, 'Duke 4'!A$3:$B998,2, 0), 0)</f>
        <v>0</v>
      </c>
      <c r="H306" s="10">
        <f>IFERROR(VLOOKUP(B306, Proof!A$2:$B998,2, 0), 0)</f>
        <v>0</v>
      </c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</row>
    <row r="307">
      <c r="A307" s="1">
        <f t="shared" si="1"/>
        <v>306</v>
      </c>
      <c r="B307" s="7" t="s">
        <v>243</v>
      </c>
      <c r="C307" s="8">
        <f t="shared" si="2"/>
        <v>0</v>
      </c>
      <c r="D307" s="9">
        <f>IFERROR(VLOOKUP(B307, 'Duke 1'!A$3:$B$85,2, 0), 0)</f>
        <v>0</v>
      </c>
      <c r="E307" s="9">
        <f>IFERROR(VLOOKUP(B307, 'Duke 2'!A$3:$B$522,2, 0), 0)</f>
        <v>0</v>
      </c>
      <c r="F307" s="10">
        <f>IFERROR(VLOOKUP(B307, 'Duke 3'!A$3:$B998,2, 0), 0)</f>
        <v>0</v>
      </c>
      <c r="G307" s="10">
        <f>IFERROR(VLOOKUP(B307, 'Duke 4'!A$3:$B998,2, 0), 0)</f>
        <v>0</v>
      </c>
      <c r="H307" s="10">
        <f>IFERROR(VLOOKUP(B307, Proof!A$2:$B998,2, 0), 0)</f>
        <v>0</v>
      </c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</row>
    <row r="308">
      <c r="A308" s="1">
        <f t="shared" si="1"/>
        <v>307</v>
      </c>
      <c r="B308" s="7" t="s">
        <v>172</v>
      </c>
      <c r="C308" s="8">
        <f t="shared" si="2"/>
        <v>0</v>
      </c>
      <c r="D308" s="9">
        <f>IFERROR(VLOOKUP(B308, 'Duke 1'!A$3:$B$85,2, 0), 0)</f>
        <v>0</v>
      </c>
      <c r="E308" s="9">
        <f>IFERROR(VLOOKUP(B308, 'Duke 2'!A$3:$B$522,2, 0), 0)</f>
        <v>0</v>
      </c>
      <c r="F308" s="10">
        <f>IFERROR(VLOOKUP(B308, 'Duke 3'!A$3:$B998,2, 0), 0)</f>
        <v>0</v>
      </c>
      <c r="G308" s="10">
        <f>IFERROR(VLOOKUP(B308, 'Duke 4'!A$3:$B998,2, 0), 0)</f>
        <v>0</v>
      </c>
      <c r="H308" s="10">
        <f>IFERROR(VLOOKUP(B308, Proof!A$2:$B998,2, 0), 0)</f>
        <v>0</v>
      </c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</row>
    <row r="309">
      <c r="A309" s="1">
        <f t="shared" si="1"/>
        <v>308</v>
      </c>
      <c r="B309" s="7" t="s">
        <v>307</v>
      </c>
      <c r="C309" s="8">
        <f t="shared" si="2"/>
        <v>0</v>
      </c>
      <c r="D309" s="9">
        <f>IFERROR(VLOOKUP(B309, 'Duke 1'!A$3:$B$85,2, 0), 0)</f>
        <v>0</v>
      </c>
      <c r="E309" s="9">
        <f>IFERROR(VLOOKUP(B309, 'Duke 2'!A$3:$B$522,2, 0), 0)</f>
        <v>0</v>
      </c>
      <c r="F309" s="10">
        <f>IFERROR(VLOOKUP(B309, 'Duke 3'!A$3:$B998,2, 0), 0)</f>
        <v>0</v>
      </c>
      <c r="G309" s="10">
        <f>IFERROR(VLOOKUP(B309, 'Duke 4'!A$3:$B998,2, 0), 0)</f>
        <v>0</v>
      </c>
      <c r="H309" s="10">
        <f>IFERROR(VLOOKUP(B309, Proof!A$2:$B998,2, 0), 0)</f>
        <v>0</v>
      </c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</row>
    <row r="310">
      <c r="A310" s="1">
        <f t="shared" si="1"/>
        <v>309</v>
      </c>
      <c r="B310" s="7" t="s">
        <v>232</v>
      </c>
      <c r="C310" s="8">
        <f t="shared" si="2"/>
        <v>0</v>
      </c>
      <c r="D310" s="9">
        <f>IFERROR(VLOOKUP(B310, 'Duke 1'!A$3:$B$85,2, 0), 0)</f>
        <v>0</v>
      </c>
      <c r="E310" s="9">
        <f>IFERROR(VLOOKUP(B310, 'Duke 2'!A$3:$B$522,2, 0), 0)</f>
        <v>0</v>
      </c>
      <c r="F310" s="10">
        <f>IFERROR(VLOOKUP(B310, 'Duke 3'!A$3:$B998,2, 0), 0)</f>
        <v>0</v>
      </c>
      <c r="G310" s="10">
        <f>IFERROR(VLOOKUP(B310, 'Duke 4'!A$3:$B998,2, 0), 0)</f>
        <v>0</v>
      </c>
      <c r="H310" s="10">
        <f>IFERROR(VLOOKUP(B310, Proof!A$2:$B998,2, 0), 0)</f>
        <v>0</v>
      </c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</row>
    <row r="311">
      <c r="A311" s="1">
        <f t="shared" si="1"/>
        <v>310</v>
      </c>
      <c r="B311" s="7" t="s">
        <v>419</v>
      </c>
      <c r="C311" s="8">
        <f t="shared" si="2"/>
        <v>0</v>
      </c>
      <c r="D311" s="9">
        <f>IFERROR(VLOOKUP(B311, 'Duke 1'!A$3:$B$85,2, 0), 0)</f>
        <v>0</v>
      </c>
      <c r="E311" s="9">
        <f>IFERROR(VLOOKUP(B311, 'Duke 2'!A$3:$B$522,2, 0), 0)</f>
        <v>0</v>
      </c>
      <c r="F311" s="10">
        <f>IFERROR(VLOOKUP(B311, 'Duke 3'!A$3:$B998,2, 0), 0)</f>
        <v>0</v>
      </c>
      <c r="G311" s="10">
        <f>IFERROR(VLOOKUP(B311, 'Duke 4'!A$3:$B998,2, 0), 0)</f>
        <v>0</v>
      </c>
      <c r="H311" s="10">
        <f>IFERROR(VLOOKUP(B311, Proof!A$2:$B998,2, 0), 0)</f>
        <v>0</v>
      </c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</row>
    <row r="312">
      <c r="A312" s="1">
        <f t="shared" si="1"/>
        <v>311</v>
      </c>
      <c r="B312" s="7" t="s">
        <v>266</v>
      </c>
      <c r="C312" s="8">
        <f t="shared" si="2"/>
        <v>0</v>
      </c>
      <c r="D312" s="9">
        <f>IFERROR(VLOOKUP(B312, 'Duke 1'!A$3:$B$85,2, 0), 0)</f>
        <v>0</v>
      </c>
      <c r="E312" s="9">
        <f>IFERROR(VLOOKUP(B312, 'Duke 2'!A$3:$B$522,2, 0), 0)</f>
        <v>0</v>
      </c>
      <c r="F312" s="10">
        <f>IFERROR(VLOOKUP(B312, 'Duke 3'!A$3:$B998,2, 0), 0)</f>
        <v>0</v>
      </c>
      <c r="G312" s="10">
        <f>IFERROR(VLOOKUP(B312, 'Duke 4'!A$3:$B998,2, 0), 0)</f>
        <v>0</v>
      </c>
      <c r="H312" s="10">
        <f>IFERROR(VLOOKUP(B312, Proof!A$2:$B998,2, 0), 0)</f>
        <v>0</v>
      </c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</row>
    <row r="313">
      <c r="A313" s="1">
        <f t="shared" si="1"/>
        <v>312</v>
      </c>
      <c r="B313" s="7" t="s">
        <v>171</v>
      </c>
      <c r="C313" s="8">
        <f t="shared" si="2"/>
        <v>0</v>
      </c>
      <c r="D313" s="9">
        <f>IFERROR(VLOOKUP(B313, 'Duke 1'!A$3:$B$85,2, 0), 0)</f>
        <v>0</v>
      </c>
      <c r="E313" s="9">
        <f>IFERROR(VLOOKUP(B313, 'Duke 2'!A$3:$B$522,2, 0), 0)</f>
        <v>0</v>
      </c>
      <c r="F313" s="10">
        <f>IFERROR(VLOOKUP(B313, 'Duke 3'!A$3:$B998,2, 0), 0)</f>
        <v>0</v>
      </c>
      <c r="G313" s="10">
        <f>IFERROR(VLOOKUP(B313, 'Duke 4'!A$3:$B998,2, 0), 0)</f>
        <v>0</v>
      </c>
      <c r="H313" s="10">
        <f>IFERROR(VLOOKUP(B313, Proof!A$2:$B998,2, 0), 0)</f>
        <v>0</v>
      </c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</row>
    <row r="314">
      <c r="A314" s="1">
        <f t="shared" si="1"/>
        <v>313</v>
      </c>
      <c r="B314" s="7" t="s">
        <v>94</v>
      </c>
      <c r="C314" s="8">
        <f t="shared" si="2"/>
        <v>0</v>
      </c>
      <c r="D314" s="9">
        <f>IFERROR(VLOOKUP(B314, 'Duke 1'!A$3:$B$85,2, 0), 0)</f>
        <v>0</v>
      </c>
      <c r="E314" s="9">
        <f>IFERROR(VLOOKUP(B314, 'Duke 2'!A$3:$B$522,2, 0), 0)</f>
        <v>0</v>
      </c>
      <c r="F314" s="10">
        <f>IFERROR(VLOOKUP(B314, 'Duke 3'!A$3:$B998,2, 0), 0)</f>
        <v>0</v>
      </c>
      <c r="G314" s="10">
        <f>IFERROR(VLOOKUP(B314, 'Duke 4'!A$3:$B998,2, 0), 0)</f>
        <v>0</v>
      </c>
      <c r="H314" s="10">
        <f>IFERROR(VLOOKUP(B314, Proof!A$2:$B998,2, 0), 0)</f>
        <v>0</v>
      </c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</row>
    <row r="315">
      <c r="A315" s="1">
        <f t="shared" si="1"/>
        <v>314</v>
      </c>
      <c r="B315" s="7" t="s">
        <v>275</v>
      </c>
      <c r="C315" s="8">
        <f t="shared" si="2"/>
        <v>0</v>
      </c>
      <c r="D315" s="9">
        <f>IFERROR(VLOOKUP(B315, 'Duke 1'!A$3:$B$85,2, 0), 0)</f>
        <v>0</v>
      </c>
      <c r="E315" s="9">
        <f>IFERROR(VLOOKUP(B315, 'Duke 2'!A$3:$B$522,2, 0), 0)</f>
        <v>0</v>
      </c>
      <c r="F315" s="10">
        <f>IFERROR(VLOOKUP(B315, 'Duke 3'!A$3:$B998,2, 0), 0)</f>
        <v>0</v>
      </c>
      <c r="G315" s="10">
        <f>IFERROR(VLOOKUP(B315, 'Duke 4'!A$3:$B998,2, 0), 0)</f>
        <v>0</v>
      </c>
      <c r="H315" s="10">
        <f>IFERROR(VLOOKUP(B315, Proof!A$2:$B998,2, 0), 0)</f>
        <v>0</v>
      </c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</row>
    <row r="316">
      <c r="A316" s="1">
        <f t="shared" si="1"/>
        <v>315</v>
      </c>
      <c r="B316" s="7" t="s">
        <v>140</v>
      </c>
      <c r="C316" s="8">
        <f t="shared" si="2"/>
        <v>0</v>
      </c>
      <c r="D316" s="9">
        <f>IFERROR(VLOOKUP(B316, 'Duke 1'!A$3:$B$85,2, 0), 0)</f>
        <v>0</v>
      </c>
      <c r="E316" s="9">
        <f>IFERROR(VLOOKUP(B316, 'Duke 2'!A$3:$B$522,2, 0), 0)</f>
        <v>0</v>
      </c>
      <c r="F316" s="10">
        <f>IFERROR(VLOOKUP(B316, 'Duke 3'!A$3:$B998,2, 0), 0)</f>
        <v>0</v>
      </c>
      <c r="G316" s="10">
        <f>IFERROR(VLOOKUP(B316, 'Duke 4'!A$3:$B998,2, 0), 0)</f>
        <v>0</v>
      </c>
      <c r="H316" s="10">
        <f>IFERROR(VLOOKUP(B316, Proof!A$2:$B998,2, 0), 0)</f>
        <v>0</v>
      </c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</row>
    <row r="317">
      <c r="A317" s="1">
        <f t="shared" si="1"/>
        <v>316</v>
      </c>
      <c r="B317" s="7" t="s">
        <v>195</v>
      </c>
      <c r="C317" s="8">
        <f t="shared" si="2"/>
        <v>0</v>
      </c>
      <c r="D317" s="9">
        <f>IFERROR(VLOOKUP(B317, 'Duke 1'!A$3:$B$85,2, 0), 0)</f>
        <v>0</v>
      </c>
      <c r="E317" s="9">
        <f>IFERROR(VLOOKUP(B317, 'Duke 2'!A$3:$B$522,2, 0), 0)</f>
        <v>0</v>
      </c>
      <c r="F317" s="10">
        <f>IFERROR(VLOOKUP(B317, 'Duke 3'!A$3:$B998,2, 0), 0)</f>
        <v>0</v>
      </c>
      <c r="G317" s="10">
        <f>IFERROR(VLOOKUP(B317, 'Duke 4'!A$3:$B998,2, 0), 0)</f>
        <v>0</v>
      </c>
      <c r="H317" s="10">
        <f>IFERROR(VLOOKUP(B317, Proof!A$2:$B998,2, 0), 0)</f>
        <v>0</v>
      </c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</row>
    <row r="318">
      <c r="A318" s="1">
        <f t="shared" si="1"/>
        <v>317</v>
      </c>
      <c r="B318" s="7" t="s">
        <v>192</v>
      </c>
      <c r="C318" s="8">
        <f t="shared" si="2"/>
        <v>0</v>
      </c>
      <c r="D318" s="9">
        <f>IFERROR(VLOOKUP(B318, 'Duke 1'!A$3:$B$85,2, 0), 0)</f>
        <v>0</v>
      </c>
      <c r="E318" s="9">
        <f>IFERROR(VLOOKUP(B318, 'Duke 2'!A$3:$B$522,2, 0), 0)</f>
        <v>0</v>
      </c>
      <c r="F318" s="10">
        <f>IFERROR(VLOOKUP(B318, 'Duke 3'!A$3:$B998,2, 0), 0)</f>
        <v>0</v>
      </c>
      <c r="G318" s="10">
        <f>IFERROR(VLOOKUP(B318, 'Duke 4'!A$3:$B998,2, 0), 0)</f>
        <v>0</v>
      </c>
      <c r="H318" s="10">
        <f>IFERROR(VLOOKUP(B318, Proof!A$2:$B998,2, 0), 0)</f>
        <v>0</v>
      </c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</row>
    <row r="319">
      <c r="A319" s="1">
        <f t="shared" si="1"/>
        <v>318</v>
      </c>
      <c r="B319" s="17" t="s">
        <v>228</v>
      </c>
      <c r="C319" s="8">
        <f t="shared" si="2"/>
        <v>0</v>
      </c>
      <c r="D319" s="9">
        <f>IFERROR(VLOOKUP(B319, 'Duke 1'!A$3:$B$85,2, 0), 0)</f>
        <v>0</v>
      </c>
      <c r="E319" s="9">
        <f>IFERROR(VLOOKUP(B319, 'Duke 2'!A$3:$B$522,2, 0), 0)</f>
        <v>0</v>
      </c>
      <c r="F319" s="10">
        <f>IFERROR(VLOOKUP(B319, 'Duke 3'!A$3:$B998,2, 0), 0)</f>
        <v>0</v>
      </c>
      <c r="G319" s="10">
        <f>IFERROR(VLOOKUP(B319, 'Duke 4'!A$3:$B998,2, 0), 0)</f>
        <v>0</v>
      </c>
      <c r="H319" s="10">
        <f>IFERROR(VLOOKUP(B319, Proof!A$2:$B998,2, 0), 0)</f>
        <v>0</v>
      </c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</row>
    <row r="320">
      <c r="A320" s="1">
        <f t="shared" si="1"/>
        <v>319</v>
      </c>
      <c r="B320" s="7" t="s">
        <v>225</v>
      </c>
      <c r="C320" s="8">
        <f t="shared" si="2"/>
        <v>0</v>
      </c>
      <c r="D320" s="9">
        <f>IFERROR(VLOOKUP(B320, 'Duke 1'!A$3:$B$85,2, 0), 0)</f>
        <v>0</v>
      </c>
      <c r="E320" s="9">
        <f>IFERROR(VLOOKUP(B320, 'Duke 2'!A$3:$B$522,2, 0), 0)</f>
        <v>0</v>
      </c>
      <c r="F320" s="10">
        <f>IFERROR(VLOOKUP(B320, 'Duke 3'!A$3:$B998,2, 0), 0)</f>
        <v>0</v>
      </c>
      <c r="G320" s="10">
        <f>IFERROR(VLOOKUP(B320, 'Duke 4'!A$3:$B998,2, 0), 0)</f>
        <v>0</v>
      </c>
      <c r="H320" s="10">
        <f>IFERROR(VLOOKUP(B320, Proof!A$2:$B998,2, 0), 0)</f>
        <v>0</v>
      </c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</row>
    <row r="321">
      <c r="A321" s="1">
        <f t="shared" si="1"/>
        <v>320</v>
      </c>
      <c r="B321" s="7" t="s">
        <v>163</v>
      </c>
      <c r="C321" s="8">
        <f t="shared" si="2"/>
        <v>0</v>
      </c>
      <c r="D321" s="9">
        <f>IFERROR(VLOOKUP(B321, 'Duke 1'!A$3:$B$85,2, 0), 0)</f>
        <v>0</v>
      </c>
      <c r="E321" s="9">
        <f>IFERROR(VLOOKUP(B321, 'Duke 2'!A$3:$B$522,2, 0), 0)</f>
        <v>0</v>
      </c>
      <c r="F321" s="10">
        <f>IFERROR(VLOOKUP(B321, 'Duke 3'!A$3:$B998,2, 0), 0)</f>
        <v>0</v>
      </c>
      <c r="G321" s="10">
        <f>IFERROR(VLOOKUP(B321, 'Duke 4'!A$3:$B998,2, 0), 0)</f>
        <v>0</v>
      </c>
      <c r="H321" s="10">
        <f>IFERROR(VLOOKUP(B321, Proof!A$2:$B998,2, 0), 0)</f>
        <v>0</v>
      </c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</row>
    <row r="322">
      <c r="A322" s="1">
        <f t="shared" si="1"/>
        <v>321</v>
      </c>
      <c r="B322" s="7" t="s">
        <v>168</v>
      </c>
      <c r="C322" s="8">
        <f t="shared" si="2"/>
        <v>0</v>
      </c>
      <c r="D322" s="9">
        <f>IFERROR(VLOOKUP(B322, 'Duke 1'!A$3:$B$85,2, 0), 0)</f>
        <v>0</v>
      </c>
      <c r="E322" s="9">
        <f>IFERROR(VLOOKUP(B322, 'Duke 2'!A$3:$B$522,2, 0), 0)</f>
        <v>0</v>
      </c>
      <c r="F322" s="10">
        <f>IFERROR(VLOOKUP(B322, 'Duke 3'!A$3:$B998,2, 0), 0)</f>
        <v>0</v>
      </c>
      <c r="G322" s="10">
        <f>IFERROR(VLOOKUP(B322, 'Duke 4'!A$3:$B998,2, 0), 0)</f>
        <v>0</v>
      </c>
      <c r="H322" s="10">
        <f>IFERROR(VLOOKUP(B322, Proof!A$2:$B998,2, 0), 0)</f>
        <v>0</v>
      </c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</row>
    <row r="323">
      <c r="A323" s="1">
        <f t="shared" si="1"/>
        <v>322</v>
      </c>
      <c r="B323" s="7" t="s">
        <v>212</v>
      </c>
      <c r="C323" s="8">
        <f t="shared" si="2"/>
        <v>0</v>
      </c>
      <c r="D323" s="9">
        <f>IFERROR(VLOOKUP(B323, 'Duke 1'!A$3:$B$85,2, 0), 0)</f>
        <v>0</v>
      </c>
      <c r="E323" s="9">
        <f>IFERROR(VLOOKUP(B323, 'Duke 2'!A$3:$B$522,2, 0), 0)</f>
        <v>0</v>
      </c>
      <c r="F323" s="10">
        <f>IFERROR(VLOOKUP(B323, 'Duke 3'!A$3:$B998,2, 0), 0)</f>
        <v>0</v>
      </c>
      <c r="G323" s="10">
        <f>IFERROR(VLOOKUP(B323, 'Duke 4'!A$3:$B998,2, 0), 0)</f>
        <v>0</v>
      </c>
      <c r="H323" s="10">
        <f>IFERROR(VLOOKUP(B323, Proof!A$2:$B998,2, 0), 0)</f>
        <v>0</v>
      </c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</row>
    <row r="324">
      <c r="A324" s="1">
        <f t="shared" si="1"/>
        <v>323</v>
      </c>
      <c r="B324" s="7" t="s">
        <v>280</v>
      </c>
      <c r="C324" s="8">
        <f t="shared" si="2"/>
        <v>0</v>
      </c>
      <c r="D324" s="9">
        <f>IFERROR(VLOOKUP(B324, 'Duke 1'!A$3:$B$85,2, 0), 0)</f>
        <v>0</v>
      </c>
      <c r="E324" s="9">
        <f>IFERROR(VLOOKUP(B324, 'Duke 2'!A$3:$B$522,2, 0), 0)</f>
        <v>0</v>
      </c>
      <c r="F324" s="10">
        <f>IFERROR(VLOOKUP(B324, 'Duke 3'!A$3:$B998,2, 0), 0)</f>
        <v>0</v>
      </c>
      <c r="G324" s="10">
        <f>IFERROR(VLOOKUP(B324, 'Duke 4'!A$3:$B998,2, 0), 0)</f>
        <v>0</v>
      </c>
      <c r="H324" s="10">
        <f>IFERROR(VLOOKUP(B324, Proof!A$2:$B998,2, 0), 0)</f>
        <v>0</v>
      </c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</row>
    <row r="325">
      <c r="A325" s="1">
        <f t="shared" si="1"/>
        <v>324</v>
      </c>
      <c r="B325" s="7" t="s">
        <v>286</v>
      </c>
      <c r="C325" s="8">
        <f t="shared" si="2"/>
        <v>0</v>
      </c>
      <c r="D325" s="9">
        <f>IFERROR(VLOOKUP(B325, 'Duke 1'!A$3:$B$85,2, 0), 0)</f>
        <v>0</v>
      </c>
      <c r="E325" s="9">
        <f>IFERROR(VLOOKUP(B325, 'Duke 2'!A$3:$B$522,2, 0), 0)</f>
        <v>0</v>
      </c>
      <c r="F325" s="10">
        <f>IFERROR(VLOOKUP(B325, 'Duke 3'!A$3:$B998,2, 0), 0)</f>
        <v>0</v>
      </c>
      <c r="G325" s="10">
        <f>IFERROR(VLOOKUP(B325, 'Duke 4'!A$3:$B998,2, 0), 0)</f>
        <v>0</v>
      </c>
      <c r="H325" s="10">
        <f>IFERROR(VLOOKUP(B325, Proof!A$2:$B998,2, 0), 0)</f>
        <v>0</v>
      </c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</row>
    <row r="326">
      <c r="A326" s="1">
        <f t="shared" si="1"/>
        <v>325</v>
      </c>
      <c r="B326" s="7" t="s">
        <v>273</v>
      </c>
      <c r="C326" s="8">
        <f t="shared" si="2"/>
        <v>0</v>
      </c>
      <c r="D326" s="9">
        <f>IFERROR(VLOOKUP(B326, 'Duke 1'!A$3:$B$85,2, 0), 0)</f>
        <v>0</v>
      </c>
      <c r="E326" s="9">
        <f>IFERROR(VLOOKUP(B326, 'Duke 2'!A$3:$B$522,2, 0), 0)</f>
        <v>0</v>
      </c>
      <c r="F326" s="10">
        <f>IFERROR(VLOOKUP(B326, 'Duke 3'!A$3:$B998,2, 0), 0)</f>
        <v>0</v>
      </c>
      <c r="G326" s="10">
        <f>IFERROR(VLOOKUP(B326, 'Duke 4'!A$3:$B998,2, 0), 0)</f>
        <v>0</v>
      </c>
      <c r="H326" s="10">
        <f>IFERROR(VLOOKUP(B326, Proof!A$2:$B998,2, 0), 0)</f>
        <v>0</v>
      </c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</row>
    <row r="327">
      <c r="A327" s="1">
        <f t="shared" si="1"/>
        <v>326</v>
      </c>
      <c r="B327" s="7" t="s">
        <v>177</v>
      </c>
      <c r="C327" s="8">
        <f t="shared" si="2"/>
        <v>0</v>
      </c>
      <c r="D327" s="9">
        <f>IFERROR(VLOOKUP(B327, 'Duke 1'!A$3:$B$85,2, 0), 0)</f>
        <v>0</v>
      </c>
      <c r="E327" s="9">
        <f>IFERROR(VLOOKUP(B327, 'Duke 2'!A$3:$B$522,2, 0), 0)</f>
        <v>0</v>
      </c>
      <c r="F327" s="10">
        <f>IFERROR(VLOOKUP(B327, 'Duke 3'!A$3:$B998,2, 0), 0)</f>
        <v>0</v>
      </c>
      <c r="G327" s="10">
        <f>IFERROR(VLOOKUP(B327, 'Duke 4'!A$3:$B998,2, 0), 0)</f>
        <v>0</v>
      </c>
      <c r="H327" s="10">
        <f>IFERROR(VLOOKUP(B327, Proof!A$2:$B998,2, 0), 0)</f>
        <v>0</v>
      </c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</row>
    <row r="328">
      <c r="A328" s="1">
        <f t="shared" si="1"/>
        <v>327</v>
      </c>
      <c r="B328" s="7" t="s">
        <v>167</v>
      </c>
      <c r="C328" s="8">
        <f t="shared" si="2"/>
        <v>0</v>
      </c>
      <c r="D328" s="9">
        <f>IFERROR(VLOOKUP(B328, 'Duke 1'!A$3:$B$85,2, 0), 0)</f>
        <v>0</v>
      </c>
      <c r="E328" s="9">
        <f>IFERROR(VLOOKUP(B328, 'Duke 2'!A$3:$B$522,2, 0), 0)</f>
        <v>0</v>
      </c>
      <c r="F328" s="10">
        <f>IFERROR(VLOOKUP(B328, 'Duke 3'!A$3:$B998,2, 0), 0)</f>
        <v>0</v>
      </c>
      <c r="G328" s="10">
        <f>IFERROR(VLOOKUP(B328, 'Duke 4'!A$3:$B998,2, 0), 0)</f>
        <v>0</v>
      </c>
      <c r="H328" s="10">
        <f>IFERROR(VLOOKUP(B328, Proof!A$2:$B998,2, 0), 0)</f>
        <v>0</v>
      </c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</row>
    <row r="329">
      <c r="A329" s="1">
        <f t="shared" si="1"/>
        <v>328</v>
      </c>
      <c r="B329" s="7" t="s">
        <v>260</v>
      </c>
      <c r="C329" s="8">
        <f t="shared" si="2"/>
        <v>0</v>
      </c>
      <c r="D329" s="9">
        <f>IFERROR(VLOOKUP(B329, 'Duke 1'!A$3:$B$85,2, 0), 0)</f>
        <v>0</v>
      </c>
      <c r="E329" s="9">
        <f>IFERROR(VLOOKUP(B329, 'Duke 2'!A$3:$B$522,2, 0), 0)</f>
        <v>0</v>
      </c>
      <c r="F329" s="10">
        <f>IFERROR(VLOOKUP(B329, 'Duke 3'!A$3:$B998,2, 0), 0)</f>
        <v>0</v>
      </c>
      <c r="G329" s="10">
        <f>IFERROR(VLOOKUP(B329, 'Duke 4'!A$3:$B998,2, 0), 0)</f>
        <v>0</v>
      </c>
      <c r="H329" s="10">
        <f>IFERROR(VLOOKUP(B329, Proof!A$2:$B998,2, 0), 0)</f>
        <v>0</v>
      </c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</row>
    <row r="330">
      <c r="A330" s="1">
        <f t="shared" si="1"/>
        <v>329</v>
      </c>
      <c r="B330" s="7" t="s">
        <v>237</v>
      </c>
      <c r="C330" s="8">
        <f t="shared" si="2"/>
        <v>0</v>
      </c>
      <c r="D330" s="9">
        <f>IFERROR(VLOOKUP(B330, 'Duke 1'!A$3:$B$85,2, 0), 0)</f>
        <v>0</v>
      </c>
      <c r="E330" s="9">
        <f>IFERROR(VLOOKUP(B330, 'Duke 2'!A$3:$B$522,2, 0), 0)</f>
        <v>0</v>
      </c>
      <c r="F330" s="10">
        <f>IFERROR(VLOOKUP(B330, 'Duke 3'!A$3:$B998,2, 0), 0)</f>
        <v>0</v>
      </c>
      <c r="G330" s="10">
        <f>IFERROR(VLOOKUP(B330, 'Duke 4'!A$3:$B998,2, 0), 0)</f>
        <v>0</v>
      </c>
      <c r="H330" s="10">
        <f>IFERROR(VLOOKUP(B330, Proof!A$2:$B998,2, 0), 0)</f>
        <v>0</v>
      </c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</row>
    <row r="331">
      <c r="A331" s="1">
        <f t="shared" si="1"/>
        <v>330</v>
      </c>
      <c r="B331" s="7" t="s">
        <v>234</v>
      </c>
      <c r="C331" s="8">
        <f t="shared" si="2"/>
        <v>0</v>
      </c>
      <c r="D331" s="9">
        <f>IFERROR(VLOOKUP(B331, 'Duke 1'!A$3:$B$85,2, 0), 0)</f>
        <v>0</v>
      </c>
      <c r="E331" s="9">
        <f>IFERROR(VLOOKUP(B331, 'Duke 2'!A$3:$B$522,2, 0), 0)</f>
        <v>0</v>
      </c>
      <c r="F331" s="10">
        <f>IFERROR(VLOOKUP(B331, 'Duke 3'!A$3:$B998,2, 0), 0)</f>
        <v>0</v>
      </c>
      <c r="G331" s="10">
        <f>IFERROR(VLOOKUP(B331, 'Duke 4'!A$3:$B998,2, 0), 0)</f>
        <v>0</v>
      </c>
      <c r="H331" s="10">
        <f>IFERROR(VLOOKUP(B331, Proof!A$2:$B998,2, 0), 0)</f>
        <v>0</v>
      </c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</row>
    <row r="332">
      <c r="A332" s="1">
        <f t="shared" si="1"/>
        <v>331</v>
      </c>
      <c r="B332" s="7" t="s">
        <v>248</v>
      </c>
      <c r="C332" s="8">
        <f t="shared" si="2"/>
        <v>0</v>
      </c>
      <c r="D332" s="9">
        <f>IFERROR(VLOOKUP(B332, 'Duke 1'!A$3:$B$85,2, 0), 0)</f>
        <v>0</v>
      </c>
      <c r="E332" s="9">
        <f>IFERROR(VLOOKUP(B332, 'Duke 2'!A$3:$B$522,2, 0), 0)</f>
        <v>0</v>
      </c>
      <c r="F332" s="10">
        <f>IFERROR(VLOOKUP(B332, 'Duke 3'!A$3:$B998,2, 0), 0)</f>
        <v>0</v>
      </c>
      <c r="G332" s="10">
        <f>IFERROR(VLOOKUP(B332, 'Duke 4'!A$3:$B998,2, 0), 0)</f>
        <v>0</v>
      </c>
      <c r="H332" s="10">
        <f>IFERROR(VLOOKUP(B332, Proof!A$2:$B998,2, 0), 0)</f>
        <v>0</v>
      </c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</row>
    <row r="333">
      <c r="A333" s="1">
        <f t="shared" si="1"/>
        <v>332</v>
      </c>
      <c r="B333" s="7" t="s">
        <v>200</v>
      </c>
      <c r="C333" s="8">
        <f t="shared" si="2"/>
        <v>0</v>
      </c>
      <c r="D333" s="9">
        <f>IFERROR(VLOOKUP(B333, 'Duke 1'!A$3:$B$85,2, 0), 0)</f>
        <v>0</v>
      </c>
      <c r="E333" s="9">
        <f>IFERROR(VLOOKUP(B333, 'Duke 2'!A$3:$B$522,2, 0), 0)</f>
        <v>0</v>
      </c>
      <c r="F333" s="10">
        <f>IFERROR(VLOOKUP(B333, 'Duke 3'!A$3:$B998,2, 0), 0)</f>
        <v>0</v>
      </c>
      <c r="G333" s="10">
        <f>IFERROR(VLOOKUP(B333, 'Duke 4'!A$3:$B998,2, 0), 0)</f>
        <v>0</v>
      </c>
      <c r="H333" s="10">
        <f>IFERROR(VLOOKUP(B333, Proof!A$2:$B998,2, 0), 0)</f>
        <v>0</v>
      </c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</row>
    <row r="334">
      <c r="A334" s="1">
        <f t="shared" si="1"/>
        <v>333</v>
      </c>
      <c r="B334" s="7" t="s">
        <v>223</v>
      </c>
      <c r="C334" s="8">
        <f t="shared" si="2"/>
        <v>0</v>
      </c>
      <c r="D334" s="9">
        <f>IFERROR(VLOOKUP(B334, 'Duke 1'!A$3:$B$85,2, 0), 0)</f>
        <v>0</v>
      </c>
      <c r="E334" s="9">
        <f>IFERROR(VLOOKUP(B334, 'Duke 2'!A$3:$B$522,2, 0), 0)</f>
        <v>0</v>
      </c>
      <c r="F334" s="10">
        <f>IFERROR(VLOOKUP(B334, 'Duke 3'!A$3:$B998,2, 0), 0)</f>
        <v>0</v>
      </c>
      <c r="G334" s="10">
        <f>IFERROR(VLOOKUP(B334, 'Duke 4'!A$3:$B998,2, 0), 0)</f>
        <v>0</v>
      </c>
      <c r="H334" s="10">
        <f>IFERROR(VLOOKUP(B334, Proof!A$2:$B998,2, 0), 0)</f>
        <v>0</v>
      </c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</row>
    <row r="335">
      <c r="A335" s="1">
        <f t="shared" si="1"/>
        <v>334</v>
      </c>
      <c r="B335" s="7" t="s">
        <v>203</v>
      </c>
      <c r="C335" s="8">
        <f t="shared" si="2"/>
        <v>0</v>
      </c>
      <c r="D335" s="9">
        <f>IFERROR(VLOOKUP(B335, 'Duke 1'!A$3:$B$85,2, 0), 0)</f>
        <v>0</v>
      </c>
      <c r="E335" s="9">
        <f>IFERROR(VLOOKUP(B335, 'Duke 2'!A$3:$B$522,2, 0), 0)</f>
        <v>0</v>
      </c>
      <c r="F335" s="10">
        <f>IFERROR(VLOOKUP(B335, 'Duke 3'!A$3:$B998,2, 0), 0)</f>
        <v>0</v>
      </c>
      <c r="G335" s="10">
        <f>IFERROR(VLOOKUP(B335, 'Duke 4'!A$3:$B998,2, 0), 0)</f>
        <v>0</v>
      </c>
      <c r="H335" s="10">
        <f>IFERROR(VLOOKUP(B335, Proof!A$2:$B998,2, 0), 0)</f>
        <v>0</v>
      </c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</row>
    <row r="336">
      <c r="A336" s="1">
        <f t="shared" si="1"/>
        <v>335</v>
      </c>
      <c r="B336" s="7" t="s">
        <v>186</v>
      </c>
      <c r="C336" s="8">
        <f t="shared" si="2"/>
        <v>0</v>
      </c>
      <c r="D336" s="9">
        <f>IFERROR(VLOOKUP(B336, 'Duke 1'!A$3:$B$85,2, 0), 0)</f>
        <v>0</v>
      </c>
      <c r="E336" s="9">
        <f>IFERROR(VLOOKUP(B336, 'Duke 2'!A$3:$B$522,2, 0), 0)</f>
        <v>0</v>
      </c>
      <c r="F336" s="10">
        <f>IFERROR(VLOOKUP(B336, 'Duke 3'!A$3:$B998,2, 0), 0)</f>
        <v>0</v>
      </c>
      <c r="G336" s="10">
        <f>IFERROR(VLOOKUP(B336, 'Duke 4'!A$3:$B998,2, 0), 0)</f>
        <v>0</v>
      </c>
      <c r="H336" s="10">
        <f>IFERROR(VLOOKUP(B336, Proof!A$2:$B998,2, 0), 0)</f>
        <v>0</v>
      </c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</row>
    <row r="337">
      <c r="A337" s="1">
        <f t="shared" si="1"/>
        <v>336</v>
      </c>
      <c r="B337" s="7" t="s">
        <v>185</v>
      </c>
      <c r="C337" s="8">
        <f t="shared" si="2"/>
        <v>0</v>
      </c>
      <c r="D337" s="9">
        <f>IFERROR(VLOOKUP(B337, 'Duke 1'!A$3:$B$85,2, 0), 0)</f>
        <v>0</v>
      </c>
      <c r="E337" s="9">
        <f>IFERROR(VLOOKUP(B337, 'Duke 2'!A$3:$B$522,2, 0), 0)</f>
        <v>0</v>
      </c>
      <c r="F337" s="10">
        <f>IFERROR(VLOOKUP(B337, 'Duke 3'!A$3:$B998,2, 0), 0)</f>
        <v>0</v>
      </c>
      <c r="G337" s="10">
        <f>IFERROR(VLOOKUP(B337, 'Duke 4'!A$3:$B998,2, 0), 0)</f>
        <v>0</v>
      </c>
      <c r="H337" s="10">
        <f>IFERROR(VLOOKUP(B337, Proof!A$2:$B998,2, 0), 0)</f>
        <v>0</v>
      </c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</row>
    <row r="338">
      <c r="A338" s="1">
        <f t="shared" si="1"/>
        <v>337</v>
      </c>
      <c r="B338" s="7" t="s">
        <v>162</v>
      </c>
      <c r="C338" s="8">
        <f t="shared" si="2"/>
        <v>0</v>
      </c>
      <c r="D338" s="9">
        <f>IFERROR(VLOOKUP(B338, 'Duke 1'!A$3:$B$85,2, 0), 0)</f>
        <v>0</v>
      </c>
      <c r="E338" s="9">
        <f>IFERROR(VLOOKUP(B338, 'Duke 2'!A$3:$B$522,2, 0), 0)</f>
        <v>0</v>
      </c>
      <c r="F338" s="10">
        <f>IFERROR(VLOOKUP(B338, 'Duke 3'!A$3:$B998,2, 0), 0)</f>
        <v>0</v>
      </c>
      <c r="G338" s="10">
        <f>IFERROR(VLOOKUP(B338, 'Duke 4'!A$3:$B998,2, 0), 0)</f>
        <v>0</v>
      </c>
      <c r="H338" s="10">
        <f>IFERROR(VLOOKUP(B338, Proof!A$2:$B998,2, 0), 0)</f>
        <v>0</v>
      </c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</row>
    <row r="339">
      <c r="A339" s="1">
        <f t="shared" si="1"/>
        <v>338</v>
      </c>
      <c r="B339" s="7" t="s">
        <v>227</v>
      </c>
      <c r="C339" s="8">
        <f t="shared" si="2"/>
        <v>0</v>
      </c>
      <c r="D339" s="9">
        <f>IFERROR(VLOOKUP(B339, 'Duke 1'!A$3:$B$85,2, 0), 0)</f>
        <v>0</v>
      </c>
      <c r="E339" s="9">
        <f>IFERROR(VLOOKUP(B339, 'Duke 2'!A$3:$B$522,2, 0), 0)</f>
        <v>0</v>
      </c>
      <c r="F339" s="10">
        <f>IFERROR(VLOOKUP(B339, 'Duke 3'!A$3:$B998,2, 0), 0)</f>
        <v>0</v>
      </c>
      <c r="G339" s="10">
        <f>IFERROR(VLOOKUP(B339, 'Duke 4'!A$3:$B998,2, 0), 0)</f>
        <v>0</v>
      </c>
      <c r="H339" s="10">
        <f>IFERROR(VLOOKUP(B339, Proof!A$2:$B998,2, 0), 0)</f>
        <v>0</v>
      </c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</row>
    <row r="340">
      <c r="A340" s="1">
        <f t="shared" si="1"/>
        <v>339</v>
      </c>
      <c r="B340" s="7" t="s">
        <v>240</v>
      </c>
      <c r="C340" s="8">
        <f t="shared" si="2"/>
        <v>0</v>
      </c>
      <c r="D340" s="9">
        <f>IFERROR(VLOOKUP(B340, 'Duke 1'!A$3:$B$85,2, 0), 0)</f>
        <v>0</v>
      </c>
      <c r="E340" s="9">
        <f>IFERROR(VLOOKUP(B340, 'Duke 2'!A$3:$B$522,2, 0), 0)</f>
        <v>0</v>
      </c>
      <c r="F340" s="10">
        <f>IFERROR(VLOOKUP(B340, 'Duke 3'!A$3:$B998,2, 0), 0)</f>
        <v>0</v>
      </c>
      <c r="G340" s="10">
        <f>IFERROR(VLOOKUP(B340, 'Duke 4'!A$3:$B998,2, 0), 0)</f>
        <v>0</v>
      </c>
      <c r="H340" s="10">
        <f>IFERROR(VLOOKUP(B340, Proof!A$2:$B998,2, 0), 0)</f>
        <v>0</v>
      </c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</row>
    <row r="341">
      <c r="A341" s="1">
        <f t="shared" si="1"/>
        <v>340</v>
      </c>
      <c r="B341" s="7" t="s">
        <v>178</v>
      </c>
      <c r="C341" s="8">
        <f t="shared" si="2"/>
        <v>0</v>
      </c>
      <c r="D341" s="9">
        <f>IFERROR(VLOOKUP(B341, 'Duke 1'!A$3:$B$85,2, 0), 0)</f>
        <v>0</v>
      </c>
      <c r="E341" s="9">
        <f>IFERROR(VLOOKUP(B341, 'Duke 2'!A$3:$B$522,2, 0), 0)</f>
        <v>0</v>
      </c>
      <c r="F341" s="10">
        <f>IFERROR(VLOOKUP(B341, 'Duke 3'!A$3:$B998,2, 0), 0)</f>
        <v>0</v>
      </c>
      <c r="G341" s="10">
        <f>IFERROR(VLOOKUP(B341, 'Duke 4'!A$3:$B998,2, 0), 0)</f>
        <v>0</v>
      </c>
      <c r="H341" s="10">
        <f>IFERROR(VLOOKUP(B341, Proof!A$2:$B998,2, 0), 0)</f>
        <v>0</v>
      </c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</row>
    <row r="342">
      <c r="A342" s="1">
        <f t="shared" si="1"/>
        <v>341</v>
      </c>
      <c r="B342" s="7" t="s">
        <v>166</v>
      </c>
      <c r="C342" s="8">
        <f t="shared" si="2"/>
        <v>0</v>
      </c>
      <c r="D342" s="9">
        <f>IFERROR(VLOOKUP(B342, 'Duke 1'!A$3:$B$85,2, 0), 0)</f>
        <v>0</v>
      </c>
      <c r="E342" s="9">
        <f>IFERROR(VLOOKUP(B342, 'Duke 2'!A$3:$B$522,2, 0), 0)</f>
        <v>0</v>
      </c>
      <c r="F342" s="10">
        <f>IFERROR(VLOOKUP(B342, 'Duke 3'!A$3:$B998,2, 0), 0)</f>
        <v>0</v>
      </c>
      <c r="G342" s="10">
        <f>IFERROR(VLOOKUP(B342, 'Duke 4'!A$3:$B998,2, 0), 0)</f>
        <v>0</v>
      </c>
      <c r="H342" s="10">
        <f>IFERROR(VLOOKUP(B342, Proof!A$2:$B998,2, 0), 0)</f>
        <v>0</v>
      </c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</row>
    <row r="343">
      <c r="A343" s="1">
        <f t="shared" si="1"/>
        <v>342</v>
      </c>
      <c r="B343" s="7" t="s">
        <v>218</v>
      </c>
      <c r="C343" s="8">
        <f t="shared" si="2"/>
        <v>0</v>
      </c>
      <c r="D343" s="9">
        <f>IFERROR(VLOOKUP(B343, 'Duke 1'!A$3:$B$85,2, 0), 0)</f>
        <v>0</v>
      </c>
      <c r="E343" s="9">
        <f>IFERROR(VLOOKUP(B343, 'Duke 2'!A$3:$B$522,2, 0), 0)</f>
        <v>0</v>
      </c>
      <c r="F343" s="10">
        <f>IFERROR(VLOOKUP(B343, 'Duke 3'!A$3:$B998,2, 0), 0)</f>
        <v>0</v>
      </c>
      <c r="G343" s="10">
        <f>IFERROR(VLOOKUP(B343, 'Duke 4'!A$3:$B998,2, 0), 0)</f>
        <v>0</v>
      </c>
      <c r="H343" s="10">
        <f>IFERROR(VLOOKUP(B343, Proof!A$2:$B998,2, 0), 0)</f>
        <v>0</v>
      </c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</row>
    <row r="344">
      <c r="A344" s="1">
        <f t="shared" si="1"/>
        <v>343</v>
      </c>
      <c r="B344" s="7" t="s">
        <v>164</v>
      </c>
      <c r="C344" s="8">
        <f t="shared" si="2"/>
        <v>0</v>
      </c>
      <c r="D344" s="9">
        <f>IFERROR(VLOOKUP(B344, 'Duke 1'!A$3:$B$85,2, 0), 0)</f>
        <v>0</v>
      </c>
      <c r="E344" s="9">
        <f>IFERROR(VLOOKUP(B344, 'Duke 2'!A$3:$B$522,2, 0), 0)</f>
        <v>0</v>
      </c>
      <c r="F344" s="10">
        <f>IFERROR(VLOOKUP(B344, 'Duke 3'!A$3:$B998,2, 0), 0)</f>
        <v>0</v>
      </c>
      <c r="G344" s="10">
        <f>IFERROR(VLOOKUP(B344, 'Duke 4'!A$3:$B998,2, 0), 0)</f>
        <v>0</v>
      </c>
      <c r="H344" s="10">
        <f>IFERROR(VLOOKUP(B344, Proof!A$2:$B998,2, 0), 0)</f>
        <v>0</v>
      </c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</row>
    <row r="345">
      <c r="A345" s="1">
        <f t="shared" si="1"/>
        <v>344</v>
      </c>
      <c r="B345" s="7" t="s">
        <v>138</v>
      </c>
      <c r="C345" s="8">
        <f t="shared" si="2"/>
        <v>0</v>
      </c>
      <c r="D345" s="9">
        <f>IFERROR(VLOOKUP(B345, 'Duke 1'!A$3:$B$85,2, 0), 0)</f>
        <v>0</v>
      </c>
      <c r="E345" s="9">
        <f>IFERROR(VLOOKUP(B345, 'Duke 2'!A$3:$B$522,2, 0), 0)</f>
        <v>0</v>
      </c>
      <c r="F345" s="10">
        <f>IFERROR(VLOOKUP(B345, 'Duke 3'!A$3:$B998,2, 0), 0)</f>
        <v>0</v>
      </c>
      <c r="G345" s="10">
        <f>IFERROR(VLOOKUP(B345, 'Duke 4'!A$3:$B998,2, 0), 0)</f>
        <v>0</v>
      </c>
      <c r="H345" s="10">
        <f>IFERROR(VLOOKUP(B345, Proof!A$2:$B998,2, 0), 0)</f>
        <v>0</v>
      </c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</row>
    <row r="346">
      <c r="A346" s="1">
        <f t="shared" si="1"/>
        <v>345</v>
      </c>
      <c r="B346" s="7" t="s">
        <v>205</v>
      </c>
      <c r="C346" s="8">
        <f t="shared" si="2"/>
        <v>0</v>
      </c>
      <c r="D346" s="9">
        <f>IFERROR(VLOOKUP(B346, 'Duke 1'!A$3:$B$85,2, 0), 0)</f>
        <v>0</v>
      </c>
      <c r="E346" s="9">
        <f>IFERROR(VLOOKUP(B346, 'Duke 2'!A$3:$B$522,2, 0), 0)</f>
        <v>0</v>
      </c>
      <c r="F346" s="10">
        <f>IFERROR(VLOOKUP(B346, 'Duke 3'!A$3:$B998,2, 0), 0)</f>
        <v>0</v>
      </c>
      <c r="G346" s="10">
        <f>IFERROR(VLOOKUP(B346, 'Duke 4'!A$3:$B998,2, 0), 0)</f>
        <v>0</v>
      </c>
      <c r="H346" s="10">
        <f>IFERROR(VLOOKUP(B346, Proof!A$2:$B998,2, 0), 0)</f>
        <v>0</v>
      </c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</row>
    <row r="347">
      <c r="A347" s="1">
        <f t="shared" si="1"/>
        <v>346</v>
      </c>
      <c r="B347" s="7" t="s">
        <v>337</v>
      </c>
      <c r="C347" s="8">
        <f t="shared" si="2"/>
        <v>0</v>
      </c>
      <c r="D347" s="9">
        <f>IFERROR(VLOOKUP(B347, 'Duke 1'!A$3:$B$85,2, 0), 0)</f>
        <v>0</v>
      </c>
      <c r="E347" s="9">
        <f>IFERROR(VLOOKUP(B347, 'Duke 2'!A$3:$B$522,2, 0), 0)</f>
        <v>0</v>
      </c>
      <c r="F347" s="10">
        <f>IFERROR(VLOOKUP(B347, 'Duke 3'!A$3:$B998,2, 0), 0)</f>
        <v>0</v>
      </c>
      <c r="G347" s="10">
        <f>IFERROR(VLOOKUP(B347, 'Duke 4'!A$3:$B998,2, 0), 0)</f>
        <v>0</v>
      </c>
      <c r="H347" s="10">
        <f>IFERROR(VLOOKUP(B347, Proof!A$2:$B998,2, 0), 0)</f>
        <v>0</v>
      </c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</row>
    <row r="348">
      <c r="A348" s="1">
        <f t="shared" si="1"/>
        <v>347</v>
      </c>
      <c r="B348" s="7" t="s">
        <v>176</v>
      </c>
      <c r="C348" s="8">
        <f t="shared" si="2"/>
        <v>0</v>
      </c>
      <c r="D348" s="9">
        <f>IFERROR(VLOOKUP(B348, 'Duke 1'!A$3:$B$85,2, 0), 0)</f>
        <v>0</v>
      </c>
      <c r="E348" s="9">
        <f>IFERROR(VLOOKUP(B348, 'Duke 2'!A$3:$B$522,2, 0), 0)</f>
        <v>0</v>
      </c>
      <c r="F348" s="10">
        <f>IFERROR(VLOOKUP(B348, 'Duke 3'!A$3:$B998,2, 0), 0)</f>
        <v>0</v>
      </c>
      <c r="G348" s="10">
        <f>IFERROR(VLOOKUP(B348, 'Duke 4'!A$3:$B998,2, 0), 0)</f>
        <v>0</v>
      </c>
      <c r="H348" s="10">
        <f>IFERROR(VLOOKUP(B348, Proof!A$2:$B998,2, 0), 0)</f>
        <v>0</v>
      </c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</row>
    <row r="349">
      <c r="A349" s="1">
        <f t="shared" si="1"/>
        <v>348</v>
      </c>
      <c r="B349" s="7" t="s">
        <v>217</v>
      </c>
      <c r="C349" s="8">
        <f t="shared" si="2"/>
        <v>0</v>
      </c>
      <c r="D349" s="9">
        <f>IFERROR(VLOOKUP(B349, 'Duke 1'!A$3:$B$85,2, 0), 0)</f>
        <v>0</v>
      </c>
      <c r="E349" s="9">
        <f>IFERROR(VLOOKUP(B349, 'Duke 2'!A$3:$B$522,2, 0), 0)</f>
        <v>0</v>
      </c>
      <c r="F349" s="10">
        <f>IFERROR(VLOOKUP(B349, 'Duke 3'!A$3:$B998,2, 0), 0)</f>
        <v>0</v>
      </c>
      <c r="G349" s="10">
        <f>IFERROR(VLOOKUP(B349, 'Duke 4'!A$3:$B998,2, 0), 0)</f>
        <v>0</v>
      </c>
      <c r="H349" s="10">
        <f>IFERROR(VLOOKUP(B349, Proof!A$2:$B998,2, 0), 0)</f>
        <v>0</v>
      </c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</row>
    <row r="350">
      <c r="A350" s="1">
        <f t="shared" si="1"/>
        <v>349</v>
      </c>
      <c r="B350" s="7" t="s">
        <v>216</v>
      </c>
      <c r="C350" s="8">
        <f t="shared" si="2"/>
        <v>0</v>
      </c>
      <c r="D350" s="9">
        <f>IFERROR(VLOOKUP(B350, 'Duke 1'!A$3:$B$85,2, 0), 0)</f>
        <v>0</v>
      </c>
      <c r="E350" s="9">
        <f>IFERROR(VLOOKUP(B350, 'Duke 2'!A$3:$B$522,2, 0), 0)</f>
        <v>0</v>
      </c>
      <c r="F350" s="10">
        <f>IFERROR(VLOOKUP(B350, 'Duke 3'!A$3:$B998,2, 0), 0)</f>
        <v>0</v>
      </c>
      <c r="G350" s="10">
        <f>IFERROR(VLOOKUP(B350, 'Duke 4'!A$3:$B998,2, 0), 0)</f>
        <v>0</v>
      </c>
      <c r="H350" s="10">
        <f>IFERROR(VLOOKUP(B350, Proof!A$2:$B998,2, 0), 0)</f>
        <v>0</v>
      </c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</row>
    <row r="351">
      <c r="A351" s="1">
        <f t="shared" si="1"/>
        <v>350</v>
      </c>
      <c r="B351" s="7" t="s">
        <v>122</v>
      </c>
      <c r="C351" s="8">
        <f t="shared" si="2"/>
        <v>0</v>
      </c>
      <c r="D351" s="9">
        <f>IFERROR(VLOOKUP(B351, 'Duke 1'!A$3:$B$85,2, 0), 0)</f>
        <v>0</v>
      </c>
      <c r="E351" s="9">
        <f>IFERROR(VLOOKUP(B351, 'Duke 2'!A$3:$B$522,2, 0), 0)</f>
        <v>0</v>
      </c>
      <c r="F351" s="10">
        <f>IFERROR(VLOOKUP(B351, 'Duke 3'!A$3:$B998,2, 0), 0)</f>
        <v>0</v>
      </c>
      <c r="G351" s="10">
        <f>IFERROR(VLOOKUP(B351, 'Duke 4'!A$3:$B998,2, 0), 0)</f>
        <v>0</v>
      </c>
      <c r="H351" s="10">
        <f>IFERROR(VLOOKUP(B351, Proof!A$2:$B998,2, 0), 0)</f>
        <v>0</v>
      </c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</row>
    <row r="352">
      <c r="A352" s="1">
        <f t="shared" si="1"/>
        <v>351</v>
      </c>
      <c r="B352" s="7" t="s">
        <v>448</v>
      </c>
      <c r="C352" s="8">
        <f t="shared" si="2"/>
        <v>0</v>
      </c>
      <c r="D352" s="9">
        <f>IFERROR(VLOOKUP(B352, 'Duke 1'!A$3:$B$85,2, 0), 0)</f>
        <v>0</v>
      </c>
      <c r="E352" s="9">
        <f>IFERROR(VLOOKUP(B352, 'Duke 2'!A$3:$B$522,2, 0), 0)</f>
        <v>0</v>
      </c>
      <c r="F352" s="10">
        <f>IFERROR(VLOOKUP(B352, 'Duke 3'!A$3:$B998,2, 0), 0)</f>
        <v>0</v>
      </c>
      <c r="G352" s="10">
        <f>IFERROR(VLOOKUP(B352, 'Duke 4'!A$3:$B998,2, 0), 0)</f>
        <v>0</v>
      </c>
      <c r="H352" s="10">
        <f>IFERROR(VLOOKUP(B352, Proof!A$2:$B998,2, 0), 0)</f>
        <v>0</v>
      </c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</row>
    <row r="353">
      <c r="A353" s="1">
        <f t="shared" si="1"/>
        <v>352</v>
      </c>
      <c r="B353" s="7" t="s">
        <v>492</v>
      </c>
      <c r="C353" s="8">
        <f t="shared" si="2"/>
        <v>0</v>
      </c>
      <c r="D353" s="9">
        <f>IFERROR(VLOOKUP(B353, 'Duke 1'!A$3:$B$85,2, 0), 0)</f>
        <v>0</v>
      </c>
      <c r="E353" s="9">
        <f>IFERROR(VLOOKUP(B353, 'Duke 2'!A$3:$B$522,2, 0), 0)</f>
        <v>0</v>
      </c>
      <c r="F353" s="10">
        <f>IFERROR(VLOOKUP(B353, 'Duke 3'!A$3:$B998,2, 0), 0)</f>
        <v>0</v>
      </c>
      <c r="G353" s="10">
        <f>IFERROR(VLOOKUP(B353, 'Duke 4'!A$3:$B998,2, 0), 0)</f>
        <v>0</v>
      </c>
      <c r="H353" s="10">
        <f>IFERROR(VLOOKUP(B353, Proof!A$2:$B998,2, 0), 0)</f>
        <v>0</v>
      </c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</row>
    <row r="354">
      <c r="A354" s="1">
        <f t="shared" si="1"/>
        <v>353</v>
      </c>
      <c r="B354" s="7" t="s">
        <v>155</v>
      </c>
      <c r="C354" s="8">
        <f t="shared" si="2"/>
        <v>0</v>
      </c>
      <c r="D354" s="9">
        <f>IFERROR(VLOOKUP(B354, 'Duke 1'!A$3:$B$85,2, 0), 0)</f>
        <v>0</v>
      </c>
      <c r="E354" s="9">
        <f>IFERROR(VLOOKUP(B354, 'Duke 2'!A$3:$B$522,2, 0), 0)</f>
        <v>0</v>
      </c>
      <c r="F354" s="10">
        <f>IFERROR(VLOOKUP(B354, 'Duke 3'!A$3:$B998,2, 0), 0)</f>
        <v>0</v>
      </c>
      <c r="G354" s="10">
        <f>IFERROR(VLOOKUP(B354, 'Duke 4'!A$3:$B998,2, 0), 0)</f>
        <v>0</v>
      </c>
      <c r="H354" s="10">
        <f>IFERROR(VLOOKUP(B354, Proof!A$2:$B998,2, 0), 0)</f>
        <v>0</v>
      </c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</row>
    <row r="355">
      <c r="A355" s="1">
        <f t="shared" si="1"/>
        <v>354</v>
      </c>
      <c r="B355" s="7" t="s">
        <v>93</v>
      </c>
      <c r="C355" s="8">
        <f t="shared" si="2"/>
        <v>0</v>
      </c>
      <c r="D355" s="9">
        <f>IFERROR(VLOOKUP(B355, 'Duke 1'!A$3:$B$85,2, 0), 0)</f>
        <v>0</v>
      </c>
      <c r="E355" s="9">
        <f>IFERROR(VLOOKUP(B355, 'Duke 2'!A$3:$B$522,2, 0), 0)</f>
        <v>0</v>
      </c>
      <c r="F355" s="10">
        <f>IFERROR(VLOOKUP(B355, 'Duke 3'!A$3:$B998,2, 0), 0)</f>
        <v>0</v>
      </c>
      <c r="G355" s="10">
        <f>IFERROR(VLOOKUP(B355, 'Duke 4'!A$3:$B998,2, 0), 0)</f>
        <v>0</v>
      </c>
      <c r="H355" s="10">
        <f>IFERROR(VLOOKUP(B355, Proof!A$2:$B998,2, 0), 0)</f>
        <v>0</v>
      </c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</row>
    <row r="356">
      <c r="A356" s="1">
        <f t="shared" si="1"/>
        <v>355</v>
      </c>
      <c r="B356" s="7" t="s">
        <v>252</v>
      </c>
      <c r="C356" s="8">
        <f t="shared" si="2"/>
        <v>0</v>
      </c>
      <c r="D356" s="9">
        <f>IFERROR(VLOOKUP(B356, 'Duke 1'!A$3:$B$85,2, 0), 0)</f>
        <v>0</v>
      </c>
      <c r="E356" s="9">
        <f>IFERROR(VLOOKUP(B356, 'Duke 2'!A$3:$B$522,2, 0), 0)</f>
        <v>0</v>
      </c>
      <c r="F356" s="10">
        <f>IFERROR(VLOOKUP(B356, 'Duke 3'!A$3:$B998,2, 0), 0)</f>
        <v>0</v>
      </c>
      <c r="G356" s="10">
        <f>IFERROR(VLOOKUP(B356, 'Duke 4'!A$3:$B998,2, 0), 0)</f>
        <v>0</v>
      </c>
      <c r="H356" s="10">
        <f>IFERROR(VLOOKUP(B356, Proof!A$2:$B998,2, 0), 0)</f>
        <v>0</v>
      </c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</row>
    <row r="357">
      <c r="A357" s="1">
        <f t="shared" si="1"/>
        <v>356</v>
      </c>
      <c r="B357" s="7" t="s">
        <v>257</v>
      </c>
      <c r="C357" s="8">
        <f t="shared" si="2"/>
        <v>0</v>
      </c>
      <c r="D357" s="9">
        <f>IFERROR(VLOOKUP(B357, 'Duke 1'!A$3:$B$85,2, 0), 0)</f>
        <v>0</v>
      </c>
      <c r="E357" s="9">
        <f>IFERROR(VLOOKUP(B357, 'Duke 2'!A$3:$B$522,2, 0), 0)</f>
        <v>0</v>
      </c>
      <c r="F357" s="10">
        <f>IFERROR(VLOOKUP(B357, 'Duke 3'!A$3:$B998,2, 0), 0)</f>
        <v>0</v>
      </c>
      <c r="G357" s="10">
        <f>IFERROR(VLOOKUP(B357, 'Duke 4'!A$3:$B998,2, 0), 0)</f>
        <v>0</v>
      </c>
      <c r="H357" s="10">
        <f>IFERROR(VLOOKUP(B357, Proof!A$2:$B998,2, 0), 0)</f>
        <v>0</v>
      </c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</row>
    <row r="358">
      <c r="A358" s="1">
        <f t="shared" si="1"/>
        <v>357</v>
      </c>
      <c r="B358" s="7" t="s">
        <v>475</v>
      </c>
      <c r="C358" s="8">
        <f t="shared" si="2"/>
        <v>0</v>
      </c>
      <c r="D358" s="9">
        <f>IFERROR(VLOOKUP(B358, 'Duke 1'!A$3:$B$85,2, 0), 0)</f>
        <v>0</v>
      </c>
      <c r="E358" s="9">
        <f>IFERROR(VLOOKUP(B358, 'Duke 2'!A$3:$B$522,2, 0), 0)</f>
        <v>0</v>
      </c>
      <c r="F358" s="10">
        <f>IFERROR(VLOOKUP(B358, 'Duke 3'!A$3:$B998,2, 0), 0)</f>
        <v>0</v>
      </c>
      <c r="G358" s="10">
        <f>IFERROR(VLOOKUP(B358, 'Duke 4'!A$3:$B998,2, 0), 0)</f>
        <v>0</v>
      </c>
      <c r="H358" s="10">
        <f>IFERROR(VLOOKUP(B358, Proof!A$2:$B998,2, 0), 0)</f>
        <v>0</v>
      </c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</row>
    <row r="359">
      <c r="A359" s="1">
        <f t="shared" si="1"/>
        <v>358</v>
      </c>
      <c r="B359" s="7" t="s">
        <v>258</v>
      </c>
      <c r="C359" s="8">
        <f t="shared" si="2"/>
        <v>0</v>
      </c>
      <c r="D359" s="9">
        <f>IFERROR(VLOOKUP(B359, 'Duke 1'!A$3:$B$85,2, 0), 0)</f>
        <v>0</v>
      </c>
      <c r="E359" s="9">
        <f>IFERROR(VLOOKUP(B359, 'Duke 2'!A$3:$B$522,2, 0), 0)</f>
        <v>0</v>
      </c>
      <c r="F359" s="10">
        <f>IFERROR(VLOOKUP(B359, 'Duke 3'!A$3:$B998,2, 0), 0)</f>
        <v>0</v>
      </c>
      <c r="G359" s="10">
        <f>IFERROR(VLOOKUP(B359, 'Duke 4'!A$3:$B998,2, 0), 0)</f>
        <v>0</v>
      </c>
      <c r="H359" s="10">
        <f>IFERROR(VLOOKUP(B359, Proof!A$2:$B998,2, 0), 0)</f>
        <v>0</v>
      </c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</row>
    <row r="360">
      <c r="A360" s="1">
        <f t="shared" si="1"/>
        <v>359</v>
      </c>
      <c r="B360" s="7" t="s">
        <v>446</v>
      </c>
      <c r="C360" s="8">
        <f t="shared" si="2"/>
        <v>0</v>
      </c>
      <c r="D360" s="9">
        <f>IFERROR(VLOOKUP(B360, 'Duke 1'!A$3:$B$85,2, 0), 0)</f>
        <v>0</v>
      </c>
      <c r="E360" s="9">
        <f>IFERROR(VLOOKUP(B360, 'Duke 2'!A$3:$B$522,2, 0), 0)</f>
        <v>0</v>
      </c>
      <c r="F360" s="10">
        <f>IFERROR(VLOOKUP(B360, 'Duke 3'!A$3:$B998,2, 0), 0)</f>
        <v>0</v>
      </c>
      <c r="G360" s="10">
        <f>IFERROR(VLOOKUP(B360, 'Duke 4'!A$3:$B998,2, 0), 0)</f>
        <v>0</v>
      </c>
      <c r="H360" s="10">
        <f>IFERROR(VLOOKUP(B360, Proof!A$2:$B998,2, 0), 0)</f>
        <v>0</v>
      </c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</row>
    <row r="361">
      <c r="A361" s="1">
        <f t="shared" si="1"/>
        <v>360</v>
      </c>
      <c r="B361" s="7" t="s">
        <v>124</v>
      </c>
      <c r="C361" s="8">
        <f t="shared" si="2"/>
        <v>0</v>
      </c>
      <c r="D361" s="9">
        <f>IFERROR(VLOOKUP(B361, 'Duke 1'!A$3:$B$85,2, 0), 0)</f>
        <v>0</v>
      </c>
      <c r="E361" s="9">
        <f>IFERROR(VLOOKUP(B361, 'Duke 2'!A$3:$B$522,2, 0), 0)</f>
        <v>0</v>
      </c>
      <c r="F361" s="10">
        <f>IFERROR(VLOOKUP(B361, 'Duke 3'!A$3:$B998,2, 0), 0)</f>
        <v>0</v>
      </c>
      <c r="G361" s="10">
        <f>IFERROR(VLOOKUP(B361, 'Duke 4'!A$3:$B998,2, 0), 0)</f>
        <v>0</v>
      </c>
      <c r="H361" s="10">
        <f>IFERROR(VLOOKUP(B361, Proof!A$2:$B998,2, 0), 0)</f>
        <v>0</v>
      </c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</row>
    <row r="362">
      <c r="A362" s="1">
        <f t="shared" si="1"/>
        <v>361</v>
      </c>
      <c r="B362" s="7" t="s">
        <v>489</v>
      </c>
      <c r="C362" s="8">
        <f t="shared" si="2"/>
        <v>0</v>
      </c>
      <c r="D362" s="9">
        <f>IFERROR(VLOOKUP(B362, 'Duke 1'!A$3:$B$85,2, 0), 0)</f>
        <v>0</v>
      </c>
      <c r="E362" s="9">
        <f>IFERROR(VLOOKUP(B362, 'Duke 2'!A$3:$B$522,2, 0), 0)</f>
        <v>0</v>
      </c>
      <c r="F362" s="10">
        <f>IFERROR(VLOOKUP(B362, 'Duke 3'!A$3:$B998,2, 0), 0)</f>
        <v>0</v>
      </c>
      <c r="G362" s="10">
        <f>IFERROR(VLOOKUP(B362, 'Duke 4'!A$3:$B998,2, 0), 0)</f>
        <v>0</v>
      </c>
      <c r="H362" s="10">
        <f>IFERROR(VLOOKUP(B362, Proof!A$2:$B998,2, 0), 0)</f>
        <v>0</v>
      </c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</row>
    <row r="363">
      <c r="A363" s="1">
        <f t="shared" si="1"/>
        <v>362</v>
      </c>
      <c r="B363" s="7" t="s">
        <v>461</v>
      </c>
      <c r="C363" s="8">
        <f t="shared" si="2"/>
        <v>0</v>
      </c>
      <c r="D363" s="9">
        <f>IFERROR(VLOOKUP(B363, 'Duke 1'!A$3:$B$85,2, 0), 0)</f>
        <v>0</v>
      </c>
      <c r="E363" s="9">
        <f>IFERROR(VLOOKUP(B363, 'Duke 2'!A$3:$B$522,2, 0), 0)</f>
        <v>0</v>
      </c>
      <c r="F363" s="10">
        <f>IFERROR(VLOOKUP(B363, 'Duke 3'!A$3:$B998,2, 0), 0)</f>
        <v>0</v>
      </c>
      <c r="G363" s="10">
        <f>IFERROR(VLOOKUP(B363, 'Duke 4'!A$3:$B998,2, 0), 0)</f>
        <v>0</v>
      </c>
      <c r="H363" s="10">
        <f>IFERROR(VLOOKUP(B363, Proof!A$2:$B998,2, 0), 0)</f>
        <v>0</v>
      </c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</row>
    <row r="364">
      <c r="A364" s="1">
        <f t="shared" si="1"/>
        <v>363</v>
      </c>
      <c r="B364" s="7" t="s">
        <v>442</v>
      </c>
      <c r="C364" s="8">
        <f t="shared" si="2"/>
        <v>0</v>
      </c>
      <c r="D364" s="9">
        <f>IFERROR(VLOOKUP(B364, 'Duke 1'!A$3:$B$85,2, 0), 0)</f>
        <v>0</v>
      </c>
      <c r="E364" s="9">
        <f>IFERROR(VLOOKUP(B364, 'Duke 2'!A$3:$B$522,2, 0), 0)</f>
        <v>0</v>
      </c>
      <c r="F364" s="10">
        <f>IFERROR(VLOOKUP(B364, 'Duke 3'!A$3:$B998,2, 0), 0)</f>
        <v>0</v>
      </c>
      <c r="G364" s="10">
        <f>IFERROR(VLOOKUP(B364, 'Duke 4'!A$3:$B998,2, 0), 0)</f>
        <v>0</v>
      </c>
      <c r="H364" s="10">
        <f>IFERROR(VLOOKUP(B364, Proof!A$2:$B998,2, 0), 0)</f>
        <v>0</v>
      </c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</row>
    <row r="365">
      <c r="A365" s="1">
        <f t="shared" si="1"/>
        <v>364</v>
      </c>
      <c r="B365" s="7" t="s">
        <v>109</v>
      </c>
      <c r="C365" s="8">
        <f t="shared" si="2"/>
        <v>0</v>
      </c>
      <c r="D365" s="9">
        <f>IFERROR(VLOOKUP(B365, 'Duke 1'!A$3:$B$85,2, 0), 0)</f>
        <v>0</v>
      </c>
      <c r="E365" s="9">
        <f>IFERROR(VLOOKUP(B365, 'Duke 2'!A$3:$B$522,2, 0), 0)</f>
        <v>0</v>
      </c>
      <c r="F365" s="10">
        <f>IFERROR(VLOOKUP(B365, 'Duke 3'!A$3:$B998,2, 0), 0)</f>
        <v>0</v>
      </c>
      <c r="G365" s="10">
        <f>IFERROR(VLOOKUP(B365, 'Duke 4'!A$3:$B998,2, 0), 0)</f>
        <v>0</v>
      </c>
      <c r="H365" s="10">
        <f>IFERROR(VLOOKUP(B365, Proof!A$2:$B998,2, 0), 0)</f>
        <v>0</v>
      </c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</row>
    <row r="366">
      <c r="A366" s="1">
        <f t="shared" si="1"/>
        <v>365</v>
      </c>
      <c r="B366" s="7" t="s">
        <v>459</v>
      </c>
      <c r="C366" s="8">
        <f t="shared" si="2"/>
        <v>0</v>
      </c>
      <c r="D366" s="9">
        <f>IFERROR(VLOOKUP(B366, 'Duke 1'!A$3:$B$85,2, 0), 0)</f>
        <v>0</v>
      </c>
      <c r="E366" s="9">
        <f>IFERROR(VLOOKUP(B366, 'Duke 2'!A$3:$B$522,2, 0), 0)</f>
        <v>0</v>
      </c>
      <c r="F366" s="10">
        <f>IFERROR(VLOOKUP(B366, 'Duke 3'!A$3:$B998,2, 0), 0)</f>
        <v>0</v>
      </c>
      <c r="G366" s="10">
        <f>IFERROR(VLOOKUP(B366, 'Duke 4'!A$3:$B998,2, 0), 0)</f>
        <v>0</v>
      </c>
      <c r="H366" s="10">
        <f>IFERROR(VLOOKUP(B366, Proof!A$2:$B998,2, 0), 0)</f>
        <v>0</v>
      </c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</row>
    <row r="367">
      <c r="A367" s="1">
        <f t="shared" si="1"/>
        <v>366</v>
      </c>
      <c r="B367" s="7" t="s">
        <v>244</v>
      </c>
      <c r="C367" s="8">
        <f t="shared" si="2"/>
        <v>0</v>
      </c>
      <c r="D367" s="9">
        <f>IFERROR(VLOOKUP(B367, 'Duke 1'!A$3:$B$85,2, 0), 0)</f>
        <v>0</v>
      </c>
      <c r="E367" s="9">
        <f>IFERROR(VLOOKUP(B367, 'Duke 2'!A$3:$B$522,2, 0), 0)</f>
        <v>0</v>
      </c>
      <c r="F367" s="10">
        <f>IFERROR(VLOOKUP(B367, 'Duke 3'!A$3:$B998,2, 0), 0)</f>
        <v>0</v>
      </c>
      <c r="G367" s="10">
        <f>IFERROR(VLOOKUP(B367, 'Duke 4'!A$3:$B998,2, 0), 0)</f>
        <v>0</v>
      </c>
      <c r="H367" s="10">
        <f>IFERROR(VLOOKUP(B367, Proof!A$2:$B998,2, 0), 0)</f>
        <v>0</v>
      </c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</row>
    <row r="368">
      <c r="A368" s="1">
        <f t="shared" si="1"/>
        <v>367</v>
      </c>
      <c r="B368" s="7" t="s">
        <v>126</v>
      </c>
      <c r="C368" s="8">
        <f t="shared" si="2"/>
        <v>0</v>
      </c>
      <c r="D368" s="9">
        <f>IFERROR(VLOOKUP(B368, 'Duke 1'!A$3:$B$85,2, 0), 0)</f>
        <v>0</v>
      </c>
      <c r="E368" s="9">
        <f>IFERROR(VLOOKUP(B368, 'Duke 2'!A$3:$B$522,2, 0), 0)</f>
        <v>0</v>
      </c>
      <c r="F368" s="10">
        <f>IFERROR(VLOOKUP(B368, 'Duke 3'!A$3:$B998,2, 0), 0)</f>
        <v>0</v>
      </c>
      <c r="G368" s="10">
        <f>IFERROR(VLOOKUP(B368, 'Duke 4'!A$3:$B998,2, 0), 0)</f>
        <v>0</v>
      </c>
      <c r="H368" s="10">
        <f>IFERROR(VLOOKUP(B368, Proof!A$2:$B998,2, 0), 0)</f>
        <v>0</v>
      </c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</row>
    <row r="369">
      <c r="A369" s="1">
        <f t="shared" si="1"/>
        <v>368</v>
      </c>
      <c r="B369" s="7" t="s">
        <v>484</v>
      </c>
      <c r="C369" s="8">
        <f t="shared" si="2"/>
        <v>0</v>
      </c>
      <c r="D369" s="9">
        <f>IFERROR(VLOOKUP(B369, 'Duke 1'!A$3:$B$85,2, 0), 0)</f>
        <v>0</v>
      </c>
      <c r="E369" s="9">
        <f>IFERROR(VLOOKUP(B369, 'Duke 2'!A$3:$B$522,2, 0), 0)</f>
        <v>0</v>
      </c>
      <c r="F369" s="10">
        <f>IFERROR(VLOOKUP(B369, 'Duke 3'!A$3:$B998,2, 0), 0)</f>
        <v>0</v>
      </c>
      <c r="G369" s="10">
        <f>IFERROR(VLOOKUP(B369, 'Duke 4'!A$3:$B998,2, 0), 0)</f>
        <v>0</v>
      </c>
      <c r="H369" s="10">
        <f>IFERROR(VLOOKUP(B369, Proof!A$2:$B998,2, 0), 0)</f>
        <v>0</v>
      </c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</row>
    <row r="370">
      <c r="A370" s="1">
        <f t="shared" si="1"/>
        <v>369</v>
      </c>
      <c r="B370" s="7" t="s">
        <v>113</v>
      </c>
      <c r="C370" s="8">
        <f t="shared" si="2"/>
        <v>0</v>
      </c>
      <c r="D370" s="9">
        <f>IFERROR(VLOOKUP(B370, 'Duke 1'!A$3:$B$85,2, 0), 0)</f>
        <v>0</v>
      </c>
      <c r="E370" s="9">
        <f>IFERROR(VLOOKUP(B370, 'Duke 2'!A$3:$B$522,2, 0), 0)</f>
        <v>0</v>
      </c>
      <c r="F370" s="10">
        <f>IFERROR(VLOOKUP(B370, 'Duke 3'!A$3:$B998,2, 0), 0)</f>
        <v>0</v>
      </c>
      <c r="G370" s="10">
        <f>IFERROR(VLOOKUP(B370, 'Duke 4'!A$3:$B998,2, 0), 0)</f>
        <v>0</v>
      </c>
      <c r="H370" s="10">
        <f>IFERROR(VLOOKUP(B370, Proof!A$2:$B998,2, 0), 0)</f>
        <v>0</v>
      </c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</row>
    <row r="371">
      <c r="A371" s="1">
        <f t="shared" si="1"/>
        <v>370</v>
      </c>
      <c r="B371" s="7" t="s">
        <v>450</v>
      </c>
      <c r="C371" s="8">
        <f t="shared" si="2"/>
        <v>0</v>
      </c>
      <c r="D371" s="9">
        <f>IFERROR(VLOOKUP(B371, 'Duke 1'!A$3:$B$85,2, 0), 0)</f>
        <v>0</v>
      </c>
      <c r="E371" s="9">
        <f>IFERROR(VLOOKUP(B371, 'Duke 2'!A$3:$B$522,2, 0), 0)</f>
        <v>0</v>
      </c>
      <c r="F371" s="10">
        <f>IFERROR(VLOOKUP(B371, 'Duke 3'!A$3:$B998,2, 0), 0)</f>
        <v>0</v>
      </c>
      <c r="G371" s="10">
        <f>IFERROR(VLOOKUP(B371, 'Duke 4'!A$3:$B998,2, 0), 0)</f>
        <v>0</v>
      </c>
      <c r="H371" s="10">
        <f>IFERROR(VLOOKUP(B371, Proof!A$2:$B998,2, 0), 0)</f>
        <v>0</v>
      </c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</row>
    <row r="372">
      <c r="A372" s="1">
        <f t="shared" si="1"/>
        <v>371</v>
      </c>
      <c r="B372" s="7" t="s">
        <v>112</v>
      </c>
      <c r="C372" s="8">
        <f t="shared" si="2"/>
        <v>0</v>
      </c>
      <c r="D372" s="9">
        <f>IFERROR(VLOOKUP(B372, 'Duke 1'!A$3:$B$85,2, 0), 0)</f>
        <v>0</v>
      </c>
      <c r="E372" s="9">
        <f>IFERROR(VLOOKUP(B372, 'Duke 2'!A$3:$B$522,2, 0), 0)</f>
        <v>0</v>
      </c>
      <c r="F372" s="10">
        <f>IFERROR(VLOOKUP(B372, 'Duke 3'!A$3:$B998,2, 0), 0)</f>
        <v>0</v>
      </c>
      <c r="G372" s="10">
        <f>IFERROR(VLOOKUP(B372, 'Duke 4'!A$3:$B998,2, 0), 0)</f>
        <v>0</v>
      </c>
      <c r="H372" s="10">
        <f>IFERROR(VLOOKUP(B372, Proof!A$2:$B998,2, 0), 0)</f>
        <v>0</v>
      </c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</row>
    <row r="373">
      <c r="A373" s="1">
        <f t="shared" si="1"/>
        <v>372</v>
      </c>
      <c r="B373" s="7" t="s">
        <v>478</v>
      </c>
      <c r="C373" s="8">
        <f t="shared" si="2"/>
        <v>0</v>
      </c>
      <c r="D373" s="9">
        <f>IFERROR(VLOOKUP(B373, 'Duke 1'!A$3:$B$85,2, 0), 0)</f>
        <v>0</v>
      </c>
      <c r="E373" s="9">
        <f>IFERROR(VLOOKUP(B373, 'Duke 2'!A$3:$B$522,2, 0), 0)</f>
        <v>0</v>
      </c>
      <c r="F373" s="10">
        <f>IFERROR(VLOOKUP(B373, 'Duke 3'!A$3:$B998,2, 0), 0)</f>
        <v>0</v>
      </c>
      <c r="G373" s="10">
        <f>IFERROR(VLOOKUP(B373, 'Duke 4'!A$3:$B998,2, 0), 0)</f>
        <v>0</v>
      </c>
      <c r="H373" s="10">
        <f>IFERROR(VLOOKUP(B373, Proof!A$2:$B998,2, 0), 0)</f>
        <v>0</v>
      </c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</row>
    <row r="374">
      <c r="A374" s="1">
        <f t="shared" si="1"/>
        <v>373</v>
      </c>
      <c r="B374" s="7" t="s">
        <v>241</v>
      </c>
      <c r="C374" s="8">
        <f t="shared" si="2"/>
        <v>0</v>
      </c>
      <c r="D374" s="9">
        <f>IFERROR(VLOOKUP(B374, 'Duke 1'!A$3:$B$85,2, 0), 0)</f>
        <v>0</v>
      </c>
      <c r="E374" s="9">
        <f>IFERROR(VLOOKUP(B374, 'Duke 2'!A$3:$B$522,2, 0), 0)</f>
        <v>0</v>
      </c>
      <c r="F374" s="10">
        <f>IFERROR(VLOOKUP(B374, 'Duke 3'!A$3:$B998,2, 0), 0)</f>
        <v>0</v>
      </c>
      <c r="G374" s="10">
        <f>IFERROR(VLOOKUP(B374, 'Duke 4'!A$3:$B998,2, 0), 0)</f>
        <v>0</v>
      </c>
      <c r="H374" s="10">
        <f>IFERROR(VLOOKUP(B374, Proof!A$2:$B998,2, 0), 0)</f>
        <v>0</v>
      </c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</row>
    <row r="375">
      <c r="A375" s="1">
        <f t="shared" si="1"/>
        <v>374</v>
      </c>
      <c r="B375" s="7" t="s">
        <v>458</v>
      </c>
      <c r="C375" s="8">
        <f t="shared" si="2"/>
        <v>0</v>
      </c>
      <c r="D375" s="9">
        <f>IFERROR(VLOOKUP(B375, 'Duke 1'!A$3:$B$85,2, 0), 0)</f>
        <v>0</v>
      </c>
      <c r="E375" s="9">
        <f>IFERROR(VLOOKUP(B375, 'Duke 2'!A$3:$B$522,2, 0), 0)</f>
        <v>0</v>
      </c>
      <c r="F375" s="10">
        <f>IFERROR(VLOOKUP(B375, 'Duke 3'!A$3:$B998,2, 0), 0)</f>
        <v>0</v>
      </c>
      <c r="G375" s="10">
        <f>IFERROR(VLOOKUP(B375, 'Duke 4'!A$3:$B998,2, 0), 0)</f>
        <v>0</v>
      </c>
      <c r="H375" s="10">
        <f>IFERROR(VLOOKUP(B375, Proof!A$2:$B998,2, 0), 0)</f>
        <v>0</v>
      </c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</row>
    <row r="376">
      <c r="A376" s="1">
        <f t="shared" si="1"/>
        <v>375</v>
      </c>
      <c r="B376" s="7" t="s">
        <v>133</v>
      </c>
      <c r="C376" s="8">
        <f t="shared" si="2"/>
        <v>0</v>
      </c>
      <c r="D376" s="9">
        <f>IFERROR(VLOOKUP(B376, 'Duke 1'!A$3:$B$85,2, 0), 0)</f>
        <v>0</v>
      </c>
      <c r="E376" s="9">
        <f>IFERROR(VLOOKUP(B376, 'Duke 2'!A$3:$B$522,2, 0), 0)</f>
        <v>0</v>
      </c>
      <c r="F376" s="10">
        <f>IFERROR(VLOOKUP(B376, 'Duke 3'!A$3:$B998,2, 0), 0)</f>
        <v>0</v>
      </c>
      <c r="G376" s="10">
        <f>IFERROR(VLOOKUP(B376, 'Duke 4'!A$3:$B998,2, 0), 0)</f>
        <v>0</v>
      </c>
      <c r="H376" s="10">
        <f>IFERROR(VLOOKUP(B376, Proof!A$2:$B998,2, 0), 0)</f>
        <v>0</v>
      </c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</row>
    <row r="377">
      <c r="A377" s="1">
        <f t="shared" si="1"/>
        <v>376</v>
      </c>
      <c r="B377" s="7" t="s">
        <v>104</v>
      </c>
      <c r="C377" s="8">
        <f t="shared" si="2"/>
        <v>0</v>
      </c>
      <c r="D377" s="9">
        <f>IFERROR(VLOOKUP(B377, 'Duke 1'!A$3:$B$85,2, 0), 0)</f>
        <v>0</v>
      </c>
      <c r="E377" s="9">
        <f>IFERROR(VLOOKUP(B377, 'Duke 2'!A$3:$B$522,2, 0), 0)</f>
        <v>0</v>
      </c>
      <c r="F377" s="10">
        <f>IFERROR(VLOOKUP(B377, 'Duke 3'!A$3:$B998,2, 0), 0)</f>
        <v>0</v>
      </c>
      <c r="G377" s="10">
        <f>IFERROR(VLOOKUP(B377, 'Duke 4'!A$3:$B998,2, 0), 0)</f>
        <v>0</v>
      </c>
      <c r="H377" s="10">
        <f>IFERROR(VLOOKUP(B377, Proof!A$2:$B998,2, 0), 0)</f>
        <v>0</v>
      </c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</row>
    <row r="378">
      <c r="A378" s="1">
        <f t="shared" si="1"/>
        <v>377</v>
      </c>
      <c r="B378" s="7" t="s">
        <v>457</v>
      </c>
      <c r="C378" s="8">
        <f t="shared" si="2"/>
        <v>0</v>
      </c>
      <c r="D378" s="9">
        <f>IFERROR(VLOOKUP(B378, 'Duke 1'!A$3:$B$85,2, 0), 0)</f>
        <v>0</v>
      </c>
      <c r="E378" s="9">
        <f>IFERROR(VLOOKUP(B378, 'Duke 2'!A$3:$B$522,2, 0), 0)</f>
        <v>0</v>
      </c>
      <c r="F378" s="10">
        <f>IFERROR(VLOOKUP(B378, 'Duke 3'!A$3:$B998,2, 0), 0)</f>
        <v>0</v>
      </c>
      <c r="G378" s="10">
        <f>IFERROR(VLOOKUP(B378, 'Duke 4'!A$3:$B998,2, 0), 0)</f>
        <v>0</v>
      </c>
      <c r="H378" s="10">
        <f>IFERROR(VLOOKUP(B378, Proof!A$2:$B998,2, 0), 0)</f>
        <v>0</v>
      </c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</row>
    <row r="379">
      <c r="A379" s="1">
        <f t="shared" si="1"/>
        <v>378</v>
      </c>
      <c r="B379" s="7" t="s">
        <v>482</v>
      </c>
      <c r="C379" s="8">
        <f t="shared" si="2"/>
        <v>0</v>
      </c>
      <c r="D379" s="9">
        <f>IFERROR(VLOOKUP(B379, 'Duke 1'!A$3:$B$85,2, 0), 0)</f>
        <v>0</v>
      </c>
      <c r="E379" s="9">
        <f>IFERROR(VLOOKUP(B379, 'Duke 2'!A$3:$B$522,2, 0), 0)</f>
        <v>0</v>
      </c>
      <c r="F379" s="10">
        <f>IFERROR(VLOOKUP(B379, 'Duke 3'!A$3:$B998,2, 0), 0)</f>
        <v>0</v>
      </c>
      <c r="G379" s="10">
        <f>IFERROR(VLOOKUP(B379, 'Duke 4'!A$3:$B998,2, 0), 0)</f>
        <v>0</v>
      </c>
      <c r="H379" s="10">
        <f>IFERROR(VLOOKUP(B379, Proof!A$2:$B998,2, 0), 0)</f>
        <v>0</v>
      </c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</row>
    <row r="380">
      <c r="A380" s="1">
        <f t="shared" si="1"/>
        <v>379</v>
      </c>
      <c r="B380" s="7" t="s">
        <v>463</v>
      </c>
      <c r="C380" s="8">
        <f t="shared" si="2"/>
        <v>0</v>
      </c>
      <c r="D380" s="9">
        <f>IFERROR(VLOOKUP(B380, 'Duke 1'!A$3:$B$85,2, 0), 0)</f>
        <v>0</v>
      </c>
      <c r="E380" s="9">
        <f>IFERROR(VLOOKUP(B380, 'Duke 2'!A$3:$B$522,2, 0), 0)</f>
        <v>0</v>
      </c>
      <c r="F380" s="10">
        <f>IFERROR(VLOOKUP(B380, 'Duke 3'!A$3:$B998,2, 0), 0)</f>
        <v>0</v>
      </c>
      <c r="G380" s="10">
        <f>IFERROR(VLOOKUP(B380, 'Duke 4'!A$3:$B998,2, 0), 0)</f>
        <v>0</v>
      </c>
      <c r="H380" s="10">
        <f>IFERROR(VLOOKUP(B380, Proof!A$2:$B998,2, 0), 0)</f>
        <v>0</v>
      </c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</row>
    <row r="381">
      <c r="A381" s="1">
        <f t="shared" si="1"/>
        <v>380</v>
      </c>
      <c r="B381" s="7" t="s">
        <v>454</v>
      </c>
      <c r="C381" s="8">
        <f t="shared" si="2"/>
        <v>0</v>
      </c>
      <c r="D381" s="9">
        <f>IFERROR(VLOOKUP(B381, 'Duke 1'!A$3:$B$85,2, 0), 0)</f>
        <v>0</v>
      </c>
      <c r="E381" s="9">
        <f>IFERROR(VLOOKUP(B381, 'Duke 2'!A$3:$B$522,2, 0), 0)</f>
        <v>0</v>
      </c>
      <c r="F381" s="10">
        <f>IFERROR(VLOOKUP(B381, 'Duke 3'!A$3:$B998,2, 0), 0)</f>
        <v>0</v>
      </c>
      <c r="G381" s="10">
        <f>IFERROR(VLOOKUP(B381, 'Duke 4'!A$3:$B998,2, 0), 0)</f>
        <v>0</v>
      </c>
      <c r="H381" s="10">
        <f>IFERROR(VLOOKUP(B381, Proof!A$2:$B998,2, 0), 0)</f>
        <v>0</v>
      </c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</row>
    <row r="382">
      <c r="A382" s="1">
        <f t="shared" si="1"/>
        <v>381</v>
      </c>
      <c r="B382" s="7" t="s">
        <v>485</v>
      </c>
      <c r="C382" s="8">
        <f t="shared" si="2"/>
        <v>0</v>
      </c>
      <c r="D382" s="9">
        <f>IFERROR(VLOOKUP(B382, 'Duke 1'!A$3:$B$85,2, 0), 0)</f>
        <v>0</v>
      </c>
      <c r="E382" s="9">
        <f>IFERROR(VLOOKUP(B382, 'Duke 2'!A$3:$B$522,2, 0), 0)</f>
        <v>0</v>
      </c>
      <c r="F382" s="10">
        <f>IFERROR(VLOOKUP(B382, 'Duke 3'!A$3:$B998,2, 0), 0)</f>
        <v>0</v>
      </c>
      <c r="G382" s="10">
        <f>IFERROR(VLOOKUP(B382, 'Duke 4'!A$3:$B998,2, 0), 0)</f>
        <v>0</v>
      </c>
      <c r="H382" s="10">
        <f>IFERROR(VLOOKUP(B382, Proof!A$2:$B998,2, 0), 0)</f>
        <v>0</v>
      </c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</row>
    <row r="383">
      <c r="A383" s="1">
        <f t="shared" si="1"/>
        <v>382</v>
      </c>
      <c r="B383" s="7" t="s">
        <v>147</v>
      </c>
      <c r="C383" s="8">
        <f t="shared" si="2"/>
        <v>0</v>
      </c>
      <c r="D383" s="9">
        <f>IFERROR(VLOOKUP(B383, 'Duke 1'!A$3:$B$85,2, 0), 0)</f>
        <v>0</v>
      </c>
      <c r="E383" s="9">
        <f>IFERROR(VLOOKUP(B383, 'Duke 2'!A$3:$B$522,2, 0), 0)</f>
        <v>0</v>
      </c>
      <c r="F383" s="10">
        <f>IFERROR(VLOOKUP(B383, 'Duke 3'!A$3:$B998,2, 0), 0)</f>
        <v>0</v>
      </c>
      <c r="G383" s="10">
        <f>IFERROR(VLOOKUP(B383, 'Duke 4'!A$3:$B998,2, 0), 0)</f>
        <v>0</v>
      </c>
      <c r="H383" s="10">
        <f>IFERROR(VLOOKUP(B383, Proof!A$2:$B998,2, 0), 0)</f>
        <v>0</v>
      </c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</row>
    <row r="384">
      <c r="A384" s="1">
        <f t="shared" si="1"/>
        <v>383</v>
      </c>
      <c r="B384" s="7" t="s">
        <v>493</v>
      </c>
      <c r="C384" s="8">
        <f t="shared" si="2"/>
        <v>0</v>
      </c>
      <c r="D384" s="9">
        <f>IFERROR(VLOOKUP(B384, 'Duke 1'!A$3:$B$85,2, 0), 0)</f>
        <v>0</v>
      </c>
      <c r="E384" s="9">
        <f>IFERROR(VLOOKUP(B384, 'Duke 2'!A$3:$B$522,2, 0), 0)</f>
        <v>0</v>
      </c>
      <c r="F384" s="10">
        <f>IFERROR(VLOOKUP(B384, 'Duke 3'!A$3:$B998,2, 0), 0)</f>
        <v>0</v>
      </c>
      <c r="G384" s="10">
        <f>IFERROR(VLOOKUP(B384, 'Duke 4'!A$3:$B998,2, 0), 0)</f>
        <v>0</v>
      </c>
      <c r="H384" s="10">
        <f>IFERROR(VLOOKUP(B384, Proof!A$2:$B998,2, 0), 0)</f>
        <v>0</v>
      </c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</row>
    <row r="385">
      <c r="A385" s="1">
        <f t="shared" si="1"/>
        <v>384</v>
      </c>
      <c r="B385" s="7" t="s">
        <v>151</v>
      </c>
      <c r="C385" s="8">
        <f t="shared" si="2"/>
        <v>0</v>
      </c>
      <c r="D385" s="9">
        <f>IFERROR(VLOOKUP(B385, 'Duke 1'!A$3:$B$85,2, 0), 0)</f>
        <v>0</v>
      </c>
      <c r="E385" s="9">
        <f>IFERROR(VLOOKUP(B385, 'Duke 2'!A$3:$B$522,2, 0), 0)</f>
        <v>0</v>
      </c>
      <c r="F385" s="10">
        <f>IFERROR(VLOOKUP(B385, 'Duke 3'!A$3:$B998,2, 0), 0)</f>
        <v>0</v>
      </c>
      <c r="G385" s="10">
        <f>IFERROR(VLOOKUP(B385, 'Duke 4'!A$3:$B998,2, 0), 0)</f>
        <v>0</v>
      </c>
      <c r="H385" s="10">
        <f>IFERROR(VLOOKUP(B385, Proof!A$2:$B998,2, 0), 0)</f>
        <v>0</v>
      </c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</row>
    <row r="386">
      <c r="A386" s="1">
        <f t="shared" si="1"/>
        <v>385</v>
      </c>
      <c r="B386" s="7" t="s">
        <v>263</v>
      </c>
      <c r="C386" s="8">
        <f t="shared" si="2"/>
        <v>0</v>
      </c>
      <c r="D386" s="9">
        <f>IFERROR(VLOOKUP(B386, 'Duke 1'!A$3:$B$85,2, 0), 0)</f>
        <v>0</v>
      </c>
      <c r="E386" s="9">
        <f>IFERROR(VLOOKUP(B386, 'Duke 2'!A$3:$B$522,2, 0), 0)</f>
        <v>0</v>
      </c>
      <c r="F386" s="10">
        <f>IFERROR(VLOOKUP(B386, 'Duke 3'!A$3:$B998,2, 0), 0)</f>
        <v>0</v>
      </c>
      <c r="G386" s="10">
        <f>IFERROR(VLOOKUP(B386, 'Duke 4'!A$3:$B998,2, 0), 0)</f>
        <v>0</v>
      </c>
      <c r="H386" s="10">
        <f>IFERROR(VLOOKUP(B386, Proof!A$2:$B998,2, 0), 0)</f>
        <v>0</v>
      </c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</row>
    <row r="387">
      <c r="A387" s="1">
        <f t="shared" si="1"/>
        <v>386</v>
      </c>
      <c r="B387" s="7" t="s">
        <v>156</v>
      </c>
      <c r="C387" s="8">
        <f t="shared" si="2"/>
        <v>0</v>
      </c>
      <c r="D387" s="9">
        <f>IFERROR(VLOOKUP(B387, 'Duke 1'!A$3:$B$85,2, 0), 0)</f>
        <v>0</v>
      </c>
      <c r="E387" s="9">
        <f>IFERROR(VLOOKUP(B387, 'Duke 2'!A$3:$B$522,2, 0), 0)</f>
        <v>0</v>
      </c>
      <c r="F387" s="10">
        <f>IFERROR(VLOOKUP(B387, 'Duke 3'!A$3:$B998,2, 0), 0)</f>
        <v>0</v>
      </c>
      <c r="G387" s="10">
        <f>IFERROR(VLOOKUP(B387, 'Duke 4'!A$3:$B998,2, 0), 0)</f>
        <v>0</v>
      </c>
      <c r="H387" s="10">
        <f>IFERROR(VLOOKUP(B387, Proof!A$2:$B998,2, 0), 0)</f>
        <v>0</v>
      </c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</row>
    <row r="388">
      <c r="A388" s="1">
        <f t="shared" si="1"/>
        <v>387</v>
      </c>
      <c r="B388" s="7" t="s">
        <v>438</v>
      </c>
      <c r="C388" s="8">
        <f t="shared" si="2"/>
        <v>0</v>
      </c>
      <c r="D388" s="9">
        <f>IFERROR(VLOOKUP(B388, 'Duke 1'!A$3:$B$85,2, 0), 0)</f>
        <v>0</v>
      </c>
      <c r="E388" s="9">
        <f>IFERROR(VLOOKUP(B388, 'Duke 2'!A$3:$B$522,2, 0), 0)</f>
        <v>0</v>
      </c>
      <c r="F388" s="10">
        <f>IFERROR(VLOOKUP(B388, 'Duke 3'!A$3:$B998,2, 0), 0)</f>
        <v>0</v>
      </c>
      <c r="G388" s="10">
        <f>IFERROR(VLOOKUP(B388, 'Duke 4'!A$3:$B998,2, 0), 0)</f>
        <v>0</v>
      </c>
      <c r="H388" s="10">
        <f>IFERROR(VLOOKUP(B388, Proof!A$2:$B998,2, 0), 0)</f>
        <v>0</v>
      </c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</row>
    <row r="389">
      <c r="A389" s="1">
        <f t="shared" si="1"/>
        <v>388</v>
      </c>
      <c r="B389" s="7" t="s">
        <v>490</v>
      </c>
      <c r="C389" s="8">
        <f t="shared" si="2"/>
        <v>0</v>
      </c>
      <c r="D389" s="9">
        <f>IFERROR(VLOOKUP(B389, 'Duke 1'!A$3:$B$85,2, 0), 0)</f>
        <v>0</v>
      </c>
      <c r="E389" s="9">
        <f>IFERROR(VLOOKUP(B389, 'Duke 2'!A$3:$B$522,2, 0), 0)</f>
        <v>0</v>
      </c>
      <c r="F389" s="10">
        <f>IFERROR(VLOOKUP(B389, 'Duke 3'!A$3:$B998,2, 0), 0)</f>
        <v>0</v>
      </c>
      <c r="G389" s="10">
        <f>IFERROR(VLOOKUP(B389, 'Duke 4'!A$3:$B998,2, 0), 0)</f>
        <v>0</v>
      </c>
      <c r="H389" s="10">
        <f>IFERROR(VLOOKUP(B389, Proof!A$2:$B998,2, 0), 0)</f>
        <v>0</v>
      </c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</row>
    <row r="390">
      <c r="A390" s="1">
        <f t="shared" si="1"/>
        <v>389</v>
      </c>
      <c r="B390" s="7" t="s">
        <v>465</v>
      </c>
      <c r="C390" s="8">
        <f t="shared" si="2"/>
        <v>0</v>
      </c>
      <c r="D390" s="9">
        <f>IFERROR(VLOOKUP(B390, 'Duke 1'!A$3:$B$85,2, 0), 0)</f>
        <v>0</v>
      </c>
      <c r="E390" s="9">
        <f>IFERROR(VLOOKUP(B390, 'Duke 2'!A$3:$B$522,2, 0), 0)</f>
        <v>0</v>
      </c>
      <c r="F390" s="10">
        <f>IFERROR(VLOOKUP(B390, 'Duke 3'!A$3:$B998,2, 0), 0)</f>
        <v>0</v>
      </c>
      <c r="G390" s="10">
        <f>IFERROR(VLOOKUP(B390, 'Duke 4'!A$3:$B998,2, 0), 0)</f>
        <v>0</v>
      </c>
      <c r="H390" s="10">
        <f>IFERROR(VLOOKUP(B390, Proof!A$2:$B998,2, 0), 0)</f>
        <v>0</v>
      </c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</row>
    <row r="391">
      <c r="A391" s="1">
        <f t="shared" si="1"/>
        <v>390</v>
      </c>
      <c r="B391" s="7" t="s">
        <v>407</v>
      </c>
      <c r="C391" s="8">
        <f t="shared" si="2"/>
        <v>0</v>
      </c>
      <c r="D391" s="9">
        <f>IFERROR(VLOOKUP(B391, 'Duke 1'!A$3:$B$85,2, 0), 0)</f>
        <v>0</v>
      </c>
      <c r="E391" s="9">
        <f>IFERROR(VLOOKUP(B391, 'Duke 2'!A$3:$B$522,2, 0), 0)</f>
        <v>0</v>
      </c>
      <c r="F391" s="10">
        <f>IFERROR(VLOOKUP(B391, 'Duke 3'!A$3:$B998,2, 0), 0)</f>
        <v>0</v>
      </c>
      <c r="G391" s="10">
        <f>IFERROR(VLOOKUP(B391, 'Duke 4'!A$3:$B998,2, 0), 0)</f>
        <v>0</v>
      </c>
      <c r="H391" s="10">
        <f>IFERROR(VLOOKUP(B391, Proof!A$2:$B998,2, 0), 0)</f>
        <v>0</v>
      </c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</row>
    <row r="392">
      <c r="A392" s="1">
        <f t="shared" si="1"/>
        <v>391</v>
      </c>
      <c r="B392" s="7" t="s">
        <v>354</v>
      </c>
      <c r="C392" s="8">
        <f t="shared" si="2"/>
        <v>0</v>
      </c>
      <c r="D392" s="9">
        <f>IFERROR(VLOOKUP(B392, 'Duke 1'!A$3:$B$85,2, 0), 0)</f>
        <v>0</v>
      </c>
      <c r="E392" s="9">
        <f>IFERROR(VLOOKUP(B392, 'Duke 2'!A$3:$B$522,2, 0), 0)</f>
        <v>0</v>
      </c>
      <c r="F392" s="10">
        <f>IFERROR(VLOOKUP(B392, 'Duke 3'!A$3:$B998,2, 0), 0)</f>
        <v>0</v>
      </c>
      <c r="G392" s="10">
        <f>IFERROR(VLOOKUP(B392, 'Duke 4'!A$3:$B998,2, 0), 0)</f>
        <v>0</v>
      </c>
      <c r="H392" s="10">
        <f>IFERROR(VLOOKUP(B392, Proof!A$2:$B998,2, 0), 0)</f>
        <v>0</v>
      </c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</row>
    <row r="393">
      <c r="A393" s="1">
        <f t="shared" si="1"/>
        <v>392</v>
      </c>
      <c r="B393" s="7" t="s">
        <v>182</v>
      </c>
      <c r="C393" s="8">
        <f t="shared" si="2"/>
        <v>0</v>
      </c>
      <c r="D393" s="9">
        <f>IFERROR(VLOOKUP(B393, 'Duke 1'!A$3:$B$85,2, 0), 0)</f>
        <v>0</v>
      </c>
      <c r="E393" s="9">
        <f>IFERROR(VLOOKUP(B393, 'Duke 2'!A$3:$B$522,2, 0), 0)</f>
        <v>0</v>
      </c>
      <c r="F393" s="10">
        <f>IFERROR(VLOOKUP(B393, 'Duke 3'!A$3:$B998,2, 0), 0)</f>
        <v>0</v>
      </c>
      <c r="G393" s="10">
        <f>IFERROR(VLOOKUP(B393, 'Duke 4'!A$3:$B998,2, 0), 0)</f>
        <v>0</v>
      </c>
      <c r="H393" s="10">
        <f>IFERROR(VLOOKUP(B393, Proof!A$2:$B998,2, 0), 0)</f>
        <v>0</v>
      </c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</row>
    <row r="394">
      <c r="A394" s="1">
        <f t="shared" si="1"/>
        <v>393</v>
      </c>
      <c r="B394" s="7" t="s">
        <v>238</v>
      </c>
      <c r="C394" s="8">
        <f t="shared" si="2"/>
        <v>0</v>
      </c>
      <c r="D394" s="9">
        <f>IFERROR(VLOOKUP(B394, 'Duke 1'!A$3:$B$85,2, 0), 0)</f>
        <v>0</v>
      </c>
      <c r="E394" s="9">
        <f>IFERROR(VLOOKUP(B394, 'Duke 2'!A$3:$B$522,2, 0), 0)</f>
        <v>0</v>
      </c>
      <c r="F394" s="10">
        <f>IFERROR(VLOOKUP(B394, 'Duke 3'!A$3:$B998,2, 0), 0)</f>
        <v>0</v>
      </c>
      <c r="G394" s="10">
        <f>IFERROR(VLOOKUP(B394, 'Duke 4'!A$3:$B998,2, 0), 0)</f>
        <v>0</v>
      </c>
      <c r="H394" s="10">
        <f>IFERROR(VLOOKUP(B394, Proof!A$2:$B998,2, 0), 0)</f>
        <v>0</v>
      </c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</row>
    <row r="395">
      <c r="A395" s="1">
        <f t="shared" si="1"/>
        <v>394</v>
      </c>
      <c r="B395" s="7" t="s">
        <v>473</v>
      </c>
      <c r="C395" s="8">
        <f t="shared" si="2"/>
        <v>0</v>
      </c>
      <c r="D395" s="9">
        <f>IFERROR(VLOOKUP(B395, 'Duke 1'!A$3:$B$85,2, 0), 0)</f>
        <v>0</v>
      </c>
      <c r="E395" s="9">
        <f>IFERROR(VLOOKUP(B395, 'Duke 2'!A$3:$B$522,2, 0), 0)</f>
        <v>0</v>
      </c>
      <c r="F395" s="10">
        <f>IFERROR(VLOOKUP(B395, 'Duke 3'!A$3:$B998,2, 0), 0)</f>
        <v>0</v>
      </c>
      <c r="G395" s="10">
        <f>IFERROR(VLOOKUP(B395, 'Duke 4'!A$3:$B998,2, 0), 0)</f>
        <v>0</v>
      </c>
      <c r="H395" s="10">
        <f>IFERROR(VLOOKUP(B395, Proof!A$2:$B998,2, 0), 0)</f>
        <v>0</v>
      </c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</row>
    <row r="396">
      <c r="A396" s="1">
        <f t="shared" si="1"/>
        <v>395</v>
      </c>
      <c r="B396" s="7" t="s">
        <v>443</v>
      </c>
      <c r="C396" s="8">
        <f t="shared" si="2"/>
        <v>0</v>
      </c>
      <c r="D396" s="9">
        <f>IFERROR(VLOOKUP(B396, 'Duke 1'!A$3:$B$85,2, 0), 0)</f>
        <v>0</v>
      </c>
      <c r="E396" s="9">
        <f>IFERROR(VLOOKUP(B396, 'Duke 2'!A$3:$B$522,2, 0), 0)</f>
        <v>0</v>
      </c>
      <c r="F396" s="10">
        <f>IFERROR(VLOOKUP(B396, 'Duke 3'!A$3:$B998,2, 0), 0)</f>
        <v>0</v>
      </c>
      <c r="G396" s="10">
        <f>IFERROR(VLOOKUP(B396, 'Duke 4'!A$3:$B998,2, 0), 0)</f>
        <v>0</v>
      </c>
      <c r="H396" s="10">
        <f>IFERROR(VLOOKUP(B396, Proof!A$2:$B998,2, 0), 0)</f>
        <v>0</v>
      </c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</row>
    <row r="397">
      <c r="A397" s="1">
        <f t="shared" si="1"/>
        <v>396</v>
      </c>
      <c r="B397" s="7" t="s">
        <v>95</v>
      </c>
      <c r="C397" s="8">
        <f t="shared" si="2"/>
        <v>0</v>
      </c>
      <c r="D397" s="9">
        <f>IFERROR(VLOOKUP(B397, 'Duke 1'!A$3:$B$85,2, 0), 0)</f>
        <v>0</v>
      </c>
      <c r="E397" s="9">
        <f>IFERROR(VLOOKUP(B397, 'Duke 2'!A$3:$B$522,2, 0), 0)</f>
        <v>0</v>
      </c>
      <c r="F397" s="10">
        <f>IFERROR(VLOOKUP(B397, 'Duke 3'!A$3:$B998,2, 0), 0)</f>
        <v>0</v>
      </c>
      <c r="G397" s="10">
        <f>IFERROR(VLOOKUP(B397, 'Duke 4'!A$3:$B998,2, 0), 0)</f>
        <v>0</v>
      </c>
      <c r="H397" s="10">
        <f>IFERROR(VLOOKUP(B397, Proof!A$2:$B998,2, 0), 0)</f>
        <v>0</v>
      </c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</row>
    <row r="398">
      <c r="A398" s="1">
        <f t="shared" si="1"/>
        <v>397</v>
      </c>
      <c r="B398" s="7" t="s">
        <v>110</v>
      </c>
      <c r="C398" s="8">
        <f t="shared" si="2"/>
        <v>0</v>
      </c>
      <c r="D398" s="9">
        <f>IFERROR(VLOOKUP(B398, 'Duke 1'!A$3:$B$85,2, 0), 0)</f>
        <v>0</v>
      </c>
      <c r="E398" s="9">
        <f>IFERROR(VLOOKUP(B398, 'Duke 2'!A$3:$B$522,2, 0), 0)</f>
        <v>0</v>
      </c>
      <c r="F398" s="10">
        <f>IFERROR(VLOOKUP(B398, 'Duke 3'!A$3:$B998,2, 0), 0)</f>
        <v>0</v>
      </c>
      <c r="G398" s="10">
        <f>IFERROR(VLOOKUP(B398, 'Duke 4'!A$3:$B998,2, 0), 0)</f>
        <v>0</v>
      </c>
      <c r="H398" s="10">
        <f>IFERROR(VLOOKUP(B398, Proof!A$2:$B998,2, 0), 0)</f>
        <v>0</v>
      </c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</row>
    <row r="399">
      <c r="A399" s="1">
        <f t="shared" si="1"/>
        <v>398</v>
      </c>
      <c r="B399" s="7" t="s">
        <v>165</v>
      </c>
      <c r="C399" s="8">
        <f t="shared" si="2"/>
        <v>0</v>
      </c>
      <c r="D399" s="9">
        <f>IFERROR(VLOOKUP(B399, 'Duke 1'!A$3:$B$85,2, 0), 0)</f>
        <v>0</v>
      </c>
      <c r="E399" s="9">
        <f>IFERROR(VLOOKUP(B399, 'Duke 2'!A$3:$B$522,2, 0), 0)</f>
        <v>0</v>
      </c>
      <c r="F399" s="10">
        <f>IFERROR(VLOOKUP(B399, 'Duke 3'!A$3:$B998,2, 0), 0)</f>
        <v>0</v>
      </c>
      <c r="G399" s="10">
        <f>IFERROR(VLOOKUP(B399, 'Duke 4'!A$3:$B998,2, 0), 0)</f>
        <v>0</v>
      </c>
      <c r="H399" s="10">
        <f>IFERROR(VLOOKUP(B399, Proof!A$2:$B998,2, 0), 0)</f>
        <v>0</v>
      </c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</row>
    <row r="400">
      <c r="A400" s="1">
        <f t="shared" si="1"/>
        <v>399</v>
      </c>
      <c r="B400" s="7" t="s">
        <v>111</v>
      </c>
      <c r="C400" s="8">
        <f t="shared" si="2"/>
        <v>0</v>
      </c>
      <c r="D400" s="9">
        <f>IFERROR(VLOOKUP(B400, 'Duke 1'!A$3:$B$85,2, 0), 0)</f>
        <v>0</v>
      </c>
      <c r="E400" s="9">
        <f>IFERROR(VLOOKUP(B400, 'Duke 2'!A$3:$B$522,2, 0), 0)</f>
        <v>0</v>
      </c>
      <c r="F400" s="10">
        <f>IFERROR(VLOOKUP(B400, 'Duke 3'!A$3:$B998,2, 0), 0)</f>
        <v>0</v>
      </c>
      <c r="G400" s="10">
        <f>IFERROR(VLOOKUP(B400, 'Duke 4'!A$3:$B998,2, 0), 0)</f>
        <v>0</v>
      </c>
      <c r="H400" s="10">
        <f>IFERROR(VLOOKUP(B400, Proof!A$2:$B998,2, 0), 0)</f>
        <v>0</v>
      </c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</row>
    <row r="401">
      <c r="A401" s="1">
        <f t="shared" si="1"/>
        <v>400</v>
      </c>
      <c r="B401" s="7" t="s">
        <v>460</v>
      </c>
      <c r="C401" s="8">
        <f t="shared" si="2"/>
        <v>0</v>
      </c>
      <c r="D401" s="9">
        <f>IFERROR(VLOOKUP(B401, 'Duke 1'!A$3:$B$85,2, 0), 0)</f>
        <v>0</v>
      </c>
      <c r="E401" s="9">
        <f>IFERROR(VLOOKUP(B401, 'Duke 2'!A$3:$B$522,2, 0), 0)</f>
        <v>0</v>
      </c>
      <c r="F401" s="10">
        <f>IFERROR(VLOOKUP(B401, 'Duke 3'!A$3:$B998,2, 0), 0)</f>
        <v>0</v>
      </c>
      <c r="G401" s="10">
        <f>IFERROR(VLOOKUP(B401, 'Duke 4'!A$3:$B998,2, 0), 0)</f>
        <v>0</v>
      </c>
      <c r="H401" s="10">
        <f>IFERROR(VLOOKUP(B401, Proof!A$2:$B998,2, 0), 0)</f>
        <v>0</v>
      </c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</row>
    <row r="402">
      <c r="A402" s="1">
        <f t="shared" si="1"/>
        <v>401</v>
      </c>
      <c r="B402" s="7" t="s">
        <v>214</v>
      </c>
      <c r="C402" s="8">
        <f t="shared" si="2"/>
        <v>0</v>
      </c>
      <c r="D402" s="9">
        <f>IFERROR(VLOOKUP(B402, 'Duke 1'!A$3:$B$85,2, 0), 0)</f>
        <v>0</v>
      </c>
      <c r="E402" s="9">
        <f>IFERROR(VLOOKUP(B402, 'Duke 2'!A$3:$B$522,2, 0), 0)</f>
        <v>0</v>
      </c>
      <c r="F402" s="10">
        <f>IFERROR(VLOOKUP(B402, 'Duke 3'!A$3:$B998,2, 0), 0)</f>
        <v>0</v>
      </c>
      <c r="G402" s="10">
        <f>IFERROR(VLOOKUP(B402, 'Duke 4'!A$3:$B998,2, 0), 0)</f>
        <v>0</v>
      </c>
      <c r="H402" s="10">
        <f>IFERROR(VLOOKUP(B402, Proof!A$2:$B998,2, 0), 0)</f>
        <v>0</v>
      </c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</row>
    <row r="403">
      <c r="A403" s="1">
        <f t="shared" si="1"/>
        <v>402</v>
      </c>
      <c r="B403" s="7" t="s">
        <v>235</v>
      </c>
      <c r="C403" s="8">
        <f t="shared" si="2"/>
        <v>0</v>
      </c>
      <c r="D403" s="9">
        <f>IFERROR(VLOOKUP(B403, 'Duke 1'!A$3:$B$85,2, 0), 0)</f>
        <v>0</v>
      </c>
      <c r="E403" s="9">
        <f>IFERROR(VLOOKUP(B403, 'Duke 2'!A$3:$B$522,2, 0), 0)</f>
        <v>0</v>
      </c>
      <c r="F403" s="10">
        <f>IFERROR(VLOOKUP(B403, 'Duke 3'!A$3:$B998,2, 0), 0)</f>
        <v>0</v>
      </c>
      <c r="G403" s="10">
        <f>IFERROR(VLOOKUP(B403, 'Duke 4'!A$3:$B998,2, 0), 0)</f>
        <v>0</v>
      </c>
      <c r="H403" s="10">
        <f>IFERROR(VLOOKUP(B403, Proof!A$2:$B998,2, 0), 0)</f>
        <v>0</v>
      </c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</row>
    <row r="404">
      <c r="A404" s="1">
        <f t="shared" si="1"/>
        <v>403</v>
      </c>
      <c r="B404" s="7" t="s">
        <v>188</v>
      </c>
      <c r="C404" s="8">
        <f t="shared" si="2"/>
        <v>0</v>
      </c>
      <c r="D404" s="9">
        <f>IFERROR(VLOOKUP(B404, 'Duke 1'!A$3:$B$85,2, 0), 0)</f>
        <v>0</v>
      </c>
      <c r="E404" s="9">
        <f>IFERROR(VLOOKUP(B404, 'Duke 2'!A$3:$B$522,2, 0), 0)</f>
        <v>0</v>
      </c>
      <c r="F404" s="10">
        <f>IFERROR(VLOOKUP(B404, 'Duke 3'!A$3:$B998,2, 0), 0)</f>
        <v>0</v>
      </c>
      <c r="G404" s="10">
        <f>IFERROR(VLOOKUP(B404, 'Duke 4'!A$3:$B998,2, 0), 0)</f>
        <v>0</v>
      </c>
      <c r="H404" s="10">
        <f>IFERROR(VLOOKUP(B404, Proof!A$2:$B998,2, 0), 0)</f>
        <v>0</v>
      </c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</row>
    <row r="405">
      <c r="A405" s="1">
        <f t="shared" si="1"/>
        <v>404</v>
      </c>
      <c r="B405" s="7" t="s">
        <v>432</v>
      </c>
      <c r="C405" s="8">
        <f t="shared" si="2"/>
        <v>0</v>
      </c>
      <c r="D405" s="9">
        <f>IFERROR(VLOOKUP(B405, 'Duke 1'!A$3:$B$85,2, 0), 0)</f>
        <v>0</v>
      </c>
      <c r="E405" s="9">
        <f>IFERROR(VLOOKUP(B405, 'Duke 2'!A$3:$B$522,2, 0), 0)</f>
        <v>0</v>
      </c>
      <c r="F405" s="10">
        <f>IFERROR(VLOOKUP(B405, 'Duke 3'!A$3:$B998,2, 0), 0)</f>
        <v>0</v>
      </c>
      <c r="G405" s="10">
        <f>IFERROR(VLOOKUP(B405, 'Duke 4'!A$3:$B998,2, 0), 0)</f>
        <v>0</v>
      </c>
      <c r="H405" s="10">
        <f>IFERROR(VLOOKUP(B405, Proof!A$2:$B998,2, 0), 0)</f>
        <v>0</v>
      </c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</row>
    <row r="406">
      <c r="A406" s="1">
        <f t="shared" si="1"/>
        <v>405</v>
      </c>
      <c r="B406" s="7" t="s">
        <v>467</v>
      </c>
      <c r="C406" s="8">
        <f t="shared" si="2"/>
        <v>0</v>
      </c>
      <c r="D406" s="9">
        <f>IFERROR(VLOOKUP(B406, 'Duke 1'!A$3:$B$85,2, 0), 0)</f>
        <v>0</v>
      </c>
      <c r="E406" s="9">
        <f>IFERROR(VLOOKUP(B406, 'Duke 2'!A$3:$B$522,2, 0), 0)</f>
        <v>0</v>
      </c>
      <c r="F406" s="10">
        <f>IFERROR(VLOOKUP(B406, 'Duke 3'!A$3:$B998,2, 0), 0)</f>
        <v>0</v>
      </c>
      <c r="G406" s="10">
        <f>IFERROR(VLOOKUP(B406, 'Duke 4'!A$3:$B998,2, 0), 0)</f>
        <v>0</v>
      </c>
      <c r="H406" s="10">
        <f>IFERROR(VLOOKUP(B406, Proof!A$2:$B998,2, 0), 0)</f>
        <v>0</v>
      </c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</row>
    <row r="407">
      <c r="A407" s="1">
        <f t="shared" si="1"/>
        <v>406</v>
      </c>
      <c r="B407" s="7" t="s">
        <v>449</v>
      </c>
      <c r="C407" s="8">
        <f t="shared" si="2"/>
        <v>0</v>
      </c>
      <c r="D407" s="9">
        <f>IFERROR(VLOOKUP(B407, 'Duke 1'!A$3:$B$85,2, 0), 0)</f>
        <v>0</v>
      </c>
      <c r="E407" s="9">
        <f>IFERROR(VLOOKUP(B407, 'Duke 2'!A$3:$B$522,2, 0), 0)</f>
        <v>0</v>
      </c>
      <c r="F407" s="10">
        <f>IFERROR(VLOOKUP(B407, 'Duke 3'!A$3:$B998,2, 0), 0)</f>
        <v>0</v>
      </c>
      <c r="G407" s="10">
        <f>IFERROR(VLOOKUP(B407, 'Duke 4'!A$3:$B998,2, 0), 0)</f>
        <v>0</v>
      </c>
      <c r="H407" s="10">
        <f>IFERROR(VLOOKUP(B407, Proof!A$2:$B998,2, 0), 0)</f>
        <v>0</v>
      </c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</row>
    <row r="408">
      <c r="A408" s="1">
        <f t="shared" si="1"/>
        <v>407</v>
      </c>
      <c r="B408" s="7" t="s">
        <v>471</v>
      </c>
      <c r="C408" s="8">
        <f t="shared" si="2"/>
        <v>0</v>
      </c>
      <c r="D408" s="9">
        <f>IFERROR(VLOOKUP(B408, 'Duke 1'!A$3:$B$85,2, 0), 0)</f>
        <v>0</v>
      </c>
      <c r="E408" s="9">
        <f>IFERROR(VLOOKUP(B408, 'Duke 2'!A$3:$B$522,2, 0), 0)</f>
        <v>0</v>
      </c>
      <c r="F408" s="10">
        <f>IFERROR(VLOOKUP(B408, 'Duke 3'!A$3:$B998,2, 0), 0)</f>
        <v>0</v>
      </c>
      <c r="G408" s="10">
        <f>IFERROR(VLOOKUP(B408, 'Duke 4'!A$3:$B998,2, 0), 0)</f>
        <v>0</v>
      </c>
      <c r="H408" s="10">
        <f>IFERROR(VLOOKUP(B408, Proof!A$2:$B998,2, 0), 0)</f>
        <v>0</v>
      </c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</row>
    <row r="409">
      <c r="A409" s="1">
        <f t="shared" si="1"/>
        <v>408</v>
      </c>
      <c r="B409" s="7" t="s">
        <v>453</v>
      </c>
      <c r="C409" s="8">
        <f t="shared" si="2"/>
        <v>0</v>
      </c>
      <c r="D409" s="9">
        <f>IFERROR(VLOOKUP(B409, 'Duke 1'!A$3:$B$85,2, 0), 0)</f>
        <v>0</v>
      </c>
      <c r="E409" s="9">
        <f>IFERROR(VLOOKUP(B409, 'Duke 2'!A$3:$B$522,2, 0), 0)</f>
        <v>0</v>
      </c>
      <c r="F409" s="10">
        <f>IFERROR(VLOOKUP(B409, 'Duke 3'!A$3:$B998,2, 0), 0)</f>
        <v>0</v>
      </c>
      <c r="G409" s="10">
        <f>IFERROR(VLOOKUP(B409, 'Duke 4'!A$3:$B998,2, 0), 0)</f>
        <v>0</v>
      </c>
      <c r="H409" s="10">
        <f>IFERROR(VLOOKUP(B409, Proof!A$2:$B998,2, 0), 0)</f>
        <v>0</v>
      </c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</row>
    <row r="410">
      <c r="A410" s="1">
        <f t="shared" si="1"/>
        <v>409</v>
      </c>
      <c r="B410" s="7" t="s">
        <v>476</v>
      </c>
      <c r="C410" s="8">
        <f t="shared" si="2"/>
        <v>0</v>
      </c>
      <c r="D410" s="9">
        <f>IFERROR(VLOOKUP(B410, 'Duke 1'!A$3:$B$85,2, 0), 0)</f>
        <v>0</v>
      </c>
      <c r="E410" s="9">
        <f>IFERROR(VLOOKUP(B410, 'Duke 2'!A$3:$B$522,2, 0), 0)</f>
        <v>0</v>
      </c>
      <c r="F410" s="10">
        <f>IFERROR(VLOOKUP(B410, 'Duke 3'!A$3:$B998,2, 0), 0)</f>
        <v>0</v>
      </c>
      <c r="G410" s="10">
        <f>IFERROR(VLOOKUP(B410, 'Duke 4'!A$3:$B998,2, 0), 0)</f>
        <v>0</v>
      </c>
      <c r="H410" s="10">
        <f>IFERROR(VLOOKUP(B410, Proof!A$2:$B998,2, 0), 0)</f>
        <v>0</v>
      </c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</row>
    <row r="411">
      <c r="A411" s="1">
        <f t="shared" si="1"/>
        <v>410</v>
      </c>
      <c r="B411" s="7" t="s">
        <v>236</v>
      </c>
      <c r="C411" s="8">
        <f t="shared" si="2"/>
        <v>0</v>
      </c>
      <c r="D411" s="9">
        <f>IFERROR(VLOOKUP(B411, 'Duke 1'!A$3:$B$85,2, 0), 0)</f>
        <v>0</v>
      </c>
      <c r="E411" s="9">
        <f>IFERROR(VLOOKUP(B411, 'Duke 2'!A$3:$B$522,2, 0), 0)</f>
        <v>0</v>
      </c>
      <c r="F411" s="10">
        <f>IFERROR(VLOOKUP(B411, 'Duke 3'!A$3:$B998,2, 0), 0)</f>
        <v>0</v>
      </c>
      <c r="G411" s="10">
        <f>IFERROR(VLOOKUP(B411, 'Duke 4'!A$3:$B998,2, 0), 0)</f>
        <v>0</v>
      </c>
      <c r="H411" s="10">
        <f>IFERROR(VLOOKUP(B411, Proof!A$2:$B998,2, 0), 0)</f>
        <v>0</v>
      </c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</row>
    <row r="412">
      <c r="A412" s="1">
        <f t="shared" si="1"/>
        <v>411</v>
      </c>
      <c r="B412" s="7" t="s">
        <v>259</v>
      </c>
      <c r="C412" s="8">
        <f t="shared" si="2"/>
        <v>0</v>
      </c>
      <c r="D412" s="9">
        <f>IFERROR(VLOOKUP(B412, 'Duke 1'!A$3:$B$85,2, 0), 0)</f>
        <v>0</v>
      </c>
      <c r="E412" s="9">
        <f>IFERROR(VLOOKUP(B412, 'Duke 2'!A$3:$B$522,2, 0), 0)</f>
        <v>0</v>
      </c>
      <c r="F412" s="10">
        <f>IFERROR(VLOOKUP(B412, 'Duke 3'!A$3:$B998,2, 0), 0)</f>
        <v>0</v>
      </c>
      <c r="G412" s="10">
        <f>IFERROR(VLOOKUP(B412, 'Duke 4'!A$3:$B998,2, 0), 0)</f>
        <v>0</v>
      </c>
      <c r="H412" s="10">
        <f>IFERROR(VLOOKUP(B412, Proof!A$2:$B998,2, 0), 0)</f>
        <v>0</v>
      </c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</row>
    <row r="413">
      <c r="A413" s="1">
        <f t="shared" si="1"/>
        <v>412</v>
      </c>
      <c r="B413" s="7" t="s">
        <v>233</v>
      </c>
      <c r="C413" s="8">
        <f t="shared" si="2"/>
        <v>0</v>
      </c>
      <c r="D413" s="9">
        <f>IFERROR(VLOOKUP(B413, 'Duke 1'!A$3:$B$85,2, 0), 0)</f>
        <v>0</v>
      </c>
      <c r="E413" s="9">
        <f>IFERROR(VLOOKUP(B413, 'Duke 2'!A$3:$B$522,2, 0), 0)</f>
        <v>0</v>
      </c>
      <c r="F413" s="10">
        <f>IFERROR(VLOOKUP(B413, 'Duke 3'!A$3:$B998,2, 0), 0)</f>
        <v>0</v>
      </c>
      <c r="G413" s="10">
        <f>IFERROR(VLOOKUP(B413, 'Duke 4'!A$3:$B998,2, 0), 0)</f>
        <v>0</v>
      </c>
      <c r="H413" s="10">
        <f>IFERROR(VLOOKUP(B413, Proof!A$2:$B998,2, 0), 0)</f>
        <v>0</v>
      </c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</row>
    <row r="414">
      <c r="A414" s="1">
        <f t="shared" si="1"/>
        <v>413</v>
      </c>
      <c r="B414" s="7" t="s">
        <v>230</v>
      </c>
      <c r="C414" s="8">
        <f t="shared" si="2"/>
        <v>0</v>
      </c>
      <c r="D414" s="9">
        <f>IFERROR(VLOOKUP(B414, 'Duke 1'!A$3:$B$85,2, 0), 0)</f>
        <v>0</v>
      </c>
      <c r="E414" s="9">
        <f>IFERROR(VLOOKUP(B414, 'Duke 2'!A$3:$B$522,2, 0), 0)</f>
        <v>0</v>
      </c>
      <c r="F414" s="10">
        <f>IFERROR(VLOOKUP(B414, 'Duke 3'!A$3:$B998,2, 0), 0)</f>
        <v>0</v>
      </c>
      <c r="G414" s="10">
        <f>IFERROR(VLOOKUP(B414, 'Duke 4'!A$3:$B998,2, 0), 0)</f>
        <v>0</v>
      </c>
      <c r="H414" s="10">
        <f>IFERROR(VLOOKUP(B414, Proof!A$2:$B998,2, 0), 0)</f>
        <v>0</v>
      </c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</row>
    <row r="415">
      <c r="A415" s="1">
        <f t="shared" si="1"/>
        <v>414</v>
      </c>
      <c r="B415" s="7" t="s">
        <v>119</v>
      </c>
      <c r="C415" s="8">
        <f t="shared" si="2"/>
        <v>0</v>
      </c>
      <c r="D415" s="9">
        <f>IFERROR(VLOOKUP(B415, 'Duke 1'!A$3:$B$85,2, 0), 0)</f>
        <v>0</v>
      </c>
      <c r="E415" s="9">
        <f>IFERROR(VLOOKUP(B415, 'Duke 2'!A$3:$B$522,2, 0), 0)</f>
        <v>0</v>
      </c>
      <c r="F415" s="10">
        <f>IFERROR(VLOOKUP(B415, 'Duke 3'!A$3:$B998,2, 0), 0)</f>
        <v>0</v>
      </c>
      <c r="G415" s="10">
        <f>IFERROR(VLOOKUP(B415, 'Duke 4'!A$3:$B998,2, 0), 0)</f>
        <v>0</v>
      </c>
      <c r="H415" s="10">
        <f>IFERROR(VLOOKUP(B415, Proof!A$2:$B998,2, 0), 0)</f>
        <v>0</v>
      </c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</row>
    <row r="416">
      <c r="A416" s="1">
        <f t="shared" si="1"/>
        <v>415</v>
      </c>
      <c r="B416" s="7" t="s">
        <v>210</v>
      </c>
      <c r="C416" s="8">
        <f t="shared" si="2"/>
        <v>0</v>
      </c>
      <c r="D416" s="9">
        <f>IFERROR(VLOOKUP(B416, 'Duke 1'!A$3:$B$85,2, 0), 0)</f>
        <v>0</v>
      </c>
      <c r="E416" s="9">
        <f>IFERROR(VLOOKUP(B416, 'Duke 2'!A$3:$B$522,2, 0), 0)</f>
        <v>0</v>
      </c>
      <c r="F416" s="10">
        <f>IFERROR(VLOOKUP(B416, 'Duke 3'!A$3:$B998,2, 0), 0)</f>
        <v>0</v>
      </c>
      <c r="G416" s="10">
        <f>IFERROR(VLOOKUP(B416, 'Duke 4'!A$3:$B998,2, 0), 0)</f>
        <v>0</v>
      </c>
      <c r="H416" s="10">
        <f>IFERROR(VLOOKUP(B416, Proof!A$2:$B998,2, 0), 0)</f>
        <v>0</v>
      </c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</row>
    <row r="417">
      <c r="A417" s="1">
        <f t="shared" si="1"/>
        <v>416</v>
      </c>
      <c r="B417" s="7" t="s">
        <v>105</v>
      </c>
      <c r="C417" s="8">
        <f t="shared" si="2"/>
        <v>0</v>
      </c>
      <c r="D417" s="9">
        <f>IFERROR(VLOOKUP(B417, 'Duke 1'!A$3:$B$85,2, 0), 0)</f>
        <v>0</v>
      </c>
      <c r="E417" s="9">
        <f>IFERROR(VLOOKUP(B417, 'Duke 2'!A$3:$B$522,2, 0), 0)</f>
        <v>0</v>
      </c>
      <c r="F417" s="10">
        <f>IFERROR(VLOOKUP(B417, 'Duke 3'!A$3:$B998,2, 0), 0)</f>
        <v>0</v>
      </c>
      <c r="G417" s="10">
        <f>IFERROR(VLOOKUP(B417, 'Duke 4'!A$3:$B998,2, 0), 0)</f>
        <v>0</v>
      </c>
      <c r="H417" s="10">
        <f>IFERROR(VLOOKUP(B417, Proof!A$2:$B998,2, 0), 0)</f>
        <v>0</v>
      </c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</row>
    <row r="418">
      <c r="A418" s="1">
        <f t="shared" si="1"/>
        <v>417</v>
      </c>
      <c r="B418" s="7" t="s">
        <v>470</v>
      </c>
      <c r="C418" s="8">
        <f t="shared" si="2"/>
        <v>0</v>
      </c>
      <c r="D418" s="9">
        <f>IFERROR(VLOOKUP(B418, 'Duke 1'!A$3:$B$85,2, 0), 0)</f>
        <v>0</v>
      </c>
      <c r="E418" s="9">
        <f>IFERROR(VLOOKUP(B418, 'Duke 2'!A$3:$B$522,2, 0), 0)</f>
        <v>0</v>
      </c>
      <c r="F418" s="10">
        <f>IFERROR(VLOOKUP(B418, 'Duke 3'!A$3:$B998,2, 0), 0)</f>
        <v>0</v>
      </c>
      <c r="G418" s="10">
        <f>IFERROR(VLOOKUP(B418, 'Duke 4'!A$3:$B998,2, 0), 0)</f>
        <v>0</v>
      </c>
      <c r="H418" s="10">
        <f>IFERROR(VLOOKUP(B418, Proof!A$2:$B998,2, 0), 0)</f>
        <v>0</v>
      </c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</row>
    <row r="419">
      <c r="A419" s="1">
        <f t="shared" si="1"/>
        <v>418</v>
      </c>
      <c r="B419" s="7" t="s">
        <v>108</v>
      </c>
      <c r="C419" s="8">
        <f t="shared" si="2"/>
        <v>0</v>
      </c>
      <c r="D419" s="9">
        <f>IFERROR(VLOOKUP(B419, 'Duke 1'!A$3:$B$85,2, 0), 0)</f>
        <v>0</v>
      </c>
      <c r="E419" s="9">
        <f>IFERROR(VLOOKUP(B419, 'Duke 2'!A$3:$B$522,2, 0), 0)</f>
        <v>0</v>
      </c>
      <c r="F419" s="10">
        <f>IFERROR(VLOOKUP(B419, 'Duke 3'!A$3:$B998,2, 0), 0)</f>
        <v>0</v>
      </c>
      <c r="G419" s="10">
        <f>IFERROR(VLOOKUP(B419, 'Duke 4'!A$3:$B998,2, 0), 0)</f>
        <v>0</v>
      </c>
      <c r="H419" s="10">
        <f>IFERROR(VLOOKUP(B419, Proof!A$2:$B998,2, 0), 0)</f>
        <v>0</v>
      </c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</row>
    <row r="420">
      <c r="A420" s="1">
        <f t="shared" si="1"/>
        <v>419</v>
      </c>
      <c r="B420" s="7" t="s">
        <v>101</v>
      </c>
      <c r="C420" s="8">
        <f t="shared" si="2"/>
        <v>0</v>
      </c>
      <c r="D420" s="9">
        <f>IFERROR(VLOOKUP(B420, 'Duke 1'!A$3:$B$85,2, 0), 0)</f>
        <v>0</v>
      </c>
      <c r="E420" s="9">
        <f>IFERROR(VLOOKUP(B420, 'Duke 2'!A$3:$B$522,2, 0), 0)</f>
        <v>0</v>
      </c>
      <c r="F420" s="10">
        <f>IFERROR(VLOOKUP(B420, 'Duke 3'!A$3:$B998,2, 0), 0)</f>
        <v>0</v>
      </c>
      <c r="G420" s="10">
        <f>IFERROR(VLOOKUP(B420, 'Duke 4'!A$3:$B998,2, 0), 0)</f>
        <v>0</v>
      </c>
      <c r="H420" s="10">
        <f>IFERROR(VLOOKUP(B420, Proof!A$2:$B998,2, 0), 0)</f>
        <v>0</v>
      </c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</row>
    <row r="421">
      <c r="A421" s="1">
        <f t="shared" si="1"/>
        <v>420</v>
      </c>
      <c r="B421" s="7" t="s">
        <v>137</v>
      </c>
      <c r="C421" s="8">
        <f t="shared" si="2"/>
        <v>0</v>
      </c>
      <c r="D421" s="9">
        <f>IFERROR(VLOOKUP(B421, 'Duke 1'!A$3:$B$85,2, 0), 0)</f>
        <v>0</v>
      </c>
      <c r="E421" s="9">
        <f>IFERROR(VLOOKUP(B421, 'Duke 2'!A$3:$B$522,2, 0), 0)</f>
        <v>0</v>
      </c>
      <c r="F421" s="10">
        <f>IFERROR(VLOOKUP(B421, 'Duke 3'!A$3:$B998,2, 0), 0)</f>
        <v>0</v>
      </c>
      <c r="G421" s="10">
        <f>IFERROR(VLOOKUP(B421, 'Duke 4'!A$3:$B998,2, 0), 0)</f>
        <v>0</v>
      </c>
      <c r="H421" s="10">
        <f>IFERROR(VLOOKUP(B421, Proof!A$2:$B998,2, 0), 0)</f>
        <v>0</v>
      </c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</row>
    <row r="422">
      <c r="A422" s="1">
        <f t="shared" si="1"/>
        <v>421</v>
      </c>
      <c r="B422" s="7" t="s">
        <v>437</v>
      </c>
      <c r="C422" s="8">
        <f t="shared" si="2"/>
        <v>0</v>
      </c>
      <c r="D422" s="9">
        <f>IFERROR(VLOOKUP(B422, 'Duke 1'!A$3:$B$85,2, 0), 0)</f>
        <v>0</v>
      </c>
      <c r="E422" s="9">
        <f>IFERROR(VLOOKUP(B422, 'Duke 2'!A$3:$B$522,2, 0), 0)</f>
        <v>0</v>
      </c>
      <c r="F422" s="10">
        <f>IFERROR(VLOOKUP(B422, 'Duke 3'!A$3:$B998,2, 0), 0)</f>
        <v>0</v>
      </c>
      <c r="G422" s="10">
        <f>IFERROR(VLOOKUP(B422, 'Duke 4'!A$3:$B998,2, 0), 0)</f>
        <v>0</v>
      </c>
      <c r="H422" s="10">
        <f>IFERROR(VLOOKUP(B422, Proof!A$2:$B998,2, 0), 0)</f>
        <v>0</v>
      </c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</row>
    <row r="423">
      <c r="A423" s="1">
        <f t="shared" si="1"/>
        <v>422</v>
      </c>
      <c r="B423" s="7" t="s">
        <v>488</v>
      </c>
      <c r="C423" s="8">
        <f t="shared" si="2"/>
        <v>0</v>
      </c>
      <c r="D423" s="9">
        <f>IFERROR(VLOOKUP(B423, 'Duke 1'!A$3:$B$85,2, 0), 0)</f>
        <v>0</v>
      </c>
      <c r="E423" s="9">
        <f>IFERROR(VLOOKUP(B423, 'Duke 2'!A$3:$B$522,2, 0), 0)</f>
        <v>0</v>
      </c>
      <c r="F423" s="10">
        <f>IFERROR(VLOOKUP(B423, 'Duke 3'!A$3:$B998,2, 0), 0)</f>
        <v>0</v>
      </c>
      <c r="G423" s="10">
        <f>IFERROR(VLOOKUP(B423, 'Duke 4'!A$3:$B998,2, 0), 0)</f>
        <v>0</v>
      </c>
      <c r="H423" s="10">
        <f>IFERROR(VLOOKUP(B423, Proof!A$2:$B998,2, 0), 0)</f>
        <v>0</v>
      </c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</row>
    <row r="424">
      <c r="A424" s="1">
        <f t="shared" si="1"/>
        <v>423</v>
      </c>
      <c r="B424" s="7" t="s">
        <v>483</v>
      </c>
      <c r="C424" s="8">
        <f t="shared" si="2"/>
        <v>0</v>
      </c>
      <c r="D424" s="9">
        <f>IFERROR(VLOOKUP(B424, 'Duke 1'!A$3:$B$85,2, 0), 0)</f>
        <v>0</v>
      </c>
      <c r="E424" s="9">
        <f>IFERROR(VLOOKUP(B424, 'Duke 2'!A$3:$B$522,2, 0), 0)</f>
        <v>0</v>
      </c>
      <c r="F424" s="10">
        <f>IFERROR(VLOOKUP(B424, 'Duke 3'!A$3:$B998,2, 0), 0)</f>
        <v>0</v>
      </c>
      <c r="G424" s="10">
        <f>IFERROR(VLOOKUP(B424, 'Duke 4'!A$3:$B998,2, 0), 0)</f>
        <v>0</v>
      </c>
      <c r="H424" s="10">
        <f>IFERROR(VLOOKUP(B424, Proof!A$2:$B998,2, 0), 0)</f>
        <v>0</v>
      </c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</row>
    <row r="425">
      <c r="A425" s="1">
        <f t="shared" si="1"/>
        <v>424</v>
      </c>
      <c r="B425" s="7" t="s">
        <v>436</v>
      </c>
      <c r="C425" s="8">
        <f t="shared" si="2"/>
        <v>0</v>
      </c>
      <c r="D425" s="9">
        <f>IFERROR(VLOOKUP(B425, 'Duke 1'!A$3:$B$85,2, 0), 0)</f>
        <v>0</v>
      </c>
      <c r="E425" s="9">
        <f>IFERROR(VLOOKUP(B425, 'Duke 2'!A$3:$B$522,2, 0), 0)</f>
        <v>0</v>
      </c>
      <c r="F425" s="10">
        <f>IFERROR(VLOOKUP(B425, 'Duke 3'!A$3:$B998,2, 0), 0)</f>
        <v>0</v>
      </c>
      <c r="G425" s="10">
        <f>IFERROR(VLOOKUP(B425, 'Duke 4'!A$3:$B998,2, 0), 0)</f>
        <v>0</v>
      </c>
      <c r="H425" s="10">
        <f>IFERROR(VLOOKUP(B425, Proof!A$2:$B998,2, 0), 0)</f>
        <v>0</v>
      </c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</row>
    <row r="426">
      <c r="A426" s="1">
        <f t="shared" si="1"/>
        <v>425</v>
      </c>
      <c r="B426" s="7" t="s">
        <v>118</v>
      </c>
      <c r="C426" s="8">
        <f t="shared" si="2"/>
        <v>0</v>
      </c>
      <c r="D426" s="9">
        <f>IFERROR(VLOOKUP(B426, 'Duke 1'!A$3:$B$85,2, 0), 0)</f>
        <v>0</v>
      </c>
      <c r="E426" s="9">
        <f>IFERROR(VLOOKUP(B426, 'Duke 2'!A$3:$B$522,2, 0), 0)</f>
        <v>0</v>
      </c>
      <c r="F426" s="10">
        <f>IFERROR(VLOOKUP(B426, 'Duke 3'!A$3:$B998,2, 0), 0)</f>
        <v>0</v>
      </c>
      <c r="G426" s="10">
        <f>IFERROR(VLOOKUP(B426, 'Duke 4'!A$3:$B998,2, 0), 0)</f>
        <v>0</v>
      </c>
      <c r="H426" s="10">
        <f>IFERROR(VLOOKUP(B426, Proof!A$2:$B998,2, 0), 0)</f>
        <v>0</v>
      </c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</row>
    <row r="427">
      <c r="A427" s="1">
        <f t="shared" si="1"/>
        <v>426</v>
      </c>
      <c r="B427" s="7" t="s">
        <v>456</v>
      </c>
      <c r="C427" s="8">
        <f t="shared" si="2"/>
        <v>0</v>
      </c>
      <c r="D427" s="9">
        <f>IFERROR(VLOOKUP(B427, 'Duke 1'!A$3:$B$85,2, 0), 0)</f>
        <v>0</v>
      </c>
      <c r="E427" s="9">
        <f>IFERROR(VLOOKUP(B427, 'Duke 2'!A$3:$B$522,2, 0), 0)</f>
        <v>0</v>
      </c>
      <c r="F427" s="10">
        <f>IFERROR(VLOOKUP(B427, 'Duke 3'!A$3:$B998,2, 0), 0)</f>
        <v>0</v>
      </c>
      <c r="G427" s="10">
        <f>IFERROR(VLOOKUP(B427, 'Duke 4'!A$3:$B998,2, 0), 0)</f>
        <v>0</v>
      </c>
      <c r="H427" s="10">
        <f>IFERROR(VLOOKUP(B427, Proof!A$2:$B998,2, 0), 0)</f>
        <v>0</v>
      </c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</row>
    <row r="428">
      <c r="A428" s="1">
        <f t="shared" si="1"/>
        <v>427</v>
      </c>
      <c r="B428" s="7" t="s">
        <v>451</v>
      </c>
      <c r="C428" s="8">
        <f t="shared" si="2"/>
        <v>0</v>
      </c>
      <c r="D428" s="9">
        <f>IFERROR(VLOOKUP(B428, 'Duke 1'!A$3:$B$85,2, 0), 0)</f>
        <v>0</v>
      </c>
      <c r="E428" s="9">
        <f>IFERROR(VLOOKUP(B428, 'Duke 2'!A$3:$B$522,2, 0), 0)</f>
        <v>0</v>
      </c>
      <c r="F428" s="10">
        <f>IFERROR(VLOOKUP(B428, 'Duke 3'!A$3:$B998,2, 0), 0)</f>
        <v>0</v>
      </c>
      <c r="G428" s="10">
        <f>IFERROR(VLOOKUP(B428, 'Duke 4'!A$3:$B998,2, 0), 0)</f>
        <v>0</v>
      </c>
      <c r="H428" s="10">
        <f>IFERROR(VLOOKUP(B428, Proof!A$2:$B998,2, 0), 0)</f>
        <v>0</v>
      </c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</row>
    <row r="429">
      <c r="A429" s="1">
        <f t="shared" si="1"/>
        <v>428</v>
      </c>
      <c r="B429" s="7" t="s">
        <v>253</v>
      </c>
      <c r="C429" s="8">
        <f t="shared" si="2"/>
        <v>0</v>
      </c>
      <c r="D429" s="9">
        <f>IFERROR(VLOOKUP(B429, 'Duke 1'!A$3:$B$85,2, 0), 0)</f>
        <v>0</v>
      </c>
      <c r="E429" s="9">
        <f>IFERROR(VLOOKUP(B429, 'Duke 2'!A$3:$B$522,2, 0), 0)</f>
        <v>0</v>
      </c>
      <c r="F429" s="10">
        <f>IFERROR(VLOOKUP(B429, 'Duke 3'!A$3:$B998,2, 0), 0)</f>
        <v>0</v>
      </c>
      <c r="G429" s="10">
        <f>IFERROR(VLOOKUP(B429, 'Duke 4'!A$3:$B998,2, 0), 0)</f>
        <v>0</v>
      </c>
      <c r="H429" s="10">
        <f>IFERROR(VLOOKUP(B429, Proof!A$2:$B998,2, 0), 0)</f>
        <v>0</v>
      </c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</row>
    <row r="430">
      <c r="A430" s="1">
        <f t="shared" si="1"/>
        <v>429</v>
      </c>
      <c r="B430" s="7" t="s">
        <v>491</v>
      </c>
      <c r="C430" s="8">
        <f t="shared" si="2"/>
        <v>0</v>
      </c>
      <c r="D430" s="9">
        <f>IFERROR(VLOOKUP(B430, 'Duke 1'!A$3:$B$85,2, 0), 0)</f>
        <v>0</v>
      </c>
      <c r="E430" s="9">
        <f>IFERROR(VLOOKUP(B430, 'Duke 2'!A$3:$B$522,2, 0), 0)</f>
        <v>0</v>
      </c>
      <c r="F430" s="10">
        <f>IFERROR(VLOOKUP(B430, 'Duke 3'!A$3:$B998,2, 0), 0)</f>
        <v>0</v>
      </c>
      <c r="G430" s="10">
        <f>IFERROR(VLOOKUP(B430, 'Duke 4'!A$3:$B998,2, 0), 0)</f>
        <v>0</v>
      </c>
      <c r="H430" s="10">
        <f>IFERROR(VLOOKUP(B430, Proof!A$2:$B998,2, 0), 0)</f>
        <v>0</v>
      </c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</row>
    <row r="431">
      <c r="A431" s="1">
        <f t="shared" si="1"/>
        <v>430</v>
      </c>
      <c r="B431" s="7" t="s">
        <v>464</v>
      </c>
      <c r="C431" s="8">
        <f t="shared" si="2"/>
        <v>0</v>
      </c>
      <c r="D431" s="9">
        <f>IFERROR(VLOOKUP(B431, 'Duke 1'!A$3:$B$85,2, 0), 0)</f>
        <v>0</v>
      </c>
      <c r="E431" s="9">
        <f>IFERROR(VLOOKUP(B431, 'Duke 2'!A$3:$B$522,2, 0), 0)</f>
        <v>0</v>
      </c>
      <c r="F431" s="10">
        <f>IFERROR(VLOOKUP(B431, 'Duke 3'!A$3:$B998,2, 0), 0)</f>
        <v>0</v>
      </c>
      <c r="G431" s="10">
        <f>IFERROR(VLOOKUP(B431, 'Duke 4'!A$3:$B998,2, 0), 0)</f>
        <v>0</v>
      </c>
      <c r="H431" s="10">
        <f>IFERROR(VLOOKUP(B431, Proof!A$2:$B998,2, 0), 0)</f>
        <v>0</v>
      </c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</row>
    <row r="432">
      <c r="A432" s="1">
        <f t="shared" si="1"/>
        <v>431</v>
      </c>
      <c r="B432" s="7" t="s">
        <v>135</v>
      </c>
      <c r="C432" s="8">
        <f t="shared" si="2"/>
        <v>0</v>
      </c>
      <c r="D432" s="9">
        <f>IFERROR(VLOOKUP(B432, 'Duke 1'!A$3:$B$85,2, 0), 0)</f>
        <v>0</v>
      </c>
      <c r="E432" s="9">
        <f>IFERROR(VLOOKUP(B432, 'Duke 2'!A$3:$B$522,2, 0), 0)</f>
        <v>0</v>
      </c>
      <c r="F432" s="10">
        <f>IFERROR(VLOOKUP(B432, 'Duke 3'!A$3:$B998,2, 0), 0)</f>
        <v>0</v>
      </c>
      <c r="G432" s="10">
        <f>IFERROR(VLOOKUP(B432, 'Duke 4'!A$3:$B998,2, 0), 0)</f>
        <v>0</v>
      </c>
      <c r="H432" s="10">
        <f>IFERROR(VLOOKUP(B432, Proof!A$2:$B998,2, 0), 0)</f>
        <v>0</v>
      </c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</row>
    <row r="433">
      <c r="A433" s="1">
        <f t="shared" si="1"/>
        <v>432</v>
      </c>
      <c r="B433" s="7" t="s">
        <v>441</v>
      </c>
      <c r="C433" s="8">
        <f t="shared" si="2"/>
        <v>0</v>
      </c>
      <c r="D433" s="9">
        <f>IFERROR(VLOOKUP(B433, 'Duke 1'!A$3:$B$85,2, 0), 0)</f>
        <v>0</v>
      </c>
      <c r="E433" s="9">
        <f>IFERROR(VLOOKUP(B433, 'Duke 2'!A$3:$B$522,2, 0), 0)</f>
        <v>0</v>
      </c>
      <c r="F433" s="10">
        <f>IFERROR(VLOOKUP(B433, 'Duke 3'!A$3:$B998,2, 0), 0)</f>
        <v>0</v>
      </c>
      <c r="G433" s="10">
        <f>IFERROR(VLOOKUP(B433, 'Duke 4'!A$3:$B998,2, 0), 0)</f>
        <v>0</v>
      </c>
      <c r="H433" s="10">
        <f>IFERROR(VLOOKUP(B433, Proof!A$2:$B998,2, 0), 0)</f>
        <v>0</v>
      </c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</row>
    <row r="434">
      <c r="A434" s="1">
        <f t="shared" si="1"/>
        <v>433</v>
      </c>
      <c r="B434" s="7" t="s">
        <v>123</v>
      </c>
      <c r="C434" s="8">
        <f t="shared" si="2"/>
        <v>0</v>
      </c>
      <c r="D434" s="9">
        <f>IFERROR(VLOOKUP(B434, 'Duke 1'!A$3:$B$85,2, 0), 0)</f>
        <v>0</v>
      </c>
      <c r="E434" s="9">
        <f>IFERROR(VLOOKUP(B434, 'Duke 2'!A$3:$B$522,2, 0), 0)</f>
        <v>0</v>
      </c>
      <c r="F434" s="10">
        <f>IFERROR(VLOOKUP(B434, 'Duke 3'!A$3:$B998,2, 0), 0)</f>
        <v>0</v>
      </c>
      <c r="G434" s="10">
        <f>IFERROR(VLOOKUP(B434, 'Duke 4'!A$3:$B998,2, 0), 0)</f>
        <v>0</v>
      </c>
      <c r="H434" s="10">
        <f>IFERROR(VLOOKUP(B434, Proof!A$2:$B998,2, 0), 0)</f>
        <v>0</v>
      </c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</row>
    <row r="435">
      <c r="A435" s="1">
        <f t="shared" si="1"/>
        <v>434</v>
      </c>
      <c r="B435" s="7" t="s">
        <v>161</v>
      </c>
      <c r="C435" s="8">
        <f t="shared" si="2"/>
        <v>0</v>
      </c>
      <c r="D435" s="9">
        <f>IFERROR(VLOOKUP(B435, 'Duke 1'!A$3:$B$85,2, 0), 0)</f>
        <v>0</v>
      </c>
      <c r="E435" s="9">
        <f>IFERROR(VLOOKUP(B435, 'Duke 2'!A$3:$B$522,2, 0), 0)</f>
        <v>0</v>
      </c>
      <c r="F435" s="10">
        <f>IFERROR(VLOOKUP(B435, 'Duke 3'!A$3:$B998,2, 0), 0)</f>
        <v>0</v>
      </c>
      <c r="G435" s="10">
        <f>IFERROR(VLOOKUP(B435, 'Duke 4'!A$3:$B998,2, 0), 0)</f>
        <v>0</v>
      </c>
      <c r="H435" s="10">
        <f>IFERROR(VLOOKUP(B435, Proof!A$2:$B998,2, 0), 0)</f>
        <v>0</v>
      </c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</row>
    <row r="436">
      <c r="A436" s="1">
        <f t="shared" si="1"/>
        <v>435</v>
      </c>
      <c r="B436" s="7" t="s">
        <v>462</v>
      </c>
      <c r="C436" s="8">
        <f t="shared" si="2"/>
        <v>0</v>
      </c>
      <c r="D436" s="9">
        <f>IFERROR(VLOOKUP(B436, 'Duke 1'!A$3:$B$85,2, 0), 0)</f>
        <v>0</v>
      </c>
      <c r="E436" s="9">
        <f>IFERROR(VLOOKUP(B436, 'Duke 2'!A$3:$B$522,2, 0), 0)</f>
        <v>0</v>
      </c>
      <c r="F436" s="10">
        <f>IFERROR(VLOOKUP(B436, 'Duke 3'!A$3:$B998,2, 0), 0)</f>
        <v>0</v>
      </c>
      <c r="G436" s="10">
        <f>IFERROR(VLOOKUP(B436, 'Duke 4'!A$3:$B998,2, 0), 0)</f>
        <v>0</v>
      </c>
      <c r="H436" s="10">
        <f>IFERROR(VLOOKUP(B436, Proof!A$2:$B998,2, 0), 0)</f>
        <v>0</v>
      </c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</row>
    <row r="437">
      <c r="A437" s="1">
        <f t="shared" si="1"/>
        <v>436</v>
      </c>
      <c r="B437" s="7" t="s">
        <v>486</v>
      </c>
      <c r="C437" s="8">
        <f t="shared" si="2"/>
        <v>0</v>
      </c>
      <c r="D437" s="9">
        <f>IFERROR(VLOOKUP(B437, 'Duke 1'!A$3:$B$85,2, 0), 0)</f>
        <v>0</v>
      </c>
      <c r="E437" s="9">
        <f>IFERROR(VLOOKUP(B437, 'Duke 2'!A$3:$B$522,2, 0), 0)</f>
        <v>0</v>
      </c>
      <c r="F437" s="10">
        <f>IFERROR(VLOOKUP(B437, 'Duke 3'!A$3:$B998,2, 0), 0)</f>
        <v>0</v>
      </c>
      <c r="G437" s="10">
        <f>IFERROR(VLOOKUP(B437, 'Duke 4'!A$3:$B998,2, 0), 0)</f>
        <v>0</v>
      </c>
      <c r="H437" s="10">
        <f>IFERROR(VLOOKUP(B437, Proof!A$2:$B998,2, 0), 0)</f>
        <v>0</v>
      </c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</row>
    <row r="438">
      <c r="A438" s="1">
        <f t="shared" si="1"/>
        <v>437</v>
      </c>
      <c r="B438" s="7" t="s">
        <v>191</v>
      </c>
      <c r="C438" s="8">
        <f t="shared" si="2"/>
        <v>0</v>
      </c>
      <c r="D438" s="9">
        <f>IFERROR(VLOOKUP(B438, 'Duke 1'!A$3:$B$85,2, 0), 0)</f>
        <v>0</v>
      </c>
      <c r="E438" s="9">
        <f>IFERROR(VLOOKUP(B438, 'Duke 2'!A$3:$B$522,2, 0), 0)</f>
        <v>0</v>
      </c>
      <c r="F438" s="10">
        <f>IFERROR(VLOOKUP(B438, 'Duke 3'!A$3:$B998,2, 0), 0)</f>
        <v>0</v>
      </c>
      <c r="G438" s="10">
        <f>IFERROR(VLOOKUP(B438, 'Duke 4'!A$3:$B998,2, 0), 0)</f>
        <v>0</v>
      </c>
      <c r="H438" s="10">
        <f>IFERROR(VLOOKUP(B438, Proof!A$2:$B998,2, 0), 0)</f>
        <v>0</v>
      </c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</row>
    <row r="439">
      <c r="A439" s="1">
        <f t="shared" si="1"/>
        <v>438</v>
      </c>
      <c r="B439" s="7" t="s">
        <v>256</v>
      </c>
      <c r="C439" s="8">
        <f t="shared" si="2"/>
        <v>0</v>
      </c>
      <c r="D439" s="9">
        <f>IFERROR(VLOOKUP(B439, 'Duke 1'!A$3:$B$85,2, 0), 0)</f>
        <v>0</v>
      </c>
      <c r="E439" s="9">
        <f>IFERROR(VLOOKUP(B439, 'Duke 2'!A$3:$B$522,2, 0), 0)</f>
        <v>0</v>
      </c>
      <c r="F439" s="10">
        <f>IFERROR(VLOOKUP(B439, 'Duke 3'!A$3:$B998,2, 0), 0)</f>
        <v>0</v>
      </c>
      <c r="G439" s="10">
        <f>IFERROR(VLOOKUP(B439, 'Duke 4'!A$3:$B998,2, 0), 0)</f>
        <v>0</v>
      </c>
      <c r="H439" s="10">
        <f>IFERROR(VLOOKUP(B439, Proof!A$2:$B998,2, 0), 0)</f>
        <v>0</v>
      </c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</row>
    <row r="440">
      <c r="A440" s="1">
        <f t="shared" si="1"/>
        <v>439</v>
      </c>
      <c r="B440" s="7" t="s">
        <v>255</v>
      </c>
      <c r="C440" s="8">
        <f t="shared" si="2"/>
        <v>0</v>
      </c>
      <c r="D440" s="9">
        <f>IFERROR(VLOOKUP(B440, 'Duke 1'!A$3:$B$85,2, 0), 0)</f>
        <v>0</v>
      </c>
      <c r="E440" s="9">
        <f>IFERROR(VLOOKUP(B440, 'Duke 2'!A$3:$B$522,2, 0), 0)</f>
        <v>0</v>
      </c>
      <c r="F440" s="10">
        <f>IFERROR(VLOOKUP(B440, 'Duke 3'!A$3:$B998,2, 0), 0)</f>
        <v>0</v>
      </c>
      <c r="G440" s="10">
        <f>IFERROR(VLOOKUP(B440, 'Duke 4'!A$3:$B998,2, 0), 0)</f>
        <v>0</v>
      </c>
      <c r="H440" s="10">
        <f>IFERROR(VLOOKUP(B440, Proof!A$2:$B998,2, 0), 0)</f>
        <v>0</v>
      </c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</row>
    <row r="441">
      <c r="A441" s="1">
        <f t="shared" si="1"/>
        <v>440</v>
      </c>
      <c r="B441" s="7" t="s">
        <v>120</v>
      </c>
      <c r="C441" s="8">
        <f t="shared" si="2"/>
        <v>0</v>
      </c>
      <c r="D441" s="9">
        <f>IFERROR(VLOOKUP(B441, 'Duke 1'!A$3:$B$85,2, 0), 0)</f>
        <v>0</v>
      </c>
      <c r="E441" s="9">
        <f>IFERROR(VLOOKUP(B441, 'Duke 2'!A$3:$B$522,2, 0), 0)</f>
        <v>0</v>
      </c>
      <c r="F441" s="10">
        <f>IFERROR(VLOOKUP(B441, 'Duke 3'!A$3:$B998,2, 0), 0)</f>
        <v>0</v>
      </c>
      <c r="G441" s="10">
        <f>IFERROR(VLOOKUP(B441, 'Duke 4'!A$3:$B998,2, 0), 0)</f>
        <v>0</v>
      </c>
      <c r="H441" s="10">
        <f>IFERROR(VLOOKUP(B441, Proof!A$2:$B998,2, 0), 0)</f>
        <v>0</v>
      </c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</row>
    <row r="442">
      <c r="A442" s="1">
        <f t="shared" si="1"/>
        <v>441</v>
      </c>
      <c r="B442" s="7" t="s">
        <v>128</v>
      </c>
      <c r="C442" s="8">
        <f t="shared" si="2"/>
        <v>0</v>
      </c>
      <c r="D442" s="9">
        <f>IFERROR(VLOOKUP(B442, 'Duke 1'!A$3:$B$85,2, 0), 0)</f>
        <v>0</v>
      </c>
      <c r="E442" s="9">
        <f>IFERROR(VLOOKUP(B442, 'Duke 2'!A$3:$B$522,2, 0), 0)</f>
        <v>0</v>
      </c>
      <c r="F442" s="10">
        <f>IFERROR(VLOOKUP(B442, 'Duke 3'!A$3:$B998,2, 0), 0)</f>
        <v>0</v>
      </c>
      <c r="G442" s="10">
        <f>IFERROR(VLOOKUP(B442, 'Duke 4'!A$3:$B998,2, 0), 0)</f>
        <v>0</v>
      </c>
      <c r="H442" s="10">
        <f>IFERROR(VLOOKUP(B442, Proof!A$2:$B998,2, 0), 0)</f>
        <v>0</v>
      </c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</row>
    <row r="443">
      <c r="A443" s="1">
        <f t="shared" si="1"/>
        <v>442</v>
      </c>
      <c r="B443" s="7" t="s">
        <v>495</v>
      </c>
      <c r="C443" s="8">
        <f t="shared" si="2"/>
        <v>0</v>
      </c>
      <c r="D443" s="9">
        <f>IFERROR(VLOOKUP(B443, 'Duke 1'!A$3:$B$85,2, 0), 0)</f>
        <v>0</v>
      </c>
      <c r="E443" s="9">
        <f>IFERROR(VLOOKUP(B443, 'Duke 2'!A$3:$B$522,2, 0), 0)</f>
        <v>0</v>
      </c>
      <c r="F443" s="10">
        <f>IFERROR(VLOOKUP(B443, 'Duke 3'!A$3:$B998,2, 0), 0)</f>
        <v>0</v>
      </c>
      <c r="G443" s="10">
        <f>IFERROR(VLOOKUP(B443, 'Duke 4'!A$3:$B998,2, 0), 0)</f>
        <v>0</v>
      </c>
      <c r="H443" s="10">
        <f>IFERROR(VLOOKUP(B443, Proof!A$2:$B998,2, 0), 0)</f>
        <v>0</v>
      </c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</row>
    <row r="444">
      <c r="A444" s="1">
        <f t="shared" si="1"/>
        <v>443</v>
      </c>
      <c r="B444" s="7" t="s">
        <v>430</v>
      </c>
      <c r="C444" s="8">
        <f t="shared" si="2"/>
        <v>0</v>
      </c>
      <c r="D444" s="9">
        <f>IFERROR(VLOOKUP(B444, 'Duke 1'!A$3:$B$85,2, 0), 0)</f>
        <v>0</v>
      </c>
      <c r="E444" s="9">
        <f>IFERROR(VLOOKUP(B444, 'Duke 2'!A$3:$B$522,2, 0), 0)</f>
        <v>0</v>
      </c>
      <c r="F444" s="10">
        <f>IFERROR(VLOOKUP(B444, 'Duke 3'!A$3:$B998,2, 0), 0)</f>
        <v>0</v>
      </c>
      <c r="G444" s="10">
        <f>IFERROR(VLOOKUP(B444, 'Duke 4'!A$3:$B998,2, 0), 0)</f>
        <v>0</v>
      </c>
      <c r="H444" s="10">
        <f>IFERROR(VLOOKUP(B444, Proof!A$2:$B998,2, 0), 0)</f>
        <v>0</v>
      </c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</row>
    <row r="445">
      <c r="A445" s="1">
        <f t="shared" si="1"/>
        <v>444</v>
      </c>
      <c r="B445" s="7" t="s">
        <v>434</v>
      </c>
      <c r="C445" s="8">
        <f t="shared" si="2"/>
        <v>0</v>
      </c>
      <c r="D445" s="9">
        <f>IFERROR(VLOOKUP(B445, 'Duke 1'!A$3:$B$85,2, 0), 0)</f>
        <v>0</v>
      </c>
      <c r="E445" s="9">
        <f>IFERROR(VLOOKUP(B445, 'Duke 2'!A$3:$B$522,2, 0), 0)</f>
        <v>0</v>
      </c>
      <c r="F445" s="10">
        <f>IFERROR(VLOOKUP(B445, 'Duke 3'!A$3:$B998,2, 0), 0)</f>
        <v>0</v>
      </c>
      <c r="G445" s="10">
        <f>IFERROR(VLOOKUP(B445, 'Duke 4'!A$3:$B998,2, 0), 0)</f>
        <v>0</v>
      </c>
      <c r="H445" s="10">
        <f>IFERROR(VLOOKUP(B445, Proof!A$2:$B998,2, 0), 0)</f>
        <v>0</v>
      </c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</row>
    <row r="446">
      <c r="A446" s="1">
        <f t="shared" si="1"/>
        <v>445</v>
      </c>
      <c r="B446" s="7" t="s">
        <v>103</v>
      </c>
      <c r="C446" s="8">
        <f t="shared" si="2"/>
        <v>0</v>
      </c>
      <c r="D446" s="9">
        <f>IFERROR(VLOOKUP(B446, 'Duke 1'!A$3:$B$85,2, 0), 0)</f>
        <v>0</v>
      </c>
      <c r="E446" s="9">
        <f>IFERROR(VLOOKUP(B446, 'Duke 2'!A$3:$B$522,2, 0), 0)</f>
        <v>0</v>
      </c>
      <c r="F446" s="10">
        <f>IFERROR(VLOOKUP(B446, 'Duke 3'!A$3:$B998,2, 0), 0)</f>
        <v>0</v>
      </c>
      <c r="G446" s="10">
        <f>IFERROR(VLOOKUP(B446, 'Duke 4'!A$3:$B998,2, 0), 0)</f>
        <v>0</v>
      </c>
      <c r="H446" s="10">
        <f>IFERROR(VLOOKUP(B446, Proof!A$2:$B998,2, 0), 0)</f>
        <v>0</v>
      </c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</row>
    <row r="447">
      <c r="A447" s="1">
        <f t="shared" si="1"/>
        <v>446</v>
      </c>
      <c r="B447" s="7" t="s">
        <v>231</v>
      </c>
      <c r="C447" s="8">
        <f t="shared" si="2"/>
        <v>0</v>
      </c>
      <c r="D447" s="9">
        <f>IFERROR(VLOOKUP(B447, 'Duke 1'!A$3:$B$85,2, 0), 0)</f>
        <v>0</v>
      </c>
      <c r="E447" s="9">
        <f>IFERROR(VLOOKUP(B447, 'Duke 2'!A$3:$B$522,2, 0), 0)</f>
        <v>0</v>
      </c>
      <c r="F447" s="10">
        <f>IFERROR(VLOOKUP(B447, 'Duke 3'!A$3:$B998,2, 0), 0)</f>
        <v>0</v>
      </c>
      <c r="G447" s="10">
        <f>IFERROR(VLOOKUP(B447, 'Duke 4'!A$3:$B998,2, 0), 0)</f>
        <v>0</v>
      </c>
      <c r="H447" s="10">
        <f>IFERROR(VLOOKUP(B447, Proof!A$2:$B998,2, 0), 0)</f>
        <v>0</v>
      </c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</row>
    <row r="448">
      <c r="A448" s="1">
        <f t="shared" si="1"/>
        <v>447</v>
      </c>
      <c r="B448" s="7" t="s">
        <v>445</v>
      </c>
      <c r="C448" s="8">
        <f t="shared" si="2"/>
        <v>0</v>
      </c>
      <c r="D448" s="9">
        <f>IFERROR(VLOOKUP(B448, 'Duke 1'!A$3:$B$85,2, 0), 0)</f>
        <v>0</v>
      </c>
      <c r="E448" s="9">
        <f>IFERROR(VLOOKUP(B448, 'Duke 2'!A$3:$B$522,2, 0), 0)</f>
        <v>0</v>
      </c>
      <c r="F448" s="10">
        <f>IFERROR(VLOOKUP(B448, 'Duke 3'!A$3:$B998,2, 0), 0)</f>
        <v>0</v>
      </c>
      <c r="G448" s="10">
        <f>IFERROR(VLOOKUP(B448, 'Duke 4'!A$3:$B998,2, 0), 0)</f>
        <v>0</v>
      </c>
      <c r="H448" s="10">
        <f>IFERROR(VLOOKUP(B448, Proof!A$2:$B998,2, 0), 0)</f>
        <v>0</v>
      </c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</row>
    <row r="449">
      <c r="A449" s="1">
        <f t="shared" si="1"/>
        <v>448</v>
      </c>
      <c r="B449" s="7" t="s">
        <v>406</v>
      </c>
      <c r="C449" s="8">
        <f t="shared" si="2"/>
        <v>0</v>
      </c>
      <c r="D449" s="9">
        <f>IFERROR(VLOOKUP(B449, 'Duke 1'!A$3:$B$85,2, 0), 0)</f>
        <v>0</v>
      </c>
      <c r="E449" s="9">
        <f>IFERROR(VLOOKUP(B449, 'Duke 2'!A$3:$B$522,2, 0), 0)</f>
        <v>0</v>
      </c>
      <c r="F449" s="10">
        <f>IFERROR(VLOOKUP(B449, 'Duke 3'!A$3:$B998,2, 0), 0)</f>
        <v>0</v>
      </c>
      <c r="G449" s="10">
        <f>IFERROR(VLOOKUP(B449, 'Duke 4'!A$3:$B998,2, 0), 0)</f>
        <v>0</v>
      </c>
      <c r="H449" s="10">
        <f>IFERROR(VLOOKUP(B449, Proof!A$2:$B998,2, 0), 0)</f>
        <v>0</v>
      </c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</row>
    <row r="450">
      <c r="A450" s="1">
        <f t="shared" si="1"/>
        <v>449</v>
      </c>
      <c r="B450" s="7" t="s">
        <v>481</v>
      </c>
      <c r="C450" s="8">
        <f t="shared" si="2"/>
        <v>0</v>
      </c>
      <c r="D450" s="9">
        <f>IFERROR(VLOOKUP(B450, 'Duke 1'!A$3:$B$85,2, 0), 0)</f>
        <v>0</v>
      </c>
      <c r="E450" s="9">
        <f>IFERROR(VLOOKUP(B450, 'Duke 2'!A$3:$B$522,2, 0), 0)</f>
        <v>0</v>
      </c>
      <c r="F450" s="10">
        <f>IFERROR(VLOOKUP(B450, 'Duke 3'!A$3:$B998,2, 0), 0)</f>
        <v>0</v>
      </c>
      <c r="G450" s="10">
        <f>IFERROR(VLOOKUP(B450, 'Duke 4'!A$3:$B998,2, 0), 0)</f>
        <v>0</v>
      </c>
      <c r="H450" s="10">
        <f>IFERROR(VLOOKUP(B450, Proof!A$2:$B998,2, 0), 0)</f>
        <v>0</v>
      </c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</row>
    <row r="451">
      <c r="A451" s="1">
        <f t="shared" si="1"/>
        <v>450</v>
      </c>
      <c r="B451" s="7" t="s">
        <v>220</v>
      </c>
      <c r="C451" s="8">
        <f t="shared" si="2"/>
        <v>0</v>
      </c>
      <c r="D451" s="9">
        <f>IFERROR(VLOOKUP(B451, 'Duke 1'!A$3:$B$85,2, 0), 0)</f>
        <v>0</v>
      </c>
      <c r="E451" s="9">
        <f>IFERROR(VLOOKUP(B451, 'Duke 2'!A$3:$B$522,2, 0), 0)</f>
        <v>0</v>
      </c>
      <c r="F451" s="10">
        <f>IFERROR(VLOOKUP(B451, 'Duke 3'!A$3:$B998,2, 0), 0)</f>
        <v>0</v>
      </c>
      <c r="G451" s="10">
        <f>IFERROR(VLOOKUP(B451, 'Duke 4'!A$3:$B998,2, 0), 0)</f>
        <v>0</v>
      </c>
      <c r="H451" s="10">
        <f>IFERROR(VLOOKUP(B451, Proof!A$2:$B998,2, 0), 0)</f>
        <v>0</v>
      </c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</row>
    <row r="452">
      <c r="A452" s="1">
        <f t="shared" si="1"/>
        <v>451</v>
      </c>
      <c r="B452" s="7" t="s">
        <v>121</v>
      </c>
      <c r="C452" s="8">
        <f t="shared" si="2"/>
        <v>0</v>
      </c>
      <c r="D452" s="9">
        <f>IFERROR(VLOOKUP(B452, 'Duke 1'!A$3:$B$85,2, 0), 0)</f>
        <v>0</v>
      </c>
      <c r="E452" s="9">
        <f>IFERROR(VLOOKUP(B452, 'Duke 2'!A$3:$B$522,2, 0), 0)</f>
        <v>0</v>
      </c>
      <c r="F452" s="10">
        <f>IFERROR(VLOOKUP(B452, 'Duke 3'!A$3:$B998,2, 0), 0)</f>
        <v>0</v>
      </c>
      <c r="G452" s="10">
        <f>IFERROR(VLOOKUP(B452, 'Duke 4'!A$3:$B998,2, 0), 0)</f>
        <v>0</v>
      </c>
      <c r="H452" s="10">
        <f>IFERROR(VLOOKUP(B452, Proof!A$2:$B998,2, 0), 0)</f>
        <v>0</v>
      </c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</row>
    <row r="453">
      <c r="A453" s="1">
        <f t="shared" si="1"/>
        <v>452</v>
      </c>
      <c r="B453" s="7" t="s">
        <v>125</v>
      </c>
      <c r="C453" s="8">
        <f t="shared" si="2"/>
        <v>0</v>
      </c>
      <c r="D453" s="9">
        <f>IFERROR(VLOOKUP(B453, 'Duke 1'!A$3:$B$85,2, 0), 0)</f>
        <v>0</v>
      </c>
      <c r="E453" s="9">
        <f>IFERROR(VLOOKUP(B453, 'Duke 2'!A$3:$B$522,2, 0), 0)</f>
        <v>0</v>
      </c>
      <c r="F453" s="10">
        <f>IFERROR(VLOOKUP(B453, 'Duke 3'!A$3:$B998,2, 0), 0)</f>
        <v>0</v>
      </c>
      <c r="G453" s="10">
        <f>IFERROR(VLOOKUP(B453, 'Duke 4'!A$3:$B998,2, 0), 0)</f>
        <v>0</v>
      </c>
      <c r="H453" s="10">
        <f>IFERROR(VLOOKUP(B453, Proof!A$2:$B998,2, 0), 0)</f>
        <v>0</v>
      </c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</row>
    <row r="454">
      <c r="A454" s="1">
        <f t="shared" si="1"/>
        <v>453</v>
      </c>
      <c r="B454" s="7" t="s">
        <v>102</v>
      </c>
      <c r="C454" s="8">
        <f t="shared" si="2"/>
        <v>0</v>
      </c>
      <c r="D454" s="9">
        <f>IFERROR(VLOOKUP(B454, 'Duke 1'!A$3:$B$85,2, 0), 0)</f>
        <v>0</v>
      </c>
      <c r="E454" s="9">
        <f>IFERROR(VLOOKUP(B454, 'Duke 2'!A$3:$B$522,2, 0), 0)</f>
        <v>0</v>
      </c>
      <c r="F454" s="10">
        <f>IFERROR(VLOOKUP(B454, 'Duke 3'!A$3:$B998,2, 0), 0)</f>
        <v>0</v>
      </c>
      <c r="G454" s="10">
        <f>IFERROR(VLOOKUP(B454, 'Duke 4'!A$3:$B998,2, 0), 0)</f>
        <v>0</v>
      </c>
      <c r="H454" s="10">
        <f>IFERROR(VLOOKUP(B454, Proof!A$2:$B998,2, 0), 0)</f>
        <v>0</v>
      </c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</row>
    <row r="455">
      <c r="A455" s="1">
        <f t="shared" si="1"/>
        <v>454</v>
      </c>
      <c r="B455" s="7" t="s">
        <v>183</v>
      </c>
      <c r="C455" s="8">
        <f t="shared" si="2"/>
        <v>0</v>
      </c>
      <c r="D455" s="9">
        <f>IFERROR(VLOOKUP(B455, 'Duke 1'!A$3:$B$85,2, 0), 0)</f>
        <v>0</v>
      </c>
      <c r="E455" s="9">
        <f>IFERROR(VLOOKUP(B455, 'Duke 2'!A$3:$B$522,2, 0), 0)</f>
        <v>0</v>
      </c>
      <c r="F455" s="10">
        <f>IFERROR(VLOOKUP(B455, 'Duke 3'!A$3:$B998,2, 0), 0)</f>
        <v>0</v>
      </c>
      <c r="G455" s="10">
        <f>IFERROR(VLOOKUP(B455, 'Duke 4'!A$3:$B998,2, 0), 0)</f>
        <v>0</v>
      </c>
      <c r="H455" s="10">
        <f>IFERROR(VLOOKUP(B455, Proof!A$2:$B998,2, 0), 0)</f>
        <v>0</v>
      </c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</row>
    <row r="456">
      <c r="A456" s="1">
        <f t="shared" si="1"/>
        <v>455</v>
      </c>
      <c r="B456" s="7" t="s">
        <v>455</v>
      </c>
      <c r="C456" s="8">
        <f t="shared" si="2"/>
        <v>0</v>
      </c>
      <c r="D456" s="9">
        <f>IFERROR(VLOOKUP(B456, 'Duke 1'!A$3:$B$85,2, 0), 0)</f>
        <v>0</v>
      </c>
      <c r="E456" s="9">
        <f>IFERROR(VLOOKUP(B456, 'Duke 2'!A$3:$B$522,2, 0), 0)</f>
        <v>0</v>
      </c>
      <c r="F456" s="10">
        <f>IFERROR(VLOOKUP(B456, 'Duke 3'!A$3:$B998,2, 0), 0)</f>
        <v>0</v>
      </c>
      <c r="G456" s="10">
        <f>IFERROR(VLOOKUP(B456, 'Duke 4'!A$3:$B998,2, 0), 0)</f>
        <v>0</v>
      </c>
      <c r="H456" s="10">
        <f>IFERROR(VLOOKUP(B456, Proof!A$2:$B998,2, 0), 0)</f>
        <v>0</v>
      </c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</row>
    <row r="457">
      <c r="A457" s="1">
        <f t="shared" si="1"/>
        <v>456</v>
      </c>
      <c r="B457" s="7" t="s">
        <v>480</v>
      </c>
      <c r="C457" s="8">
        <f t="shared" si="2"/>
        <v>0</v>
      </c>
      <c r="D457" s="9">
        <f>IFERROR(VLOOKUP(B457, 'Duke 1'!A$3:$B$85,2, 0), 0)</f>
        <v>0</v>
      </c>
      <c r="E457" s="9">
        <f>IFERROR(VLOOKUP(B457, 'Duke 2'!A$3:$B$522,2, 0), 0)</f>
        <v>0</v>
      </c>
      <c r="F457" s="10">
        <f>IFERROR(VLOOKUP(B457, 'Duke 3'!A$3:$B998,2, 0), 0)</f>
        <v>0</v>
      </c>
      <c r="G457" s="10">
        <f>IFERROR(VLOOKUP(B457, 'Duke 4'!A$3:$B998,2, 0), 0)</f>
        <v>0</v>
      </c>
      <c r="H457" s="10">
        <f>IFERROR(VLOOKUP(B457, Proof!A$2:$B998,2, 0), 0)</f>
        <v>0</v>
      </c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</row>
    <row r="458">
      <c r="A458" s="1">
        <f t="shared" si="1"/>
        <v>457</v>
      </c>
      <c r="B458" s="7" t="s">
        <v>229</v>
      </c>
      <c r="C458" s="8">
        <f t="shared" si="2"/>
        <v>0</v>
      </c>
      <c r="D458" s="9">
        <f>IFERROR(VLOOKUP(B458, 'Duke 1'!A$3:$B$85,2, 0), 0)</f>
        <v>0</v>
      </c>
      <c r="E458" s="9">
        <f>IFERROR(VLOOKUP(B458, 'Duke 2'!A$3:$B$522,2, 0), 0)</f>
        <v>0</v>
      </c>
      <c r="F458" s="10">
        <f>IFERROR(VLOOKUP(B458, 'Duke 3'!A$3:$B998,2, 0), 0)</f>
        <v>0</v>
      </c>
      <c r="G458" s="10">
        <f>IFERROR(VLOOKUP(B458, 'Duke 4'!A$3:$B998,2, 0), 0)</f>
        <v>0</v>
      </c>
      <c r="H458" s="10">
        <f>IFERROR(VLOOKUP(B458, Proof!A$2:$B998,2, 0), 0)</f>
        <v>0</v>
      </c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</row>
    <row r="459">
      <c r="A459" s="1">
        <f t="shared" si="1"/>
        <v>458</v>
      </c>
      <c r="B459" s="7" t="s">
        <v>152</v>
      </c>
      <c r="C459" s="8">
        <f t="shared" si="2"/>
        <v>0</v>
      </c>
      <c r="D459" s="9">
        <f>IFERROR(VLOOKUP(B459, 'Duke 1'!A$3:$B$85,2, 0), 0)</f>
        <v>0</v>
      </c>
      <c r="E459" s="9">
        <f>IFERROR(VLOOKUP(B459, 'Duke 2'!A$3:$B$522,2, 0), 0)</f>
        <v>0</v>
      </c>
      <c r="F459" s="10">
        <f>IFERROR(VLOOKUP(B459, 'Duke 3'!A$3:$B998,2, 0), 0)</f>
        <v>0</v>
      </c>
      <c r="G459" s="10">
        <f>IFERROR(VLOOKUP(B459, 'Duke 4'!A$3:$B998,2, 0), 0)</f>
        <v>0</v>
      </c>
      <c r="H459" s="10">
        <f>IFERROR(VLOOKUP(B459, Proof!A$2:$B998,2, 0), 0)</f>
        <v>0</v>
      </c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</row>
    <row r="460">
      <c r="A460" s="1">
        <f t="shared" si="1"/>
        <v>459</v>
      </c>
      <c r="B460" s="7" t="s">
        <v>447</v>
      </c>
      <c r="C460" s="8">
        <f t="shared" si="2"/>
        <v>0</v>
      </c>
      <c r="D460" s="9">
        <f>IFERROR(VLOOKUP(B460, 'Duke 1'!A$3:$B$85,2, 0), 0)</f>
        <v>0</v>
      </c>
      <c r="E460" s="9">
        <f>IFERROR(VLOOKUP(B460, 'Duke 2'!A$3:$B$522,2, 0), 0)</f>
        <v>0</v>
      </c>
      <c r="F460" s="10">
        <f>IFERROR(VLOOKUP(B460, 'Duke 3'!A$3:$B998,2, 0), 0)</f>
        <v>0</v>
      </c>
      <c r="G460" s="10">
        <f>IFERROR(VLOOKUP(B460, 'Duke 4'!A$3:$B998,2, 0), 0)</f>
        <v>0</v>
      </c>
      <c r="H460" s="10">
        <f>IFERROR(VLOOKUP(B460, Proof!A$2:$B998,2, 0), 0)</f>
        <v>0</v>
      </c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</row>
    <row r="461">
      <c r="A461" s="1">
        <f t="shared" si="1"/>
        <v>460</v>
      </c>
      <c r="B461" s="7" t="s">
        <v>479</v>
      </c>
      <c r="C461" s="8">
        <f t="shared" si="2"/>
        <v>0</v>
      </c>
      <c r="D461" s="9">
        <f>IFERROR(VLOOKUP(B461, 'Duke 1'!A$3:$B$85,2, 0), 0)</f>
        <v>0</v>
      </c>
      <c r="E461" s="9">
        <f>IFERROR(VLOOKUP(B461, 'Duke 2'!A$3:$B$522,2, 0), 0)</f>
        <v>0</v>
      </c>
      <c r="F461" s="10">
        <f>IFERROR(VLOOKUP(B461, 'Duke 3'!A$3:$B998,2, 0), 0)</f>
        <v>0</v>
      </c>
      <c r="G461" s="10">
        <f>IFERROR(VLOOKUP(B461, 'Duke 4'!A$3:$B998,2, 0), 0)</f>
        <v>0</v>
      </c>
      <c r="H461" s="10">
        <f>IFERROR(VLOOKUP(B461, Proof!A$2:$B998,2, 0), 0)</f>
        <v>0</v>
      </c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</row>
    <row r="462">
      <c r="A462" s="1">
        <f t="shared" si="1"/>
        <v>461</v>
      </c>
      <c r="B462" s="7" t="s">
        <v>206</v>
      </c>
      <c r="C462" s="8">
        <f t="shared" si="2"/>
        <v>0</v>
      </c>
      <c r="D462" s="9">
        <f>IFERROR(VLOOKUP(B462, 'Duke 1'!A$3:$B$85,2, 0), 0)</f>
        <v>0</v>
      </c>
      <c r="E462" s="9">
        <f>IFERROR(VLOOKUP(B462, 'Duke 2'!A$3:$B$522,2, 0), 0)</f>
        <v>0</v>
      </c>
      <c r="F462" s="10">
        <f>IFERROR(VLOOKUP(B462, 'Duke 3'!A$3:$B998,2, 0), 0)</f>
        <v>0</v>
      </c>
      <c r="G462" s="10">
        <f>IFERROR(VLOOKUP(B462, 'Duke 4'!A$3:$B998,2, 0), 0)</f>
        <v>0</v>
      </c>
      <c r="H462" s="10">
        <f>IFERROR(VLOOKUP(B462, Proof!A$2:$B998,2, 0), 0)</f>
        <v>0</v>
      </c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</row>
    <row r="463">
      <c r="A463" s="1">
        <f t="shared" si="1"/>
        <v>462</v>
      </c>
      <c r="B463" s="7" t="s">
        <v>106</v>
      </c>
      <c r="C463" s="8">
        <f t="shared" si="2"/>
        <v>0</v>
      </c>
      <c r="D463" s="9">
        <f>IFERROR(VLOOKUP(B463, 'Duke 1'!A$3:$B$85,2, 0), 0)</f>
        <v>0</v>
      </c>
      <c r="E463" s="9">
        <f>IFERROR(VLOOKUP(B463, 'Duke 2'!A$3:$B$522,2, 0), 0)</f>
        <v>0</v>
      </c>
      <c r="F463" s="10">
        <f>IFERROR(VLOOKUP(B463, 'Duke 3'!A$3:$B998,2, 0), 0)</f>
        <v>0</v>
      </c>
      <c r="G463" s="10">
        <f>IFERROR(VLOOKUP(B463, 'Duke 4'!A$3:$B998,2, 0), 0)</f>
        <v>0</v>
      </c>
      <c r="H463" s="10">
        <f>IFERROR(VLOOKUP(B463, Proof!A$2:$B998,2, 0), 0)</f>
        <v>0</v>
      </c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</row>
    <row r="464">
      <c r="A464" s="1">
        <f t="shared" si="1"/>
        <v>463</v>
      </c>
      <c r="B464" s="7" t="s">
        <v>474</v>
      </c>
      <c r="C464" s="8">
        <f t="shared" si="2"/>
        <v>0</v>
      </c>
      <c r="D464" s="9">
        <f>IFERROR(VLOOKUP(B464, 'Duke 1'!A$3:$B$85,2, 0), 0)</f>
        <v>0</v>
      </c>
      <c r="E464" s="9">
        <f>IFERROR(VLOOKUP(B464, 'Duke 2'!A$3:$B$522,2, 0), 0)</f>
        <v>0</v>
      </c>
      <c r="F464" s="10">
        <f>IFERROR(VLOOKUP(B464, 'Duke 3'!A$3:$B998,2, 0), 0)</f>
        <v>0</v>
      </c>
      <c r="G464" s="10">
        <f>IFERROR(VLOOKUP(B464, 'Duke 4'!A$3:$B998,2, 0), 0)</f>
        <v>0</v>
      </c>
      <c r="H464" s="10">
        <f>IFERROR(VLOOKUP(B464, Proof!A$2:$B998,2, 0), 0)</f>
        <v>0</v>
      </c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</row>
    <row r="465">
      <c r="A465" s="1">
        <f t="shared" si="1"/>
        <v>464</v>
      </c>
      <c r="B465" s="7" t="s">
        <v>114</v>
      </c>
      <c r="C465" s="8">
        <f t="shared" si="2"/>
        <v>0</v>
      </c>
      <c r="D465" s="9">
        <f>IFERROR(VLOOKUP(B465, 'Duke 1'!A$3:$B$85,2, 0), 0)</f>
        <v>0</v>
      </c>
      <c r="E465" s="9">
        <f>IFERROR(VLOOKUP(B465, 'Duke 2'!A$3:$B$522,2, 0), 0)</f>
        <v>0</v>
      </c>
      <c r="F465" s="10">
        <f>IFERROR(VLOOKUP(B465, 'Duke 3'!A$3:$B998,2, 0), 0)</f>
        <v>0</v>
      </c>
      <c r="G465" s="10">
        <f>IFERROR(VLOOKUP(B465, 'Duke 4'!A$3:$B998,2, 0), 0)</f>
        <v>0</v>
      </c>
      <c r="H465" s="10">
        <f>IFERROR(VLOOKUP(B465, Proof!A$2:$B998,2, 0), 0)</f>
        <v>0</v>
      </c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</row>
    <row r="466">
      <c r="A466" s="1">
        <f t="shared" si="1"/>
        <v>465</v>
      </c>
      <c r="B466" s="7" t="s">
        <v>468</v>
      </c>
      <c r="C466" s="8">
        <f t="shared" si="2"/>
        <v>0</v>
      </c>
      <c r="D466" s="9">
        <f>IFERROR(VLOOKUP(B466, 'Duke 1'!A$3:$B$85,2, 0), 0)</f>
        <v>0</v>
      </c>
      <c r="E466" s="9">
        <f>IFERROR(VLOOKUP(B466, 'Duke 2'!A$3:$B$522,2, 0), 0)</f>
        <v>0</v>
      </c>
      <c r="F466" s="10">
        <f>IFERROR(VLOOKUP(B466, 'Duke 3'!A$3:$B998,2, 0), 0)</f>
        <v>0</v>
      </c>
      <c r="G466" s="10">
        <f>IFERROR(VLOOKUP(B466, 'Duke 4'!A$3:$B998,2, 0), 0)</f>
        <v>0</v>
      </c>
      <c r="H466" s="10">
        <f>IFERROR(VLOOKUP(B466, Proof!A$2:$B998,2, 0), 0)</f>
        <v>0</v>
      </c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</row>
    <row r="467">
      <c r="A467" s="1">
        <f t="shared" si="1"/>
        <v>466</v>
      </c>
      <c r="B467" s="7" t="s">
        <v>387</v>
      </c>
      <c r="C467" s="8">
        <f t="shared" si="2"/>
        <v>0</v>
      </c>
      <c r="D467" s="9">
        <f>IFERROR(VLOOKUP(B467, 'Duke 1'!A$3:$B$85,2, 0), 0)</f>
        <v>0</v>
      </c>
      <c r="E467" s="9">
        <f>IFERROR(VLOOKUP(B467, 'Duke 2'!A$3:$B$522,2, 0), 0)</f>
        <v>0</v>
      </c>
      <c r="F467" s="10">
        <f>IFERROR(VLOOKUP(B467, 'Duke 3'!A$3:$B998,2, 0), 0)</f>
        <v>0</v>
      </c>
      <c r="G467" s="10">
        <f>IFERROR(VLOOKUP(B467, 'Duke 4'!A$3:$B998,2, 0), 0)</f>
        <v>0</v>
      </c>
      <c r="H467" s="10">
        <f>IFERROR(VLOOKUP(B467, Proof!A$2:$B998,2, 0), 0)</f>
        <v>0</v>
      </c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</row>
    <row r="468">
      <c r="A468" s="1">
        <f t="shared" si="1"/>
        <v>467</v>
      </c>
      <c r="B468" s="7" t="s">
        <v>367</v>
      </c>
      <c r="C468" s="8">
        <f t="shared" si="2"/>
        <v>0</v>
      </c>
      <c r="D468" s="9">
        <f>IFERROR(VLOOKUP(B468, 'Duke 1'!A$3:$B$85,2, 0), 0)</f>
        <v>0</v>
      </c>
      <c r="E468" s="9">
        <f>IFERROR(VLOOKUP(B468, 'Duke 2'!A$3:$B$522,2, 0), 0)</f>
        <v>0</v>
      </c>
      <c r="F468" s="10">
        <f>IFERROR(VLOOKUP(B468, 'Duke 3'!A$3:$B998,2, 0), 0)</f>
        <v>0</v>
      </c>
      <c r="G468" s="10">
        <f>IFERROR(VLOOKUP(B468, 'Duke 4'!A$3:$B998,2, 0), 0)</f>
        <v>0</v>
      </c>
      <c r="H468" s="10">
        <f>IFERROR(VLOOKUP(B468, Proof!A$2:$B998,2, 0), 0)</f>
        <v>0</v>
      </c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</row>
    <row r="469">
      <c r="A469" s="1">
        <f t="shared" si="1"/>
        <v>468</v>
      </c>
      <c r="B469" s="7" t="s">
        <v>117</v>
      </c>
      <c r="C469" s="8">
        <f t="shared" si="2"/>
        <v>0</v>
      </c>
      <c r="D469" s="9">
        <f>IFERROR(VLOOKUP(B469, 'Duke 1'!A$3:$B$85,2, 0), 0)</f>
        <v>0</v>
      </c>
      <c r="E469" s="9">
        <f>IFERROR(VLOOKUP(B469, 'Duke 2'!A$3:$B$522,2, 0), 0)</f>
        <v>0</v>
      </c>
      <c r="F469" s="10">
        <f>IFERROR(VLOOKUP(B469, 'Duke 3'!A$3:$B998,2, 0), 0)</f>
        <v>0</v>
      </c>
      <c r="G469" s="10">
        <f>IFERROR(VLOOKUP(B469, 'Duke 4'!A$3:$B998,2, 0), 0)</f>
        <v>0</v>
      </c>
      <c r="H469" s="10">
        <f>IFERROR(VLOOKUP(B469, Proof!A$2:$B998,2, 0), 0)</f>
        <v>0</v>
      </c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</row>
    <row r="470">
      <c r="A470" s="1">
        <f t="shared" si="1"/>
        <v>469</v>
      </c>
      <c r="B470" s="7" t="s">
        <v>439</v>
      </c>
      <c r="C470" s="8">
        <f t="shared" si="2"/>
        <v>0</v>
      </c>
      <c r="D470" s="9">
        <f>IFERROR(VLOOKUP(B470, 'Duke 1'!A$3:$B$85,2, 0), 0)</f>
        <v>0</v>
      </c>
      <c r="E470" s="9">
        <f>IFERROR(VLOOKUP(B470, 'Duke 2'!A$3:$B$522,2, 0), 0)</f>
        <v>0</v>
      </c>
      <c r="F470" s="10">
        <f>IFERROR(VLOOKUP(B470, 'Duke 3'!A$3:$B998,2, 0), 0)</f>
        <v>0</v>
      </c>
      <c r="G470" s="10">
        <f>IFERROR(VLOOKUP(B470, 'Duke 4'!A$3:$B998,2, 0), 0)</f>
        <v>0</v>
      </c>
      <c r="H470" s="10">
        <f>IFERROR(VLOOKUP(B470, Proof!A$2:$B998,2, 0), 0)</f>
        <v>0</v>
      </c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</row>
    <row r="471">
      <c r="A471" s="1">
        <f t="shared" si="1"/>
        <v>470</v>
      </c>
      <c r="B471" s="7" t="s">
        <v>477</v>
      </c>
      <c r="C471" s="8">
        <f t="shared" si="2"/>
        <v>0</v>
      </c>
      <c r="D471" s="9">
        <f>IFERROR(VLOOKUP(B471, 'Duke 1'!A$3:$B$85,2, 0), 0)</f>
        <v>0</v>
      </c>
      <c r="E471" s="9">
        <f>IFERROR(VLOOKUP(B471, 'Duke 2'!A$3:$B$522,2, 0), 0)</f>
        <v>0</v>
      </c>
      <c r="F471" s="10">
        <f>IFERROR(VLOOKUP(B471, 'Duke 3'!A$3:$B998,2, 0), 0)</f>
        <v>0</v>
      </c>
      <c r="G471" s="10">
        <f>IFERROR(VLOOKUP(B471, 'Duke 4'!A$3:$B998,2, 0), 0)</f>
        <v>0</v>
      </c>
      <c r="H471" s="10">
        <f>IFERROR(VLOOKUP(B471, Proof!A$2:$B998,2, 0), 0)</f>
        <v>0</v>
      </c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</row>
    <row r="472">
      <c r="A472" s="1">
        <f t="shared" si="1"/>
        <v>471</v>
      </c>
      <c r="B472" s="7" t="s">
        <v>440</v>
      </c>
      <c r="C472" s="8">
        <f t="shared" si="2"/>
        <v>0</v>
      </c>
      <c r="D472" s="9">
        <f>IFERROR(VLOOKUP(B472, 'Duke 1'!A$3:$B$85,2, 0), 0)</f>
        <v>0</v>
      </c>
      <c r="E472" s="9">
        <f>IFERROR(VLOOKUP(B472, 'Duke 2'!A$3:$B$522,2, 0), 0)</f>
        <v>0</v>
      </c>
      <c r="F472" s="10">
        <f>IFERROR(VLOOKUP(B472, 'Duke 3'!A$3:$B998,2, 0), 0)</f>
        <v>0</v>
      </c>
      <c r="G472" s="10">
        <f>IFERROR(VLOOKUP(B472, 'Duke 4'!A$3:$B998,2, 0), 0)</f>
        <v>0</v>
      </c>
      <c r="H472" s="10">
        <f>IFERROR(VLOOKUP(B472, Proof!A$2:$B998,2, 0), 0)</f>
        <v>0</v>
      </c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</row>
    <row r="473">
      <c r="A473" s="1">
        <f t="shared" si="1"/>
        <v>472</v>
      </c>
      <c r="B473" s="7" t="s">
        <v>469</v>
      </c>
      <c r="C473" s="8">
        <f t="shared" si="2"/>
        <v>0</v>
      </c>
      <c r="D473" s="9">
        <f>IFERROR(VLOOKUP(B473, 'Duke 1'!A$3:$B$85,2, 0), 0)</f>
        <v>0</v>
      </c>
      <c r="E473" s="9">
        <f>IFERROR(VLOOKUP(B473, 'Duke 2'!A$3:$B$522,2, 0), 0)</f>
        <v>0</v>
      </c>
      <c r="F473" s="10">
        <f>IFERROR(VLOOKUP(B473, 'Duke 3'!A$3:$B998,2, 0), 0)</f>
        <v>0</v>
      </c>
      <c r="G473" s="10">
        <f>IFERROR(VLOOKUP(B473, 'Duke 4'!A$3:$B998,2, 0), 0)</f>
        <v>0</v>
      </c>
      <c r="H473" s="10">
        <f>IFERROR(VLOOKUP(B473, Proof!A$2:$B998,2, 0), 0)</f>
        <v>0</v>
      </c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</row>
    <row r="474">
      <c r="A474" s="1">
        <f t="shared" si="1"/>
        <v>473</v>
      </c>
      <c r="B474" s="7" t="s">
        <v>107</v>
      </c>
      <c r="C474" s="8">
        <f t="shared" si="2"/>
        <v>0</v>
      </c>
      <c r="D474" s="9">
        <f>IFERROR(VLOOKUP(B474, 'Duke 1'!A$3:$B$85,2, 0), 0)</f>
        <v>0</v>
      </c>
      <c r="E474" s="9">
        <f>IFERROR(VLOOKUP(B474, 'Duke 2'!A$3:$B$522,2, 0), 0)</f>
        <v>0</v>
      </c>
      <c r="F474" s="10">
        <f>IFERROR(VLOOKUP(B474, 'Duke 3'!A$3:$B998,2, 0), 0)</f>
        <v>0</v>
      </c>
      <c r="G474" s="10">
        <f>IFERROR(VLOOKUP(B474, 'Duke 4'!A$3:$B998,2, 0), 0)</f>
        <v>0</v>
      </c>
      <c r="H474" s="10">
        <f>IFERROR(VLOOKUP(B474, Proof!A$2:$B998,2, 0), 0)</f>
        <v>0</v>
      </c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</row>
    <row r="475">
      <c r="A475" s="1">
        <f t="shared" si="1"/>
        <v>474</v>
      </c>
      <c r="B475" s="7" t="s">
        <v>287</v>
      </c>
      <c r="C475" s="8">
        <f t="shared" si="2"/>
        <v>0</v>
      </c>
      <c r="D475" s="9">
        <f>IFERROR(VLOOKUP(B475, 'Duke 1'!A$3:$B$85,2, 0), 0)</f>
        <v>0</v>
      </c>
      <c r="E475" s="9">
        <f>IFERROR(VLOOKUP(B475, 'Duke 2'!A$3:$B$522,2, 0), 0)</f>
        <v>0</v>
      </c>
      <c r="F475" s="10">
        <f>IFERROR(VLOOKUP(B475, 'Duke 3'!A$3:$B998,2, 0), 0)</f>
        <v>0</v>
      </c>
      <c r="G475" s="10">
        <f>IFERROR(VLOOKUP(B475, 'Duke 4'!A$3:$B998,2, 0), 0)</f>
        <v>0</v>
      </c>
      <c r="H475" s="10">
        <f>IFERROR(VLOOKUP(B475, Proof!A$2:$B998,2, 0), 0)</f>
        <v>0</v>
      </c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</row>
    <row r="476">
      <c r="A476" s="1">
        <f t="shared" si="1"/>
        <v>475</v>
      </c>
      <c r="B476" s="7" t="s">
        <v>466</v>
      </c>
      <c r="C476" s="8">
        <f t="shared" si="2"/>
        <v>0</v>
      </c>
      <c r="D476" s="9">
        <f>IFERROR(VLOOKUP(B476, 'Duke 1'!A$3:$B$85,2, 0), 0)</f>
        <v>0</v>
      </c>
      <c r="E476" s="9">
        <f>IFERROR(VLOOKUP(B476, 'Duke 2'!A$3:$B$522,2, 0), 0)</f>
        <v>0</v>
      </c>
      <c r="F476" s="10">
        <f>IFERROR(VLOOKUP(B476, 'Duke 3'!A$3:$B998,2, 0), 0)</f>
        <v>0</v>
      </c>
      <c r="G476" s="10">
        <f>IFERROR(VLOOKUP(B476, 'Duke 4'!A$3:$B998,2, 0), 0)</f>
        <v>0</v>
      </c>
      <c r="H476" s="10">
        <f>IFERROR(VLOOKUP(B476, Proof!A$2:$B998,2, 0), 0)</f>
        <v>0</v>
      </c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</row>
    <row r="477">
      <c r="A477" s="1">
        <f t="shared" si="1"/>
        <v>476</v>
      </c>
      <c r="B477" s="7" t="s">
        <v>219</v>
      </c>
      <c r="C477" s="8">
        <f t="shared" si="2"/>
        <v>0</v>
      </c>
      <c r="D477" s="9">
        <f>IFERROR(VLOOKUP(B477, 'Duke 1'!A$3:$B$85,2, 0), 0)</f>
        <v>0</v>
      </c>
      <c r="E477" s="9">
        <f>IFERROR(VLOOKUP(B477, 'Duke 2'!A$3:$B$522,2, 0), 0)</f>
        <v>0</v>
      </c>
      <c r="F477" s="10">
        <f>IFERROR(VLOOKUP(B477, 'Duke 3'!A$3:$B998,2, 0), 0)</f>
        <v>0</v>
      </c>
      <c r="G477" s="10">
        <f>IFERROR(VLOOKUP(B477, 'Duke 4'!A$3:$B998,2, 0), 0)</f>
        <v>0</v>
      </c>
      <c r="H477" s="10">
        <f>IFERROR(VLOOKUP(B477, Proof!A$2:$B998,2, 0), 0)</f>
        <v>0</v>
      </c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</row>
    <row r="478">
      <c r="A478" s="1">
        <f t="shared" si="1"/>
        <v>477</v>
      </c>
      <c r="B478" s="7" t="s">
        <v>139</v>
      </c>
      <c r="C478" s="8">
        <f t="shared" si="2"/>
        <v>0</v>
      </c>
      <c r="D478" s="9">
        <f>IFERROR(VLOOKUP(B478, 'Duke 1'!A$3:$B$85,2, 0), 0)</f>
        <v>0</v>
      </c>
      <c r="E478" s="9">
        <f>IFERROR(VLOOKUP(B478, 'Duke 2'!A$3:$B$522,2, 0), 0)</f>
        <v>0</v>
      </c>
      <c r="F478" s="10">
        <f>IFERROR(VLOOKUP(B478, 'Duke 3'!A$3:$B998,2, 0), 0)</f>
        <v>0</v>
      </c>
      <c r="G478" s="10">
        <f>IFERROR(VLOOKUP(B478, 'Duke 4'!A$3:$B998,2, 0), 0)</f>
        <v>0</v>
      </c>
      <c r="H478" s="10">
        <f>IFERROR(VLOOKUP(B478, Proof!A$2:$B998,2, 0), 0)</f>
        <v>0</v>
      </c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</row>
    <row r="479">
      <c r="A479" s="1">
        <f t="shared" si="1"/>
        <v>478</v>
      </c>
      <c r="B479" s="7" t="s">
        <v>435</v>
      </c>
      <c r="C479" s="8">
        <f t="shared" si="2"/>
        <v>0</v>
      </c>
      <c r="D479" s="9">
        <f>IFERROR(VLOOKUP(B479, 'Duke 1'!A$3:$B$85,2, 0), 0)</f>
        <v>0</v>
      </c>
      <c r="E479" s="9">
        <f>IFERROR(VLOOKUP(B479, 'Duke 2'!A$3:$B$522,2, 0), 0)</f>
        <v>0</v>
      </c>
      <c r="F479" s="10">
        <f>IFERROR(VLOOKUP(B479, 'Duke 3'!A$3:$B998,2, 0), 0)</f>
        <v>0</v>
      </c>
      <c r="G479" s="10">
        <f>IFERROR(VLOOKUP(B479, 'Duke 4'!A$3:$B998,2, 0), 0)</f>
        <v>0</v>
      </c>
      <c r="H479" s="10">
        <f>IFERROR(VLOOKUP(B479, Proof!A$2:$B998,2, 0), 0)</f>
        <v>0</v>
      </c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</row>
    <row r="480">
      <c r="A480" s="1">
        <f t="shared" si="1"/>
        <v>479</v>
      </c>
      <c r="B480" s="7" t="s">
        <v>487</v>
      </c>
      <c r="C480" s="8">
        <f t="shared" si="2"/>
        <v>0</v>
      </c>
      <c r="D480" s="9">
        <f>IFERROR(VLOOKUP(B480, 'Duke 1'!A$3:$B$85,2, 0), 0)</f>
        <v>0</v>
      </c>
      <c r="E480" s="9">
        <f>IFERROR(VLOOKUP(B480, 'Duke 2'!A$3:$B$522,2, 0), 0)</f>
        <v>0</v>
      </c>
      <c r="F480" s="10">
        <f>IFERROR(VLOOKUP(B480, 'Duke 3'!A$3:$B998,2, 0), 0)</f>
        <v>0</v>
      </c>
      <c r="G480" s="10">
        <f>IFERROR(VLOOKUP(B480, 'Duke 4'!A$3:$B998,2, 0), 0)</f>
        <v>0</v>
      </c>
      <c r="H480" s="10">
        <f>IFERROR(VLOOKUP(B480, Proof!A$2:$B998,2, 0), 0)</f>
        <v>0</v>
      </c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</row>
    <row r="481">
      <c r="A481" s="1">
        <f t="shared" si="1"/>
        <v>480</v>
      </c>
      <c r="B481" s="7" t="s">
        <v>116</v>
      </c>
      <c r="C481" s="8">
        <f t="shared" si="2"/>
        <v>0</v>
      </c>
      <c r="D481" s="9">
        <f>IFERROR(VLOOKUP(B481, 'Duke 1'!A$3:$B$85,2, 0), 0)</f>
        <v>0</v>
      </c>
      <c r="E481" s="9">
        <f>IFERROR(VLOOKUP(B481, 'Duke 2'!A$3:$B$522,2, 0), 0)</f>
        <v>0</v>
      </c>
      <c r="F481" s="10">
        <f>IFERROR(VLOOKUP(B481, 'Duke 3'!A$3:$B998,2, 0), 0)</f>
        <v>0</v>
      </c>
      <c r="G481" s="10">
        <f>IFERROR(VLOOKUP(B481, 'Duke 4'!A$3:$B998,2, 0), 0)</f>
        <v>0</v>
      </c>
      <c r="H481" s="10">
        <f>IFERROR(VLOOKUP(B481, Proof!A$2:$B998,2, 0), 0)</f>
        <v>0</v>
      </c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</row>
    <row r="482">
      <c r="A482" s="1">
        <f t="shared" si="1"/>
        <v>481</v>
      </c>
      <c r="B482" s="7" t="s">
        <v>400</v>
      </c>
      <c r="C482" s="8">
        <f t="shared" si="2"/>
        <v>0</v>
      </c>
      <c r="D482" s="9">
        <f>IFERROR(VLOOKUP(B482, 'Duke 1'!A$3:$B$85,2, 0), 0)</f>
        <v>0</v>
      </c>
      <c r="E482" s="9">
        <f>IFERROR(VLOOKUP(B482, 'Duke 2'!A$3:$B$522,2, 0), 0)</f>
        <v>0</v>
      </c>
      <c r="F482" s="10">
        <f>IFERROR(VLOOKUP(B482, 'Duke 3'!A$3:$B998,2, 0), 0)</f>
        <v>0</v>
      </c>
      <c r="G482" s="10">
        <f>IFERROR(VLOOKUP(B482, 'Duke 4'!A$3:$B998,2, 0), 0)</f>
        <v>0</v>
      </c>
      <c r="H482" s="10">
        <f>IFERROR(VLOOKUP(B482, Proof!A$2:$B998,2, 0), 0)</f>
        <v>0</v>
      </c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</row>
    <row r="483">
      <c r="A483" s="1">
        <f t="shared" si="1"/>
        <v>482</v>
      </c>
      <c r="B483" s="7" t="s">
        <v>246</v>
      </c>
      <c r="C483" s="8">
        <f t="shared" si="2"/>
        <v>0</v>
      </c>
      <c r="D483" s="9">
        <f>IFERROR(VLOOKUP(B483, 'Duke 1'!A$3:$B$85,2, 0), 0)</f>
        <v>0</v>
      </c>
      <c r="E483" s="9">
        <f>IFERROR(VLOOKUP(B483, 'Duke 2'!A$3:$B$522,2, 0), 0)</f>
        <v>0</v>
      </c>
      <c r="F483" s="10">
        <f>IFERROR(VLOOKUP(B483, 'Duke 3'!A$3:$B998,2, 0), 0)</f>
        <v>0</v>
      </c>
      <c r="G483" s="10">
        <f>IFERROR(VLOOKUP(B483, 'Duke 4'!A$3:$B998,2, 0), 0)</f>
        <v>0</v>
      </c>
      <c r="H483" s="10">
        <f>IFERROR(VLOOKUP(B483, Proof!A$2:$B998,2, 0), 0)</f>
        <v>0</v>
      </c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</row>
    <row r="484">
      <c r="A484" s="1">
        <f t="shared" si="1"/>
        <v>483</v>
      </c>
      <c r="B484" s="7" t="s">
        <v>444</v>
      </c>
      <c r="C484" s="8">
        <f t="shared" si="2"/>
        <v>0</v>
      </c>
      <c r="D484" s="9">
        <f>IFERROR(VLOOKUP(B484, 'Duke 1'!A$3:$B$85,2, 0), 0)</f>
        <v>0</v>
      </c>
      <c r="E484" s="9">
        <f>IFERROR(VLOOKUP(B484, 'Duke 2'!A$3:$B$522,2, 0), 0)</f>
        <v>0</v>
      </c>
      <c r="F484" s="10">
        <f>IFERROR(VLOOKUP(B484, 'Duke 3'!A$3:$B998,2, 0), 0)</f>
        <v>0</v>
      </c>
      <c r="G484" s="10">
        <f>IFERROR(VLOOKUP(B484, 'Duke 4'!A$3:$B998,2, 0), 0)</f>
        <v>0</v>
      </c>
      <c r="H484" s="10">
        <f>IFERROR(VLOOKUP(B484, Proof!A$2:$B998,2, 0), 0)</f>
        <v>0</v>
      </c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</row>
    <row r="485">
      <c r="A485" s="1">
        <f t="shared" si="1"/>
        <v>484</v>
      </c>
      <c r="B485" s="7" t="s">
        <v>472</v>
      </c>
      <c r="C485" s="8">
        <f t="shared" si="2"/>
        <v>0</v>
      </c>
      <c r="D485" s="9">
        <f>IFERROR(VLOOKUP(B485, 'Duke 1'!A$3:$B$85,2, 0), 0)</f>
        <v>0</v>
      </c>
      <c r="E485" s="9">
        <f>IFERROR(VLOOKUP(B485, 'Duke 2'!A$3:$B$522,2, 0), 0)</f>
        <v>0</v>
      </c>
      <c r="F485" s="10">
        <f>IFERROR(VLOOKUP(B485, 'Duke 3'!A$3:$B998,2, 0), 0)</f>
        <v>0</v>
      </c>
      <c r="G485" s="10">
        <f>IFERROR(VLOOKUP(B485, 'Duke 4'!A$3:$B998,2, 0), 0)</f>
        <v>0</v>
      </c>
      <c r="H485" s="10">
        <f>IFERROR(VLOOKUP(B485, Proof!A$2:$B998,2, 0), 0)</f>
        <v>0</v>
      </c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</row>
    <row r="486">
      <c r="A486" s="1">
        <f t="shared" si="1"/>
        <v>485</v>
      </c>
      <c r="B486" s="7" t="s">
        <v>494</v>
      </c>
      <c r="C486" s="8">
        <f t="shared" si="2"/>
        <v>0</v>
      </c>
      <c r="D486" s="9">
        <f>IFERROR(VLOOKUP(B486, 'Duke 1'!A$3:$B$85,2, 0), 0)</f>
        <v>0</v>
      </c>
      <c r="E486" s="9">
        <f>IFERROR(VLOOKUP(B486, 'Duke 2'!A$3:$B$522,2, 0), 0)</f>
        <v>0</v>
      </c>
      <c r="F486" s="10">
        <f>IFERROR(VLOOKUP(B486, 'Duke 3'!A$3:$B998,2, 0), 0)</f>
        <v>0</v>
      </c>
      <c r="G486" s="10">
        <f>IFERROR(VLOOKUP(B486, 'Duke 4'!A$3:$B998,2, 0), 0)</f>
        <v>0</v>
      </c>
      <c r="H486" s="10">
        <f>IFERROR(VLOOKUP(B486, Proof!A$2:$B998,2, 0), 0)</f>
        <v>0</v>
      </c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</row>
    <row r="487">
      <c r="A487" s="1">
        <f t="shared" si="1"/>
        <v>486</v>
      </c>
      <c r="B487" s="7" t="s">
        <v>433</v>
      </c>
      <c r="C487" s="8">
        <f t="shared" si="2"/>
        <v>0</v>
      </c>
      <c r="D487" s="9">
        <f>IFERROR(VLOOKUP(B487, 'Duke 1'!A$3:$B$85,2, 0), 0)</f>
        <v>0</v>
      </c>
      <c r="E487" s="9">
        <f>IFERROR(VLOOKUP(B487, 'Duke 2'!A$3:$B$522,2, 0), 0)</f>
        <v>0</v>
      </c>
      <c r="F487" s="10">
        <f>IFERROR(VLOOKUP(B487, 'Duke 3'!A$3:$B998,2, 0), 0)</f>
        <v>0</v>
      </c>
      <c r="G487" s="10">
        <f>IFERROR(VLOOKUP(B487, 'Duke 4'!A$3:$B998,2, 0), 0)</f>
        <v>0</v>
      </c>
      <c r="H487" s="10">
        <f>IFERROR(VLOOKUP(B487, Proof!A$2:$B998,2, 0), 0)</f>
        <v>0</v>
      </c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</row>
    <row r="488">
      <c r="A488" s="1">
        <f t="shared" si="1"/>
        <v>487</v>
      </c>
      <c r="B488" s="7" t="s">
        <v>115</v>
      </c>
      <c r="C488" s="8">
        <f t="shared" si="2"/>
        <v>0</v>
      </c>
      <c r="D488" s="9">
        <f>IFERROR(VLOOKUP(B488, 'Duke 1'!A$3:$B$85,2, 0), 0)</f>
        <v>0</v>
      </c>
      <c r="E488" s="9">
        <f>IFERROR(VLOOKUP(B488, 'Duke 2'!A$3:$B$522,2, 0), 0)</f>
        <v>0</v>
      </c>
      <c r="F488" s="10">
        <f>IFERROR(VLOOKUP(B488, 'Duke 3'!A$3:$B998,2, 0), 0)</f>
        <v>0</v>
      </c>
      <c r="G488" s="10">
        <f>IFERROR(VLOOKUP(B488, 'Duke 4'!A$3:$B998,2, 0), 0)</f>
        <v>0</v>
      </c>
      <c r="H488" s="10">
        <f>IFERROR(VLOOKUP(B488, Proof!A$2:$B998,2, 0), 0)</f>
        <v>0</v>
      </c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</row>
    <row r="489">
      <c r="A489" s="1">
        <f t="shared" si="1"/>
        <v>488</v>
      </c>
      <c r="B489" s="7" t="s">
        <v>452</v>
      </c>
      <c r="C489" s="8">
        <f t="shared" si="2"/>
        <v>0</v>
      </c>
      <c r="D489" s="9">
        <f>IFERROR(VLOOKUP(B489, 'Duke 1'!A$3:$B$85,2, 0), 0)</f>
        <v>0</v>
      </c>
      <c r="E489" s="9">
        <f>IFERROR(VLOOKUP(B489, 'Duke 2'!A$3:$B$522,2, 0), 0)</f>
        <v>0</v>
      </c>
      <c r="F489" s="10">
        <f>IFERROR(VLOOKUP(B489, 'Duke 3'!A$3:$B998,2, 0), 0)</f>
        <v>0</v>
      </c>
      <c r="G489" s="10">
        <f>IFERROR(VLOOKUP(B489, 'Duke 4'!A$3:$B998,2, 0), 0)</f>
        <v>0</v>
      </c>
      <c r="H489" s="10">
        <f>IFERROR(VLOOKUP(B489, Proof!A$2:$B998,2, 0), 0)</f>
        <v>0</v>
      </c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</row>
    <row r="490">
      <c r="A490" s="1">
        <f t="shared" si="1"/>
        <v>489</v>
      </c>
      <c r="B490" s="7" t="s">
        <v>158</v>
      </c>
      <c r="C490" s="8">
        <f t="shared" si="2"/>
        <v>0</v>
      </c>
      <c r="D490" s="9">
        <f>IFERROR(VLOOKUP(B490, 'Duke 1'!A$3:$B$85,2, 0), 0)</f>
        <v>0</v>
      </c>
      <c r="E490" s="9">
        <f>IFERROR(VLOOKUP(B490, 'Duke 2'!A$3:$B$522,2, 0), 0)</f>
        <v>0</v>
      </c>
      <c r="F490" s="10">
        <f>IFERROR(VLOOKUP(B490, 'Duke 3'!A$3:$B998,2, 0), 0)</f>
        <v>0</v>
      </c>
      <c r="G490" s="10">
        <f>IFERROR(VLOOKUP(B490, 'Duke 4'!A$3:$B998,2, 0), 0)</f>
        <v>0</v>
      </c>
      <c r="H490" s="10">
        <f>IFERROR(VLOOKUP(B490, Proof!A$2:$B998,2, 0), 0)</f>
        <v>0</v>
      </c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</row>
    <row r="491">
      <c r="A491" s="1">
        <f t="shared" si="1"/>
        <v>490</v>
      </c>
      <c r="B491" s="6"/>
      <c r="C491" s="8">
        <f t="shared" si="2"/>
        <v>0</v>
      </c>
      <c r="D491" s="9">
        <f>IFERROR(VLOOKUP(B491, 'Duke 1'!A$3:$B$85,2, 0), 0)</f>
        <v>0</v>
      </c>
      <c r="E491" s="9">
        <f>IFERROR(VLOOKUP(B491, 'Duke 2'!A$3:$B$522,2, 0), 0)</f>
        <v>0</v>
      </c>
      <c r="F491" s="10">
        <f>IFERROR(VLOOKUP(B491, 'Duke 3'!A$3:$B998,2, 0), 0)</f>
        <v>0</v>
      </c>
      <c r="G491" s="10">
        <f>IFERROR(VLOOKUP(B491, 'Duke 4'!A$3:$B998,2, 0), 0)</f>
        <v>0</v>
      </c>
      <c r="H491" s="10">
        <f>IFERROR(VLOOKUP(B491, Proof!A$2:$B998,2, 0), 0)</f>
        <v>0</v>
      </c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</row>
    <row r="492">
      <c r="A492" s="1">
        <f t="shared" si="1"/>
        <v>491</v>
      </c>
      <c r="B492" s="6"/>
      <c r="C492" s="8">
        <f t="shared" si="2"/>
        <v>0</v>
      </c>
      <c r="D492" s="9">
        <f>IFERROR(VLOOKUP(B492, 'Duke 1'!A$3:$B$85,2, 0), 0)</f>
        <v>0</v>
      </c>
      <c r="E492" s="9">
        <f>IFERROR(VLOOKUP(B492, 'Duke 2'!A$3:$B$522,2, 0), 0)</f>
        <v>0</v>
      </c>
      <c r="F492" s="10">
        <f>IFERROR(VLOOKUP(B492, 'Duke 3'!A$3:$B998,2, 0), 0)</f>
        <v>0</v>
      </c>
      <c r="G492" s="10">
        <f>IFERROR(VLOOKUP(B492, 'Duke 4'!A$3:$B998,2, 0), 0)</f>
        <v>0</v>
      </c>
      <c r="H492" s="10">
        <f>IFERROR(VLOOKUP(B492, Proof!A$2:$B998,2, 0), 0)</f>
        <v>0</v>
      </c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</row>
    <row r="493">
      <c r="A493" s="1">
        <f t="shared" si="1"/>
        <v>492</v>
      </c>
      <c r="B493" s="6"/>
      <c r="C493" s="8">
        <f t="shared" si="2"/>
        <v>0</v>
      </c>
      <c r="D493" s="9">
        <f>IFERROR(VLOOKUP(B493, 'Duke 1'!A$3:$B$85,2, 0), 0)</f>
        <v>0</v>
      </c>
      <c r="E493" s="9">
        <f>IFERROR(VLOOKUP(B493, 'Duke 2'!A$3:$B$522,2, 0), 0)</f>
        <v>0</v>
      </c>
      <c r="F493" s="10">
        <f>IFERROR(VLOOKUP(B493, 'Duke 3'!A$3:$B998,2, 0), 0)</f>
        <v>0</v>
      </c>
      <c r="G493" s="10">
        <f>IFERROR(VLOOKUP(B493, 'Duke 4'!A$3:$B998,2, 0), 0)</f>
        <v>0</v>
      </c>
      <c r="H493" s="10">
        <f>IFERROR(VLOOKUP(B493, Proof!A$2:$B998,2, 0), 0)</f>
        <v>0</v>
      </c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</row>
    <row r="494">
      <c r="A494" s="1">
        <f t="shared" si="1"/>
        <v>493</v>
      </c>
      <c r="B494" s="6"/>
      <c r="C494" s="8">
        <f t="shared" si="2"/>
        <v>0</v>
      </c>
      <c r="D494" s="9">
        <f>IFERROR(VLOOKUP(B494, 'Duke 1'!A$3:$B$85,2, 0), 0)</f>
        <v>0</v>
      </c>
      <c r="E494" s="9">
        <f>IFERROR(VLOOKUP(B494, 'Duke 2'!A$3:$B$522,2, 0), 0)</f>
        <v>0</v>
      </c>
      <c r="F494" s="10">
        <f>IFERROR(VLOOKUP(B494, 'Duke 3'!A$3:$B998,2, 0), 0)</f>
        <v>0</v>
      </c>
      <c r="G494" s="10">
        <f>IFERROR(VLOOKUP(B494, 'Duke 4'!A$3:$B998,2, 0), 0)</f>
        <v>0</v>
      </c>
      <c r="H494" s="10">
        <f>IFERROR(VLOOKUP(B494, Proof!A$2:$B998,2, 0), 0)</f>
        <v>0</v>
      </c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</row>
    <row r="495">
      <c r="A495" s="1">
        <f t="shared" si="1"/>
        <v>494</v>
      </c>
      <c r="B495" s="6"/>
      <c r="C495" s="8">
        <f t="shared" si="2"/>
        <v>0</v>
      </c>
      <c r="D495" s="9">
        <f>IFERROR(VLOOKUP(B495, 'Duke 1'!A$3:$B$85,2, 0), 0)</f>
        <v>0</v>
      </c>
      <c r="E495" s="9">
        <f>IFERROR(VLOOKUP(B495, 'Duke 2'!A$3:$B$522,2, 0), 0)</f>
        <v>0</v>
      </c>
      <c r="F495" s="10">
        <f>IFERROR(VLOOKUP(B495, 'Duke 3'!A$3:$B998,2, 0), 0)</f>
        <v>0</v>
      </c>
      <c r="G495" s="10">
        <f>IFERROR(VLOOKUP(B495, 'Duke 4'!A$3:$B998,2, 0), 0)</f>
        <v>0</v>
      </c>
      <c r="H495" s="10">
        <f>IFERROR(VLOOKUP(B495, Proof!A$2:$B998,2, 0), 0)</f>
        <v>0</v>
      </c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</row>
    <row r="496">
      <c r="A496" s="1">
        <f t="shared" si="1"/>
        <v>495</v>
      </c>
      <c r="B496" s="6"/>
      <c r="C496" s="8">
        <f t="shared" si="2"/>
        <v>0</v>
      </c>
      <c r="D496" s="9">
        <f>IFERROR(VLOOKUP(B496, 'Duke 1'!A$3:$B$85,2, 0), 0)</f>
        <v>0</v>
      </c>
      <c r="E496" s="9">
        <f>IFERROR(VLOOKUP(B496, 'Duke 2'!A$3:$B$522,2, 0), 0)</f>
        <v>0</v>
      </c>
      <c r="F496" s="10">
        <f>IFERROR(VLOOKUP(B496, 'Duke 3'!A$3:$B998,2, 0), 0)</f>
        <v>0</v>
      </c>
      <c r="G496" s="10">
        <f>IFERROR(VLOOKUP(B496, 'Duke 4'!A$3:$B998,2, 0), 0)</f>
        <v>0</v>
      </c>
      <c r="H496" s="10">
        <f>IFERROR(VLOOKUP(B496, Proof!A$2:$B998,2, 0), 0)</f>
        <v>0</v>
      </c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</row>
    <row r="497">
      <c r="A497" s="1">
        <f t="shared" si="1"/>
        <v>496</v>
      </c>
      <c r="B497" s="6"/>
      <c r="C497" s="8">
        <f t="shared" si="2"/>
        <v>0</v>
      </c>
      <c r="D497" s="9">
        <f>IFERROR(VLOOKUP(B497, 'Duke 1'!A$3:$B$85,2, 0), 0)</f>
        <v>0</v>
      </c>
      <c r="E497" s="9">
        <f>IFERROR(VLOOKUP(B497, 'Duke 2'!A$3:$B$522,2, 0), 0)</f>
        <v>0</v>
      </c>
      <c r="F497" s="10">
        <f>IFERROR(VLOOKUP(B497, 'Duke 3'!A$3:$B998,2, 0), 0)</f>
        <v>0</v>
      </c>
      <c r="G497" s="10">
        <f>IFERROR(VLOOKUP(B497, 'Duke 4'!A$3:$B998,2, 0), 0)</f>
        <v>0</v>
      </c>
      <c r="H497" s="10">
        <f>IFERROR(VLOOKUP(B497, Proof!A$2:$B998,2, 0), 0)</f>
        <v>0</v>
      </c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</row>
    <row r="498">
      <c r="A498" s="1">
        <f t="shared" si="1"/>
        <v>497</v>
      </c>
      <c r="B498" s="6"/>
      <c r="C498" s="8">
        <f t="shared" si="2"/>
        <v>0</v>
      </c>
      <c r="D498" s="9">
        <f>IFERROR(VLOOKUP(B498, 'Duke 1'!A$3:$B$85,2, 0), 0)</f>
        <v>0</v>
      </c>
      <c r="E498" s="9">
        <f>IFERROR(VLOOKUP(B498, 'Duke 2'!A$3:$B$522,2, 0), 0)</f>
        <v>0</v>
      </c>
      <c r="F498" s="10">
        <f>IFERROR(VLOOKUP(B498, 'Duke 3'!A$3:$B998,2, 0), 0)</f>
        <v>0</v>
      </c>
      <c r="G498" s="10">
        <f>IFERROR(VLOOKUP(B498, 'Duke 4'!A$3:$B998,2, 0), 0)</f>
        <v>0</v>
      </c>
      <c r="H498" s="10">
        <f>IFERROR(VLOOKUP(B498, Proof!A$2:$B998,2, 0), 0)</f>
        <v>0</v>
      </c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</row>
    <row r="499">
      <c r="A499" s="1">
        <f t="shared" si="1"/>
        <v>498</v>
      </c>
      <c r="B499" s="6"/>
      <c r="C499" s="8">
        <f t="shared" si="2"/>
        <v>0</v>
      </c>
      <c r="D499" s="9">
        <f>IFERROR(VLOOKUP(B499, 'Duke 1'!A$3:$B$85,2, 0), 0)</f>
        <v>0</v>
      </c>
      <c r="E499" s="9">
        <f>IFERROR(VLOOKUP(B499, 'Duke 2'!A$3:$B$522,2, 0), 0)</f>
        <v>0</v>
      </c>
      <c r="F499" s="10">
        <f>IFERROR(VLOOKUP(B499, 'Duke 3'!A$3:$B998,2, 0), 0)</f>
        <v>0</v>
      </c>
      <c r="G499" s="10">
        <f>IFERROR(VLOOKUP(B499, 'Duke 4'!A$3:$B998,2, 0), 0)</f>
        <v>0</v>
      </c>
      <c r="H499" s="10">
        <f>IFERROR(VLOOKUP(B499, Proof!A$2:$B998,2, 0), 0)</f>
        <v>0</v>
      </c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</row>
    <row r="500">
      <c r="A500" s="1">
        <f t="shared" si="1"/>
        <v>499</v>
      </c>
      <c r="B500" s="6"/>
      <c r="C500" s="8">
        <f t="shared" si="2"/>
        <v>0</v>
      </c>
      <c r="D500" s="9">
        <f>IFERROR(VLOOKUP(B500, 'Duke 1'!A$3:$B$85,2, 0), 0)</f>
        <v>0</v>
      </c>
      <c r="E500" s="9">
        <f>IFERROR(VLOOKUP(B500, 'Duke 2'!A$3:$B$522,2, 0), 0)</f>
        <v>0</v>
      </c>
      <c r="F500" s="10">
        <f>IFERROR(VLOOKUP(B500, 'Duke 3'!A$3:$B998,2, 0), 0)</f>
        <v>0</v>
      </c>
      <c r="G500" s="10">
        <f>IFERROR(VLOOKUP(B500, 'Duke 4'!A$3:$B998,2, 0), 0)</f>
        <v>0</v>
      </c>
      <c r="H500" s="10">
        <f>IFERROR(VLOOKUP(B500, Proof!A$2:$B998,2, 0), 0)</f>
        <v>0</v>
      </c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</row>
    <row r="501">
      <c r="A501" s="1">
        <f t="shared" si="1"/>
        <v>500</v>
      </c>
      <c r="B501" s="6"/>
      <c r="C501" s="8">
        <f t="shared" si="2"/>
        <v>0</v>
      </c>
      <c r="D501" s="9">
        <f>IFERROR(VLOOKUP(B501, 'Duke 1'!A$3:$B$85,2, 0), 0)</f>
        <v>0</v>
      </c>
      <c r="E501" s="9">
        <f>IFERROR(VLOOKUP(B501, 'Duke 2'!A$3:$B$522,2, 0), 0)</f>
        <v>0</v>
      </c>
      <c r="F501" s="10">
        <f>IFERROR(VLOOKUP(B501, 'Duke 3'!A$3:$B998,2, 0), 0)</f>
        <v>0</v>
      </c>
      <c r="G501" s="10">
        <f>IFERROR(VLOOKUP(B501, 'Duke 4'!A$3:$B998,2, 0), 0)</f>
        <v>0</v>
      </c>
      <c r="H501" s="10">
        <f>IFERROR(VLOOKUP(B501, Proof!A$2:$B998,2, 0), 0)</f>
        <v>0</v>
      </c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</row>
    <row r="502">
      <c r="A502" s="1">
        <f t="shared" si="1"/>
        <v>501</v>
      </c>
      <c r="B502" s="6"/>
      <c r="C502" s="8">
        <f t="shared" si="2"/>
        <v>0</v>
      </c>
      <c r="D502" s="9">
        <f>IFERROR(VLOOKUP(B502, 'Duke 1'!A$3:$B$85,2, 0), 0)</f>
        <v>0</v>
      </c>
      <c r="E502" s="9">
        <f>IFERROR(VLOOKUP(B502, 'Duke 2'!A$3:$B$522,2, 0), 0)</f>
        <v>0</v>
      </c>
      <c r="F502" s="10">
        <f>IFERROR(VLOOKUP(B502, 'Duke 3'!A$3:$B998,2, 0), 0)</f>
        <v>0</v>
      </c>
      <c r="G502" s="10">
        <f>IFERROR(VLOOKUP(B502, 'Duke 4'!A$3:$B998,2, 0), 0)</f>
        <v>0</v>
      </c>
      <c r="H502" s="10">
        <f>IFERROR(VLOOKUP(B502, Proof!A$2:$B998,2, 0), 0)</f>
        <v>0</v>
      </c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</row>
    <row r="503">
      <c r="A503" s="1">
        <f t="shared" si="1"/>
        <v>502</v>
      </c>
      <c r="B503" s="6"/>
      <c r="C503" s="8">
        <f t="shared" si="2"/>
        <v>0</v>
      </c>
      <c r="D503" s="9">
        <f>IFERROR(VLOOKUP(B503, 'Duke 1'!A$3:$B$85,2, 0), 0)</f>
        <v>0</v>
      </c>
      <c r="E503" s="9">
        <f>IFERROR(VLOOKUP(B503, 'Duke 2'!A$3:$B$522,2, 0), 0)</f>
        <v>0</v>
      </c>
      <c r="F503" s="10">
        <f>IFERROR(VLOOKUP(B503, 'Duke 3'!A$3:$B998,2, 0), 0)</f>
        <v>0</v>
      </c>
      <c r="G503" s="10">
        <f>IFERROR(VLOOKUP(B503, 'Duke 4'!A$3:$B998,2, 0), 0)</f>
        <v>0</v>
      </c>
      <c r="H503" s="10">
        <f>IFERROR(VLOOKUP(B503, Proof!A$2:$B998,2, 0), 0)</f>
        <v>0</v>
      </c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</row>
    <row r="504">
      <c r="A504" s="1">
        <f t="shared" si="1"/>
        <v>503</v>
      </c>
      <c r="B504" s="6"/>
      <c r="C504" s="8">
        <f t="shared" si="2"/>
        <v>0</v>
      </c>
      <c r="D504" s="9">
        <f>IFERROR(VLOOKUP(B504, 'Duke 1'!A$3:$B$85,2, 0), 0)</f>
        <v>0</v>
      </c>
      <c r="E504" s="9">
        <f>IFERROR(VLOOKUP(B504, 'Duke 2'!A$3:$B$522,2, 0), 0)</f>
        <v>0</v>
      </c>
      <c r="F504" s="10">
        <f>IFERROR(VLOOKUP(B504, 'Duke 3'!A$3:$B998,2, 0), 0)</f>
        <v>0</v>
      </c>
      <c r="G504" s="10">
        <f>IFERROR(VLOOKUP(B504, 'Duke 4'!A$3:$B998,2, 0), 0)</f>
        <v>0</v>
      </c>
      <c r="H504" s="10">
        <f>IFERROR(VLOOKUP(B504, Proof!A$2:$B998,2, 0), 0)</f>
        <v>0</v>
      </c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</row>
    <row r="505">
      <c r="A505" s="1">
        <f t="shared" si="1"/>
        <v>504</v>
      </c>
      <c r="B505" s="6"/>
      <c r="C505" s="8">
        <f t="shared" si="2"/>
        <v>0</v>
      </c>
      <c r="D505" s="9">
        <f>IFERROR(VLOOKUP(B505, 'Duke 1'!A$3:$B$85,2, 0), 0)</f>
        <v>0</v>
      </c>
      <c r="E505" s="9">
        <f>IFERROR(VLOOKUP(B505, 'Duke 2'!A$3:$B$522,2, 0), 0)</f>
        <v>0</v>
      </c>
      <c r="F505" s="10">
        <f>IFERROR(VLOOKUP(B505, 'Duke 3'!A$3:$B998,2, 0), 0)</f>
        <v>0</v>
      </c>
      <c r="G505" s="10">
        <f>IFERROR(VLOOKUP(B505, 'Duke 4'!A$3:$B998,2, 0), 0)</f>
        <v>0</v>
      </c>
      <c r="H505" s="10">
        <f>IFERROR(VLOOKUP(B505, Proof!A$2:$B998,2, 0), 0)</f>
        <v>0</v>
      </c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</row>
    <row r="506">
      <c r="A506" s="1">
        <f t="shared" si="1"/>
        <v>505</v>
      </c>
      <c r="B506" s="6"/>
      <c r="C506" s="8">
        <f t="shared" si="2"/>
        <v>0</v>
      </c>
      <c r="D506" s="9">
        <f>IFERROR(VLOOKUP(B506, 'Duke 1'!A$3:$B$85,2, 0), 0)</f>
        <v>0</v>
      </c>
      <c r="E506" s="9">
        <f>IFERROR(VLOOKUP(B506, 'Duke 2'!A$3:$B$522,2, 0), 0)</f>
        <v>0</v>
      </c>
      <c r="F506" s="10">
        <f>IFERROR(VLOOKUP(B506, 'Duke 3'!A$3:$B998,2, 0), 0)</f>
        <v>0</v>
      </c>
      <c r="G506" s="10">
        <f>IFERROR(VLOOKUP(B506, 'Duke 4'!A$3:$B998,2, 0), 0)</f>
        <v>0</v>
      </c>
      <c r="H506" s="10">
        <f>IFERROR(VLOOKUP(B506, Proof!A$2:$B998,2, 0), 0)</f>
        <v>0</v>
      </c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</row>
    <row r="507">
      <c r="A507" s="1">
        <f t="shared" si="1"/>
        <v>506</v>
      </c>
      <c r="B507" s="6"/>
      <c r="C507" s="8">
        <f t="shared" si="2"/>
        <v>0</v>
      </c>
      <c r="D507" s="9">
        <f>IFERROR(VLOOKUP(B507, 'Duke 1'!A$3:$B$85,2, 0), 0)</f>
        <v>0</v>
      </c>
      <c r="E507" s="9">
        <f>IFERROR(VLOOKUP(B507, 'Duke 2'!A$3:$B$522,2, 0), 0)</f>
        <v>0</v>
      </c>
      <c r="F507" s="10">
        <f>IFERROR(VLOOKUP(B507, 'Duke 3'!A$3:$B998,2, 0), 0)</f>
        <v>0</v>
      </c>
      <c r="G507" s="10">
        <f>IFERROR(VLOOKUP(B507, 'Duke 4'!A$3:$B998,2, 0), 0)</f>
        <v>0</v>
      </c>
      <c r="H507" s="10">
        <f>IFERROR(VLOOKUP(B507, Proof!A$2:$B998,2, 0), 0)</f>
        <v>0</v>
      </c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</row>
    <row r="508">
      <c r="A508" s="1">
        <f t="shared" si="1"/>
        <v>507</v>
      </c>
      <c r="B508" s="6"/>
      <c r="C508" s="8">
        <f t="shared" si="2"/>
        <v>0</v>
      </c>
      <c r="D508" s="9">
        <f>IFERROR(VLOOKUP(B508, 'Duke 1'!A$3:$B$85,2, 0), 0)</f>
        <v>0</v>
      </c>
      <c r="E508" s="9">
        <f>IFERROR(VLOOKUP(B508, 'Duke 2'!A$3:$B$522,2, 0), 0)</f>
        <v>0</v>
      </c>
      <c r="F508" s="10">
        <f>IFERROR(VLOOKUP(B508, 'Duke 3'!A$3:$B998,2, 0), 0)</f>
        <v>0</v>
      </c>
      <c r="G508" s="10">
        <f>IFERROR(VLOOKUP(B508, 'Duke 4'!A$3:$B998,2, 0), 0)</f>
        <v>0</v>
      </c>
      <c r="H508" s="10">
        <f>IFERROR(VLOOKUP(B508, Proof!A$2:$B998,2, 0), 0)</f>
        <v>0</v>
      </c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</row>
    <row r="509">
      <c r="A509" s="1">
        <f t="shared" si="1"/>
        <v>508</v>
      </c>
      <c r="B509" s="6"/>
      <c r="C509" s="8">
        <f t="shared" si="2"/>
        <v>0</v>
      </c>
      <c r="D509" s="9">
        <f>IFERROR(VLOOKUP(B509, 'Duke 1'!A$3:$B$85,2, 0), 0)</f>
        <v>0</v>
      </c>
      <c r="E509" s="9">
        <f>IFERROR(VLOOKUP(B509, 'Duke 2'!A$3:$B$522,2, 0), 0)</f>
        <v>0</v>
      </c>
      <c r="F509" s="10">
        <f>IFERROR(VLOOKUP(B509, 'Duke 3'!A$3:$B998,2, 0), 0)</f>
        <v>0</v>
      </c>
      <c r="G509" s="10">
        <f>IFERROR(VLOOKUP(B509, 'Duke 4'!A$3:$B998,2, 0), 0)</f>
        <v>0</v>
      </c>
      <c r="H509" s="10">
        <f>IFERROR(VLOOKUP(B509, Proof!A$2:$B998,2, 0), 0)</f>
        <v>0</v>
      </c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</row>
    <row r="510">
      <c r="A510" s="1">
        <f t="shared" si="1"/>
        <v>509</v>
      </c>
      <c r="B510" s="6"/>
      <c r="C510" s="8">
        <f t="shared" si="2"/>
        <v>0</v>
      </c>
      <c r="D510" s="9">
        <f>IFERROR(VLOOKUP(B510, 'Duke 1'!A$3:$B$85,2, 0), 0)</f>
        <v>0</v>
      </c>
      <c r="E510" s="9">
        <f>IFERROR(VLOOKUP(B510, 'Duke 2'!A$3:$B$522,2, 0), 0)</f>
        <v>0</v>
      </c>
      <c r="F510" s="10">
        <f>IFERROR(VLOOKUP(B510, 'Duke 3'!A$3:$B998,2, 0), 0)</f>
        <v>0</v>
      </c>
      <c r="G510" s="10">
        <f>IFERROR(VLOOKUP(B510, 'Duke 4'!A$3:$B998,2, 0), 0)</f>
        <v>0</v>
      </c>
      <c r="H510" s="10">
        <f>IFERROR(VLOOKUP(B510, Proof!A$2:$B998,2, 0), 0)</f>
        <v>0</v>
      </c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</row>
    <row r="511">
      <c r="A511" s="1">
        <f t="shared" si="1"/>
        <v>510</v>
      </c>
      <c r="B511" s="6"/>
      <c r="C511" s="8">
        <f t="shared" si="2"/>
        <v>0</v>
      </c>
      <c r="D511" s="9">
        <f>IFERROR(VLOOKUP(B511, 'Duke 1'!A$3:$B$85,2, 0), 0)</f>
        <v>0</v>
      </c>
      <c r="E511" s="9">
        <f>IFERROR(VLOOKUP(B511, 'Duke 2'!A$3:$B$522,2, 0), 0)</f>
        <v>0</v>
      </c>
      <c r="F511" s="10">
        <f>IFERROR(VLOOKUP(B511, 'Duke 3'!A$3:$B998,2, 0), 0)</f>
        <v>0</v>
      </c>
      <c r="G511" s="10">
        <f>IFERROR(VLOOKUP(B511, 'Duke 4'!A$3:$B998,2, 0), 0)</f>
        <v>0</v>
      </c>
      <c r="H511" s="10">
        <f>IFERROR(VLOOKUP(B511, Proof!A$2:$B998,2, 0), 0)</f>
        <v>0</v>
      </c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</row>
    <row r="512">
      <c r="A512" s="1">
        <f t="shared" si="1"/>
        <v>511</v>
      </c>
      <c r="B512" s="6"/>
      <c r="C512" s="8">
        <f t="shared" si="2"/>
        <v>0</v>
      </c>
      <c r="D512" s="9">
        <f>IFERROR(VLOOKUP(B512, 'Duke 1'!A$3:$B$85,2, 0), 0)</f>
        <v>0</v>
      </c>
      <c r="E512" s="9">
        <f>IFERROR(VLOOKUP(B512, 'Duke 2'!A$3:$B$522,2, 0), 0)</f>
        <v>0</v>
      </c>
      <c r="F512" s="10">
        <f>IFERROR(VLOOKUP(B512, 'Duke 3'!A$3:$B998,2, 0), 0)</f>
        <v>0</v>
      </c>
      <c r="G512" s="10">
        <f>IFERROR(VLOOKUP(B512, 'Duke 4'!A$3:$B998,2, 0), 0)</f>
        <v>0</v>
      </c>
      <c r="H512" s="10">
        <f>IFERROR(VLOOKUP(B512, Proof!A$2:$B998,2, 0), 0)</f>
        <v>0</v>
      </c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</row>
    <row r="513">
      <c r="A513" s="1">
        <f t="shared" si="1"/>
        <v>512</v>
      </c>
      <c r="B513" s="6"/>
      <c r="C513" s="8">
        <f t="shared" si="2"/>
        <v>0</v>
      </c>
      <c r="D513" s="9">
        <f>IFERROR(VLOOKUP(B513, 'Duke 1'!A$3:$B$85,2, 0), 0)</f>
        <v>0</v>
      </c>
      <c r="E513" s="9">
        <f>IFERROR(VLOOKUP(B513, 'Duke 2'!A$3:$B$522,2, 0), 0)</f>
        <v>0</v>
      </c>
      <c r="F513" s="10">
        <f>IFERROR(VLOOKUP(B513, 'Duke 3'!A$3:$B998,2, 0), 0)</f>
        <v>0</v>
      </c>
      <c r="G513" s="10">
        <f>IFERROR(VLOOKUP(B513, 'Duke 4'!A$3:$B998,2, 0), 0)</f>
        <v>0</v>
      </c>
      <c r="H513" s="10">
        <f>IFERROR(VLOOKUP(B513, Proof!A$2:$B998,2, 0), 0)</f>
        <v>0</v>
      </c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</row>
    <row r="514">
      <c r="A514" s="1">
        <f t="shared" si="1"/>
        <v>513</v>
      </c>
      <c r="B514" s="6"/>
      <c r="C514" s="8">
        <f t="shared" si="2"/>
        <v>0</v>
      </c>
      <c r="D514" s="9">
        <f>IFERROR(VLOOKUP(B514, 'Duke 1'!A$3:$B$85,2, 0), 0)</f>
        <v>0</v>
      </c>
      <c r="E514" s="9">
        <f>IFERROR(VLOOKUP(B514, 'Duke 2'!A$3:$B$522,2, 0), 0)</f>
        <v>0</v>
      </c>
      <c r="F514" s="10">
        <f>IFERROR(VLOOKUP(B514, 'Duke 3'!A$3:$B998,2, 0), 0)</f>
        <v>0</v>
      </c>
      <c r="G514" s="10">
        <f>IFERROR(VLOOKUP(B514, 'Duke 4'!A$3:$B998,2, 0), 0)</f>
        <v>0</v>
      </c>
      <c r="H514" s="10">
        <f>IFERROR(VLOOKUP(B514, Proof!A$2:$B998,2, 0), 0)</f>
        <v>0</v>
      </c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</row>
    <row r="515">
      <c r="A515" s="1">
        <f t="shared" si="1"/>
        <v>514</v>
      </c>
      <c r="B515" s="6"/>
      <c r="C515" s="8">
        <f t="shared" si="2"/>
        <v>0</v>
      </c>
      <c r="D515" s="9">
        <f>IFERROR(VLOOKUP(B515, 'Duke 1'!A$3:$B$85,2, 0), 0)</f>
        <v>0</v>
      </c>
      <c r="E515" s="9">
        <f>IFERROR(VLOOKUP(B515, 'Duke 2'!A$3:$B$522,2, 0), 0)</f>
        <v>0</v>
      </c>
      <c r="F515" s="10">
        <f>IFERROR(VLOOKUP(B515, 'Duke 3'!A$3:$B998,2, 0), 0)</f>
        <v>0</v>
      </c>
      <c r="G515" s="10">
        <f>IFERROR(VLOOKUP(B515, 'Duke 4'!A$3:$B998,2, 0), 0)</f>
        <v>0</v>
      </c>
      <c r="H515" s="10">
        <f>IFERROR(VLOOKUP(B515, Proof!A$2:$B998,2, 0), 0)</f>
        <v>0</v>
      </c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</row>
    <row r="516">
      <c r="A516" s="1">
        <f t="shared" si="1"/>
        <v>515</v>
      </c>
      <c r="B516" s="6"/>
      <c r="C516" s="8">
        <f t="shared" si="2"/>
        <v>0</v>
      </c>
      <c r="D516" s="9">
        <f>IFERROR(VLOOKUP(B516, 'Duke 1'!A$3:$B$85,2, 0), 0)</f>
        <v>0</v>
      </c>
      <c r="E516" s="9">
        <f>IFERROR(VLOOKUP(B516, 'Duke 2'!A$3:$B$522,2, 0), 0)</f>
        <v>0</v>
      </c>
      <c r="F516" s="10">
        <f>IFERROR(VLOOKUP(B516, 'Duke 3'!A$3:$B998,2, 0), 0)</f>
        <v>0</v>
      </c>
      <c r="G516" s="10">
        <f>IFERROR(VLOOKUP(B516, 'Duke 4'!A$3:$B998,2, 0), 0)</f>
        <v>0</v>
      </c>
      <c r="H516" s="10">
        <f>IFERROR(VLOOKUP(B516, Proof!A$2:$B998,2, 0), 0)</f>
        <v>0</v>
      </c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</row>
    <row r="517">
      <c r="A517" s="1">
        <f t="shared" si="1"/>
        <v>516</v>
      </c>
      <c r="B517" s="6"/>
      <c r="C517" s="8">
        <f t="shared" si="2"/>
        <v>0</v>
      </c>
      <c r="D517" s="9">
        <f>IFERROR(VLOOKUP(B517, 'Duke 1'!A$3:$B$85,2, 0), 0)</f>
        <v>0</v>
      </c>
      <c r="E517" s="9">
        <f>IFERROR(VLOOKUP(B517, 'Duke 2'!A$3:$B$522,2, 0), 0)</f>
        <v>0</v>
      </c>
      <c r="F517" s="10">
        <f>IFERROR(VLOOKUP(B517, 'Duke 3'!A$3:$B998,2, 0), 0)</f>
        <v>0</v>
      </c>
      <c r="G517" s="10">
        <f>IFERROR(VLOOKUP(B517, 'Duke 4'!A$3:$B998,2, 0), 0)</f>
        <v>0</v>
      </c>
      <c r="H517" s="10">
        <f>IFERROR(VLOOKUP(B517, Proof!A$2:$B998,2, 0), 0)</f>
        <v>0</v>
      </c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</row>
    <row r="518">
      <c r="A518" s="1">
        <f t="shared" si="1"/>
        <v>517</v>
      </c>
      <c r="B518" s="6"/>
      <c r="C518" s="8">
        <f t="shared" si="2"/>
        <v>0</v>
      </c>
      <c r="D518" s="9">
        <f>IFERROR(VLOOKUP(B518, 'Duke 1'!A$3:$B$85,2, 0), 0)</f>
        <v>0</v>
      </c>
      <c r="E518" s="9">
        <f>IFERROR(VLOOKUP(B518, 'Duke 2'!A$3:$B$522,2, 0), 0)</f>
        <v>0</v>
      </c>
      <c r="F518" s="10">
        <f>IFERROR(VLOOKUP(B518, 'Duke 3'!A$3:$B998,2, 0), 0)</f>
        <v>0</v>
      </c>
      <c r="G518" s="10">
        <f>IFERROR(VLOOKUP(B518, 'Duke 4'!A$3:$B998,2, 0), 0)</f>
        <v>0</v>
      </c>
      <c r="H518" s="10">
        <f>IFERROR(VLOOKUP(B518, Proof!A$2:$B998,2, 0), 0)</f>
        <v>0</v>
      </c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</row>
    <row r="519">
      <c r="A519" s="1">
        <f t="shared" si="1"/>
        <v>518</v>
      </c>
      <c r="B519" s="6"/>
      <c r="C519" s="8">
        <f t="shared" si="2"/>
        <v>0</v>
      </c>
      <c r="D519" s="9">
        <f>IFERROR(VLOOKUP(B519, 'Duke 1'!A$3:$B$85,2, 0), 0)</f>
        <v>0</v>
      </c>
      <c r="E519" s="9">
        <f>IFERROR(VLOOKUP(B519, 'Duke 2'!A$3:$B$522,2, 0), 0)</f>
        <v>0</v>
      </c>
      <c r="F519" s="10">
        <f>IFERROR(VLOOKUP(B519, 'Duke 3'!A$3:$B998,2, 0), 0)</f>
        <v>0</v>
      </c>
      <c r="G519" s="10">
        <f>IFERROR(VLOOKUP(B519, 'Duke 4'!A$3:$B998,2, 0), 0)</f>
        <v>0</v>
      </c>
      <c r="H519" s="10">
        <f>IFERROR(VLOOKUP(B519, Proof!A$2:$B998,2, 0), 0)</f>
        <v>0</v>
      </c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</row>
    <row r="520">
      <c r="A520" s="1">
        <f t="shared" si="1"/>
        <v>519</v>
      </c>
      <c r="B520" s="6"/>
      <c r="C520" s="8">
        <f t="shared" si="2"/>
        <v>0</v>
      </c>
      <c r="D520" s="9">
        <f>IFERROR(VLOOKUP(B520, 'Duke 1'!A$3:$B$85,2, 0), 0)</f>
        <v>0</v>
      </c>
      <c r="E520" s="9">
        <f>IFERROR(VLOOKUP(B520, 'Duke 2'!A$3:$B$522,2, 0), 0)</f>
        <v>0</v>
      </c>
      <c r="F520" s="10">
        <f>IFERROR(VLOOKUP(B520, 'Duke 3'!A$3:$B998,2, 0), 0)</f>
        <v>0</v>
      </c>
      <c r="G520" s="10">
        <f>IFERROR(VLOOKUP(B520, 'Duke 4'!A$3:$B998,2, 0), 0)</f>
        <v>0</v>
      </c>
      <c r="H520" s="10">
        <f>IFERROR(VLOOKUP(B520, Proof!A$2:$B998,2, 0), 0)</f>
        <v>0</v>
      </c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</row>
    <row r="521">
      <c r="A521" s="1">
        <f t="shared" si="1"/>
        <v>520</v>
      </c>
      <c r="B521" s="6"/>
      <c r="C521" s="8">
        <f t="shared" si="2"/>
        <v>0</v>
      </c>
      <c r="D521" s="9">
        <f>IFERROR(VLOOKUP(B521, 'Duke 1'!A$3:$B$85,2, 0), 0)</f>
        <v>0</v>
      </c>
      <c r="E521" s="9">
        <f>IFERROR(VLOOKUP(B521, 'Duke 2'!A$3:$B$522,2, 0), 0)</f>
        <v>0</v>
      </c>
      <c r="F521" s="10">
        <f>IFERROR(VLOOKUP(B521, 'Duke 3'!A$3:$B998,2, 0), 0)</f>
        <v>0</v>
      </c>
      <c r="G521" s="10">
        <f>IFERROR(VLOOKUP(B521, 'Duke 4'!A$3:$B998,2, 0), 0)</f>
        <v>0</v>
      </c>
      <c r="H521" s="10">
        <f>IFERROR(VLOOKUP(B521, Proof!A$2:$B998,2, 0), 0)</f>
        <v>0</v>
      </c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</row>
    <row r="522">
      <c r="A522" s="1">
        <f t="shared" si="1"/>
        <v>521</v>
      </c>
      <c r="B522" s="6"/>
      <c r="C522" s="8">
        <f t="shared" si="2"/>
        <v>0</v>
      </c>
      <c r="D522" s="9">
        <f>IFERROR(VLOOKUP(B522, 'Duke 1'!A$3:$B$85,2, 0), 0)</f>
        <v>0</v>
      </c>
      <c r="E522" s="9">
        <f>IFERROR(VLOOKUP(B522, 'Duke 2'!A$3:$B$522,2, 0), 0)</f>
        <v>0</v>
      </c>
      <c r="F522" s="10">
        <f>IFERROR(VLOOKUP(B522, 'Duke 3'!A$3:$B998,2, 0), 0)</f>
        <v>0</v>
      </c>
      <c r="G522" s="10">
        <f>IFERROR(VLOOKUP(B522, 'Duke 4'!A$3:$B998,2, 0), 0)</f>
        <v>0</v>
      </c>
      <c r="H522" s="10">
        <f>IFERROR(VLOOKUP(B522, Proof!A$2:$B998,2, 0), 0)</f>
        <v>0</v>
      </c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</row>
    <row r="523">
      <c r="A523" s="1">
        <f t="shared" si="1"/>
        <v>522</v>
      </c>
      <c r="B523" s="6"/>
      <c r="C523" s="8">
        <f t="shared" si="2"/>
        <v>0</v>
      </c>
      <c r="D523" s="9">
        <f>IFERROR(VLOOKUP(B523, 'Duke 1'!A$3:$B$85,2, 0), 0)</f>
        <v>0</v>
      </c>
      <c r="E523" s="9">
        <f>IFERROR(VLOOKUP(B523, 'Duke 2'!A$3:$B$522,2, 0), 0)</f>
        <v>0</v>
      </c>
      <c r="F523" s="10">
        <f>IFERROR(VLOOKUP(B523, 'Duke 3'!A$3:$B998,2, 0), 0)</f>
        <v>0</v>
      </c>
      <c r="G523" s="10">
        <f>IFERROR(VLOOKUP(B523, 'Duke 4'!A$3:$B998,2, 0), 0)</f>
        <v>0</v>
      </c>
      <c r="H523" s="10">
        <f>IFERROR(VLOOKUP(B523, Proof!A$2:$B998,2, 0), 0)</f>
        <v>0</v>
      </c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</row>
    <row r="524">
      <c r="A524" s="1">
        <f t="shared" si="1"/>
        <v>523</v>
      </c>
      <c r="B524" s="6"/>
      <c r="C524" s="8">
        <f t="shared" si="2"/>
        <v>0</v>
      </c>
      <c r="D524" s="9">
        <f>IFERROR(VLOOKUP(B524, 'Duke 1'!A$3:$B$85,2, 0), 0)</f>
        <v>0</v>
      </c>
      <c r="E524" s="9">
        <f>IFERROR(VLOOKUP(B524, 'Duke 2'!A$3:$B$522,2, 0), 0)</f>
        <v>0</v>
      </c>
      <c r="F524" s="10">
        <f>IFERROR(VLOOKUP(B524, 'Duke 3'!A$3:$B998,2, 0), 0)</f>
        <v>0</v>
      </c>
      <c r="G524" s="10">
        <f>IFERROR(VLOOKUP(B524, 'Duke 4'!A$3:$B998,2, 0), 0)</f>
        <v>0</v>
      </c>
      <c r="H524" s="10">
        <f>IFERROR(VLOOKUP(B524, Proof!A$2:$B998,2, 0), 0)</f>
        <v>0</v>
      </c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</row>
    <row r="525">
      <c r="A525" s="1">
        <f t="shared" si="1"/>
        <v>524</v>
      </c>
      <c r="B525" s="6"/>
      <c r="C525" s="8">
        <f t="shared" si="2"/>
        <v>0</v>
      </c>
      <c r="D525" s="9">
        <f>IFERROR(VLOOKUP(B525, 'Duke 1'!A$3:$B$85,2, 0), 0)</f>
        <v>0</v>
      </c>
      <c r="E525" s="9">
        <f>IFERROR(VLOOKUP(B525, 'Duke 2'!A$3:$B$522,2, 0), 0)</f>
        <v>0</v>
      </c>
      <c r="F525" s="10">
        <f>IFERROR(VLOOKUP(B525, 'Duke 3'!A$3:$B998,2, 0), 0)</f>
        <v>0</v>
      </c>
      <c r="G525" s="10">
        <f>IFERROR(VLOOKUP(B525, 'Duke 4'!A$3:$B998,2, 0), 0)</f>
        <v>0</v>
      </c>
      <c r="H525" s="10">
        <f>IFERROR(VLOOKUP(B525, Proof!A$2:$B998,2, 0), 0)</f>
        <v>0</v>
      </c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</row>
    <row r="526">
      <c r="A526" s="1">
        <f t="shared" si="1"/>
        <v>525</v>
      </c>
      <c r="B526" s="6"/>
      <c r="C526" s="8">
        <f t="shared" si="2"/>
        <v>0</v>
      </c>
      <c r="D526" s="9">
        <f>IFERROR(VLOOKUP(B526, 'Duke 1'!A$3:$B$85,2, 0), 0)</f>
        <v>0</v>
      </c>
      <c r="E526" s="9">
        <f>IFERROR(VLOOKUP(B526, 'Duke 2'!A$3:$B$522,2, 0), 0)</f>
        <v>0</v>
      </c>
      <c r="F526" s="10">
        <f>IFERROR(VLOOKUP(B526, 'Duke 3'!A$3:$B998,2, 0), 0)</f>
        <v>0</v>
      </c>
      <c r="G526" s="10">
        <f>IFERROR(VLOOKUP(B526, 'Duke 4'!A$3:$B998,2, 0), 0)</f>
        <v>0</v>
      </c>
      <c r="H526" s="10">
        <f>IFERROR(VLOOKUP(B526, Proof!A$2:$B998,2, 0), 0)</f>
        <v>0</v>
      </c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</row>
    <row r="527">
      <c r="A527" s="1">
        <f t="shared" si="1"/>
        <v>526</v>
      </c>
      <c r="B527" s="7"/>
      <c r="C527" s="8"/>
      <c r="D527" s="9"/>
      <c r="E527" s="9"/>
      <c r="F527" s="10"/>
      <c r="G527" s="10"/>
      <c r="H527" s="10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</row>
    <row r="528">
      <c r="A528" s="6"/>
      <c r="B528" s="6"/>
      <c r="C528" s="6"/>
      <c r="D528" s="18"/>
      <c r="E528" s="18"/>
      <c r="F528" s="19"/>
      <c r="G528" s="10">
        <f>IFERROR(VLOOKUP(B528, 'Duke 4'!A$3:$B998,2, 0), 0)</f>
        <v>0</v>
      </c>
      <c r="H528" s="10">
        <f>IFERROR(VLOOKUP(B528, Proof!A$2:$B998,2, 0), 0)</f>
        <v>0</v>
      </c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</row>
    <row r="529">
      <c r="A529" s="6"/>
      <c r="B529" s="6"/>
      <c r="C529" s="6"/>
      <c r="D529" s="18"/>
      <c r="E529" s="18"/>
      <c r="F529" s="19"/>
      <c r="G529" s="10">
        <f>IFERROR(VLOOKUP(B529, 'Duke 4'!A$3:$B998,2, 0), 0)</f>
        <v>0</v>
      </c>
      <c r="H529" s="10">
        <f>IFERROR(VLOOKUP(B529, Proof!A$2:$B998,2, 0), 0)</f>
        <v>0</v>
      </c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</row>
    <row r="530">
      <c r="A530" s="6"/>
      <c r="B530" s="6"/>
      <c r="C530" s="6"/>
      <c r="D530" s="18"/>
      <c r="E530" s="18"/>
      <c r="F530" s="19"/>
      <c r="G530" s="10">
        <f>IFERROR(VLOOKUP(B530, 'Duke 4'!A$3:$B998,2, 0), 0)</f>
        <v>0</v>
      </c>
      <c r="H530" s="10">
        <f>IFERROR(VLOOKUP(B530, Proof!A$2:$B998,2, 0), 0)</f>
        <v>0</v>
      </c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</row>
    <row r="531">
      <c r="A531" s="6"/>
      <c r="B531" s="6"/>
      <c r="C531" s="6"/>
      <c r="D531" s="18"/>
      <c r="E531" s="18"/>
      <c r="F531" s="19"/>
      <c r="G531" s="10">
        <f>IFERROR(VLOOKUP(B531, 'Duke 4'!A$3:$B998,2, 0), 0)</f>
        <v>0</v>
      </c>
      <c r="H531" s="10">
        <f>IFERROR(VLOOKUP(B531, Proof!A$2:$B998,2, 0), 0)</f>
        <v>0</v>
      </c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</row>
    <row r="532">
      <c r="A532" s="6"/>
      <c r="B532" s="6"/>
      <c r="C532" s="6"/>
      <c r="D532" s="18"/>
      <c r="E532" s="18"/>
      <c r="F532" s="19"/>
      <c r="G532" s="10">
        <f>IFERROR(VLOOKUP(B532, 'Duke 4'!A$3:$B998,2, 0), 0)</f>
        <v>0</v>
      </c>
      <c r="H532" s="10">
        <f>IFERROR(VLOOKUP(B532, Proof!A$2:$B998,2, 0), 0)</f>
        <v>0</v>
      </c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</row>
    <row r="533">
      <c r="A533" s="6"/>
      <c r="B533" s="6"/>
      <c r="C533" s="6"/>
      <c r="D533" s="18"/>
      <c r="E533" s="18"/>
      <c r="F533" s="19"/>
      <c r="G533" s="10">
        <f>IFERROR(VLOOKUP(B533, 'Duke 4'!A$3:$B998,2, 0), 0)</f>
        <v>0</v>
      </c>
      <c r="H533" s="10">
        <f>IFERROR(VLOOKUP(B533, Proof!A$2:$B998,2, 0), 0)</f>
        <v>0</v>
      </c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</row>
    <row r="534">
      <c r="A534" s="6"/>
      <c r="B534" s="6"/>
      <c r="C534" s="6"/>
      <c r="D534" s="18"/>
      <c r="E534" s="18"/>
      <c r="F534" s="19"/>
      <c r="G534" s="10">
        <f>IFERROR(VLOOKUP(B534, 'Duke 4'!A$3:$B998,2, 0), 0)</f>
        <v>0</v>
      </c>
      <c r="H534" s="10">
        <f>IFERROR(VLOOKUP(B534, Proof!A$2:$B998,2, 0), 0)</f>
        <v>0</v>
      </c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</row>
    <row r="535">
      <c r="A535" s="6"/>
      <c r="B535" s="6"/>
      <c r="C535" s="6"/>
      <c r="D535" s="18"/>
      <c r="E535" s="18"/>
      <c r="F535" s="19"/>
      <c r="G535" s="10">
        <f>IFERROR(VLOOKUP(B535, 'Duke 4'!A$3:$B998,2, 0), 0)</f>
        <v>0</v>
      </c>
      <c r="H535" s="10">
        <f>IFERROR(VLOOKUP(B535, Proof!A$2:$B998,2, 0), 0)</f>
        <v>0</v>
      </c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</row>
    <row r="536">
      <c r="A536" s="6"/>
      <c r="B536" s="6"/>
      <c r="C536" s="6"/>
      <c r="D536" s="18"/>
      <c r="E536" s="18"/>
      <c r="F536" s="19"/>
      <c r="G536" s="10">
        <f>IFERROR(VLOOKUP(B536, 'Duke 4'!A$3:$B998,2, 0), 0)</f>
        <v>0</v>
      </c>
      <c r="H536" s="10">
        <f>IFERROR(VLOOKUP(B536, Proof!A$2:$B998,2, 0), 0)</f>
        <v>0</v>
      </c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</row>
    <row r="537">
      <c r="A537" s="6"/>
      <c r="B537" s="6"/>
      <c r="C537" s="6"/>
      <c r="D537" s="18"/>
      <c r="E537" s="18"/>
      <c r="F537" s="19"/>
      <c r="G537" s="10">
        <f>IFERROR(VLOOKUP(B537, 'Duke 4'!A$3:$B998,2, 0), 0)</f>
        <v>0</v>
      </c>
      <c r="H537" s="10">
        <f>IFERROR(VLOOKUP(B537, Proof!A$2:$B998,2, 0), 0)</f>
        <v>0</v>
      </c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</row>
    <row r="538">
      <c r="A538" s="6"/>
      <c r="B538" s="6"/>
      <c r="C538" s="6"/>
      <c r="D538" s="18"/>
      <c r="E538" s="18"/>
      <c r="F538" s="19"/>
      <c r="G538" s="10">
        <f>IFERROR(VLOOKUP(B538, 'Duke 4'!A$3:$B998,2, 0), 0)</f>
        <v>0</v>
      </c>
      <c r="H538" s="10">
        <f>IFERROR(VLOOKUP(B538, Proof!A$2:$B998,2, 0), 0)</f>
        <v>0</v>
      </c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</row>
    <row r="539">
      <c r="A539" s="6"/>
      <c r="B539" s="6"/>
      <c r="C539" s="6"/>
      <c r="D539" s="18"/>
      <c r="E539" s="18"/>
      <c r="F539" s="19"/>
      <c r="G539" s="10">
        <f>IFERROR(VLOOKUP(B539, 'Duke 4'!A$3:$B998,2, 0), 0)</f>
        <v>0</v>
      </c>
      <c r="H539" s="10">
        <f>IFERROR(VLOOKUP(B539, Proof!A$2:$B998,2, 0), 0)</f>
        <v>0</v>
      </c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</row>
    <row r="540">
      <c r="A540" s="6"/>
      <c r="B540" s="6"/>
      <c r="C540" s="6"/>
      <c r="D540" s="18"/>
      <c r="E540" s="18"/>
      <c r="F540" s="19"/>
      <c r="G540" s="10">
        <f>IFERROR(VLOOKUP(B540, 'Duke 4'!A$3:$B998,2, 0), 0)</f>
        <v>0</v>
      </c>
      <c r="H540" s="10">
        <f>IFERROR(VLOOKUP(B540, Proof!A$2:$B998,2, 0), 0)</f>
        <v>0</v>
      </c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</row>
    <row r="541">
      <c r="A541" s="6"/>
      <c r="B541" s="6"/>
      <c r="C541" s="6"/>
      <c r="D541" s="18"/>
      <c r="E541" s="18"/>
      <c r="F541" s="19"/>
      <c r="G541" s="10">
        <f>IFERROR(VLOOKUP(B541, 'Duke 4'!A$3:$B998,2, 0), 0)</f>
        <v>0</v>
      </c>
      <c r="H541" s="10">
        <f>IFERROR(VLOOKUP(B541, Proof!A$2:$B998,2, 0), 0)</f>
        <v>0</v>
      </c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</row>
    <row r="542">
      <c r="A542" s="6"/>
      <c r="B542" s="6"/>
      <c r="C542" s="6"/>
      <c r="D542" s="18"/>
      <c r="E542" s="18"/>
      <c r="F542" s="19"/>
      <c r="G542" s="10">
        <f>IFERROR(VLOOKUP(B542, 'Duke 4'!A$3:$B998,2, 0), 0)</f>
        <v>0</v>
      </c>
      <c r="H542" s="10">
        <f>IFERROR(VLOOKUP(B542, Proof!A$2:$B998,2, 0), 0)</f>
        <v>0</v>
      </c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</row>
    <row r="543">
      <c r="A543" s="6"/>
      <c r="B543" s="6"/>
      <c r="C543" s="6"/>
      <c r="D543" s="18"/>
      <c r="E543" s="18"/>
      <c r="F543" s="19"/>
      <c r="G543" s="10">
        <f>IFERROR(VLOOKUP(B543, 'Duke 4'!A$3:$B998,2, 0), 0)</f>
        <v>0</v>
      </c>
      <c r="H543" s="10">
        <f>IFERROR(VLOOKUP(B543, Proof!A$2:$B998,2, 0), 0)</f>
        <v>0</v>
      </c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</row>
    <row r="544">
      <c r="A544" s="6"/>
      <c r="B544" s="6"/>
      <c r="C544" s="6"/>
      <c r="D544" s="18"/>
      <c r="E544" s="18"/>
      <c r="F544" s="19"/>
      <c r="G544" s="10">
        <f>IFERROR(VLOOKUP(B544, 'Duke 4'!A$3:$B998,2, 0), 0)</f>
        <v>0</v>
      </c>
      <c r="H544" s="10">
        <f>IFERROR(VLOOKUP(B544, Proof!A$2:$B998,2, 0), 0)</f>
        <v>0</v>
      </c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</row>
    <row r="545">
      <c r="A545" s="6"/>
      <c r="B545" s="6"/>
      <c r="C545" s="6"/>
      <c r="D545" s="18"/>
      <c r="E545" s="18"/>
      <c r="F545" s="19"/>
      <c r="G545" s="10">
        <f>IFERROR(VLOOKUP(B545, 'Duke 4'!A$3:$B998,2, 0), 0)</f>
        <v>0</v>
      </c>
      <c r="H545" s="10">
        <f>IFERROR(VLOOKUP(B545, Proof!A$2:$B998,2, 0), 0)</f>
        <v>0</v>
      </c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</row>
    <row r="546">
      <c r="A546" s="6"/>
      <c r="B546" s="6"/>
      <c r="C546" s="6"/>
      <c r="D546" s="18"/>
      <c r="E546" s="18"/>
      <c r="F546" s="19"/>
      <c r="G546" s="10">
        <f>IFERROR(VLOOKUP(B546, 'Duke 4'!A$3:$B998,2, 0), 0)</f>
        <v>0</v>
      </c>
      <c r="H546" s="10">
        <f>IFERROR(VLOOKUP(B546, Proof!A$2:$B998,2, 0), 0)</f>
        <v>0</v>
      </c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</row>
    <row r="547">
      <c r="A547" s="6"/>
      <c r="B547" s="6"/>
      <c r="C547" s="6"/>
      <c r="D547" s="18"/>
      <c r="E547" s="18"/>
      <c r="F547" s="19"/>
      <c r="G547" s="10">
        <f>IFERROR(VLOOKUP(B547, 'Duke 4'!A$3:$B998,2, 0), 0)</f>
        <v>0</v>
      </c>
      <c r="H547" s="10">
        <f>IFERROR(VLOOKUP(B547, Proof!A$2:$B998,2, 0), 0)</f>
        <v>0</v>
      </c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</row>
    <row r="548">
      <c r="A548" s="6"/>
      <c r="B548" s="6"/>
      <c r="C548" s="6"/>
      <c r="D548" s="18"/>
      <c r="E548" s="18"/>
      <c r="F548" s="19"/>
      <c r="G548" s="10">
        <f>IFERROR(VLOOKUP(B548, 'Duke 4'!A$3:$B998,2, 0), 0)</f>
        <v>0</v>
      </c>
      <c r="H548" s="10">
        <f>IFERROR(VLOOKUP(B548, Proof!A$2:$B998,2, 0), 0)</f>
        <v>0</v>
      </c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</row>
    <row r="549">
      <c r="A549" s="6"/>
      <c r="B549" s="6"/>
      <c r="C549" s="6"/>
      <c r="D549" s="18"/>
      <c r="E549" s="18"/>
      <c r="F549" s="19"/>
      <c r="G549" s="10">
        <f>IFERROR(VLOOKUP(B549, 'Duke 4'!A$3:$B998,2, 0), 0)</f>
        <v>0</v>
      </c>
      <c r="H549" s="10">
        <f>IFERROR(VLOOKUP(B549, Proof!A$2:$B998,2, 0), 0)</f>
        <v>0</v>
      </c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</row>
    <row r="550">
      <c r="A550" s="6"/>
      <c r="B550" s="6"/>
      <c r="C550" s="6"/>
      <c r="D550" s="18"/>
      <c r="E550" s="18"/>
      <c r="F550" s="19"/>
      <c r="G550" s="10">
        <f>IFERROR(VLOOKUP(B550, 'Duke 4'!A$3:$B998,2, 0), 0)</f>
        <v>0</v>
      </c>
      <c r="H550" s="10">
        <f>IFERROR(VLOOKUP(B550, Proof!A$2:$B998,2, 0), 0)</f>
        <v>0</v>
      </c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</row>
    <row r="551">
      <c r="A551" s="6"/>
      <c r="B551" s="6"/>
      <c r="C551" s="6"/>
      <c r="D551" s="18"/>
      <c r="E551" s="18"/>
      <c r="F551" s="19"/>
      <c r="G551" s="10">
        <f>IFERROR(VLOOKUP(B551, 'Duke 4'!A$3:$B998,2, 0), 0)</f>
        <v>0</v>
      </c>
      <c r="H551" s="10">
        <f>IFERROR(VLOOKUP(B551, Proof!A$2:$B998,2, 0), 0)</f>
        <v>0</v>
      </c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</row>
    <row r="552">
      <c r="A552" s="6"/>
      <c r="B552" s="6"/>
      <c r="C552" s="6"/>
      <c r="D552" s="18"/>
      <c r="E552" s="18"/>
      <c r="F552" s="19"/>
      <c r="G552" s="10">
        <f>IFERROR(VLOOKUP(B552, 'Duke 4'!A$3:$B998,2, 0), 0)</f>
        <v>0</v>
      </c>
      <c r="H552" s="10">
        <f>IFERROR(VLOOKUP(B552, Proof!A$2:$B998,2, 0), 0)</f>
        <v>0</v>
      </c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</row>
    <row r="553">
      <c r="A553" s="6"/>
      <c r="B553" s="6"/>
      <c r="C553" s="6"/>
      <c r="D553" s="18"/>
      <c r="E553" s="18"/>
      <c r="F553" s="19"/>
      <c r="G553" s="10">
        <f>IFERROR(VLOOKUP(B553, 'Duke 4'!A$3:$B998,2, 0), 0)</f>
        <v>0</v>
      </c>
      <c r="H553" s="10">
        <f>IFERROR(VLOOKUP(B553, Proof!A$2:$B998,2, 0), 0)</f>
        <v>0</v>
      </c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</row>
    <row r="554">
      <c r="A554" s="6"/>
      <c r="B554" s="6"/>
      <c r="C554" s="6"/>
      <c r="D554" s="18"/>
      <c r="E554" s="18"/>
      <c r="F554" s="19"/>
      <c r="G554" s="10">
        <f>IFERROR(VLOOKUP(B554, 'Duke 4'!A$3:$B998,2, 0), 0)</f>
        <v>0</v>
      </c>
      <c r="H554" s="10">
        <f>IFERROR(VLOOKUP(B554, Proof!A$2:$B998,2, 0), 0)</f>
        <v>0</v>
      </c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</row>
    <row r="555">
      <c r="A555" s="6"/>
      <c r="B555" s="6"/>
      <c r="C555" s="6"/>
      <c r="D555" s="18"/>
      <c r="E555" s="18"/>
      <c r="F555" s="19"/>
      <c r="G555" s="10">
        <f>IFERROR(VLOOKUP(B555, 'Duke 4'!A$3:$B998,2, 0), 0)</f>
        <v>0</v>
      </c>
      <c r="H555" s="10">
        <f>IFERROR(VLOOKUP(B555, Proof!A$2:$B998,2, 0), 0)</f>
        <v>0</v>
      </c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</row>
    <row r="556">
      <c r="A556" s="6"/>
      <c r="B556" s="6"/>
      <c r="C556" s="6"/>
      <c r="D556" s="18"/>
      <c r="E556" s="18"/>
      <c r="F556" s="19"/>
      <c r="G556" s="10">
        <f>IFERROR(VLOOKUP(B556, 'Duke 4'!A$3:$B998,2, 0), 0)</f>
        <v>0</v>
      </c>
      <c r="H556" s="10">
        <f>IFERROR(VLOOKUP(B556, Proof!A$2:$B998,2, 0), 0)</f>
        <v>0</v>
      </c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</row>
    <row r="557">
      <c r="A557" s="6"/>
      <c r="B557" s="6"/>
      <c r="C557" s="6"/>
      <c r="D557" s="18"/>
      <c r="E557" s="18"/>
      <c r="F557" s="19"/>
      <c r="G557" s="10">
        <f>IFERROR(VLOOKUP(B557, 'Duke 4'!A$3:$B998,2, 0), 0)</f>
        <v>0</v>
      </c>
      <c r="H557" s="10">
        <f>IFERROR(VLOOKUP(B557, Proof!A$2:$B998,2, 0), 0)</f>
        <v>0</v>
      </c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</row>
    <row r="558">
      <c r="A558" s="6"/>
      <c r="B558" s="6"/>
      <c r="C558" s="6"/>
      <c r="D558" s="18"/>
      <c r="E558" s="18"/>
      <c r="F558" s="19"/>
      <c r="G558" s="10">
        <f>IFERROR(VLOOKUP(B558, 'Duke 4'!A$3:$B998,2, 0), 0)</f>
        <v>0</v>
      </c>
      <c r="H558" s="10">
        <f>IFERROR(VLOOKUP(B558, Proof!A$2:$B998,2, 0), 0)</f>
        <v>0</v>
      </c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</row>
    <row r="559">
      <c r="A559" s="6"/>
      <c r="B559" s="6"/>
      <c r="C559" s="6"/>
      <c r="D559" s="18"/>
      <c r="E559" s="18"/>
      <c r="F559" s="19"/>
      <c r="G559" s="10">
        <f>IFERROR(VLOOKUP(B559, 'Duke 4'!A$3:$B998,2, 0), 0)</f>
        <v>0</v>
      </c>
      <c r="H559" s="10">
        <f>IFERROR(VLOOKUP(B559, Proof!A$2:$B998,2, 0), 0)</f>
        <v>0</v>
      </c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</row>
    <row r="560">
      <c r="A560" s="6"/>
      <c r="B560" s="6"/>
      <c r="C560" s="6"/>
      <c r="D560" s="18"/>
      <c r="E560" s="18"/>
      <c r="F560" s="19"/>
      <c r="G560" s="10">
        <f>IFERROR(VLOOKUP(B560, 'Duke 4'!A$3:$B998,2, 0), 0)</f>
        <v>0</v>
      </c>
      <c r="H560" s="10">
        <f>IFERROR(VLOOKUP(B560, Proof!A$2:$B998,2, 0), 0)</f>
        <v>0</v>
      </c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</row>
    <row r="561">
      <c r="A561" s="6"/>
      <c r="B561" s="6"/>
      <c r="C561" s="6"/>
      <c r="D561" s="18"/>
      <c r="E561" s="18"/>
      <c r="F561" s="19"/>
      <c r="G561" s="10">
        <f>IFERROR(VLOOKUP(B561, 'Duke 4'!A$3:$B998,2, 0), 0)</f>
        <v>0</v>
      </c>
      <c r="H561" s="10">
        <f>IFERROR(VLOOKUP(B561, Proof!A$2:$B998,2, 0), 0)</f>
        <v>0</v>
      </c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</row>
    <row r="562">
      <c r="A562" s="6"/>
      <c r="B562" s="6"/>
      <c r="C562" s="6"/>
      <c r="D562" s="18"/>
      <c r="E562" s="18"/>
      <c r="F562" s="19"/>
      <c r="G562" s="10">
        <f>IFERROR(VLOOKUP(B562, 'Duke 4'!A$3:$B998,2, 0), 0)</f>
        <v>0</v>
      </c>
      <c r="H562" s="10">
        <f>IFERROR(VLOOKUP(B562, Proof!A$2:$B998,2, 0), 0)</f>
        <v>0</v>
      </c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</row>
    <row r="563">
      <c r="A563" s="6"/>
      <c r="B563" s="6"/>
      <c r="C563" s="6"/>
      <c r="D563" s="18"/>
      <c r="E563" s="18"/>
      <c r="F563" s="19"/>
      <c r="G563" s="10">
        <f>IFERROR(VLOOKUP(B563, 'Duke 4'!A$3:$B998,2, 0), 0)</f>
        <v>0</v>
      </c>
      <c r="H563" s="10">
        <f>IFERROR(VLOOKUP(B563, Proof!A$2:$B998,2, 0), 0)</f>
        <v>0</v>
      </c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</row>
    <row r="564">
      <c r="A564" s="6"/>
      <c r="B564" s="6"/>
      <c r="C564" s="6"/>
      <c r="D564" s="18"/>
      <c r="E564" s="18"/>
      <c r="F564" s="19"/>
      <c r="G564" s="10">
        <f>IFERROR(VLOOKUP(B564, 'Duke 4'!A$3:$B998,2, 0), 0)</f>
        <v>0</v>
      </c>
      <c r="H564" s="10">
        <f>IFERROR(VLOOKUP(B564, Proof!A$2:$B998,2, 0), 0)</f>
        <v>0</v>
      </c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</row>
    <row r="565">
      <c r="A565" s="6"/>
      <c r="B565" s="6"/>
      <c r="C565" s="6"/>
      <c r="D565" s="18"/>
      <c r="E565" s="18"/>
      <c r="F565" s="19"/>
      <c r="G565" s="10">
        <f>IFERROR(VLOOKUP(B565, 'Duke 4'!A$3:$B998,2, 0), 0)</f>
        <v>0</v>
      </c>
      <c r="H565" s="10">
        <f>IFERROR(VLOOKUP(B565, Proof!A$2:$B998,2, 0), 0)</f>
        <v>0</v>
      </c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</row>
    <row r="566">
      <c r="A566" s="6"/>
      <c r="B566" s="6"/>
      <c r="C566" s="6"/>
      <c r="D566" s="18"/>
      <c r="E566" s="18"/>
      <c r="F566" s="19"/>
      <c r="G566" s="10">
        <f>IFERROR(VLOOKUP(B566, 'Duke 4'!A$3:$B998,2, 0), 0)</f>
        <v>0</v>
      </c>
      <c r="H566" s="10">
        <f>IFERROR(VLOOKUP(B566, Proof!A$2:$B998,2, 0), 0)</f>
        <v>0</v>
      </c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</row>
    <row r="567">
      <c r="A567" s="6"/>
      <c r="B567" s="6"/>
      <c r="C567" s="6"/>
      <c r="D567" s="18"/>
      <c r="E567" s="18"/>
      <c r="F567" s="19"/>
      <c r="G567" s="10">
        <f>IFERROR(VLOOKUP(B567, 'Duke 4'!A$3:$B998,2, 0), 0)</f>
        <v>0</v>
      </c>
      <c r="H567" s="10">
        <f>IFERROR(VLOOKUP(B567, Proof!A$2:$B998,2, 0), 0)</f>
        <v>0</v>
      </c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</row>
    <row r="568">
      <c r="A568" s="6"/>
      <c r="B568" s="6"/>
      <c r="C568" s="6"/>
      <c r="D568" s="18"/>
      <c r="E568" s="18"/>
      <c r="F568" s="19"/>
      <c r="G568" s="10">
        <f>IFERROR(VLOOKUP(B568, 'Duke 4'!A$3:$B998,2, 0), 0)</f>
        <v>0</v>
      </c>
      <c r="H568" s="10">
        <f>IFERROR(VLOOKUP(B568, Proof!A$2:$B998,2, 0), 0)</f>
        <v>0</v>
      </c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</row>
    <row r="569">
      <c r="A569" s="6"/>
      <c r="B569" s="6"/>
      <c r="C569" s="6"/>
      <c r="D569" s="18"/>
      <c r="E569" s="18"/>
      <c r="F569" s="19"/>
      <c r="G569" s="10">
        <f>IFERROR(VLOOKUP(B569, 'Duke 4'!A$3:$B998,2, 0), 0)</f>
        <v>0</v>
      </c>
      <c r="H569" s="10">
        <f>IFERROR(VLOOKUP(B569, Proof!A$2:$B998,2, 0), 0)</f>
        <v>0</v>
      </c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</row>
    <row r="570">
      <c r="A570" s="6"/>
      <c r="B570" s="6"/>
      <c r="C570" s="6"/>
      <c r="D570" s="18"/>
      <c r="E570" s="18"/>
      <c r="F570" s="19"/>
      <c r="G570" s="10">
        <f>IFERROR(VLOOKUP(B570, 'Duke 4'!A$3:$B998,2, 0), 0)</f>
        <v>0</v>
      </c>
      <c r="H570" s="10">
        <f>IFERROR(VLOOKUP(B570, Proof!A$2:$B998,2, 0), 0)</f>
        <v>0</v>
      </c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</row>
    <row r="571">
      <c r="A571" s="6"/>
      <c r="B571" s="6"/>
      <c r="C571" s="6"/>
      <c r="D571" s="18"/>
      <c r="E571" s="18"/>
      <c r="F571" s="19"/>
      <c r="G571" s="10">
        <f>IFERROR(VLOOKUP(B571, 'Duke 4'!A$3:$B998,2, 0), 0)</f>
        <v>0</v>
      </c>
      <c r="H571" s="10">
        <f>IFERROR(VLOOKUP(B571, Proof!A$2:$B998,2, 0), 0)</f>
        <v>0</v>
      </c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</row>
    <row r="572">
      <c r="A572" s="6"/>
      <c r="B572" s="6"/>
      <c r="C572" s="6"/>
      <c r="D572" s="18"/>
      <c r="E572" s="18"/>
      <c r="F572" s="19"/>
      <c r="G572" s="10">
        <f>IFERROR(VLOOKUP(B572, 'Duke 4'!A$3:$B998,2, 0), 0)</f>
        <v>0</v>
      </c>
      <c r="H572" s="10">
        <f>IFERROR(VLOOKUP(B572, Proof!A$2:$B998,2, 0), 0)</f>
        <v>0</v>
      </c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</row>
    <row r="573">
      <c r="A573" s="6"/>
      <c r="B573" s="6"/>
      <c r="C573" s="6"/>
      <c r="D573" s="18"/>
      <c r="E573" s="18"/>
      <c r="F573" s="19"/>
      <c r="G573" s="10">
        <f>IFERROR(VLOOKUP(B573, 'Duke 4'!A$3:$B998,2, 0), 0)</f>
        <v>0</v>
      </c>
      <c r="H573" s="10">
        <f>IFERROR(VLOOKUP(B573, Proof!A$2:$B998,2, 0), 0)</f>
        <v>0</v>
      </c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</row>
    <row r="574">
      <c r="A574" s="6"/>
      <c r="B574" s="6"/>
      <c r="C574" s="6"/>
      <c r="D574" s="18"/>
      <c r="E574" s="18"/>
      <c r="F574" s="19"/>
      <c r="G574" s="10">
        <f>IFERROR(VLOOKUP(B574, 'Duke 4'!A$3:$B998,2, 0), 0)</f>
        <v>0</v>
      </c>
      <c r="H574" s="10">
        <f>IFERROR(VLOOKUP(B574, Proof!A$2:$B998,2, 0), 0)</f>
        <v>0</v>
      </c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</row>
    <row r="575">
      <c r="A575" s="6"/>
      <c r="B575" s="6"/>
      <c r="C575" s="6"/>
      <c r="D575" s="18"/>
      <c r="E575" s="18"/>
      <c r="F575" s="19"/>
      <c r="G575" s="10">
        <f>IFERROR(VLOOKUP(B575, 'Duke 4'!A$3:$B998,2, 0), 0)</f>
        <v>0</v>
      </c>
      <c r="H575" s="10">
        <f>IFERROR(VLOOKUP(B575, Proof!A$2:$B998,2, 0), 0)</f>
        <v>0</v>
      </c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</row>
    <row r="576">
      <c r="A576" s="6"/>
      <c r="B576" s="6"/>
      <c r="C576" s="6"/>
      <c r="D576" s="18"/>
      <c r="E576" s="18"/>
      <c r="F576" s="19"/>
      <c r="G576" s="10">
        <f>IFERROR(VLOOKUP(B576, 'Duke 4'!A$3:$B998,2, 0), 0)</f>
        <v>0</v>
      </c>
      <c r="H576" s="10">
        <f>IFERROR(VLOOKUP(B576, Proof!A$2:$B998,2, 0), 0)</f>
        <v>0</v>
      </c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</row>
    <row r="577">
      <c r="A577" s="6"/>
      <c r="B577" s="6"/>
      <c r="C577" s="6"/>
      <c r="D577" s="18"/>
      <c r="E577" s="18"/>
      <c r="F577" s="19"/>
      <c r="G577" s="10">
        <f>IFERROR(VLOOKUP(B577, 'Duke 4'!A$3:$B998,2, 0), 0)</f>
        <v>0</v>
      </c>
      <c r="H577" s="10">
        <f>IFERROR(VLOOKUP(B577, Proof!A$2:$B998,2, 0), 0)</f>
        <v>0</v>
      </c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</row>
    <row r="578">
      <c r="A578" s="6"/>
      <c r="B578" s="6"/>
      <c r="C578" s="6"/>
      <c r="D578" s="18"/>
      <c r="E578" s="18"/>
      <c r="F578" s="19"/>
      <c r="G578" s="10">
        <f>IFERROR(VLOOKUP(B578, 'Duke 4'!A$3:$B998,2, 0), 0)</f>
        <v>0</v>
      </c>
      <c r="H578" s="10">
        <f>IFERROR(VLOOKUP(B578, Proof!A$2:$B998,2, 0), 0)</f>
        <v>0</v>
      </c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</row>
    <row r="579">
      <c r="A579" s="6"/>
      <c r="B579" s="6"/>
      <c r="C579" s="6"/>
      <c r="D579" s="18"/>
      <c r="E579" s="18"/>
      <c r="F579" s="19"/>
      <c r="G579" s="10">
        <f>IFERROR(VLOOKUP(B579, 'Duke 4'!A$3:$B998,2, 0), 0)</f>
        <v>0</v>
      </c>
      <c r="H579" s="10">
        <f>IFERROR(VLOOKUP(B579, Proof!A$2:$B998,2, 0), 0)</f>
        <v>0</v>
      </c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</row>
    <row r="580">
      <c r="A580" s="6"/>
      <c r="B580" s="6"/>
      <c r="C580" s="6"/>
      <c r="D580" s="18"/>
      <c r="E580" s="18"/>
      <c r="F580" s="19"/>
      <c r="G580" s="10">
        <f>IFERROR(VLOOKUP(B580, 'Duke 4'!A$3:$B998,2, 0), 0)</f>
        <v>0</v>
      </c>
      <c r="H580" s="10">
        <f>IFERROR(VLOOKUP(B580, Proof!A$2:$B998,2, 0), 0)</f>
        <v>0</v>
      </c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</row>
    <row r="581">
      <c r="A581" s="6"/>
      <c r="B581" s="6"/>
      <c r="C581" s="6"/>
      <c r="D581" s="18"/>
      <c r="E581" s="18"/>
      <c r="F581" s="19"/>
      <c r="G581" s="10">
        <f>IFERROR(VLOOKUP(B581, 'Duke 4'!A$3:$B998,2, 0), 0)</f>
        <v>0</v>
      </c>
      <c r="H581" s="10">
        <f>IFERROR(VLOOKUP(B581, Proof!A$2:$B998,2, 0), 0)</f>
        <v>0</v>
      </c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</row>
    <row r="582">
      <c r="A582" s="6"/>
      <c r="B582" s="6"/>
      <c r="C582" s="6"/>
      <c r="D582" s="18"/>
      <c r="E582" s="18"/>
      <c r="F582" s="19"/>
      <c r="G582" s="10">
        <f>IFERROR(VLOOKUP(B582, 'Duke 4'!A$3:$B998,2, 0), 0)</f>
        <v>0</v>
      </c>
      <c r="H582" s="10">
        <f>IFERROR(VLOOKUP(B582, Proof!A$2:$B998,2, 0), 0)</f>
        <v>0</v>
      </c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</row>
    <row r="583">
      <c r="A583" s="6"/>
      <c r="B583" s="6"/>
      <c r="C583" s="6"/>
      <c r="D583" s="18"/>
      <c r="E583" s="18"/>
      <c r="F583" s="19"/>
      <c r="G583" s="10">
        <f>IFERROR(VLOOKUP(B583, 'Duke 4'!A$3:$B998,2, 0), 0)</f>
        <v>0</v>
      </c>
      <c r="H583" s="10">
        <f>IFERROR(VLOOKUP(B583, Proof!A$2:$B998,2, 0), 0)</f>
        <v>0</v>
      </c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</row>
    <row r="584">
      <c r="A584" s="6"/>
      <c r="B584" s="6"/>
      <c r="C584" s="6"/>
      <c r="D584" s="18"/>
      <c r="E584" s="18"/>
      <c r="F584" s="19"/>
      <c r="G584" s="10">
        <f>IFERROR(VLOOKUP(B584, 'Duke 4'!A$3:$B998,2, 0), 0)</f>
        <v>0</v>
      </c>
      <c r="H584" s="10">
        <f>IFERROR(VLOOKUP(B584, Proof!A$2:$B998,2, 0), 0)</f>
        <v>0</v>
      </c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</row>
    <row r="585">
      <c r="A585" s="6"/>
      <c r="B585" s="6"/>
      <c r="C585" s="6"/>
      <c r="D585" s="18"/>
      <c r="E585" s="18"/>
      <c r="F585" s="19"/>
      <c r="G585" s="10">
        <f>IFERROR(VLOOKUP(B585, 'Duke 4'!A$3:$B998,2, 0), 0)</f>
        <v>0</v>
      </c>
      <c r="H585" s="10">
        <f>IFERROR(VLOOKUP(B585, Proof!A$2:$B998,2, 0), 0)</f>
        <v>0</v>
      </c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</row>
    <row r="586">
      <c r="A586" s="6"/>
      <c r="B586" s="6"/>
      <c r="C586" s="6"/>
      <c r="D586" s="18"/>
      <c r="E586" s="18"/>
      <c r="F586" s="19"/>
      <c r="G586" s="10">
        <f>IFERROR(VLOOKUP(B586, 'Duke 4'!A$3:$B998,2, 0), 0)</f>
        <v>0</v>
      </c>
      <c r="H586" s="10">
        <f>IFERROR(VLOOKUP(B586, Proof!A$2:$B998,2, 0), 0)</f>
        <v>0</v>
      </c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</row>
    <row r="587">
      <c r="A587" s="6"/>
      <c r="B587" s="6"/>
      <c r="C587" s="6"/>
      <c r="D587" s="18"/>
      <c r="E587" s="18"/>
      <c r="F587" s="19"/>
      <c r="G587" s="10">
        <f>IFERROR(VLOOKUP(B587, 'Duke 4'!A$3:$B998,2, 0), 0)</f>
        <v>0</v>
      </c>
      <c r="H587" s="10">
        <f>IFERROR(VLOOKUP(B587, Proof!A$2:$B998,2, 0), 0)</f>
        <v>0</v>
      </c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</row>
    <row r="588">
      <c r="A588" s="6"/>
      <c r="B588" s="6"/>
      <c r="C588" s="6"/>
      <c r="D588" s="18"/>
      <c r="E588" s="18"/>
      <c r="F588" s="19"/>
      <c r="G588" s="10">
        <f>IFERROR(VLOOKUP(B588, 'Duke 4'!A$3:$B998,2, 0), 0)</f>
        <v>0</v>
      </c>
      <c r="H588" s="10">
        <f>IFERROR(VLOOKUP(B588, Proof!A$2:$B998,2, 0), 0)</f>
        <v>0</v>
      </c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</row>
    <row r="589">
      <c r="A589" s="6"/>
      <c r="B589" s="6"/>
      <c r="C589" s="6"/>
      <c r="D589" s="18"/>
      <c r="E589" s="18"/>
      <c r="F589" s="19"/>
      <c r="G589" s="10">
        <f>IFERROR(VLOOKUP(B589, 'Duke 4'!A$3:$B998,2, 0), 0)</f>
        <v>0</v>
      </c>
      <c r="H589" s="10">
        <f>IFERROR(VLOOKUP(B589, Proof!A$2:$B998,2, 0), 0)</f>
        <v>0</v>
      </c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</row>
    <row r="590">
      <c r="A590" s="6"/>
      <c r="B590" s="6"/>
      <c r="C590" s="6"/>
      <c r="D590" s="18"/>
      <c r="E590" s="18"/>
      <c r="F590" s="19"/>
      <c r="G590" s="10">
        <f>IFERROR(VLOOKUP(B590, 'Duke 4'!A$3:$B998,2, 0), 0)</f>
        <v>0</v>
      </c>
      <c r="H590" s="10">
        <f>IFERROR(VLOOKUP(B590, Proof!A$2:$B998,2, 0), 0)</f>
        <v>0</v>
      </c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</row>
    <row r="591">
      <c r="A591" s="6"/>
      <c r="B591" s="6"/>
      <c r="C591" s="6"/>
      <c r="D591" s="18"/>
      <c r="E591" s="18"/>
      <c r="F591" s="19"/>
      <c r="G591" s="10">
        <f>IFERROR(VLOOKUP(B591, 'Duke 4'!A$3:$B998,2, 0), 0)</f>
        <v>0</v>
      </c>
      <c r="H591" s="10">
        <f>IFERROR(VLOOKUP(B591, Proof!A$2:$B998,2, 0), 0)</f>
        <v>0</v>
      </c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</row>
    <row r="592">
      <c r="A592" s="6"/>
      <c r="B592" s="6"/>
      <c r="C592" s="6"/>
      <c r="D592" s="18"/>
      <c r="E592" s="18"/>
      <c r="F592" s="19"/>
      <c r="G592" s="10">
        <f>IFERROR(VLOOKUP(B592, 'Duke 4'!A$3:$B998,2, 0), 0)</f>
        <v>0</v>
      </c>
      <c r="H592" s="10">
        <f>IFERROR(VLOOKUP(B592, Proof!A$2:$B998,2, 0), 0)</f>
        <v>0</v>
      </c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</row>
    <row r="593">
      <c r="A593" s="6"/>
      <c r="B593" s="6"/>
      <c r="C593" s="6"/>
      <c r="D593" s="18"/>
      <c r="E593" s="18"/>
      <c r="F593" s="19"/>
      <c r="G593" s="10">
        <f>IFERROR(VLOOKUP(B593, 'Duke 4'!A$3:$B998,2, 0), 0)</f>
        <v>0</v>
      </c>
      <c r="H593" s="10">
        <f>IFERROR(VLOOKUP(B593, Proof!A$2:$B998,2, 0), 0)</f>
        <v>0</v>
      </c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</row>
    <row r="594">
      <c r="A594" s="6"/>
      <c r="B594" s="6"/>
      <c r="C594" s="6"/>
      <c r="D594" s="18"/>
      <c r="E594" s="18"/>
      <c r="F594" s="19"/>
      <c r="G594" s="10">
        <f>IFERROR(VLOOKUP(B594, 'Duke 4'!A$3:$B998,2, 0), 0)</f>
        <v>0</v>
      </c>
      <c r="H594" s="10">
        <f>IFERROR(VLOOKUP(B594, Proof!A$2:$B998,2, 0), 0)</f>
        <v>0</v>
      </c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</row>
    <row r="595">
      <c r="A595" s="6"/>
      <c r="B595" s="6"/>
      <c r="C595" s="6"/>
      <c r="D595" s="18"/>
      <c r="E595" s="18"/>
      <c r="F595" s="19"/>
      <c r="G595" s="10">
        <f>IFERROR(VLOOKUP(B595, 'Duke 4'!A$3:$B998,2, 0), 0)</f>
        <v>0</v>
      </c>
      <c r="H595" s="10">
        <f>IFERROR(VLOOKUP(B595, Proof!A$2:$B998,2, 0), 0)</f>
        <v>0</v>
      </c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</row>
    <row r="596">
      <c r="A596" s="6"/>
      <c r="B596" s="6"/>
      <c r="C596" s="6"/>
      <c r="D596" s="18"/>
      <c r="E596" s="18"/>
      <c r="F596" s="19"/>
      <c r="G596" s="10">
        <f>IFERROR(VLOOKUP(B596, 'Duke 4'!A$3:$B998,2, 0), 0)</f>
        <v>0</v>
      </c>
      <c r="H596" s="10">
        <f>IFERROR(VLOOKUP(B596, Proof!A$2:$B998,2, 0), 0)</f>
        <v>0</v>
      </c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</row>
    <row r="597">
      <c r="A597" s="6"/>
      <c r="B597" s="6"/>
      <c r="C597" s="6"/>
      <c r="D597" s="18"/>
      <c r="E597" s="18"/>
      <c r="F597" s="19"/>
      <c r="G597" s="10">
        <f>IFERROR(VLOOKUP(B597, 'Duke 4'!A$3:$B998,2, 0), 0)</f>
        <v>0</v>
      </c>
      <c r="H597" s="10">
        <f>IFERROR(VLOOKUP(B597, Proof!A$2:$B998,2, 0), 0)</f>
        <v>0</v>
      </c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</row>
    <row r="598">
      <c r="A598" s="6"/>
      <c r="B598" s="6"/>
      <c r="C598" s="6"/>
      <c r="D598" s="18"/>
      <c r="E598" s="18"/>
      <c r="F598" s="19"/>
      <c r="G598" s="10">
        <f>IFERROR(VLOOKUP(B598, 'Duke 4'!A$3:$B998,2, 0), 0)</f>
        <v>0</v>
      </c>
      <c r="H598" s="10">
        <f>IFERROR(VLOOKUP(B598, Proof!A$2:$B998,2, 0), 0)</f>
        <v>0</v>
      </c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</row>
    <row r="599">
      <c r="A599" s="6"/>
      <c r="B599" s="6"/>
      <c r="C599" s="6"/>
      <c r="D599" s="18"/>
      <c r="E599" s="18"/>
      <c r="F599" s="19"/>
      <c r="G599" s="10">
        <f>IFERROR(VLOOKUP(B599, 'Duke 4'!A$3:$B998,2, 0), 0)</f>
        <v>0</v>
      </c>
      <c r="H599" s="10">
        <f>IFERROR(VLOOKUP(B599, Proof!A$2:$B998,2, 0), 0)</f>
        <v>0</v>
      </c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</row>
    <row r="600">
      <c r="A600" s="6"/>
      <c r="B600" s="6"/>
      <c r="C600" s="6"/>
      <c r="D600" s="18"/>
      <c r="E600" s="18"/>
      <c r="F600" s="19"/>
      <c r="G600" s="10">
        <f>IFERROR(VLOOKUP(B600, 'Duke 4'!A$3:$B998,2, 0), 0)</f>
        <v>0</v>
      </c>
      <c r="H600" s="10">
        <f>IFERROR(VLOOKUP(B600, Proof!A$2:$B998,2, 0), 0)</f>
        <v>0</v>
      </c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</row>
    <row r="601">
      <c r="A601" s="6"/>
      <c r="B601" s="6"/>
      <c r="C601" s="6"/>
      <c r="D601" s="18"/>
      <c r="E601" s="18"/>
      <c r="F601" s="19"/>
      <c r="G601" s="10">
        <f>IFERROR(VLOOKUP(B601, 'Duke 4'!A$3:$B998,2, 0), 0)</f>
        <v>0</v>
      </c>
      <c r="H601" s="10">
        <f>IFERROR(VLOOKUP(B601, Proof!A$2:$B998,2, 0), 0)</f>
        <v>0</v>
      </c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</row>
    <row r="602">
      <c r="A602" s="6"/>
      <c r="B602" s="6"/>
      <c r="C602" s="6"/>
      <c r="D602" s="18"/>
      <c r="E602" s="18"/>
      <c r="F602" s="19"/>
      <c r="G602" s="10">
        <f>IFERROR(VLOOKUP(B602, 'Duke 4'!A$3:$B998,2, 0), 0)</f>
        <v>0</v>
      </c>
      <c r="H602" s="10">
        <f>IFERROR(VLOOKUP(B602, Proof!A$2:$B998,2, 0), 0)</f>
        <v>0</v>
      </c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</row>
    <row r="603">
      <c r="A603" s="6"/>
      <c r="B603" s="6"/>
      <c r="C603" s="6"/>
      <c r="D603" s="18"/>
      <c r="E603" s="18"/>
      <c r="F603" s="19"/>
      <c r="G603" s="10">
        <f>IFERROR(VLOOKUP(B603, 'Duke 4'!A$3:$B998,2, 0), 0)</f>
        <v>0</v>
      </c>
      <c r="H603" s="10">
        <f>IFERROR(VLOOKUP(B603, Proof!A$2:$B998,2, 0), 0)</f>
        <v>0</v>
      </c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</row>
    <row r="604">
      <c r="A604" s="6"/>
      <c r="B604" s="6"/>
      <c r="C604" s="6"/>
      <c r="D604" s="18"/>
      <c r="E604" s="18"/>
      <c r="F604" s="19"/>
      <c r="G604" s="10">
        <f>IFERROR(VLOOKUP(B604, 'Duke 4'!A$3:$B998,2, 0), 0)</f>
        <v>0</v>
      </c>
      <c r="H604" s="10">
        <f>IFERROR(VLOOKUP(B604, Proof!A$2:$B998,2, 0), 0)</f>
        <v>0</v>
      </c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</row>
    <row r="605">
      <c r="A605" s="6"/>
      <c r="B605" s="6"/>
      <c r="C605" s="6"/>
      <c r="D605" s="18"/>
      <c r="E605" s="18"/>
      <c r="F605" s="19"/>
      <c r="G605" s="10">
        <f>IFERROR(VLOOKUP(B605, 'Duke 4'!A$3:$B998,2, 0), 0)</f>
        <v>0</v>
      </c>
      <c r="H605" s="10">
        <f>IFERROR(VLOOKUP(B605, Proof!A$2:$B998,2, 0), 0)</f>
        <v>0</v>
      </c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</row>
    <row r="606">
      <c r="A606" s="6"/>
      <c r="B606" s="6"/>
      <c r="C606" s="6"/>
      <c r="D606" s="18"/>
      <c r="E606" s="18"/>
      <c r="F606" s="19"/>
      <c r="G606" s="10">
        <f>IFERROR(VLOOKUP(B606, 'Duke 4'!A$3:$B998,2, 0), 0)</f>
        <v>0</v>
      </c>
      <c r="H606" s="10">
        <f>IFERROR(VLOOKUP(B606, Proof!A$2:$B998,2, 0), 0)</f>
        <v>0</v>
      </c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</row>
    <row r="607">
      <c r="A607" s="6"/>
      <c r="B607" s="6"/>
      <c r="C607" s="6"/>
      <c r="D607" s="18"/>
      <c r="E607" s="18"/>
      <c r="F607" s="19"/>
      <c r="G607" s="10">
        <f>IFERROR(VLOOKUP(B607, 'Duke 4'!A$3:$B998,2, 0), 0)</f>
        <v>0</v>
      </c>
      <c r="H607" s="10">
        <f>IFERROR(VLOOKUP(B607, Proof!A$2:$B998,2, 0), 0)</f>
        <v>0</v>
      </c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</row>
    <row r="608">
      <c r="A608" s="6"/>
      <c r="B608" s="6"/>
      <c r="C608" s="6"/>
      <c r="D608" s="18"/>
      <c r="E608" s="18"/>
      <c r="F608" s="19"/>
      <c r="G608" s="10">
        <f>IFERROR(VLOOKUP(B608, 'Duke 4'!A$3:$B998,2, 0), 0)</f>
        <v>0</v>
      </c>
      <c r="H608" s="10">
        <f>IFERROR(VLOOKUP(B608, Proof!A$2:$B998,2, 0), 0)</f>
        <v>0</v>
      </c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</row>
    <row r="609">
      <c r="A609" s="6"/>
      <c r="B609" s="6"/>
      <c r="C609" s="6"/>
      <c r="D609" s="18"/>
      <c r="E609" s="18"/>
      <c r="F609" s="19"/>
      <c r="G609" s="10">
        <f>IFERROR(VLOOKUP(B609, 'Duke 4'!A$3:$B998,2, 0), 0)</f>
        <v>0</v>
      </c>
      <c r="H609" s="10">
        <f>IFERROR(VLOOKUP(B609, Proof!A$2:$B998,2, 0), 0)</f>
        <v>0</v>
      </c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</row>
    <row r="610">
      <c r="A610" s="6"/>
      <c r="B610" s="6"/>
      <c r="C610" s="6"/>
      <c r="D610" s="18"/>
      <c r="E610" s="18"/>
      <c r="F610" s="19"/>
      <c r="G610" s="10">
        <f>IFERROR(VLOOKUP(B610, 'Duke 4'!A$3:$B998,2, 0), 0)</f>
        <v>0</v>
      </c>
      <c r="H610" s="10">
        <f>IFERROR(VLOOKUP(B610, Proof!A$2:$B998,2, 0), 0)</f>
        <v>0</v>
      </c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</row>
    <row r="611">
      <c r="A611" s="6"/>
      <c r="B611" s="6"/>
      <c r="C611" s="6"/>
      <c r="D611" s="18"/>
      <c r="E611" s="18"/>
      <c r="F611" s="19"/>
      <c r="G611" s="10">
        <f>IFERROR(VLOOKUP(B611, 'Duke 4'!A$3:$B998,2, 0), 0)</f>
        <v>0</v>
      </c>
      <c r="H611" s="10">
        <f>IFERROR(VLOOKUP(B611, Proof!A$2:$B998,2, 0), 0)</f>
        <v>0</v>
      </c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</row>
    <row r="612">
      <c r="A612" s="6"/>
      <c r="B612" s="6"/>
      <c r="C612" s="6"/>
      <c r="D612" s="18"/>
      <c r="E612" s="18"/>
      <c r="F612" s="19"/>
      <c r="G612" s="10">
        <f>IFERROR(VLOOKUP(B612, 'Duke 4'!A$3:$B998,2, 0), 0)</f>
        <v>0</v>
      </c>
      <c r="H612" s="10">
        <f>IFERROR(VLOOKUP(B612, Proof!A$2:$B998,2, 0), 0)</f>
        <v>0</v>
      </c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</row>
    <row r="613">
      <c r="A613" s="6"/>
      <c r="B613" s="6"/>
      <c r="C613" s="6"/>
      <c r="D613" s="18"/>
      <c r="E613" s="18"/>
      <c r="F613" s="19"/>
      <c r="G613" s="10">
        <f>IFERROR(VLOOKUP(B613, 'Duke 4'!A$3:$B998,2, 0), 0)</f>
        <v>0</v>
      </c>
      <c r="H613" s="10">
        <f>IFERROR(VLOOKUP(B613, Proof!A$2:$B998,2, 0), 0)</f>
        <v>0</v>
      </c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</row>
    <row r="614">
      <c r="A614" s="6"/>
      <c r="B614" s="6"/>
      <c r="C614" s="6"/>
      <c r="D614" s="18"/>
      <c r="E614" s="18"/>
      <c r="F614" s="19"/>
      <c r="G614" s="10">
        <f>IFERROR(VLOOKUP(B614, 'Duke 4'!A$3:$B998,2, 0), 0)</f>
        <v>0</v>
      </c>
      <c r="H614" s="10">
        <f>IFERROR(VLOOKUP(B614, Proof!A$2:$B998,2, 0), 0)</f>
        <v>0</v>
      </c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</row>
    <row r="615">
      <c r="A615" s="6"/>
      <c r="B615" s="6"/>
      <c r="C615" s="6"/>
      <c r="D615" s="18"/>
      <c r="E615" s="18"/>
      <c r="F615" s="19"/>
      <c r="G615" s="10">
        <f>IFERROR(VLOOKUP(B615, 'Duke 4'!A$3:$B998,2, 0), 0)</f>
        <v>0</v>
      </c>
      <c r="H615" s="10">
        <f>IFERROR(VLOOKUP(B615, Proof!A$2:$B998,2, 0), 0)</f>
        <v>0</v>
      </c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</row>
    <row r="616">
      <c r="A616" s="6"/>
      <c r="B616" s="6"/>
      <c r="C616" s="6"/>
      <c r="D616" s="18"/>
      <c r="E616" s="18"/>
      <c r="F616" s="19"/>
      <c r="G616" s="10">
        <f>IFERROR(VLOOKUP(B616, 'Duke 4'!A$3:$B998,2, 0), 0)</f>
        <v>0</v>
      </c>
      <c r="H616" s="10">
        <f>IFERROR(VLOOKUP(B616, Proof!A$2:$B998,2, 0), 0)</f>
        <v>0</v>
      </c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</row>
    <row r="617">
      <c r="A617" s="6"/>
      <c r="B617" s="6"/>
      <c r="C617" s="6"/>
      <c r="D617" s="18"/>
      <c r="E617" s="18"/>
      <c r="F617" s="19"/>
      <c r="G617" s="10">
        <f>IFERROR(VLOOKUP(B617, 'Duke 4'!A$3:$B998,2, 0), 0)</f>
        <v>0</v>
      </c>
      <c r="H617" s="10">
        <f>IFERROR(VLOOKUP(B617, Proof!A$2:$B998,2, 0), 0)</f>
        <v>0</v>
      </c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</row>
    <row r="618">
      <c r="A618" s="6"/>
      <c r="B618" s="6"/>
      <c r="C618" s="6"/>
      <c r="D618" s="18"/>
      <c r="E618" s="18"/>
      <c r="F618" s="19"/>
      <c r="G618" s="10">
        <f>IFERROR(VLOOKUP(B618, 'Duke 4'!A$3:$B998,2, 0), 0)</f>
        <v>0</v>
      </c>
      <c r="H618" s="10">
        <f>IFERROR(VLOOKUP(B618, Proof!A$2:$B998,2, 0), 0)</f>
        <v>0</v>
      </c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</row>
    <row r="619">
      <c r="A619" s="6"/>
      <c r="B619" s="6"/>
      <c r="C619" s="6"/>
      <c r="D619" s="18"/>
      <c r="E619" s="18"/>
      <c r="F619" s="19"/>
      <c r="G619" s="10">
        <f>IFERROR(VLOOKUP(B619, 'Duke 4'!A$3:$B998,2, 0), 0)</f>
        <v>0</v>
      </c>
      <c r="H619" s="10">
        <f>IFERROR(VLOOKUP(B619, Proof!A$2:$B998,2, 0), 0)</f>
        <v>0</v>
      </c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</row>
    <row r="620">
      <c r="A620" s="6"/>
      <c r="B620" s="6"/>
      <c r="C620" s="6"/>
      <c r="D620" s="18"/>
      <c r="E620" s="18"/>
      <c r="F620" s="19"/>
      <c r="G620" s="10">
        <f>IFERROR(VLOOKUP(B620, 'Duke 4'!A$3:$B998,2, 0), 0)</f>
        <v>0</v>
      </c>
      <c r="H620" s="10">
        <f>IFERROR(VLOOKUP(B620, Proof!A$2:$B998,2, 0), 0)</f>
        <v>0</v>
      </c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</row>
    <row r="621">
      <c r="A621" s="6"/>
      <c r="B621" s="6"/>
      <c r="C621" s="6"/>
      <c r="D621" s="18"/>
      <c r="E621" s="18"/>
      <c r="F621" s="19"/>
      <c r="G621" s="10">
        <f>IFERROR(VLOOKUP(B621, 'Duke 4'!A$3:$B998,2, 0), 0)</f>
        <v>0</v>
      </c>
      <c r="H621" s="10">
        <f>IFERROR(VLOOKUP(B621, Proof!A$2:$B998,2, 0), 0)</f>
        <v>0</v>
      </c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</row>
    <row r="622">
      <c r="A622" s="6"/>
      <c r="B622" s="6"/>
      <c r="C622" s="6"/>
      <c r="D622" s="18"/>
      <c r="E622" s="18"/>
      <c r="F622" s="19"/>
      <c r="G622" s="10">
        <f>IFERROR(VLOOKUP(B622, 'Duke 4'!A$3:$B998,2, 0), 0)</f>
        <v>0</v>
      </c>
      <c r="H622" s="10">
        <f>IFERROR(VLOOKUP(B622, Proof!A$2:$B998,2, 0), 0)</f>
        <v>0</v>
      </c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</row>
    <row r="623">
      <c r="A623" s="6"/>
      <c r="B623" s="6"/>
      <c r="C623" s="6"/>
      <c r="D623" s="18"/>
      <c r="E623" s="18"/>
      <c r="F623" s="19"/>
      <c r="G623" s="10">
        <f>IFERROR(VLOOKUP(B623, 'Duke 4'!A$3:$B998,2, 0), 0)</f>
        <v>0</v>
      </c>
      <c r="H623" s="10">
        <f>IFERROR(VLOOKUP(B623, Proof!A$2:$B998,2, 0), 0)</f>
        <v>0</v>
      </c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</row>
    <row r="624">
      <c r="A624" s="6"/>
      <c r="B624" s="6"/>
      <c r="C624" s="6"/>
      <c r="D624" s="18"/>
      <c r="E624" s="18"/>
      <c r="F624" s="19"/>
      <c r="G624" s="10">
        <f>IFERROR(VLOOKUP(B624, 'Duke 4'!A$3:$B998,2, 0), 0)</f>
        <v>0</v>
      </c>
      <c r="H624" s="10">
        <f>IFERROR(VLOOKUP(B624, Proof!A$2:$B998,2, 0), 0)</f>
        <v>0</v>
      </c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</row>
    <row r="625">
      <c r="A625" s="6"/>
      <c r="B625" s="6"/>
      <c r="C625" s="6"/>
      <c r="D625" s="18"/>
      <c r="E625" s="18"/>
      <c r="F625" s="19"/>
      <c r="G625" s="10">
        <f>IFERROR(VLOOKUP(B625, 'Duke 4'!A$3:$B998,2, 0), 0)</f>
        <v>0</v>
      </c>
      <c r="H625" s="10">
        <f>IFERROR(VLOOKUP(B625, Proof!A$2:$B998,2, 0), 0)</f>
        <v>0</v>
      </c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</row>
    <row r="626">
      <c r="A626" s="6"/>
      <c r="B626" s="6"/>
      <c r="C626" s="6"/>
      <c r="D626" s="18"/>
      <c r="E626" s="18"/>
      <c r="F626" s="19"/>
      <c r="G626" s="10">
        <f>IFERROR(VLOOKUP(B626, 'Duke 4'!A$3:$B998,2, 0), 0)</f>
        <v>0</v>
      </c>
      <c r="H626" s="10">
        <f>IFERROR(VLOOKUP(B626, Proof!A$2:$B998,2, 0), 0)</f>
        <v>0</v>
      </c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</row>
    <row r="627">
      <c r="A627" s="6"/>
      <c r="B627" s="6"/>
      <c r="C627" s="6"/>
      <c r="D627" s="18"/>
      <c r="E627" s="18"/>
      <c r="F627" s="19"/>
      <c r="G627" s="10">
        <f>IFERROR(VLOOKUP(B627, 'Duke 4'!A$3:$B998,2, 0), 0)</f>
        <v>0</v>
      </c>
      <c r="H627" s="10">
        <f>IFERROR(VLOOKUP(B627, Proof!A$2:$B998,2, 0), 0)</f>
        <v>0</v>
      </c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</row>
    <row r="628">
      <c r="A628" s="6"/>
      <c r="B628" s="6"/>
      <c r="C628" s="6"/>
      <c r="D628" s="18"/>
      <c r="E628" s="18"/>
      <c r="F628" s="19"/>
      <c r="G628" s="10">
        <f>IFERROR(VLOOKUP(B628, 'Duke 4'!A$3:$B998,2, 0), 0)</f>
        <v>0</v>
      </c>
      <c r="H628" s="10">
        <f>IFERROR(VLOOKUP(B628, Proof!A$2:$B998,2, 0), 0)</f>
        <v>0</v>
      </c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</row>
    <row r="629">
      <c r="A629" s="6"/>
      <c r="B629" s="6"/>
      <c r="C629" s="6"/>
      <c r="D629" s="18"/>
      <c r="E629" s="18"/>
      <c r="F629" s="19"/>
      <c r="G629" s="10">
        <f>IFERROR(VLOOKUP(B629, 'Duke 4'!A$3:$B998,2, 0), 0)</f>
        <v>0</v>
      </c>
      <c r="H629" s="10">
        <f>IFERROR(VLOOKUP(B629, Proof!A$2:$B998,2, 0), 0)</f>
        <v>0</v>
      </c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</row>
    <row r="630">
      <c r="A630" s="6"/>
      <c r="B630" s="6"/>
      <c r="C630" s="6"/>
      <c r="D630" s="18"/>
      <c r="E630" s="18"/>
      <c r="F630" s="19"/>
      <c r="G630" s="10">
        <f>IFERROR(VLOOKUP(B630, 'Duke 4'!A$3:$B998,2, 0), 0)</f>
        <v>0</v>
      </c>
      <c r="H630" s="10">
        <f>IFERROR(VLOOKUP(B630, Proof!A$2:$B998,2, 0), 0)</f>
        <v>0</v>
      </c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</row>
    <row r="631">
      <c r="A631" s="6"/>
      <c r="B631" s="6"/>
      <c r="C631" s="6"/>
      <c r="D631" s="18"/>
      <c r="E631" s="18"/>
      <c r="F631" s="19"/>
      <c r="G631" s="10">
        <f>IFERROR(VLOOKUP(B631, 'Duke 4'!A$3:$B998,2, 0), 0)</f>
        <v>0</v>
      </c>
      <c r="H631" s="10">
        <f>IFERROR(VLOOKUP(B631, Proof!A$2:$B998,2, 0), 0)</f>
        <v>0</v>
      </c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</row>
    <row r="632">
      <c r="A632" s="6"/>
      <c r="B632" s="6"/>
      <c r="C632" s="6"/>
      <c r="D632" s="18"/>
      <c r="E632" s="18"/>
      <c r="F632" s="19"/>
      <c r="G632" s="10">
        <f>IFERROR(VLOOKUP(B632, 'Duke 4'!A$3:$B998,2, 0), 0)</f>
        <v>0</v>
      </c>
      <c r="H632" s="10">
        <f>IFERROR(VLOOKUP(B632, Proof!A$2:$B998,2, 0), 0)</f>
        <v>0</v>
      </c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</row>
    <row r="633">
      <c r="A633" s="6"/>
      <c r="B633" s="6"/>
      <c r="C633" s="6"/>
      <c r="D633" s="18"/>
      <c r="E633" s="18"/>
      <c r="F633" s="19"/>
      <c r="G633" s="10">
        <f>IFERROR(VLOOKUP(B633, 'Duke 4'!A$3:$B998,2, 0), 0)</f>
        <v>0</v>
      </c>
      <c r="H633" s="10">
        <f>IFERROR(VLOOKUP(B633, Proof!A$2:$B998,2, 0), 0)</f>
        <v>0</v>
      </c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</row>
    <row r="634">
      <c r="A634" s="6"/>
      <c r="B634" s="6"/>
      <c r="C634" s="6"/>
      <c r="D634" s="18"/>
      <c r="E634" s="18"/>
      <c r="F634" s="19"/>
      <c r="G634" s="10">
        <f>IFERROR(VLOOKUP(B634, 'Duke 4'!A$3:$B998,2, 0), 0)</f>
        <v>0</v>
      </c>
      <c r="H634" s="10">
        <f>IFERROR(VLOOKUP(B634, Proof!A$2:$B998,2, 0), 0)</f>
        <v>0</v>
      </c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</row>
    <row r="635">
      <c r="A635" s="6"/>
      <c r="B635" s="6"/>
      <c r="C635" s="6"/>
      <c r="D635" s="18"/>
      <c r="E635" s="18"/>
      <c r="F635" s="19"/>
      <c r="G635" s="10">
        <f>IFERROR(VLOOKUP(B635, 'Duke 4'!A$3:$B998,2, 0), 0)</f>
        <v>0</v>
      </c>
      <c r="H635" s="10">
        <f>IFERROR(VLOOKUP(B635, Proof!A$2:$B998,2, 0), 0)</f>
        <v>0</v>
      </c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</row>
    <row r="636">
      <c r="A636" s="6"/>
      <c r="B636" s="6"/>
      <c r="C636" s="6"/>
      <c r="D636" s="18"/>
      <c r="E636" s="18"/>
      <c r="F636" s="19"/>
      <c r="G636" s="10">
        <f>IFERROR(VLOOKUP(B636, 'Duke 4'!A$3:$B998,2, 0), 0)</f>
        <v>0</v>
      </c>
      <c r="H636" s="10">
        <f>IFERROR(VLOOKUP(B636, Proof!A$2:$B998,2, 0), 0)</f>
        <v>0</v>
      </c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</row>
    <row r="637">
      <c r="A637" s="6"/>
      <c r="B637" s="6"/>
      <c r="C637" s="6"/>
      <c r="D637" s="18"/>
      <c r="E637" s="18"/>
      <c r="F637" s="19"/>
      <c r="G637" s="10">
        <f>IFERROR(VLOOKUP(B637, 'Duke 4'!A$3:$B998,2, 0), 0)</f>
        <v>0</v>
      </c>
      <c r="H637" s="10">
        <f>IFERROR(VLOOKUP(B637, Proof!A$2:$B998,2, 0), 0)</f>
        <v>0</v>
      </c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</row>
    <row r="638">
      <c r="A638" s="6"/>
      <c r="B638" s="6"/>
      <c r="C638" s="6"/>
      <c r="D638" s="18"/>
      <c r="E638" s="18"/>
      <c r="F638" s="19"/>
      <c r="G638" s="10">
        <f>IFERROR(VLOOKUP(B638, 'Duke 4'!A$3:$B998,2, 0), 0)</f>
        <v>0</v>
      </c>
      <c r="H638" s="10">
        <f>IFERROR(VLOOKUP(B638, Proof!A$2:$B998,2, 0), 0)</f>
        <v>0</v>
      </c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</row>
    <row r="639">
      <c r="A639" s="6"/>
      <c r="B639" s="6"/>
      <c r="C639" s="6"/>
      <c r="D639" s="18"/>
      <c r="E639" s="18"/>
      <c r="F639" s="19"/>
      <c r="G639" s="10">
        <f>IFERROR(VLOOKUP(B639, 'Duke 4'!A$3:$B998,2, 0), 0)</f>
        <v>0</v>
      </c>
      <c r="H639" s="10">
        <f>IFERROR(VLOOKUP(B639, Proof!A$2:$B998,2, 0), 0)</f>
        <v>0</v>
      </c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</row>
    <row r="640">
      <c r="A640" s="6"/>
      <c r="B640" s="6"/>
      <c r="C640" s="6"/>
      <c r="D640" s="18"/>
      <c r="E640" s="18"/>
      <c r="F640" s="19"/>
      <c r="G640" s="10">
        <f>IFERROR(VLOOKUP(B640, 'Duke 4'!A$3:$B998,2, 0), 0)</f>
        <v>0</v>
      </c>
      <c r="H640" s="10">
        <f>IFERROR(VLOOKUP(B640, Proof!A$2:$B998,2, 0), 0)</f>
        <v>0</v>
      </c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</row>
    <row r="641">
      <c r="A641" s="6"/>
      <c r="B641" s="6"/>
      <c r="C641" s="6"/>
      <c r="D641" s="18"/>
      <c r="E641" s="18"/>
      <c r="F641" s="19"/>
      <c r="G641" s="10">
        <f>IFERROR(VLOOKUP(B641, 'Duke 4'!A$3:$B998,2, 0), 0)</f>
        <v>0</v>
      </c>
      <c r="H641" s="10">
        <f>IFERROR(VLOOKUP(B641, Proof!A$2:$B998,2, 0), 0)</f>
        <v>0</v>
      </c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</row>
    <row r="642">
      <c r="A642" s="6"/>
      <c r="B642" s="6"/>
      <c r="C642" s="6"/>
      <c r="D642" s="18"/>
      <c r="E642" s="18"/>
      <c r="F642" s="19"/>
      <c r="G642" s="10">
        <f>IFERROR(VLOOKUP(B642, 'Duke 4'!A$3:$B998,2, 0), 0)</f>
        <v>0</v>
      </c>
      <c r="H642" s="10">
        <f>IFERROR(VLOOKUP(B642, Proof!A$2:$B998,2, 0), 0)</f>
        <v>0</v>
      </c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</row>
    <row r="643">
      <c r="A643" s="6"/>
      <c r="B643" s="6"/>
      <c r="C643" s="6"/>
      <c r="D643" s="18"/>
      <c r="E643" s="18"/>
      <c r="F643" s="19"/>
      <c r="G643" s="10">
        <f>IFERROR(VLOOKUP(B643, 'Duke 4'!A$3:$B998,2, 0), 0)</f>
        <v>0</v>
      </c>
      <c r="H643" s="10">
        <f>IFERROR(VLOOKUP(B643, Proof!A$2:$B998,2, 0), 0)</f>
        <v>0</v>
      </c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</row>
    <row r="644">
      <c r="A644" s="6"/>
      <c r="B644" s="6"/>
      <c r="C644" s="6"/>
      <c r="D644" s="18"/>
      <c r="E644" s="18"/>
      <c r="F644" s="19"/>
      <c r="G644" s="10">
        <f>IFERROR(VLOOKUP(B644, 'Duke 4'!A$3:$B998,2, 0), 0)</f>
        <v>0</v>
      </c>
      <c r="H644" s="10">
        <f>IFERROR(VLOOKUP(B644, Proof!A$2:$B998,2, 0), 0)</f>
        <v>0</v>
      </c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</row>
    <row r="645">
      <c r="A645" s="6"/>
      <c r="B645" s="6"/>
      <c r="C645" s="6"/>
      <c r="D645" s="18"/>
      <c r="E645" s="18"/>
      <c r="F645" s="19"/>
      <c r="G645" s="10">
        <f>IFERROR(VLOOKUP(B645, 'Duke 4'!A$3:$B998,2, 0), 0)</f>
        <v>0</v>
      </c>
      <c r="H645" s="10">
        <f>IFERROR(VLOOKUP(B645, Proof!A$2:$B998,2, 0), 0)</f>
        <v>0</v>
      </c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</row>
    <row r="646">
      <c r="A646" s="6"/>
      <c r="B646" s="6"/>
      <c r="C646" s="6"/>
      <c r="D646" s="18"/>
      <c r="E646" s="18"/>
      <c r="F646" s="19"/>
      <c r="G646" s="10">
        <f>IFERROR(VLOOKUP(B646, 'Duke 4'!A$3:$B998,2, 0), 0)</f>
        <v>0</v>
      </c>
      <c r="H646" s="10">
        <f>IFERROR(VLOOKUP(B646, Proof!A$2:$B998,2, 0), 0)</f>
        <v>0</v>
      </c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</row>
    <row r="647">
      <c r="A647" s="6"/>
      <c r="B647" s="6"/>
      <c r="C647" s="6"/>
      <c r="D647" s="18"/>
      <c r="E647" s="18"/>
      <c r="F647" s="19"/>
      <c r="G647" s="10">
        <f>IFERROR(VLOOKUP(B647, 'Duke 4'!A$3:$B998,2, 0), 0)</f>
        <v>0</v>
      </c>
      <c r="H647" s="10">
        <f>IFERROR(VLOOKUP(B647, Proof!A$2:$B998,2, 0), 0)</f>
        <v>0</v>
      </c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</row>
    <row r="648">
      <c r="A648" s="6"/>
      <c r="B648" s="6"/>
      <c r="C648" s="6"/>
      <c r="D648" s="18"/>
      <c r="E648" s="18"/>
      <c r="F648" s="19"/>
      <c r="G648" s="10">
        <f>IFERROR(VLOOKUP(B648, 'Duke 4'!A$3:$B998,2, 0), 0)</f>
        <v>0</v>
      </c>
      <c r="H648" s="10">
        <f>IFERROR(VLOOKUP(B648, Proof!A$2:$B998,2, 0), 0)</f>
        <v>0</v>
      </c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</row>
    <row r="649">
      <c r="A649" s="6"/>
      <c r="B649" s="6"/>
      <c r="C649" s="6"/>
      <c r="D649" s="18"/>
      <c r="E649" s="18"/>
      <c r="F649" s="19"/>
      <c r="G649" s="10">
        <f>IFERROR(VLOOKUP(B649, 'Duke 4'!A$3:$B998,2, 0), 0)</f>
        <v>0</v>
      </c>
      <c r="H649" s="10">
        <f>IFERROR(VLOOKUP(B649, Proof!A$2:$B998,2, 0), 0)</f>
        <v>0</v>
      </c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</row>
    <row r="650">
      <c r="A650" s="6"/>
      <c r="B650" s="6"/>
      <c r="C650" s="6"/>
      <c r="D650" s="18"/>
      <c r="E650" s="18"/>
      <c r="F650" s="19"/>
      <c r="G650" s="10">
        <f>IFERROR(VLOOKUP(B650, 'Duke 4'!A$3:$B998,2, 0), 0)</f>
        <v>0</v>
      </c>
      <c r="H650" s="10">
        <f>IFERROR(VLOOKUP(B650, Proof!A$2:$B998,2, 0), 0)</f>
        <v>0</v>
      </c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</row>
    <row r="651">
      <c r="A651" s="6"/>
      <c r="B651" s="6"/>
      <c r="C651" s="6"/>
      <c r="D651" s="18"/>
      <c r="E651" s="18"/>
      <c r="F651" s="19"/>
      <c r="G651" s="10">
        <f>IFERROR(VLOOKUP(B651, 'Duke 4'!A$3:$B998,2, 0), 0)</f>
        <v>0</v>
      </c>
      <c r="H651" s="10">
        <f>IFERROR(VLOOKUP(B651, Proof!A$2:$B998,2, 0), 0)</f>
        <v>0</v>
      </c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</row>
    <row r="652">
      <c r="A652" s="6"/>
      <c r="B652" s="6"/>
      <c r="C652" s="6"/>
      <c r="D652" s="18"/>
      <c r="E652" s="18"/>
      <c r="F652" s="19"/>
      <c r="G652" s="10">
        <f>IFERROR(VLOOKUP(B652, 'Duke 4'!A$3:$B998,2, 0), 0)</f>
        <v>0</v>
      </c>
      <c r="H652" s="10">
        <f>IFERROR(VLOOKUP(B652, Proof!A$2:$B998,2, 0), 0)</f>
        <v>0</v>
      </c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</row>
    <row r="653">
      <c r="A653" s="6"/>
      <c r="B653" s="6"/>
      <c r="C653" s="6"/>
      <c r="D653" s="18"/>
      <c r="E653" s="18"/>
      <c r="F653" s="19"/>
      <c r="G653" s="10">
        <f>IFERROR(VLOOKUP(B653, 'Duke 4'!A$3:$B998,2, 0), 0)</f>
        <v>0</v>
      </c>
      <c r="H653" s="10">
        <f>IFERROR(VLOOKUP(B653, Proof!A$2:$B998,2, 0), 0)</f>
        <v>0</v>
      </c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</row>
    <row r="654">
      <c r="A654" s="6"/>
      <c r="B654" s="6"/>
      <c r="C654" s="6"/>
      <c r="D654" s="18"/>
      <c r="E654" s="18"/>
      <c r="F654" s="19"/>
      <c r="G654" s="10">
        <f>IFERROR(VLOOKUP(B654, 'Duke 4'!A$3:$B998,2, 0), 0)</f>
        <v>0</v>
      </c>
      <c r="H654" s="10">
        <f>IFERROR(VLOOKUP(B654, Proof!A$2:$B998,2, 0), 0)</f>
        <v>0</v>
      </c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</row>
    <row r="655">
      <c r="A655" s="6"/>
      <c r="B655" s="6"/>
      <c r="C655" s="6"/>
      <c r="D655" s="18"/>
      <c r="E655" s="18"/>
      <c r="F655" s="19"/>
      <c r="G655" s="10">
        <f>IFERROR(VLOOKUP(B655, 'Duke 4'!A$3:$B998,2, 0), 0)</f>
        <v>0</v>
      </c>
      <c r="H655" s="10">
        <f>IFERROR(VLOOKUP(B655, Proof!A$2:$B998,2, 0), 0)</f>
        <v>0</v>
      </c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</row>
    <row r="656">
      <c r="A656" s="6"/>
      <c r="B656" s="6"/>
      <c r="C656" s="6"/>
      <c r="D656" s="18"/>
      <c r="E656" s="18"/>
      <c r="F656" s="19"/>
      <c r="G656" s="10">
        <f>IFERROR(VLOOKUP(B656, 'Duke 4'!A$3:$B998,2, 0), 0)</f>
        <v>0</v>
      </c>
      <c r="H656" s="10">
        <f>IFERROR(VLOOKUP(B656, Proof!A$2:$B998,2, 0), 0)</f>
        <v>0</v>
      </c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</row>
    <row r="657">
      <c r="A657" s="6"/>
      <c r="B657" s="6"/>
      <c r="C657" s="6"/>
      <c r="D657" s="18"/>
      <c r="E657" s="18"/>
      <c r="F657" s="19"/>
      <c r="G657" s="10">
        <f>IFERROR(VLOOKUP(B657, 'Duke 4'!A$3:$B998,2, 0), 0)</f>
        <v>0</v>
      </c>
      <c r="H657" s="10">
        <f>IFERROR(VLOOKUP(B657, Proof!A$2:$B998,2, 0), 0)</f>
        <v>0</v>
      </c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</row>
    <row r="658">
      <c r="A658" s="6"/>
      <c r="B658" s="6"/>
      <c r="C658" s="6"/>
      <c r="D658" s="18"/>
      <c r="E658" s="18"/>
      <c r="F658" s="19"/>
      <c r="G658" s="10">
        <f>IFERROR(VLOOKUP(B658, 'Duke 4'!A$3:$B998,2, 0), 0)</f>
        <v>0</v>
      </c>
      <c r="H658" s="10">
        <f>IFERROR(VLOOKUP(B658, Proof!A$2:$B998,2, 0), 0)</f>
        <v>0</v>
      </c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</row>
    <row r="659">
      <c r="A659" s="6"/>
      <c r="B659" s="6"/>
      <c r="C659" s="6"/>
      <c r="D659" s="18"/>
      <c r="E659" s="18"/>
      <c r="F659" s="19"/>
      <c r="G659" s="10">
        <f>IFERROR(VLOOKUP(B659, 'Duke 4'!A$3:$B998,2, 0), 0)</f>
        <v>0</v>
      </c>
      <c r="H659" s="10">
        <f>IFERROR(VLOOKUP(B659, Proof!A$2:$B998,2, 0), 0)</f>
        <v>0</v>
      </c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</row>
    <row r="660">
      <c r="A660" s="6"/>
      <c r="B660" s="6"/>
      <c r="C660" s="6"/>
      <c r="D660" s="18"/>
      <c r="E660" s="18"/>
      <c r="F660" s="19"/>
      <c r="G660" s="10">
        <f>IFERROR(VLOOKUP(B660, 'Duke 4'!A$3:$B998,2, 0), 0)</f>
        <v>0</v>
      </c>
      <c r="H660" s="10">
        <f>IFERROR(VLOOKUP(B660, Proof!A$2:$B998,2, 0), 0)</f>
        <v>0</v>
      </c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</row>
    <row r="661">
      <c r="A661" s="6"/>
      <c r="B661" s="6"/>
      <c r="C661" s="6"/>
      <c r="D661" s="18"/>
      <c r="E661" s="18"/>
      <c r="F661" s="19"/>
      <c r="G661" s="10">
        <f>IFERROR(VLOOKUP(B661, 'Duke 4'!A$3:$B998,2, 0), 0)</f>
        <v>0</v>
      </c>
      <c r="H661" s="10">
        <f>IFERROR(VLOOKUP(B661, Proof!A$2:$B998,2, 0), 0)</f>
        <v>0</v>
      </c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</row>
    <row r="662">
      <c r="A662" s="6"/>
      <c r="B662" s="6"/>
      <c r="C662" s="6"/>
      <c r="D662" s="18"/>
      <c r="E662" s="18"/>
      <c r="F662" s="19"/>
      <c r="G662" s="10">
        <f>IFERROR(VLOOKUP(B662, 'Duke 4'!A$3:$B998,2, 0), 0)</f>
        <v>0</v>
      </c>
      <c r="H662" s="10">
        <f>IFERROR(VLOOKUP(B662, Proof!A$2:$B998,2, 0), 0)</f>
        <v>0</v>
      </c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</row>
    <row r="663">
      <c r="A663" s="6"/>
      <c r="B663" s="6"/>
      <c r="C663" s="6"/>
      <c r="D663" s="18"/>
      <c r="E663" s="18"/>
      <c r="F663" s="19"/>
      <c r="G663" s="10">
        <f>IFERROR(VLOOKUP(B663, 'Duke 4'!A$3:$B998,2, 0), 0)</f>
        <v>0</v>
      </c>
      <c r="H663" s="10">
        <f>IFERROR(VLOOKUP(B663, Proof!A$2:$B998,2, 0), 0)</f>
        <v>0</v>
      </c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</row>
    <row r="664">
      <c r="A664" s="6"/>
      <c r="B664" s="6"/>
      <c r="C664" s="6"/>
      <c r="D664" s="18"/>
      <c r="E664" s="18"/>
      <c r="F664" s="19"/>
      <c r="G664" s="10">
        <f>IFERROR(VLOOKUP(B664, 'Duke 4'!A$3:$B998,2, 0), 0)</f>
        <v>0</v>
      </c>
      <c r="H664" s="10">
        <f>IFERROR(VLOOKUP(B664, Proof!A$2:$B998,2, 0), 0)</f>
        <v>0</v>
      </c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</row>
    <row r="665">
      <c r="A665" s="6"/>
      <c r="B665" s="6"/>
      <c r="C665" s="6"/>
      <c r="D665" s="18"/>
      <c r="E665" s="18"/>
      <c r="F665" s="19"/>
      <c r="G665" s="10">
        <f>IFERROR(VLOOKUP(B665, 'Duke 4'!A$3:$B998,2, 0), 0)</f>
        <v>0</v>
      </c>
      <c r="H665" s="10">
        <f>IFERROR(VLOOKUP(B665, Proof!A$2:$B998,2, 0), 0)</f>
        <v>0</v>
      </c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</row>
    <row r="666">
      <c r="A666" s="6"/>
      <c r="B666" s="6"/>
      <c r="C666" s="6"/>
      <c r="D666" s="18"/>
      <c r="E666" s="18"/>
      <c r="F666" s="19"/>
      <c r="G666" s="10">
        <f>IFERROR(VLOOKUP(B666, 'Duke 4'!A$3:$B998,2, 0), 0)</f>
        <v>0</v>
      </c>
      <c r="H666" s="10">
        <f>IFERROR(VLOOKUP(B666, Proof!A$2:$B998,2, 0), 0)</f>
        <v>0</v>
      </c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</row>
    <row r="667">
      <c r="A667" s="6"/>
      <c r="B667" s="6"/>
      <c r="C667" s="6"/>
      <c r="D667" s="18"/>
      <c r="E667" s="18"/>
      <c r="F667" s="19"/>
      <c r="G667" s="10">
        <f>IFERROR(VLOOKUP(B667, 'Duke 4'!A$3:$B998,2, 0), 0)</f>
        <v>0</v>
      </c>
      <c r="H667" s="10">
        <f>IFERROR(VLOOKUP(B667, Proof!A$2:$B998,2, 0), 0)</f>
        <v>0</v>
      </c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</row>
    <row r="668">
      <c r="A668" s="6"/>
      <c r="B668" s="6"/>
      <c r="C668" s="6"/>
      <c r="D668" s="18"/>
      <c r="E668" s="18"/>
      <c r="F668" s="19"/>
      <c r="G668" s="10">
        <f>IFERROR(VLOOKUP(B668, 'Duke 4'!A$3:$B998,2, 0), 0)</f>
        <v>0</v>
      </c>
      <c r="H668" s="10">
        <f>IFERROR(VLOOKUP(B668, Proof!A$2:$B998,2, 0), 0)</f>
        <v>0</v>
      </c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</row>
    <row r="669">
      <c r="A669" s="6"/>
      <c r="B669" s="6"/>
      <c r="C669" s="6"/>
      <c r="D669" s="18"/>
      <c r="E669" s="18"/>
      <c r="F669" s="19"/>
      <c r="G669" s="10">
        <f>IFERROR(VLOOKUP(B669, 'Duke 4'!A$3:$B998,2, 0), 0)</f>
        <v>0</v>
      </c>
      <c r="H669" s="10">
        <f>IFERROR(VLOOKUP(B669, Proof!A$2:$B998,2, 0), 0)</f>
        <v>0</v>
      </c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</row>
    <row r="670">
      <c r="A670" s="6"/>
      <c r="B670" s="6"/>
      <c r="C670" s="6"/>
      <c r="D670" s="18"/>
      <c r="E670" s="18"/>
      <c r="F670" s="19"/>
      <c r="G670" s="10">
        <f>IFERROR(VLOOKUP(B670, 'Duke 4'!A$3:$B998,2, 0), 0)</f>
        <v>0</v>
      </c>
      <c r="H670" s="10">
        <f>IFERROR(VLOOKUP(B670, Proof!A$2:$B998,2, 0), 0)</f>
        <v>0</v>
      </c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</row>
    <row r="671">
      <c r="A671" s="6"/>
      <c r="B671" s="6"/>
      <c r="C671" s="6"/>
      <c r="D671" s="18"/>
      <c r="E671" s="18"/>
      <c r="F671" s="19"/>
      <c r="G671" s="10">
        <f>IFERROR(VLOOKUP(B671, 'Duke 4'!A$3:$B998,2, 0), 0)</f>
        <v>0</v>
      </c>
      <c r="H671" s="10">
        <f>IFERROR(VLOOKUP(B671, Proof!A$2:$B998,2, 0), 0)</f>
        <v>0</v>
      </c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</row>
    <row r="672">
      <c r="A672" s="6"/>
      <c r="B672" s="6"/>
      <c r="C672" s="6"/>
      <c r="D672" s="18"/>
      <c r="E672" s="18"/>
      <c r="F672" s="19"/>
      <c r="G672" s="10">
        <f>IFERROR(VLOOKUP(B672, 'Duke 4'!A$3:$B998,2, 0), 0)</f>
        <v>0</v>
      </c>
      <c r="H672" s="10">
        <f>IFERROR(VLOOKUP(B672, Proof!A$2:$B998,2, 0), 0)</f>
        <v>0</v>
      </c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</row>
    <row r="673">
      <c r="A673" s="6"/>
      <c r="B673" s="6"/>
      <c r="C673" s="6"/>
      <c r="D673" s="18"/>
      <c r="E673" s="18"/>
      <c r="F673" s="19"/>
      <c r="G673" s="10">
        <f>IFERROR(VLOOKUP(B673, 'Duke 4'!A$3:$B998,2, 0), 0)</f>
        <v>0</v>
      </c>
      <c r="H673" s="10">
        <f>IFERROR(VLOOKUP(B673, Proof!A$2:$B998,2, 0), 0)</f>
        <v>0</v>
      </c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</row>
    <row r="674">
      <c r="A674" s="6"/>
      <c r="B674" s="6"/>
      <c r="C674" s="6"/>
      <c r="D674" s="18"/>
      <c r="E674" s="18"/>
      <c r="F674" s="19"/>
      <c r="G674" s="10">
        <f>IFERROR(VLOOKUP(B674, 'Duke 4'!A$3:$B998,2, 0), 0)</f>
        <v>0</v>
      </c>
      <c r="H674" s="10">
        <f>IFERROR(VLOOKUP(B674, Proof!A$2:$B998,2, 0), 0)</f>
        <v>0</v>
      </c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</row>
    <row r="675">
      <c r="A675" s="6"/>
      <c r="B675" s="6"/>
      <c r="C675" s="6"/>
      <c r="D675" s="18"/>
      <c r="E675" s="18"/>
      <c r="F675" s="19"/>
      <c r="G675" s="10">
        <f>IFERROR(VLOOKUP(B675, 'Duke 4'!A$3:$B998,2, 0), 0)</f>
        <v>0</v>
      </c>
      <c r="H675" s="10">
        <f>IFERROR(VLOOKUP(B675, Proof!A$2:$B998,2, 0), 0)</f>
        <v>0</v>
      </c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</row>
    <row r="676">
      <c r="A676" s="6"/>
      <c r="B676" s="6"/>
      <c r="C676" s="6"/>
      <c r="D676" s="18"/>
      <c r="E676" s="18"/>
      <c r="F676" s="19"/>
      <c r="G676" s="10">
        <f>IFERROR(VLOOKUP(B676, 'Duke 4'!A$3:$B998,2, 0), 0)</f>
        <v>0</v>
      </c>
      <c r="H676" s="10">
        <f>IFERROR(VLOOKUP(B676, Proof!A$2:$B998,2, 0), 0)</f>
        <v>0</v>
      </c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</row>
    <row r="677">
      <c r="A677" s="6"/>
      <c r="B677" s="6"/>
      <c r="C677" s="6"/>
      <c r="D677" s="18"/>
      <c r="E677" s="18"/>
      <c r="F677" s="19"/>
      <c r="G677" s="10">
        <f>IFERROR(VLOOKUP(B677, 'Duke 4'!A$3:$B998,2, 0), 0)</f>
        <v>0</v>
      </c>
      <c r="H677" s="10">
        <f>IFERROR(VLOOKUP(B677, Proof!A$2:$B998,2, 0), 0)</f>
        <v>0</v>
      </c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</row>
    <row r="678">
      <c r="A678" s="6"/>
      <c r="B678" s="6"/>
      <c r="C678" s="6"/>
      <c r="D678" s="18"/>
      <c r="E678" s="18"/>
      <c r="F678" s="19"/>
      <c r="G678" s="10">
        <f>IFERROR(VLOOKUP(B678, 'Duke 4'!A$3:$B998,2, 0), 0)</f>
        <v>0</v>
      </c>
      <c r="H678" s="10">
        <f>IFERROR(VLOOKUP(B678, Proof!A$2:$B998,2, 0), 0)</f>
        <v>0</v>
      </c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</row>
    <row r="679">
      <c r="A679" s="6"/>
      <c r="B679" s="6"/>
      <c r="C679" s="6"/>
      <c r="D679" s="18"/>
      <c r="E679" s="18"/>
      <c r="F679" s="19"/>
      <c r="G679" s="10">
        <f>IFERROR(VLOOKUP(B679, 'Duke 4'!A$3:$B998,2, 0), 0)</f>
        <v>0</v>
      </c>
      <c r="H679" s="10">
        <f>IFERROR(VLOOKUP(B679, Proof!A$2:$B998,2, 0), 0)</f>
        <v>0</v>
      </c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</row>
    <row r="680">
      <c r="A680" s="6"/>
      <c r="B680" s="6"/>
      <c r="C680" s="6"/>
      <c r="D680" s="18"/>
      <c r="E680" s="18"/>
      <c r="F680" s="19"/>
      <c r="G680" s="10">
        <f>IFERROR(VLOOKUP(B680, 'Duke 4'!A$3:$B998,2, 0), 0)</f>
        <v>0</v>
      </c>
      <c r="H680" s="10">
        <f>IFERROR(VLOOKUP(B680, Proof!A$2:$B998,2, 0), 0)</f>
        <v>0</v>
      </c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</row>
    <row r="681">
      <c r="A681" s="6"/>
      <c r="B681" s="6"/>
      <c r="C681" s="6"/>
      <c r="D681" s="18"/>
      <c r="E681" s="18"/>
      <c r="F681" s="19"/>
      <c r="G681" s="10">
        <f>IFERROR(VLOOKUP(B681, 'Duke 4'!A$3:$B998,2, 0), 0)</f>
        <v>0</v>
      </c>
      <c r="H681" s="10">
        <f>IFERROR(VLOOKUP(B681, Proof!A$2:$B998,2, 0), 0)</f>
        <v>0</v>
      </c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</row>
    <row r="682">
      <c r="A682" s="6"/>
      <c r="B682" s="6"/>
      <c r="C682" s="6"/>
      <c r="D682" s="18"/>
      <c r="E682" s="18"/>
      <c r="F682" s="19"/>
      <c r="G682" s="10">
        <f>IFERROR(VLOOKUP(B682, 'Duke 4'!A$3:$B998,2, 0), 0)</f>
        <v>0</v>
      </c>
      <c r="H682" s="10">
        <f>IFERROR(VLOOKUP(B682, Proof!A$2:$B998,2, 0), 0)</f>
        <v>0</v>
      </c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</row>
    <row r="683">
      <c r="A683" s="6"/>
      <c r="B683" s="6"/>
      <c r="C683" s="6"/>
      <c r="D683" s="18"/>
      <c r="E683" s="18"/>
      <c r="F683" s="19"/>
      <c r="G683" s="10">
        <f>IFERROR(VLOOKUP(B683, 'Duke 4'!A$3:$B998,2, 0), 0)</f>
        <v>0</v>
      </c>
      <c r="H683" s="10">
        <f>IFERROR(VLOOKUP(B683, Proof!A$2:$B998,2, 0), 0)</f>
        <v>0</v>
      </c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</row>
    <row r="684">
      <c r="A684" s="6"/>
      <c r="B684" s="6"/>
      <c r="C684" s="6"/>
      <c r="D684" s="18"/>
      <c r="E684" s="18"/>
      <c r="F684" s="19"/>
      <c r="G684" s="10">
        <f>IFERROR(VLOOKUP(B684, 'Duke 4'!A$3:$B998,2, 0), 0)</f>
        <v>0</v>
      </c>
      <c r="H684" s="10">
        <f>IFERROR(VLOOKUP(B684, Proof!A$2:$B998,2, 0), 0)</f>
        <v>0</v>
      </c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</row>
    <row r="685">
      <c r="A685" s="6"/>
      <c r="B685" s="6"/>
      <c r="C685" s="6"/>
      <c r="D685" s="18"/>
      <c r="E685" s="18"/>
      <c r="F685" s="19"/>
      <c r="G685" s="10">
        <f>IFERROR(VLOOKUP(B685, 'Duke 4'!A$3:$B998,2, 0), 0)</f>
        <v>0</v>
      </c>
      <c r="H685" s="10">
        <f>IFERROR(VLOOKUP(B685, Proof!A$2:$B998,2, 0), 0)</f>
        <v>0</v>
      </c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</row>
    <row r="686">
      <c r="A686" s="6"/>
      <c r="B686" s="6"/>
      <c r="C686" s="6"/>
      <c r="D686" s="18"/>
      <c r="E686" s="18"/>
      <c r="F686" s="19"/>
      <c r="G686" s="10">
        <f>IFERROR(VLOOKUP(B686, 'Duke 4'!A$3:$B998,2, 0), 0)</f>
        <v>0</v>
      </c>
      <c r="H686" s="10">
        <f>IFERROR(VLOOKUP(B686, Proof!A$2:$B998,2, 0), 0)</f>
        <v>0</v>
      </c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</row>
    <row r="687">
      <c r="A687" s="6"/>
      <c r="B687" s="6"/>
      <c r="C687" s="6"/>
      <c r="D687" s="18"/>
      <c r="E687" s="18"/>
      <c r="F687" s="19"/>
      <c r="G687" s="10">
        <f>IFERROR(VLOOKUP(B687, 'Duke 4'!A$3:$B998,2, 0), 0)</f>
        <v>0</v>
      </c>
      <c r="H687" s="10">
        <f>IFERROR(VLOOKUP(B687, Proof!A$2:$B998,2, 0), 0)</f>
        <v>0</v>
      </c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</row>
    <row r="688">
      <c r="A688" s="6"/>
      <c r="B688" s="6"/>
      <c r="C688" s="6"/>
      <c r="D688" s="18"/>
      <c r="E688" s="18"/>
      <c r="F688" s="19"/>
      <c r="G688" s="10">
        <f>IFERROR(VLOOKUP(B688, 'Duke 4'!A$3:$B998,2, 0), 0)</f>
        <v>0</v>
      </c>
      <c r="H688" s="10">
        <f>IFERROR(VLOOKUP(B688, Proof!A$2:$B998,2, 0), 0)</f>
        <v>0</v>
      </c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</row>
    <row r="689">
      <c r="A689" s="6"/>
      <c r="B689" s="6"/>
      <c r="C689" s="6"/>
      <c r="D689" s="18"/>
      <c r="E689" s="18"/>
      <c r="F689" s="19"/>
      <c r="G689" s="10">
        <f>IFERROR(VLOOKUP(B689, 'Duke 4'!A$3:$B998,2, 0), 0)</f>
        <v>0</v>
      </c>
      <c r="H689" s="10">
        <f>IFERROR(VLOOKUP(B689, Proof!A$2:$B998,2, 0), 0)</f>
        <v>0</v>
      </c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</row>
    <row r="690">
      <c r="A690" s="6"/>
      <c r="B690" s="6"/>
      <c r="C690" s="6"/>
      <c r="D690" s="18"/>
      <c r="E690" s="18"/>
      <c r="F690" s="19"/>
      <c r="G690" s="10">
        <f>IFERROR(VLOOKUP(B690, 'Duke 4'!A$3:$B998,2, 0), 0)</f>
        <v>0</v>
      </c>
      <c r="H690" s="10">
        <f>IFERROR(VLOOKUP(B690, Proof!A$2:$B998,2, 0), 0)</f>
        <v>0</v>
      </c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</row>
    <row r="691">
      <c r="A691" s="6"/>
      <c r="B691" s="6"/>
      <c r="C691" s="6"/>
      <c r="D691" s="18"/>
      <c r="E691" s="18"/>
      <c r="F691" s="19"/>
      <c r="G691" s="10">
        <f>IFERROR(VLOOKUP(B691, 'Duke 4'!A$3:$B998,2, 0), 0)</f>
        <v>0</v>
      </c>
      <c r="H691" s="10">
        <f>IFERROR(VLOOKUP(B691, Proof!A$2:$B998,2, 0), 0)</f>
        <v>0</v>
      </c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</row>
    <row r="692">
      <c r="A692" s="6"/>
      <c r="B692" s="6"/>
      <c r="C692" s="6"/>
      <c r="D692" s="18"/>
      <c r="E692" s="18"/>
      <c r="F692" s="19"/>
      <c r="G692" s="10">
        <f>IFERROR(VLOOKUP(B692, 'Duke 4'!A$3:$B998,2, 0), 0)</f>
        <v>0</v>
      </c>
      <c r="H692" s="10">
        <f>IFERROR(VLOOKUP(B692, Proof!A$2:$B998,2, 0), 0)</f>
        <v>0</v>
      </c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</row>
    <row r="693">
      <c r="A693" s="6"/>
      <c r="B693" s="6"/>
      <c r="C693" s="6"/>
      <c r="D693" s="18"/>
      <c r="E693" s="18"/>
      <c r="F693" s="19"/>
      <c r="G693" s="10">
        <f>IFERROR(VLOOKUP(B693, 'Duke 4'!A$3:$B998,2, 0), 0)</f>
        <v>0</v>
      </c>
      <c r="H693" s="10">
        <f>IFERROR(VLOOKUP(B693, Proof!A$2:$B998,2, 0), 0)</f>
        <v>0</v>
      </c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</row>
    <row r="694">
      <c r="A694" s="6"/>
      <c r="B694" s="6"/>
      <c r="C694" s="6"/>
      <c r="D694" s="18"/>
      <c r="E694" s="18"/>
      <c r="F694" s="19"/>
      <c r="G694" s="10">
        <f>IFERROR(VLOOKUP(B694, 'Duke 4'!A$3:$B998,2, 0), 0)</f>
        <v>0</v>
      </c>
      <c r="H694" s="10">
        <f>IFERROR(VLOOKUP(B694, Proof!A$2:$B998,2, 0), 0)</f>
        <v>0</v>
      </c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</row>
    <row r="695">
      <c r="A695" s="6"/>
      <c r="B695" s="6"/>
      <c r="C695" s="6"/>
      <c r="D695" s="18"/>
      <c r="E695" s="18"/>
      <c r="F695" s="19"/>
      <c r="G695" s="10">
        <f>IFERROR(VLOOKUP(B695, 'Duke 4'!A$3:$B998,2, 0), 0)</f>
        <v>0</v>
      </c>
      <c r="H695" s="10">
        <f>IFERROR(VLOOKUP(B695, Proof!A$2:$B998,2, 0), 0)</f>
        <v>0</v>
      </c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</row>
    <row r="696">
      <c r="A696" s="6"/>
      <c r="B696" s="6"/>
      <c r="C696" s="6"/>
      <c r="D696" s="18"/>
      <c r="E696" s="18"/>
      <c r="F696" s="19"/>
      <c r="G696" s="10">
        <f>IFERROR(VLOOKUP(B696, 'Duke 4'!A$3:$B998,2, 0), 0)</f>
        <v>0</v>
      </c>
      <c r="H696" s="10">
        <f>IFERROR(VLOOKUP(B696, Proof!A$2:$B998,2, 0), 0)</f>
        <v>0</v>
      </c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</row>
    <row r="697">
      <c r="A697" s="6"/>
      <c r="B697" s="6"/>
      <c r="C697" s="6"/>
      <c r="D697" s="18"/>
      <c r="E697" s="18"/>
      <c r="F697" s="19"/>
      <c r="G697" s="10">
        <f>IFERROR(VLOOKUP(B697, 'Duke 4'!A$3:$B998,2, 0), 0)</f>
        <v>0</v>
      </c>
      <c r="H697" s="10">
        <f>IFERROR(VLOOKUP(B697, Proof!A$2:$B998,2, 0), 0)</f>
        <v>0</v>
      </c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</row>
    <row r="698">
      <c r="A698" s="6"/>
      <c r="B698" s="6"/>
      <c r="C698" s="6"/>
      <c r="D698" s="18"/>
      <c r="E698" s="18"/>
      <c r="F698" s="19"/>
      <c r="G698" s="10">
        <f>IFERROR(VLOOKUP(B698, 'Duke 4'!A$3:$B998,2, 0), 0)</f>
        <v>0</v>
      </c>
      <c r="H698" s="10">
        <f>IFERROR(VLOOKUP(B698, Proof!A$2:$B998,2, 0), 0)</f>
        <v>0</v>
      </c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</row>
    <row r="699">
      <c r="A699" s="6"/>
      <c r="B699" s="6"/>
      <c r="C699" s="6"/>
      <c r="D699" s="18"/>
      <c r="E699" s="18"/>
      <c r="F699" s="19"/>
      <c r="G699" s="10">
        <f>IFERROR(VLOOKUP(B699, 'Duke 4'!A$3:$B998,2, 0), 0)</f>
        <v>0</v>
      </c>
      <c r="H699" s="10">
        <f>IFERROR(VLOOKUP(B699, Proof!A$2:$B998,2, 0), 0)</f>
        <v>0</v>
      </c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</row>
    <row r="700">
      <c r="A700" s="6"/>
      <c r="B700" s="6"/>
      <c r="C700" s="6"/>
      <c r="D700" s="18"/>
      <c r="E700" s="18"/>
      <c r="F700" s="19"/>
      <c r="G700" s="10">
        <f>IFERROR(VLOOKUP(B700, 'Duke 4'!A$3:$B998,2, 0), 0)</f>
        <v>0</v>
      </c>
      <c r="H700" s="10">
        <f>IFERROR(VLOOKUP(B700, Proof!A$2:$B998,2, 0), 0)</f>
        <v>0</v>
      </c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</row>
    <row r="701">
      <c r="A701" s="6"/>
      <c r="B701" s="6"/>
      <c r="C701" s="6"/>
      <c r="D701" s="18"/>
      <c r="E701" s="18"/>
      <c r="F701" s="19"/>
      <c r="G701" s="10">
        <f>IFERROR(VLOOKUP(B701, 'Duke 4'!A$3:$B998,2, 0), 0)</f>
        <v>0</v>
      </c>
      <c r="H701" s="10">
        <f>IFERROR(VLOOKUP(B701, Proof!A$2:$B998,2, 0), 0)</f>
        <v>0</v>
      </c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</row>
    <row r="702">
      <c r="A702" s="6"/>
      <c r="B702" s="6"/>
      <c r="C702" s="6"/>
      <c r="D702" s="18"/>
      <c r="E702" s="18"/>
      <c r="F702" s="19"/>
      <c r="G702" s="10">
        <f>IFERROR(VLOOKUP(B702, 'Duke 4'!A$3:$B998,2, 0), 0)</f>
        <v>0</v>
      </c>
      <c r="H702" s="10">
        <f>IFERROR(VLOOKUP(B702, Proof!A$2:$B998,2, 0), 0)</f>
        <v>0</v>
      </c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</row>
    <row r="703">
      <c r="A703" s="6"/>
      <c r="B703" s="6"/>
      <c r="C703" s="6"/>
      <c r="D703" s="18"/>
      <c r="E703" s="18"/>
      <c r="F703" s="19"/>
      <c r="G703" s="10">
        <f>IFERROR(VLOOKUP(B703, 'Duke 4'!A$3:$B998,2, 0), 0)</f>
        <v>0</v>
      </c>
      <c r="H703" s="10">
        <f>IFERROR(VLOOKUP(B703, Proof!A$2:$B998,2, 0), 0)</f>
        <v>0</v>
      </c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</row>
    <row r="704">
      <c r="A704" s="6"/>
      <c r="B704" s="6"/>
      <c r="C704" s="6"/>
      <c r="D704" s="18"/>
      <c r="E704" s="18"/>
      <c r="F704" s="19"/>
      <c r="G704" s="10">
        <f>IFERROR(VLOOKUP(B704, 'Duke 4'!A$3:$B998,2, 0), 0)</f>
        <v>0</v>
      </c>
      <c r="H704" s="10">
        <f>IFERROR(VLOOKUP(B704, Proof!A$2:$B998,2, 0), 0)</f>
        <v>0</v>
      </c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</row>
    <row r="705">
      <c r="A705" s="6"/>
      <c r="B705" s="6"/>
      <c r="C705" s="6"/>
      <c r="D705" s="18"/>
      <c r="E705" s="18"/>
      <c r="F705" s="19"/>
      <c r="G705" s="10">
        <f>IFERROR(VLOOKUP(B705, 'Duke 4'!A$3:$B998,2, 0), 0)</f>
        <v>0</v>
      </c>
      <c r="H705" s="10">
        <f>IFERROR(VLOOKUP(B705, Proof!A$2:$B998,2, 0), 0)</f>
        <v>0</v>
      </c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</row>
    <row r="706">
      <c r="A706" s="6"/>
      <c r="B706" s="6"/>
      <c r="C706" s="6"/>
      <c r="D706" s="18"/>
      <c r="E706" s="18"/>
      <c r="F706" s="19"/>
      <c r="G706" s="10">
        <f>IFERROR(VLOOKUP(B706, 'Duke 4'!A$3:$B998,2, 0), 0)</f>
        <v>0</v>
      </c>
      <c r="H706" s="10">
        <f>IFERROR(VLOOKUP(B706, Proof!A$2:$B998,2, 0), 0)</f>
        <v>0</v>
      </c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</row>
    <row r="707">
      <c r="A707" s="6"/>
      <c r="B707" s="6"/>
      <c r="C707" s="6"/>
      <c r="D707" s="18"/>
      <c r="E707" s="18"/>
      <c r="F707" s="19"/>
      <c r="G707" s="10">
        <f>IFERROR(VLOOKUP(B707, 'Duke 4'!A$3:$B998,2, 0), 0)</f>
        <v>0</v>
      </c>
      <c r="H707" s="10">
        <f>IFERROR(VLOOKUP(B707, Proof!A$2:$B998,2, 0), 0)</f>
        <v>0</v>
      </c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</row>
    <row r="708">
      <c r="A708" s="6"/>
      <c r="B708" s="6"/>
      <c r="C708" s="6"/>
      <c r="D708" s="18"/>
      <c r="E708" s="18"/>
      <c r="F708" s="19"/>
      <c r="G708" s="10">
        <f>IFERROR(VLOOKUP(B708, 'Duke 4'!A$3:$B998,2, 0), 0)</f>
        <v>0</v>
      </c>
      <c r="H708" s="10">
        <f>IFERROR(VLOOKUP(B708, Proof!A$2:$B998,2, 0), 0)</f>
        <v>0</v>
      </c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</row>
    <row r="709">
      <c r="A709" s="6"/>
      <c r="B709" s="6"/>
      <c r="C709" s="6"/>
      <c r="D709" s="18"/>
      <c r="E709" s="18"/>
      <c r="F709" s="19"/>
      <c r="G709" s="10">
        <f>IFERROR(VLOOKUP(B709, 'Duke 4'!A$3:$B998,2, 0), 0)</f>
        <v>0</v>
      </c>
      <c r="H709" s="10">
        <f>IFERROR(VLOOKUP(B709, Proof!A$2:$B998,2, 0), 0)</f>
        <v>0</v>
      </c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</row>
    <row r="710">
      <c r="A710" s="6"/>
      <c r="B710" s="6"/>
      <c r="C710" s="6"/>
      <c r="D710" s="18"/>
      <c r="E710" s="18"/>
      <c r="F710" s="19"/>
      <c r="G710" s="10">
        <f>IFERROR(VLOOKUP(B710, 'Duke 4'!A$3:$B998,2, 0), 0)</f>
        <v>0</v>
      </c>
      <c r="H710" s="10">
        <f>IFERROR(VLOOKUP(B710, Proof!A$2:$B998,2, 0), 0)</f>
        <v>0</v>
      </c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</row>
    <row r="711">
      <c r="A711" s="6"/>
      <c r="B711" s="6"/>
      <c r="C711" s="6"/>
      <c r="D711" s="18"/>
      <c r="E711" s="18"/>
      <c r="F711" s="19"/>
      <c r="G711" s="10">
        <f>IFERROR(VLOOKUP(B711, 'Duke 4'!A$3:$B998,2, 0), 0)</f>
        <v>0</v>
      </c>
      <c r="H711" s="10">
        <f>IFERROR(VLOOKUP(B711, Proof!A$2:$B998,2, 0), 0)</f>
        <v>0</v>
      </c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</row>
    <row r="712">
      <c r="A712" s="6"/>
      <c r="B712" s="6"/>
      <c r="C712" s="6"/>
      <c r="D712" s="18"/>
      <c r="E712" s="18"/>
      <c r="F712" s="19"/>
      <c r="G712" s="10">
        <f>IFERROR(VLOOKUP(B712, 'Duke 4'!A$3:$B998,2, 0), 0)</f>
        <v>0</v>
      </c>
      <c r="H712" s="10">
        <f>IFERROR(VLOOKUP(B712, Proof!A$2:$B998,2, 0), 0)</f>
        <v>0</v>
      </c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</row>
    <row r="713">
      <c r="A713" s="6"/>
      <c r="B713" s="6"/>
      <c r="C713" s="6"/>
      <c r="D713" s="18"/>
      <c r="E713" s="18"/>
      <c r="F713" s="19"/>
      <c r="G713" s="10">
        <f>IFERROR(VLOOKUP(B713, 'Duke 4'!A$3:$B998,2, 0), 0)</f>
        <v>0</v>
      </c>
      <c r="H713" s="10">
        <f>IFERROR(VLOOKUP(B713, Proof!A$2:$B998,2, 0), 0)</f>
        <v>0</v>
      </c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</row>
    <row r="714">
      <c r="A714" s="6"/>
      <c r="B714" s="6"/>
      <c r="C714" s="6"/>
      <c r="D714" s="18"/>
      <c r="E714" s="18"/>
      <c r="F714" s="19"/>
      <c r="G714" s="10">
        <f>IFERROR(VLOOKUP(B714, 'Duke 4'!A$3:$B998,2, 0), 0)</f>
        <v>0</v>
      </c>
      <c r="H714" s="10">
        <f>IFERROR(VLOOKUP(B714, Proof!A$2:$B998,2, 0), 0)</f>
        <v>0</v>
      </c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</row>
    <row r="715">
      <c r="A715" s="6"/>
      <c r="B715" s="6"/>
      <c r="C715" s="6"/>
      <c r="D715" s="18"/>
      <c r="E715" s="18"/>
      <c r="F715" s="19"/>
      <c r="G715" s="10">
        <f>IFERROR(VLOOKUP(B715, 'Duke 4'!A$3:$B998,2, 0), 0)</f>
        <v>0</v>
      </c>
      <c r="H715" s="10">
        <f>IFERROR(VLOOKUP(B715, Proof!A$2:$B998,2, 0), 0)</f>
        <v>0</v>
      </c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</row>
    <row r="716">
      <c r="A716" s="6"/>
      <c r="B716" s="6"/>
      <c r="C716" s="6"/>
      <c r="D716" s="18"/>
      <c r="E716" s="18"/>
      <c r="F716" s="19"/>
      <c r="G716" s="10">
        <f>IFERROR(VLOOKUP(B716, 'Duke 4'!A$3:$B998,2, 0), 0)</f>
        <v>0</v>
      </c>
      <c r="H716" s="10">
        <f>IFERROR(VLOOKUP(B716, Proof!A$2:$B998,2, 0), 0)</f>
        <v>0</v>
      </c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</row>
    <row r="717">
      <c r="A717" s="6"/>
      <c r="B717" s="6"/>
      <c r="C717" s="6"/>
      <c r="D717" s="18"/>
      <c r="E717" s="18"/>
      <c r="F717" s="19"/>
      <c r="G717" s="10">
        <f>IFERROR(VLOOKUP(B717, 'Duke 4'!A$3:$B998,2, 0), 0)</f>
        <v>0</v>
      </c>
      <c r="H717" s="10">
        <f>IFERROR(VLOOKUP(B717, Proof!A$2:$B998,2, 0), 0)</f>
        <v>0</v>
      </c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</row>
    <row r="718">
      <c r="A718" s="6"/>
      <c r="B718" s="6"/>
      <c r="C718" s="6"/>
      <c r="D718" s="18"/>
      <c r="E718" s="18"/>
      <c r="F718" s="19"/>
      <c r="G718" s="10">
        <f>IFERROR(VLOOKUP(B718, 'Duke 4'!A$3:$B998,2, 0), 0)</f>
        <v>0</v>
      </c>
      <c r="H718" s="10">
        <f>IFERROR(VLOOKUP(B718, Proof!A$2:$B998,2, 0), 0)</f>
        <v>0</v>
      </c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</row>
    <row r="719">
      <c r="A719" s="6"/>
      <c r="B719" s="6"/>
      <c r="C719" s="6"/>
      <c r="D719" s="18"/>
      <c r="E719" s="18"/>
      <c r="F719" s="19"/>
      <c r="G719" s="10">
        <f>IFERROR(VLOOKUP(B719, 'Duke 4'!A$3:$B998,2, 0), 0)</f>
        <v>0</v>
      </c>
      <c r="H719" s="10">
        <f>IFERROR(VLOOKUP(B719, Proof!A$2:$B998,2, 0), 0)</f>
        <v>0</v>
      </c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</row>
    <row r="720">
      <c r="A720" s="6"/>
      <c r="B720" s="6"/>
      <c r="C720" s="6"/>
      <c r="D720" s="18"/>
      <c r="E720" s="18"/>
      <c r="F720" s="19"/>
      <c r="G720" s="10">
        <f>IFERROR(VLOOKUP(B720, 'Duke 4'!A$3:$B998,2, 0), 0)</f>
        <v>0</v>
      </c>
      <c r="H720" s="10">
        <f>IFERROR(VLOOKUP(B720, Proof!A$2:$B998,2, 0), 0)</f>
        <v>0</v>
      </c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</row>
    <row r="721">
      <c r="A721" s="6"/>
      <c r="B721" s="6"/>
      <c r="C721" s="6"/>
      <c r="D721" s="18"/>
      <c r="E721" s="18"/>
      <c r="F721" s="19"/>
      <c r="G721" s="10">
        <f>IFERROR(VLOOKUP(B721, 'Duke 4'!A$3:$B998,2, 0), 0)</f>
        <v>0</v>
      </c>
      <c r="H721" s="10">
        <f>IFERROR(VLOOKUP(B721, Proof!A$2:$B998,2, 0), 0)</f>
        <v>0</v>
      </c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</row>
    <row r="722">
      <c r="A722" s="6"/>
      <c r="B722" s="6"/>
      <c r="C722" s="6"/>
      <c r="D722" s="18"/>
      <c r="E722" s="18"/>
      <c r="F722" s="19"/>
      <c r="G722" s="10">
        <f>IFERROR(VLOOKUP(B722, 'Duke 4'!A$3:$B998,2, 0), 0)</f>
        <v>0</v>
      </c>
      <c r="H722" s="10">
        <f>IFERROR(VLOOKUP(B722, Proof!A$2:$B998,2, 0), 0)</f>
        <v>0</v>
      </c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</row>
    <row r="723">
      <c r="A723" s="6"/>
      <c r="B723" s="6"/>
      <c r="C723" s="6"/>
      <c r="D723" s="18"/>
      <c r="E723" s="18"/>
      <c r="F723" s="19"/>
      <c r="G723" s="10">
        <f>IFERROR(VLOOKUP(B723, 'Duke 4'!A$3:$B998,2, 0), 0)</f>
        <v>0</v>
      </c>
      <c r="H723" s="10">
        <f>IFERROR(VLOOKUP(B723, Proof!A$2:$B998,2, 0), 0)</f>
        <v>0</v>
      </c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</row>
    <row r="724">
      <c r="A724" s="6"/>
      <c r="B724" s="6"/>
      <c r="C724" s="6"/>
      <c r="D724" s="18"/>
      <c r="E724" s="18"/>
      <c r="F724" s="19"/>
      <c r="G724" s="10">
        <f>IFERROR(VLOOKUP(B724, 'Duke 4'!A$3:$B998,2, 0), 0)</f>
        <v>0</v>
      </c>
      <c r="H724" s="10">
        <f>IFERROR(VLOOKUP(B724, Proof!A$2:$B998,2, 0), 0)</f>
        <v>0</v>
      </c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</row>
    <row r="725">
      <c r="A725" s="6"/>
      <c r="B725" s="6"/>
      <c r="C725" s="6"/>
      <c r="D725" s="18"/>
      <c r="E725" s="18"/>
      <c r="F725" s="19"/>
      <c r="G725" s="10">
        <f>IFERROR(VLOOKUP(B725, 'Duke 4'!A$3:$B998,2, 0), 0)</f>
        <v>0</v>
      </c>
      <c r="H725" s="10">
        <f>IFERROR(VLOOKUP(B725, Proof!A$2:$B998,2, 0), 0)</f>
        <v>0</v>
      </c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</row>
    <row r="726">
      <c r="A726" s="6"/>
      <c r="B726" s="6"/>
      <c r="C726" s="6"/>
      <c r="D726" s="18"/>
      <c r="E726" s="18"/>
      <c r="F726" s="19"/>
      <c r="G726" s="10">
        <f>IFERROR(VLOOKUP(B726, 'Duke 4'!A$3:$B998,2, 0), 0)</f>
        <v>0</v>
      </c>
      <c r="H726" s="10">
        <f>IFERROR(VLOOKUP(B726, Proof!A$2:$B998,2, 0), 0)</f>
        <v>0</v>
      </c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</row>
    <row r="727">
      <c r="A727" s="6"/>
      <c r="B727" s="6"/>
      <c r="C727" s="6"/>
      <c r="D727" s="18"/>
      <c r="E727" s="18"/>
      <c r="F727" s="19"/>
      <c r="G727" s="10">
        <f>IFERROR(VLOOKUP(B727, 'Duke 4'!A$3:$B998,2, 0), 0)</f>
        <v>0</v>
      </c>
      <c r="H727" s="10">
        <f>IFERROR(VLOOKUP(B727, Proof!A$2:$B998,2, 0), 0)</f>
        <v>0</v>
      </c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</row>
    <row r="728">
      <c r="A728" s="6"/>
      <c r="B728" s="6"/>
      <c r="C728" s="6"/>
      <c r="D728" s="18"/>
      <c r="E728" s="18"/>
      <c r="F728" s="19"/>
      <c r="G728" s="10">
        <f>IFERROR(VLOOKUP(B728, 'Duke 4'!A$3:$B998,2, 0), 0)</f>
        <v>0</v>
      </c>
      <c r="H728" s="10">
        <f>IFERROR(VLOOKUP(B728, Proof!A$2:$B998,2, 0), 0)</f>
        <v>0</v>
      </c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</row>
    <row r="729">
      <c r="A729" s="6"/>
      <c r="B729" s="6"/>
      <c r="C729" s="6"/>
      <c r="D729" s="18"/>
      <c r="E729" s="18"/>
      <c r="F729" s="19"/>
      <c r="G729" s="10">
        <f>IFERROR(VLOOKUP(B729, 'Duke 4'!A$3:$B998,2, 0), 0)</f>
        <v>0</v>
      </c>
      <c r="H729" s="10">
        <f>IFERROR(VLOOKUP(B729, Proof!A$2:$B998,2, 0), 0)</f>
        <v>0</v>
      </c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</row>
    <row r="730">
      <c r="A730" s="6"/>
      <c r="B730" s="6"/>
      <c r="C730" s="6"/>
      <c r="D730" s="18"/>
      <c r="E730" s="18"/>
      <c r="F730" s="19"/>
      <c r="G730" s="10">
        <f>IFERROR(VLOOKUP(B730, 'Duke 4'!A$3:$B998,2, 0), 0)</f>
        <v>0</v>
      </c>
      <c r="H730" s="10">
        <f>IFERROR(VLOOKUP(B730, Proof!A$2:$B998,2, 0), 0)</f>
        <v>0</v>
      </c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</row>
    <row r="731">
      <c r="A731" s="6"/>
      <c r="B731" s="6"/>
      <c r="C731" s="6"/>
      <c r="D731" s="18"/>
      <c r="E731" s="18"/>
      <c r="F731" s="19"/>
      <c r="G731" s="10">
        <f>IFERROR(VLOOKUP(B731, 'Duke 4'!A$3:$B998,2, 0), 0)</f>
        <v>0</v>
      </c>
      <c r="H731" s="10">
        <f>IFERROR(VLOOKUP(B731, Proof!A$2:$B998,2, 0), 0)</f>
        <v>0</v>
      </c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</row>
    <row r="732">
      <c r="A732" s="6"/>
      <c r="B732" s="6"/>
      <c r="C732" s="6"/>
      <c r="D732" s="18"/>
      <c r="E732" s="18"/>
      <c r="F732" s="19"/>
      <c r="G732" s="10">
        <f>IFERROR(VLOOKUP(B732, 'Duke 4'!A$3:$B998,2, 0), 0)</f>
        <v>0</v>
      </c>
      <c r="H732" s="10">
        <f>IFERROR(VLOOKUP(B732, Proof!A$2:$B998,2, 0), 0)</f>
        <v>0</v>
      </c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</row>
    <row r="733">
      <c r="A733" s="6"/>
      <c r="B733" s="6"/>
      <c r="C733" s="6"/>
      <c r="D733" s="18"/>
      <c r="E733" s="18"/>
      <c r="F733" s="19"/>
      <c r="G733" s="10">
        <f>IFERROR(VLOOKUP(B733, 'Duke 4'!A$3:$B998,2, 0), 0)</f>
        <v>0</v>
      </c>
      <c r="H733" s="10">
        <f>IFERROR(VLOOKUP(B733, Proof!A$2:$B998,2, 0), 0)</f>
        <v>0</v>
      </c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</row>
    <row r="734">
      <c r="A734" s="6"/>
      <c r="B734" s="6"/>
      <c r="C734" s="6"/>
      <c r="D734" s="18"/>
      <c r="E734" s="18"/>
      <c r="F734" s="19"/>
      <c r="G734" s="10">
        <f>IFERROR(VLOOKUP(B734, 'Duke 4'!A$3:$B998,2, 0), 0)</f>
        <v>0</v>
      </c>
      <c r="H734" s="10">
        <f>IFERROR(VLOOKUP(B734, Proof!A$2:$B998,2, 0), 0)</f>
        <v>0</v>
      </c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</row>
    <row r="735">
      <c r="A735" s="6"/>
      <c r="B735" s="6"/>
      <c r="C735" s="6"/>
      <c r="D735" s="18"/>
      <c r="E735" s="18"/>
      <c r="F735" s="19"/>
      <c r="G735" s="10">
        <f>IFERROR(VLOOKUP(B735, 'Duke 4'!A$3:$B998,2, 0), 0)</f>
        <v>0</v>
      </c>
      <c r="H735" s="10">
        <f>IFERROR(VLOOKUP(B735, Proof!A$2:$B998,2, 0), 0)</f>
        <v>0</v>
      </c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</row>
    <row r="736">
      <c r="A736" s="6"/>
      <c r="B736" s="6"/>
      <c r="C736" s="6"/>
      <c r="D736" s="18"/>
      <c r="E736" s="18"/>
      <c r="F736" s="19"/>
      <c r="G736" s="10">
        <f>IFERROR(VLOOKUP(B736, 'Duke 4'!A$3:$B998,2, 0), 0)</f>
        <v>0</v>
      </c>
      <c r="H736" s="10">
        <f>IFERROR(VLOOKUP(B736, Proof!A$2:$B998,2, 0), 0)</f>
        <v>0</v>
      </c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</row>
    <row r="737">
      <c r="A737" s="6"/>
      <c r="B737" s="6"/>
      <c r="C737" s="6"/>
      <c r="D737" s="18"/>
      <c r="E737" s="18"/>
      <c r="F737" s="19"/>
      <c r="G737" s="10">
        <f>IFERROR(VLOOKUP(B737, 'Duke 4'!A$3:$B998,2, 0), 0)</f>
        <v>0</v>
      </c>
      <c r="H737" s="10">
        <f>IFERROR(VLOOKUP(B737, Proof!A$2:$B998,2, 0), 0)</f>
        <v>0</v>
      </c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</row>
    <row r="738">
      <c r="A738" s="6"/>
      <c r="B738" s="6"/>
      <c r="C738" s="6"/>
      <c r="D738" s="18"/>
      <c r="E738" s="18"/>
      <c r="F738" s="19"/>
      <c r="G738" s="10">
        <f>IFERROR(VLOOKUP(B738, 'Duke 4'!A$3:$B998,2, 0), 0)</f>
        <v>0</v>
      </c>
      <c r="H738" s="10">
        <f>IFERROR(VLOOKUP(B738, Proof!A$2:$B998,2, 0), 0)</f>
        <v>0</v>
      </c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</row>
    <row r="739">
      <c r="A739" s="6"/>
      <c r="B739" s="6"/>
      <c r="C739" s="6"/>
      <c r="D739" s="18"/>
      <c r="E739" s="18"/>
      <c r="F739" s="19"/>
      <c r="G739" s="10">
        <f>IFERROR(VLOOKUP(B739, 'Duke 4'!A$3:$B998,2, 0), 0)</f>
        <v>0</v>
      </c>
      <c r="H739" s="10">
        <f>IFERROR(VLOOKUP(B739, Proof!A$2:$B998,2, 0), 0)</f>
        <v>0</v>
      </c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</row>
    <row r="740">
      <c r="A740" s="6"/>
      <c r="B740" s="6"/>
      <c r="C740" s="6"/>
      <c r="D740" s="18"/>
      <c r="E740" s="18"/>
      <c r="F740" s="19"/>
      <c r="G740" s="10">
        <f>IFERROR(VLOOKUP(B740, 'Duke 4'!A$3:$B998,2, 0), 0)</f>
        <v>0</v>
      </c>
      <c r="H740" s="10">
        <f>IFERROR(VLOOKUP(B740, Proof!A$2:$B998,2, 0), 0)</f>
        <v>0</v>
      </c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</row>
    <row r="741">
      <c r="A741" s="6"/>
      <c r="B741" s="6"/>
      <c r="C741" s="6"/>
      <c r="D741" s="18"/>
      <c r="E741" s="18"/>
      <c r="F741" s="19"/>
      <c r="G741" s="10">
        <f>IFERROR(VLOOKUP(B741, 'Duke 4'!A$3:$B998,2, 0), 0)</f>
        <v>0</v>
      </c>
      <c r="H741" s="10">
        <f>IFERROR(VLOOKUP(B741, Proof!A$2:$B998,2, 0), 0)</f>
        <v>0</v>
      </c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</row>
    <row r="742">
      <c r="A742" s="6"/>
      <c r="B742" s="6"/>
      <c r="C742" s="6"/>
      <c r="D742" s="18"/>
      <c r="E742" s="18"/>
      <c r="F742" s="19"/>
      <c r="G742" s="10">
        <f>IFERROR(VLOOKUP(B742, 'Duke 4'!A$3:$B998,2, 0), 0)</f>
        <v>0</v>
      </c>
      <c r="H742" s="10">
        <f>IFERROR(VLOOKUP(B742, Proof!A$2:$B998,2, 0), 0)</f>
        <v>0</v>
      </c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</row>
    <row r="743">
      <c r="A743" s="6"/>
      <c r="B743" s="6"/>
      <c r="C743" s="6"/>
      <c r="D743" s="18"/>
      <c r="E743" s="18"/>
      <c r="F743" s="19"/>
      <c r="G743" s="10">
        <f>IFERROR(VLOOKUP(B743, 'Duke 4'!A$3:$B998,2, 0), 0)</f>
        <v>0</v>
      </c>
      <c r="H743" s="10">
        <f>IFERROR(VLOOKUP(B743, Proof!A$2:$B998,2, 0), 0)</f>
        <v>0</v>
      </c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</row>
    <row r="744">
      <c r="A744" s="6"/>
      <c r="B744" s="6"/>
      <c r="C744" s="6"/>
      <c r="D744" s="18"/>
      <c r="E744" s="18"/>
      <c r="F744" s="19"/>
      <c r="G744" s="10">
        <f>IFERROR(VLOOKUP(B744, 'Duke 4'!A$3:$B998,2, 0), 0)</f>
        <v>0</v>
      </c>
      <c r="H744" s="10">
        <f>IFERROR(VLOOKUP(B744, Proof!A$2:$B998,2, 0), 0)</f>
        <v>0</v>
      </c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</row>
    <row r="745">
      <c r="A745" s="6"/>
      <c r="B745" s="6"/>
      <c r="C745" s="6"/>
      <c r="D745" s="18"/>
      <c r="E745" s="18"/>
      <c r="F745" s="19"/>
      <c r="G745" s="10">
        <f>IFERROR(VLOOKUP(B745, 'Duke 4'!A$3:$B998,2, 0), 0)</f>
        <v>0</v>
      </c>
      <c r="H745" s="10">
        <f>IFERROR(VLOOKUP(B745, Proof!A$2:$B998,2, 0), 0)</f>
        <v>0</v>
      </c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</row>
    <row r="746">
      <c r="A746" s="6"/>
      <c r="B746" s="6"/>
      <c r="C746" s="6"/>
      <c r="D746" s="18"/>
      <c r="E746" s="18"/>
      <c r="F746" s="19"/>
      <c r="G746" s="10">
        <f>IFERROR(VLOOKUP(B746, 'Duke 4'!A$3:$B998,2, 0), 0)</f>
        <v>0</v>
      </c>
      <c r="H746" s="10">
        <f>IFERROR(VLOOKUP(B746, Proof!A$2:$B998,2, 0), 0)</f>
        <v>0</v>
      </c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</row>
    <row r="747">
      <c r="A747" s="6"/>
      <c r="B747" s="6"/>
      <c r="C747" s="6"/>
      <c r="D747" s="18"/>
      <c r="E747" s="18"/>
      <c r="F747" s="19"/>
      <c r="G747" s="10">
        <f>IFERROR(VLOOKUP(B747, 'Duke 4'!A$3:$B998,2, 0), 0)</f>
        <v>0</v>
      </c>
      <c r="H747" s="10">
        <f>IFERROR(VLOOKUP(B747, Proof!A$2:$B998,2, 0), 0)</f>
        <v>0</v>
      </c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</row>
    <row r="748">
      <c r="A748" s="6"/>
      <c r="B748" s="6"/>
      <c r="C748" s="6"/>
      <c r="D748" s="18"/>
      <c r="E748" s="18"/>
      <c r="F748" s="19"/>
      <c r="G748" s="10">
        <f>IFERROR(VLOOKUP(B748, 'Duke 4'!A$3:$B998,2, 0), 0)</f>
        <v>0</v>
      </c>
      <c r="H748" s="10">
        <f>IFERROR(VLOOKUP(B748, Proof!A$2:$B998,2, 0), 0)</f>
        <v>0</v>
      </c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</row>
    <row r="749">
      <c r="A749" s="6"/>
      <c r="B749" s="6"/>
      <c r="C749" s="6"/>
      <c r="D749" s="18"/>
      <c r="E749" s="18"/>
      <c r="F749" s="19"/>
      <c r="G749" s="10">
        <f>IFERROR(VLOOKUP(B749, 'Duke 4'!A$3:$B998,2, 0), 0)</f>
        <v>0</v>
      </c>
      <c r="H749" s="10">
        <f>IFERROR(VLOOKUP(B749, Proof!A$2:$B998,2, 0), 0)</f>
        <v>0</v>
      </c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</row>
    <row r="750">
      <c r="A750" s="6"/>
      <c r="B750" s="6"/>
      <c r="C750" s="6"/>
      <c r="D750" s="18"/>
      <c r="E750" s="18"/>
      <c r="F750" s="19"/>
      <c r="G750" s="10">
        <f>IFERROR(VLOOKUP(B750, 'Duke 4'!A$3:$B998,2, 0), 0)</f>
        <v>0</v>
      </c>
      <c r="H750" s="10">
        <f>IFERROR(VLOOKUP(B750, Proof!A$2:$B998,2, 0), 0)</f>
        <v>0</v>
      </c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</row>
    <row r="751">
      <c r="A751" s="6"/>
      <c r="B751" s="6"/>
      <c r="C751" s="6"/>
      <c r="D751" s="18"/>
      <c r="E751" s="18"/>
      <c r="F751" s="19"/>
      <c r="G751" s="10">
        <f>IFERROR(VLOOKUP(B751, 'Duke 4'!A$3:$B998,2, 0), 0)</f>
        <v>0</v>
      </c>
      <c r="H751" s="10">
        <f>IFERROR(VLOOKUP(B751, Proof!A$2:$B998,2, 0), 0)</f>
        <v>0</v>
      </c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</row>
    <row r="752">
      <c r="A752" s="6"/>
      <c r="B752" s="6"/>
      <c r="C752" s="6"/>
      <c r="D752" s="18"/>
      <c r="E752" s="18"/>
      <c r="F752" s="19"/>
      <c r="G752" s="10">
        <f>IFERROR(VLOOKUP(B752, 'Duke 4'!A$3:$B998,2, 0), 0)</f>
        <v>0</v>
      </c>
      <c r="H752" s="10">
        <f>IFERROR(VLOOKUP(B752, Proof!A$2:$B998,2, 0), 0)</f>
        <v>0</v>
      </c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</row>
    <row r="753">
      <c r="A753" s="6"/>
      <c r="B753" s="6"/>
      <c r="C753" s="6"/>
      <c r="D753" s="18"/>
      <c r="E753" s="18"/>
      <c r="F753" s="19"/>
      <c r="G753" s="10">
        <f>IFERROR(VLOOKUP(B753, 'Duke 4'!A$3:$B998,2, 0), 0)</f>
        <v>0</v>
      </c>
      <c r="H753" s="10">
        <f>IFERROR(VLOOKUP(B753, Proof!A$2:$B998,2, 0), 0)</f>
        <v>0</v>
      </c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</row>
    <row r="754">
      <c r="A754" s="6"/>
      <c r="B754" s="6"/>
      <c r="C754" s="6"/>
      <c r="D754" s="18"/>
      <c r="E754" s="18"/>
      <c r="F754" s="19"/>
      <c r="G754" s="10">
        <f>IFERROR(VLOOKUP(B754, 'Duke 4'!A$3:$B998,2, 0), 0)</f>
        <v>0</v>
      </c>
      <c r="H754" s="10">
        <f>IFERROR(VLOOKUP(B754, Proof!A$2:$B998,2, 0), 0)</f>
        <v>0</v>
      </c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</row>
    <row r="755">
      <c r="A755" s="6"/>
      <c r="B755" s="6"/>
      <c r="C755" s="6"/>
      <c r="D755" s="18"/>
      <c r="E755" s="18"/>
      <c r="F755" s="19"/>
      <c r="G755" s="10">
        <f>IFERROR(VLOOKUP(B755, 'Duke 4'!A$3:$B998,2, 0), 0)</f>
        <v>0</v>
      </c>
      <c r="H755" s="10">
        <f>IFERROR(VLOOKUP(B755, Proof!A$2:$B998,2, 0), 0)</f>
        <v>0</v>
      </c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</row>
    <row r="756">
      <c r="A756" s="6"/>
      <c r="B756" s="6"/>
      <c r="C756" s="6"/>
      <c r="D756" s="18"/>
      <c r="E756" s="18"/>
      <c r="F756" s="19"/>
      <c r="G756" s="10">
        <f>IFERROR(VLOOKUP(B756, 'Duke 4'!A$3:$B998,2, 0), 0)</f>
        <v>0</v>
      </c>
      <c r="H756" s="10">
        <f>IFERROR(VLOOKUP(B756, Proof!A$2:$B998,2, 0), 0)</f>
        <v>0</v>
      </c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</row>
    <row r="757">
      <c r="A757" s="6"/>
      <c r="B757" s="6"/>
      <c r="C757" s="6"/>
      <c r="D757" s="18"/>
      <c r="E757" s="18"/>
      <c r="F757" s="19"/>
      <c r="G757" s="10">
        <f>IFERROR(VLOOKUP(B757, 'Duke 4'!A$3:$B998,2, 0), 0)</f>
        <v>0</v>
      </c>
      <c r="H757" s="10">
        <f>IFERROR(VLOOKUP(B757, Proof!A$2:$B998,2, 0), 0)</f>
        <v>0</v>
      </c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</row>
    <row r="758">
      <c r="A758" s="6"/>
      <c r="B758" s="6"/>
      <c r="C758" s="6"/>
      <c r="D758" s="18"/>
      <c r="E758" s="18"/>
      <c r="F758" s="19"/>
      <c r="G758" s="10">
        <f>IFERROR(VLOOKUP(B758, 'Duke 4'!A$3:$B998,2, 0), 0)</f>
        <v>0</v>
      </c>
      <c r="H758" s="10">
        <f>IFERROR(VLOOKUP(B758, Proof!A$2:$B998,2, 0), 0)</f>
        <v>0</v>
      </c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</row>
    <row r="759">
      <c r="A759" s="6"/>
      <c r="B759" s="6"/>
      <c r="C759" s="6"/>
      <c r="D759" s="18"/>
      <c r="E759" s="18"/>
      <c r="F759" s="19"/>
      <c r="G759" s="10">
        <f>IFERROR(VLOOKUP(B759, 'Duke 4'!A$3:$B998,2, 0), 0)</f>
        <v>0</v>
      </c>
      <c r="H759" s="10">
        <f>IFERROR(VLOOKUP(B759, Proof!A$2:$B998,2, 0), 0)</f>
        <v>0</v>
      </c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</row>
    <row r="760">
      <c r="A760" s="6"/>
      <c r="B760" s="6"/>
      <c r="C760" s="6"/>
      <c r="D760" s="18"/>
      <c r="E760" s="18"/>
      <c r="F760" s="19"/>
      <c r="G760" s="10">
        <f>IFERROR(VLOOKUP(B760, 'Duke 4'!A$3:$B998,2, 0), 0)</f>
        <v>0</v>
      </c>
      <c r="H760" s="10">
        <f>IFERROR(VLOOKUP(B760, Proof!A$2:$B998,2, 0), 0)</f>
        <v>0</v>
      </c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</row>
    <row r="761">
      <c r="A761" s="6"/>
      <c r="B761" s="6"/>
      <c r="C761" s="6"/>
      <c r="D761" s="18"/>
      <c r="E761" s="18"/>
      <c r="F761" s="19"/>
      <c r="G761" s="10">
        <f>IFERROR(VLOOKUP(B761, 'Duke 4'!A$3:$B998,2, 0), 0)</f>
        <v>0</v>
      </c>
      <c r="H761" s="10">
        <f>IFERROR(VLOOKUP(B761, Proof!A$2:$B998,2, 0), 0)</f>
        <v>0</v>
      </c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</row>
    <row r="762">
      <c r="A762" s="6"/>
      <c r="B762" s="6"/>
      <c r="C762" s="6"/>
      <c r="D762" s="18"/>
      <c r="E762" s="18"/>
      <c r="F762" s="19"/>
      <c r="G762" s="10">
        <f>IFERROR(VLOOKUP(B762, 'Duke 4'!A$3:$B998,2, 0), 0)</f>
        <v>0</v>
      </c>
      <c r="H762" s="10">
        <f>IFERROR(VLOOKUP(B762, Proof!A$2:$B998,2, 0), 0)</f>
        <v>0</v>
      </c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</row>
    <row r="763">
      <c r="A763" s="6"/>
      <c r="B763" s="6"/>
      <c r="C763" s="6"/>
      <c r="D763" s="18"/>
      <c r="E763" s="18"/>
      <c r="F763" s="19"/>
      <c r="G763" s="10">
        <f>IFERROR(VLOOKUP(B763, 'Duke 4'!A$3:$B998,2, 0), 0)</f>
        <v>0</v>
      </c>
      <c r="H763" s="10">
        <f>IFERROR(VLOOKUP(B763, Proof!A$2:$B998,2, 0), 0)</f>
        <v>0</v>
      </c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</row>
    <row r="764">
      <c r="A764" s="6"/>
      <c r="B764" s="6"/>
      <c r="C764" s="6"/>
      <c r="D764" s="18"/>
      <c r="E764" s="18"/>
      <c r="F764" s="19"/>
      <c r="G764" s="10">
        <f>IFERROR(VLOOKUP(B764, 'Duke 4'!A$3:$B998,2, 0), 0)</f>
        <v>0</v>
      </c>
      <c r="H764" s="10">
        <f>IFERROR(VLOOKUP(B764, Proof!A$2:$B998,2, 0), 0)</f>
        <v>0</v>
      </c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</row>
    <row r="765">
      <c r="A765" s="6"/>
      <c r="B765" s="6"/>
      <c r="C765" s="6"/>
      <c r="D765" s="18"/>
      <c r="E765" s="18"/>
      <c r="F765" s="19"/>
      <c r="G765" s="10">
        <f>IFERROR(VLOOKUP(B765, 'Duke 4'!A$3:$B998,2, 0), 0)</f>
        <v>0</v>
      </c>
      <c r="H765" s="10">
        <f>IFERROR(VLOOKUP(B765, Proof!A$2:$B998,2, 0), 0)</f>
        <v>0</v>
      </c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</row>
    <row r="766">
      <c r="A766" s="6"/>
      <c r="B766" s="6"/>
      <c r="C766" s="6"/>
      <c r="D766" s="18"/>
      <c r="E766" s="18"/>
      <c r="F766" s="19"/>
      <c r="G766" s="10">
        <f>IFERROR(VLOOKUP(B766, 'Duke 4'!A$3:$B998,2, 0), 0)</f>
        <v>0</v>
      </c>
      <c r="H766" s="10">
        <f>IFERROR(VLOOKUP(B766, Proof!A$2:$B998,2, 0), 0)</f>
        <v>0</v>
      </c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</row>
    <row r="767">
      <c r="A767" s="6"/>
      <c r="B767" s="6"/>
      <c r="C767" s="6"/>
      <c r="D767" s="18"/>
      <c r="E767" s="18"/>
      <c r="F767" s="19"/>
      <c r="G767" s="10">
        <f>IFERROR(VLOOKUP(B767, 'Duke 4'!A$3:$B998,2, 0), 0)</f>
        <v>0</v>
      </c>
      <c r="H767" s="10">
        <f>IFERROR(VLOOKUP(B767, Proof!A$2:$B998,2, 0), 0)</f>
        <v>0</v>
      </c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</row>
    <row r="768">
      <c r="A768" s="6"/>
      <c r="B768" s="6"/>
      <c r="C768" s="6"/>
      <c r="D768" s="18"/>
      <c r="E768" s="18"/>
      <c r="F768" s="19"/>
      <c r="G768" s="10">
        <f>IFERROR(VLOOKUP(B768, 'Duke 4'!A$3:$B998,2, 0), 0)</f>
        <v>0</v>
      </c>
      <c r="H768" s="10">
        <f>IFERROR(VLOOKUP(B768, Proof!A$2:$B998,2, 0), 0)</f>
        <v>0</v>
      </c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</row>
    <row r="769">
      <c r="A769" s="6"/>
      <c r="B769" s="6"/>
      <c r="C769" s="6"/>
      <c r="D769" s="18"/>
      <c r="E769" s="18"/>
      <c r="F769" s="19"/>
      <c r="G769" s="10">
        <f>IFERROR(VLOOKUP(B769, 'Duke 4'!A$3:$B998,2, 0), 0)</f>
        <v>0</v>
      </c>
      <c r="H769" s="10">
        <f>IFERROR(VLOOKUP(B769, Proof!A$2:$B998,2, 0), 0)</f>
        <v>0</v>
      </c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</row>
    <row r="770">
      <c r="A770" s="6"/>
      <c r="B770" s="6"/>
      <c r="C770" s="6"/>
      <c r="D770" s="18"/>
      <c r="E770" s="18"/>
      <c r="F770" s="19"/>
      <c r="G770" s="10">
        <f>IFERROR(VLOOKUP(B770, 'Duke 4'!A$3:$B998,2, 0), 0)</f>
        <v>0</v>
      </c>
      <c r="H770" s="10">
        <f>IFERROR(VLOOKUP(B770, Proof!A$2:$B998,2, 0), 0)</f>
        <v>0</v>
      </c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</row>
    <row r="771">
      <c r="A771" s="6"/>
      <c r="B771" s="6"/>
      <c r="C771" s="6"/>
      <c r="D771" s="18"/>
      <c r="E771" s="18"/>
      <c r="F771" s="19"/>
      <c r="G771" s="10">
        <f>IFERROR(VLOOKUP(B771, 'Duke 4'!A$3:$B998,2, 0), 0)</f>
        <v>0</v>
      </c>
      <c r="H771" s="10">
        <f>IFERROR(VLOOKUP(B771, Proof!A$2:$B998,2, 0), 0)</f>
        <v>0</v>
      </c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</row>
    <row r="772">
      <c r="A772" s="6"/>
      <c r="B772" s="6"/>
      <c r="C772" s="6"/>
      <c r="D772" s="18"/>
      <c r="E772" s="18"/>
      <c r="F772" s="19"/>
      <c r="G772" s="10">
        <f>IFERROR(VLOOKUP(B772, 'Duke 4'!A$3:$B998,2, 0), 0)</f>
        <v>0</v>
      </c>
      <c r="H772" s="10">
        <f>IFERROR(VLOOKUP(B772, Proof!A$2:$B998,2, 0), 0)</f>
        <v>0</v>
      </c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</row>
    <row r="773">
      <c r="A773" s="6"/>
      <c r="B773" s="6"/>
      <c r="C773" s="6"/>
      <c r="D773" s="18"/>
      <c r="E773" s="18"/>
      <c r="F773" s="19"/>
      <c r="G773" s="10">
        <f>IFERROR(VLOOKUP(B773, 'Duke 4'!A$3:$B998,2, 0), 0)</f>
        <v>0</v>
      </c>
      <c r="H773" s="10">
        <f>IFERROR(VLOOKUP(B773, Proof!A$2:$B998,2, 0), 0)</f>
        <v>0</v>
      </c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</row>
    <row r="774">
      <c r="A774" s="6"/>
      <c r="B774" s="6"/>
      <c r="C774" s="6"/>
      <c r="D774" s="18"/>
      <c r="E774" s="18"/>
      <c r="F774" s="19"/>
      <c r="G774" s="10">
        <f>IFERROR(VLOOKUP(B774, 'Duke 4'!A$3:$B998,2, 0), 0)</f>
        <v>0</v>
      </c>
      <c r="H774" s="10">
        <f>IFERROR(VLOOKUP(B774, Proof!A$2:$B998,2, 0), 0)</f>
        <v>0</v>
      </c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</row>
    <row r="775">
      <c r="A775" s="6"/>
      <c r="B775" s="6"/>
      <c r="C775" s="6"/>
      <c r="D775" s="18"/>
      <c r="E775" s="18"/>
      <c r="F775" s="19"/>
      <c r="G775" s="10">
        <f>IFERROR(VLOOKUP(B775, 'Duke 4'!A$3:$B998,2, 0), 0)</f>
        <v>0</v>
      </c>
      <c r="H775" s="10">
        <f>IFERROR(VLOOKUP(B775, Proof!A$2:$B998,2, 0), 0)</f>
        <v>0</v>
      </c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</row>
    <row r="776">
      <c r="A776" s="6"/>
      <c r="B776" s="6"/>
      <c r="C776" s="6"/>
      <c r="D776" s="18"/>
      <c r="E776" s="18"/>
      <c r="F776" s="19"/>
      <c r="G776" s="10">
        <f>IFERROR(VLOOKUP(B776, 'Duke 4'!A$3:$B998,2, 0), 0)</f>
        <v>0</v>
      </c>
      <c r="H776" s="10">
        <f>IFERROR(VLOOKUP(B776, Proof!A$2:$B998,2, 0), 0)</f>
        <v>0</v>
      </c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</row>
    <row r="777">
      <c r="A777" s="6"/>
      <c r="B777" s="6"/>
      <c r="C777" s="6"/>
      <c r="D777" s="18"/>
      <c r="E777" s="18"/>
      <c r="F777" s="19"/>
      <c r="G777" s="10">
        <f>IFERROR(VLOOKUP(B777, 'Duke 4'!A$3:$B998,2, 0), 0)</f>
        <v>0</v>
      </c>
      <c r="H777" s="10">
        <f>IFERROR(VLOOKUP(B777, Proof!A$2:$B998,2, 0), 0)</f>
        <v>0</v>
      </c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</row>
    <row r="778">
      <c r="A778" s="6"/>
      <c r="B778" s="6"/>
      <c r="C778" s="6"/>
      <c r="D778" s="18"/>
      <c r="E778" s="18"/>
      <c r="F778" s="19"/>
      <c r="G778" s="10">
        <f>IFERROR(VLOOKUP(B778, 'Duke 4'!A$3:$B998,2, 0), 0)</f>
        <v>0</v>
      </c>
      <c r="H778" s="10">
        <f>IFERROR(VLOOKUP(B778, Proof!A$2:$B998,2, 0), 0)</f>
        <v>0</v>
      </c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</row>
    <row r="779">
      <c r="A779" s="6"/>
      <c r="B779" s="6"/>
      <c r="C779" s="6"/>
      <c r="D779" s="18"/>
      <c r="E779" s="18"/>
      <c r="F779" s="19"/>
      <c r="G779" s="10">
        <f>IFERROR(VLOOKUP(B779, 'Duke 4'!A$3:$B998,2, 0), 0)</f>
        <v>0</v>
      </c>
      <c r="H779" s="10">
        <f>IFERROR(VLOOKUP(B779, Proof!A$2:$B998,2, 0), 0)</f>
        <v>0</v>
      </c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</row>
    <row r="780">
      <c r="A780" s="6"/>
      <c r="B780" s="6"/>
      <c r="C780" s="6"/>
      <c r="D780" s="18"/>
      <c r="E780" s="18"/>
      <c r="F780" s="19"/>
      <c r="G780" s="10">
        <f>IFERROR(VLOOKUP(B780, 'Duke 4'!A$3:$B998,2, 0), 0)</f>
        <v>0</v>
      </c>
      <c r="H780" s="10">
        <f>IFERROR(VLOOKUP(B780, Proof!A$2:$B998,2, 0), 0)</f>
        <v>0</v>
      </c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</row>
    <row r="781">
      <c r="A781" s="6"/>
      <c r="B781" s="6"/>
      <c r="C781" s="6"/>
      <c r="D781" s="18"/>
      <c r="E781" s="18"/>
      <c r="F781" s="19"/>
      <c r="G781" s="10">
        <f>IFERROR(VLOOKUP(B781, 'Duke 4'!A$3:$B998,2, 0), 0)</f>
        <v>0</v>
      </c>
      <c r="H781" s="10">
        <f>IFERROR(VLOOKUP(B781, Proof!A$2:$B998,2, 0), 0)</f>
        <v>0</v>
      </c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</row>
    <row r="782">
      <c r="A782" s="6"/>
      <c r="B782" s="6"/>
      <c r="C782" s="6"/>
      <c r="D782" s="18"/>
      <c r="E782" s="18"/>
      <c r="F782" s="19"/>
      <c r="G782" s="10">
        <f>IFERROR(VLOOKUP(B782, 'Duke 4'!A$3:$B998,2, 0), 0)</f>
        <v>0</v>
      </c>
      <c r="H782" s="10">
        <f>IFERROR(VLOOKUP(B782, Proof!A$2:$B998,2, 0), 0)</f>
        <v>0</v>
      </c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</row>
    <row r="783">
      <c r="A783" s="6"/>
      <c r="B783" s="6"/>
      <c r="C783" s="6"/>
      <c r="D783" s="18"/>
      <c r="E783" s="18"/>
      <c r="F783" s="19"/>
      <c r="G783" s="10">
        <f>IFERROR(VLOOKUP(B783, 'Duke 4'!A$3:$B998,2, 0), 0)</f>
        <v>0</v>
      </c>
      <c r="H783" s="10">
        <f>IFERROR(VLOOKUP(B783, Proof!A$2:$B998,2, 0), 0)</f>
        <v>0</v>
      </c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</row>
    <row r="784">
      <c r="A784" s="6"/>
      <c r="B784" s="6"/>
      <c r="C784" s="6"/>
      <c r="D784" s="18"/>
      <c r="E784" s="18"/>
      <c r="F784" s="19"/>
      <c r="G784" s="10">
        <f>IFERROR(VLOOKUP(B784, 'Duke 4'!A$3:$B998,2, 0), 0)</f>
        <v>0</v>
      </c>
      <c r="H784" s="10">
        <f>IFERROR(VLOOKUP(B784, Proof!A$2:$B998,2, 0), 0)</f>
        <v>0</v>
      </c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</row>
    <row r="785">
      <c r="A785" s="6"/>
      <c r="B785" s="6"/>
      <c r="C785" s="6"/>
      <c r="D785" s="18"/>
      <c r="E785" s="18"/>
      <c r="F785" s="19"/>
      <c r="G785" s="10">
        <f>IFERROR(VLOOKUP(B785, 'Duke 4'!A$3:$B998,2, 0), 0)</f>
        <v>0</v>
      </c>
      <c r="H785" s="10">
        <f>IFERROR(VLOOKUP(B785, Proof!A$2:$B998,2, 0), 0)</f>
        <v>0</v>
      </c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</row>
    <row r="786">
      <c r="A786" s="6"/>
      <c r="B786" s="6"/>
      <c r="C786" s="6"/>
      <c r="D786" s="18"/>
      <c r="E786" s="18"/>
      <c r="F786" s="19"/>
      <c r="G786" s="10">
        <f>IFERROR(VLOOKUP(B786, 'Duke 4'!A$3:$B998,2, 0), 0)</f>
        <v>0</v>
      </c>
      <c r="H786" s="10">
        <f>IFERROR(VLOOKUP(B786, Proof!A$2:$B998,2, 0), 0)</f>
        <v>0</v>
      </c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</row>
    <row r="787">
      <c r="A787" s="6"/>
      <c r="B787" s="6"/>
      <c r="C787" s="6"/>
      <c r="D787" s="18"/>
      <c r="E787" s="18"/>
      <c r="F787" s="19"/>
      <c r="G787" s="10">
        <f>IFERROR(VLOOKUP(B787, 'Duke 4'!A$3:$B998,2, 0), 0)</f>
        <v>0</v>
      </c>
      <c r="H787" s="10">
        <f>IFERROR(VLOOKUP(B787, Proof!A$2:$B998,2, 0), 0)</f>
        <v>0</v>
      </c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</row>
    <row r="788">
      <c r="A788" s="6"/>
      <c r="B788" s="6"/>
      <c r="C788" s="6"/>
      <c r="D788" s="18"/>
      <c r="E788" s="18"/>
      <c r="F788" s="19"/>
      <c r="G788" s="10">
        <f>IFERROR(VLOOKUP(B788, 'Duke 4'!A$3:$B998,2, 0), 0)</f>
        <v>0</v>
      </c>
      <c r="H788" s="10">
        <f>IFERROR(VLOOKUP(B788, Proof!A$2:$B998,2, 0), 0)</f>
        <v>0</v>
      </c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</row>
    <row r="789">
      <c r="A789" s="6"/>
      <c r="B789" s="6"/>
      <c r="C789" s="6"/>
      <c r="D789" s="18"/>
      <c r="E789" s="18"/>
      <c r="F789" s="19"/>
      <c r="G789" s="10">
        <f>IFERROR(VLOOKUP(B789, 'Duke 4'!A$3:$B998,2, 0), 0)</f>
        <v>0</v>
      </c>
      <c r="H789" s="10">
        <f>IFERROR(VLOOKUP(B789, Proof!A$2:$B998,2, 0), 0)</f>
        <v>0</v>
      </c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</row>
    <row r="790">
      <c r="A790" s="6"/>
      <c r="B790" s="6"/>
      <c r="C790" s="6"/>
      <c r="D790" s="18"/>
      <c r="E790" s="18"/>
      <c r="F790" s="19"/>
      <c r="G790" s="10">
        <f>IFERROR(VLOOKUP(B790, 'Duke 4'!A$3:$B998,2, 0), 0)</f>
        <v>0</v>
      </c>
      <c r="H790" s="10">
        <f>IFERROR(VLOOKUP(B790, Proof!A$2:$B998,2, 0), 0)</f>
        <v>0</v>
      </c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</row>
    <row r="791">
      <c r="A791" s="6"/>
      <c r="B791" s="6"/>
      <c r="C791" s="6"/>
      <c r="D791" s="18"/>
      <c r="E791" s="18"/>
      <c r="F791" s="19"/>
      <c r="G791" s="10">
        <f>IFERROR(VLOOKUP(B791, 'Duke 4'!A$3:$B998,2, 0), 0)</f>
        <v>0</v>
      </c>
      <c r="H791" s="10">
        <f>IFERROR(VLOOKUP(B791, Proof!A$2:$B998,2, 0), 0)</f>
        <v>0</v>
      </c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</row>
    <row r="792">
      <c r="A792" s="6"/>
      <c r="B792" s="6"/>
      <c r="C792" s="6"/>
      <c r="D792" s="18"/>
      <c r="E792" s="18"/>
      <c r="F792" s="19"/>
      <c r="G792" s="10">
        <f>IFERROR(VLOOKUP(B792, 'Duke 4'!A$3:$B998,2, 0), 0)</f>
        <v>0</v>
      </c>
      <c r="H792" s="10">
        <f>IFERROR(VLOOKUP(B792, Proof!A$2:$B998,2, 0), 0)</f>
        <v>0</v>
      </c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</row>
    <row r="793">
      <c r="A793" s="6"/>
      <c r="B793" s="6"/>
      <c r="C793" s="6"/>
      <c r="D793" s="18"/>
      <c r="E793" s="18"/>
      <c r="F793" s="19"/>
      <c r="G793" s="10">
        <f>IFERROR(VLOOKUP(B793, 'Duke 4'!A$3:$B998,2, 0), 0)</f>
        <v>0</v>
      </c>
      <c r="H793" s="10">
        <f>IFERROR(VLOOKUP(B793, Proof!A$2:$B998,2, 0), 0)</f>
        <v>0</v>
      </c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</row>
    <row r="794">
      <c r="A794" s="6"/>
      <c r="B794" s="6"/>
      <c r="C794" s="6"/>
      <c r="D794" s="18"/>
      <c r="E794" s="18"/>
      <c r="F794" s="19"/>
      <c r="G794" s="10">
        <f>IFERROR(VLOOKUP(B794, 'Duke 4'!A$3:$B998,2, 0), 0)</f>
        <v>0</v>
      </c>
      <c r="H794" s="10">
        <f>IFERROR(VLOOKUP(B794, Proof!A$2:$B998,2, 0), 0)</f>
        <v>0</v>
      </c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</row>
    <row r="795">
      <c r="A795" s="6"/>
      <c r="B795" s="6"/>
      <c r="C795" s="6"/>
      <c r="D795" s="18"/>
      <c r="E795" s="18"/>
      <c r="F795" s="19"/>
      <c r="G795" s="10">
        <f>IFERROR(VLOOKUP(B795, 'Duke 4'!A$3:$B998,2, 0), 0)</f>
        <v>0</v>
      </c>
      <c r="H795" s="10">
        <f>IFERROR(VLOOKUP(B795, Proof!A$2:$B998,2, 0), 0)</f>
        <v>0</v>
      </c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</row>
    <row r="796">
      <c r="A796" s="6"/>
      <c r="B796" s="6"/>
      <c r="C796" s="6"/>
      <c r="D796" s="18"/>
      <c r="E796" s="18"/>
      <c r="F796" s="19"/>
      <c r="G796" s="10">
        <f>IFERROR(VLOOKUP(B796, 'Duke 4'!A$3:$B998,2, 0), 0)</f>
        <v>0</v>
      </c>
      <c r="H796" s="10">
        <f>IFERROR(VLOOKUP(B796, Proof!A$2:$B998,2, 0), 0)</f>
        <v>0</v>
      </c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</row>
    <row r="797">
      <c r="A797" s="6"/>
      <c r="B797" s="6"/>
      <c r="C797" s="6"/>
      <c r="D797" s="18"/>
      <c r="E797" s="18"/>
      <c r="F797" s="19"/>
      <c r="G797" s="10">
        <f>IFERROR(VLOOKUP(B797, 'Duke 4'!A$3:$B998,2, 0), 0)</f>
        <v>0</v>
      </c>
      <c r="H797" s="10">
        <f>IFERROR(VLOOKUP(B797, Proof!A$2:$B998,2, 0), 0)</f>
        <v>0</v>
      </c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</row>
    <row r="798">
      <c r="A798" s="6"/>
      <c r="B798" s="6"/>
      <c r="C798" s="6"/>
      <c r="D798" s="18"/>
      <c r="E798" s="18"/>
      <c r="F798" s="19"/>
      <c r="G798" s="10">
        <f>IFERROR(VLOOKUP(B798, 'Duke 4'!A$3:$B998,2, 0), 0)</f>
        <v>0</v>
      </c>
      <c r="H798" s="10">
        <f>IFERROR(VLOOKUP(B798, Proof!A$2:$B998,2, 0), 0)</f>
        <v>0</v>
      </c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</row>
    <row r="799">
      <c r="A799" s="6"/>
      <c r="B799" s="6"/>
      <c r="C799" s="6"/>
      <c r="D799" s="18"/>
      <c r="E799" s="18"/>
      <c r="F799" s="19"/>
      <c r="G799" s="10">
        <f>IFERROR(VLOOKUP(B799, 'Duke 4'!A$3:$B998,2, 0), 0)</f>
        <v>0</v>
      </c>
      <c r="H799" s="10">
        <f>IFERROR(VLOOKUP(B799, Proof!A$2:$B998,2, 0), 0)</f>
        <v>0</v>
      </c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</row>
    <row r="800">
      <c r="A800" s="6"/>
      <c r="B800" s="6"/>
      <c r="C800" s="6"/>
      <c r="D800" s="18"/>
      <c r="E800" s="18"/>
      <c r="F800" s="19"/>
      <c r="G800" s="10">
        <f>IFERROR(VLOOKUP(B800, 'Duke 4'!A$3:$B998,2, 0), 0)</f>
        <v>0</v>
      </c>
      <c r="H800" s="10">
        <f>IFERROR(VLOOKUP(B800, Proof!A$2:$B998,2, 0), 0)</f>
        <v>0</v>
      </c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</row>
    <row r="801">
      <c r="A801" s="6"/>
      <c r="B801" s="6"/>
      <c r="C801" s="6"/>
      <c r="D801" s="18"/>
      <c r="E801" s="18"/>
      <c r="F801" s="19"/>
      <c r="G801" s="10">
        <f>IFERROR(VLOOKUP(B801, 'Duke 4'!A$3:$B998,2, 0), 0)</f>
        <v>0</v>
      </c>
      <c r="H801" s="10">
        <f>IFERROR(VLOOKUP(B801, Proof!A$2:$B998,2, 0), 0)</f>
        <v>0</v>
      </c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</row>
    <row r="802">
      <c r="A802" s="6"/>
      <c r="B802" s="6"/>
      <c r="C802" s="6"/>
      <c r="D802" s="18"/>
      <c r="E802" s="18"/>
      <c r="F802" s="19"/>
      <c r="G802" s="10">
        <f>IFERROR(VLOOKUP(B802, 'Duke 4'!A$3:$B998,2, 0), 0)</f>
        <v>0</v>
      </c>
      <c r="H802" s="10">
        <f>IFERROR(VLOOKUP(B802, Proof!A$2:$B998,2, 0), 0)</f>
        <v>0</v>
      </c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</row>
    <row r="803">
      <c r="A803" s="6"/>
      <c r="B803" s="6"/>
      <c r="C803" s="6"/>
      <c r="D803" s="18"/>
      <c r="E803" s="18"/>
      <c r="F803" s="19"/>
      <c r="G803" s="10">
        <f>IFERROR(VLOOKUP(B803, 'Duke 4'!A$3:$B998,2, 0), 0)</f>
        <v>0</v>
      </c>
      <c r="H803" s="10">
        <f>IFERROR(VLOOKUP(B803, Proof!A$2:$B998,2, 0), 0)</f>
        <v>0</v>
      </c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</row>
    <row r="804">
      <c r="A804" s="6"/>
      <c r="B804" s="6"/>
      <c r="C804" s="6"/>
      <c r="D804" s="18"/>
      <c r="E804" s="18"/>
      <c r="F804" s="19"/>
      <c r="G804" s="10">
        <f>IFERROR(VLOOKUP(B804, 'Duke 4'!A$3:$B998,2, 0), 0)</f>
        <v>0</v>
      </c>
      <c r="H804" s="10">
        <f>IFERROR(VLOOKUP(B804, Proof!A$2:$B998,2, 0), 0)</f>
        <v>0</v>
      </c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</row>
    <row r="805">
      <c r="A805" s="6"/>
      <c r="B805" s="6"/>
      <c r="C805" s="6"/>
      <c r="D805" s="18"/>
      <c r="E805" s="18"/>
      <c r="F805" s="19"/>
      <c r="G805" s="10">
        <f>IFERROR(VLOOKUP(B805, 'Duke 4'!A$3:$B998,2, 0), 0)</f>
        <v>0</v>
      </c>
      <c r="H805" s="10">
        <f>IFERROR(VLOOKUP(B805, Proof!A$2:$B998,2, 0), 0)</f>
        <v>0</v>
      </c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</row>
    <row r="806">
      <c r="A806" s="6"/>
      <c r="B806" s="6"/>
      <c r="C806" s="6"/>
      <c r="D806" s="18"/>
      <c r="E806" s="18"/>
      <c r="F806" s="19"/>
      <c r="G806" s="10">
        <f>IFERROR(VLOOKUP(B806, 'Duke 4'!A$3:$B998,2, 0), 0)</f>
        <v>0</v>
      </c>
      <c r="H806" s="10">
        <f>IFERROR(VLOOKUP(B806, Proof!A$2:$B998,2, 0), 0)</f>
        <v>0</v>
      </c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</row>
    <row r="807">
      <c r="A807" s="6"/>
      <c r="B807" s="6"/>
      <c r="C807" s="6"/>
      <c r="D807" s="18"/>
      <c r="E807" s="18"/>
      <c r="F807" s="19"/>
      <c r="G807" s="10">
        <f>IFERROR(VLOOKUP(B807, 'Duke 4'!A$3:$B998,2, 0), 0)</f>
        <v>0</v>
      </c>
      <c r="H807" s="10">
        <f>IFERROR(VLOOKUP(B807, Proof!A$2:$B998,2, 0), 0)</f>
        <v>0</v>
      </c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</row>
    <row r="808">
      <c r="A808" s="6"/>
      <c r="B808" s="6"/>
      <c r="C808" s="6"/>
      <c r="D808" s="18"/>
      <c r="E808" s="18"/>
      <c r="F808" s="19"/>
      <c r="G808" s="10">
        <f>IFERROR(VLOOKUP(B808, 'Duke 4'!A$3:$B998,2, 0), 0)</f>
        <v>0</v>
      </c>
      <c r="H808" s="10">
        <f>IFERROR(VLOOKUP(B808, Proof!A$2:$B998,2, 0), 0)</f>
        <v>0</v>
      </c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</row>
    <row r="809">
      <c r="A809" s="6"/>
      <c r="B809" s="6"/>
      <c r="C809" s="6"/>
      <c r="D809" s="18"/>
      <c r="E809" s="18"/>
      <c r="F809" s="19"/>
      <c r="G809" s="10">
        <f>IFERROR(VLOOKUP(B809, 'Duke 4'!A$3:$B998,2, 0), 0)</f>
        <v>0</v>
      </c>
      <c r="H809" s="10">
        <f>IFERROR(VLOOKUP(B809, Proof!A$2:$B998,2, 0), 0)</f>
        <v>0</v>
      </c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</row>
    <row r="810">
      <c r="A810" s="6"/>
      <c r="B810" s="6"/>
      <c r="C810" s="6"/>
      <c r="D810" s="18"/>
      <c r="E810" s="18"/>
      <c r="F810" s="19"/>
      <c r="G810" s="10">
        <f>IFERROR(VLOOKUP(B810, 'Duke 4'!A$3:$B998,2, 0), 0)</f>
        <v>0</v>
      </c>
      <c r="H810" s="10">
        <f>IFERROR(VLOOKUP(B810, Proof!A$2:$B998,2, 0), 0)</f>
        <v>0</v>
      </c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</row>
    <row r="811">
      <c r="A811" s="6"/>
      <c r="B811" s="6"/>
      <c r="C811" s="6"/>
      <c r="D811" s="18"/>
      <c r="E811" s="18"/>
      <c r="F811" s="19"/>
      <c r="G811" s="10">
        <f>IFERROR(VLOOKUP(B811, 'Duke 4'!A$3:$B998,2, 0), 0)</f>
        <v>0</v>
      </c>
      <c r="H811" s="10">
        <f>IFERROR(VLOOKUP(B811, Proof!A$2:$B998,2, 0), 0)</f>
        <v>0</v>
      </c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</row>
    <row r="812">
      <c r="A812" s="6"/>
      <c r="B812" s="6"/>
      <c r="C812" s="6"/>
      <c r="D812" s="18"/>
      <c r="E812" s="18"/>
      <c r="F812" s="19"/>
      <c r="G812" s="10">
        <f>IFERROR(VLOOKUP(B812, 'Duke 4'!A$3:$B998,2, 0), 0)</f>
        <v>0</v>
      </c>
      <c r="H812" s="10">
        <f>IFERROR(VLOOKUP(B812, Proof!A$2:$B998,2, 0), 0)</f>
        <v>0</v>
      </c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</row>
    <row r="813">
      <c r="A813" s="6"/>
      <c r="B813" s="6"/>
      <c r="C813" s="6"/>
      <c r="D813" s="18"/>
      <c r="E813" s="18"/>
      <c r="F813" s="19"/>
      <c r="G813" s="10">
        <f>IFERROR(VLOOKUP(B813, 'Duke 4'!A$3:$B998,2, 0), 0)</f>
        <v>0</v>
      </c>
      <c r="H813" s="10">
        <f>IFERROR(VLOOKUP(B813, Proof!A$2:$B998,2, 0), 0)</f>
        <v>0</v>
      </c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</row>
    <row r="814">
      <c r="A814" s="6"/>
      <c r="B814" s="6"/>
      <c r="C814" s="6"/>
      <c r="D814" s="18"/>
      <c r="E814" s="18"/>
      <c r="F814" s="19"/>
      <c r="G814" s="10">
        <f>IFERROR(VLOOKUP(B814, 'Duke 4'!A$3:$B998,2, 0), 0)</f>
        <v>0</v>
      </c>
      <c r="H814" s="10">
        <f>IFERROR(VLOOKUP(B814, Proof!A$2:$B998,2, 0), 0)</f>
        <v>0</v>
      </c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</row>
    <row r="815">
      <c r="A815" s="6"/>
      <c r="B815" s="6"/>
      <c r="C815" s="6"/>
      <c r="D815" s="18"/>
      <c r="E815" s="18"/>
      <c r="F815" s="19"/>
      <c r="G815" s="10">
        <f>IFERROR(VLOOKUP(B815, 'Duke 4'!A$3:$B998,2, 0), 0)</f>
        <v>0</v>
      </c>
      <c r="H815" s="10">
        <f>IFERROR(VLOOKUP(B815, Proof!A$2:$B998,2, 0), 0)</f>
        <v>0</v>
      </c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</row>
    <row r="816">
      <c r="A816" s="6"/>
      <c r="B816" s="6"/>
      <c r="C816" s="6"/>
      <c r="D816" s="18"/>
      <c r="E816" s="18"/>
      <c r="F816" s="19"/>
      <c r="G816" s="10">
        <f>IFERROR(VLOOKUP(B816, 'Duke 4'!A$3:$B998,2, 0), 0)</f>
        <v>0</v>
      </c>
      <c r="H816" s="10">
        <f>IFERROR(VLOOKUP(B816, Proof!A$2:$B998,2, 0), 0)</f>
        <v>0</v>
      </c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</row>
    <row r="817">
      <c r="A817" s="6"/>
      <c r="B817" s="6"/>
      <c r="C817" s="6"/>
      <c r="D817" s="18"/>
      <c r="E817" s="18"/>
      <c r="F817" s="19"/>
      <c r="G817" s="10">
        <f>IFERROR(VLOOKUP(B817, 'Duke 4'!A$3:$B998,2, 0), 0)</f>
        <v>0</v>
      </c>
      <c r="H817" s="10">
        <f>IFERROR(VLOOKUP(B817, Proof!A$2:$B998,2, 0), 0)</f>
        <v>0</v>
      </c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</row>
    <row r="818">
      <c r="A818" s="6"/>
      <c r="B818" s="6"/>
      <c r="C818" s="6"/>
      <c r="D818" s="18"/>
      <c r="E818" s="18"/>
      <c r="F818" s="19"/>
      <c r="G818" s="10">
        <f>IFERROR(VLOOKUP(B818, 'Duke 4'!A$3:$B998,2, 0), 0)</f>
        <v>0</v>
      </c>
      <c r="H818" s="10">
        <f>IFERROR(VLOOKUP(B818, Proof!A$2:$B998,2, 0), 0)</f>
        <v>0</v>
      </c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</row>
    <row r="819">
      <c r="A819" s="6"/>
      <c r="B819" s="6"/>
      <c r="C819" s="6"/>
      <c r="D819" s="18"/>
      <c r="E819" s="18"/>
      <c r="F819" s="19"/>
      <c r="G819" s="10">
        <f>IFERROR(VLOOKUP(B819, 'Duke 4'!A$3:$B998,2, 0), 0)</f>
        <v>0</v>
      </c>
      <c r="H819" s="10">
        <f>IFERROR(VLOOKUP(B819, Proof!A$2:$B998,2, 0), 0)</f>
        <v>0</v>
      </c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</row>
    <row r="820">
      <c r="A820" s="6"/>
      <c r="B820" s="6"/>
      <c r="C820" s="6"/>
      <c r="D820" s="18"/>
      <c r="E820" s="18"/>
      <c r="F820" s="19"/>
      <c r="G820" s="10">
        <f>IFERROR(VLOOKUP(B820, 'Duke 4'!A$3:$B998,2, 0), 0)</f>
        <v>0</v>
      </c>
      <c r="H820" s="10">
        <f>IFERROR(VLOOKUP(B820, Proof!A$2:$B998,2, 0), 0)</f>
        <v>0</v>
      </c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</row>
    <row r="821">
      <c r="A821" s="6"/>
      <c r="B821" s="6"/>
      <c r="C821" s="6"/>
      <c r="D821" s="18"/>
      <c r="E821" s="18"/>
      <c r="F821" s="19"/>
      <c r="G821" s="10">
        <f>IFERROR(VLOOKUP(B821, 'Duke 4'!A$3:$B998,2, 0), 0)</f>
        <v>0</v>
      </c>
      <c r="H821" s="10">
        <f>IFERROR(VLOOKUP(B821, Proof!A$2:$B998,2, 0), 0)</f>
        <v>0</v>
      </c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</row>
    <row r="822">
      <c r="A822" s="6"/>
      <c r="B822" s="6"/>
      <c r="C822" s="6"/>
      <c r="D822" s="18"/>
      <c r="E822" s="18"/>
      <c r="F822" s="19"/>
      <c r="G822" s="10">
        <f>IFERROR(VLOOKUP(B822, 'Duke 4'!A$3:$B998,2, 0), 0)</f>
        <v>0</v>
      </c>
      <c r="H822" s="10">
        <f>IFERROR(VLOOKUP(B822, Proof!A$2:$B998,2, 0), 0)</f>
        <v>0</v>
      </c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</row>
    <row r="823">
      <c r="A823" s="6"/>
      <c r="B823" s="6"/>
      <c r="C823" s="6"/>
      <c r="D823" s="18"/>
      <c r="E823" s="18"/>
      <c r="F823" s="19"/>
      <c r="G823" s="10">
        <f>IFERROR(VLOOKUP(B823, 'Duke 4'!A$3:$B998,2, 0), 0)</f>
        <v>0</v>
      </c>
      <c r="H823" s="10">
        <f>IFERROR(VLOOKUP(B823, Proof!A$2:$B998,2, 0), 0)</f>
        <v>0</v>
      </c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</row>
    <row r="824">
      <c r="A824" s="6"/>
      <c r="B824" s="6"/>
      <c r="C824" s="6"/>
      <c r="D824" s="18"/>
      <c r="E824" s="18"/>
      <c r="F824" s="19"/>
      <c r="G824" s="10">
        <f>IFERROR(VLOOKUP(B824, 'Duke 4'!A$3:$B998,2, 0), 0)</f>
        <v>0</v>
      </c>
      <c r="H824" s="10">
        <f>IFERROR(VLOOKUP(B824, Proof!A$2:$B998,2, 0), 0)</f>
        <v>0</v>
      </c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</row>
    <row r="825">
      <c r="A825" s="6"/>
      <c r="B825" s="6"/>
      <c r="C825" s="6"/>
      <c r="D825" s="18"/>
      <c r="E825" s="18"/>
      <c r="F825" s="19"/>
      <c r="G825" s="10">
        <f>IFERROR(VLOOKUP(B825, 'Duke 4'!A$3:$B998,2, 0), 0)</f>
        <v>0</v>
      </c>
      <c r="H825" s="10">
        <f>IFERROR(VLOOKUP(B825, Proof!A$2:$B998,2, 0), 0)</f>
        <v>0</v>
      </c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</row>
    <row r="826">
      <c r="A826" s="6"/>
      <c r="B826" s="6"/>
      <c r="C826" s="6"/>
      <c r="D826" s="18"/>
      <c r="E826" s="18"/>
      <c r="F826" s="19"/>
      <c r="G826" s="10">
        <f>IFERROR(VLOOKUP(B826, 'Duke 4'!A$3:$B998,2, 0), 0)</f>
        <v>0</v>
      </c>
      <c r="H826" s="10">
        <f>IFERROR(VLOOKUP(B826, Proof!A$2:$B998,2, 0), 0)</f>
        <v>0</v>
      </c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</row>
    <row r="827">
      <c r="A827" s="6"/>
      <c r="B827" s="6"/>
      <c r="C827" s="6"/>
      <c r="D827" s="18"/>
      <c r="E827" s="18"/>
      <c r="F827" s="19"/>
      <c r="G827" s="10">
        <f>IFERROR(VLOOKUP(B827, 'Duke 4'!A$3:$B998,2, 0), 0)</f>
        <v>0</v>
      </c>
      <c r="H827" s="10">
        <f>IFERROR(VLOOKUP(B827, Proof!A$2:$B998,2, 0), 0)</f>
        <v>0</v>
      </c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</row>
    <row r="828">
      <c r="A828" s="6"/>
      <c r="B828" s="6"/>
      <c r="C828" s="6"/>
      <c r="D828" s="18"/>
      <c r="E828" s="18"/>
      <c r="F828" s="19"/>
      <c r="G828" s="10">
        <f>IFERROR(VLOOKUP(B828, 'Duke 4'!A$3:$B998,2, 0), 0)</f>
        <v>0</v>
      </c>
      <c r="H828" s="10">
        <f>IFERROR(VLOOKUP(B828, Proof!A$2:$B998,2, 0), 0)</f>
        <v>0</v>
      </c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</row>
    <row r="829">
      <c r="A829" s="6"/>
      <c r="B829" s="6"/>
      <c r="C829" s="6"/>
      <c r="D829" s="18"/>
      <c r="E829" s="18"/>
      <c r="F829" s="19"/>
      <c r="G829" s="10">
        <f>IFERROR(VLOOKUP(B829, 'Duke 4'!A$3:$B998,2, 0), 0)</f>
        <v>0</v>
      </c>
      <c r="H829" s="10">
        <f>IFERROR(VLOOKUP(B829, Proof!A$2:$B998,2, 0), 0)</f>
        <v>0</v>
      </c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</row>
    <row r="830">
      <c r="A830" s="6"/>
      <c r="B830" s="6"/>
      <c r="C830" s="6"/>
      <c r="D830" s="18"/>
      <c r="E830" s="18"/>
      <c r="F830" s="19"/>
      <c r="G830" s="10">
        <f>IFERROR(VLOOKUP(B830, 'Duke 4'!A$3:$B998,2, 0), 0)</f>
        <v>0</v>
      </c>
      <c r="H830" s="10">
        <f>IFERROR(VLOOKUP(B830, Proof!A$2:$B998,2, 0), 0)</f>
        <v>0</v>
      </c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</row>
    <row r="831">
      <c r="A831" s="6"/>
      <c r="B831" s="6"/>
      <c r="C831" s="6"/>
      <c r="D831" s="18"/>
      <c r="E831" s="18"/>
      <c r="F831" s="19"/>
      <c r="G831" s="10">
        <f>IFERROR(VLOOKUP(B831, 'Duke 4'!A$3:$B998,2, 0), 0)</f>
        <v>0</v>
      </c>
      <c r="H831" s="10">
        <f>IFERROR(VLOOKUP(B831, Proof!A$2:$B998,2, 0), 0)</f>
        <v>0</v>
      </c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</row>
    <row r="832">
      <c r="A832" s="6"/>
      <c r="B832" s="6"/>
      <c r="C832" s="6"/>
      <c r="D832" s="18"/>
      <c r="E832" s="18"/>
      <c r="F832" s="19"/>
      <c r="G832" s="10">
        <f>IFERROR(VLOOKUP(B832, 'Duke 4'!A$3:$B998,2, 0), 0)</f>
        <v>0</v>
      </c>
      <c r="H832" s="10">
        <f>IFERROR(VLOOKUP(B832, Proof!A$2:$B998,2, 0), 0)</f>
        <v>0</v>
      </c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</row>
    <row r="833">
      <c r="A833" s="6"/>
      <c r="B833" s="6"/>
      <c r="C833" s="6"/>
      <c r="D833" s="18"/>
      <c r="E833" s="18"/>
      <c r="F833" s="19"/>
      <c r="G833" s="10">
        <f>IFERROR(VLOOKUP(B833, 'Duke 4'!A$3:$B998,2, 0), 0)</f>
        <v>0</v>
      </c>
      <c r="H833" s="10">
        <f>IFERROR(VLOOKUP(B833, Proof!A$2:$B998,2, 0), 0)</f>
        <v>0</v>
      </c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</row>
    <row r="834">
      <c r="A834" s="6"/>
      <c r="B834" s="6"/>
      <c r="C834" s="6"/>
      <c r="D834" s="18"/>
      <c r="E834" s="18"/>
      <c r="F834" s="19"/>
      <c r="G834" s="10">
        <f>IFERROR(VLOOKUP(B834, 'Duke 4'!A$3:$B998,2, 0), 0)</f>
        <v>0</v>
      </c>
      <c r="H834" s="10">
        <f>IFERROR(VLOOKUP(B834, Proof!A$2:$B998,2, 0), 0)</f>
        <v>0</v>
      </c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</row>
    <row r="835">
      <c r="A835" s="6"/>
      <c r="B835" s="6"/>
      <c r="C835" s="6"/>
      <c r="D835" s="18"/>
      <c r="E835" s="18"/>
      <c r="F835" s="19"/>
      <c r="G835" s="10">
        <f>IFERROR(VLOOKUP(B835, 'Duke 4'!A$3:$B998,2, 0), 0)</f>
        <v>0</v>
      </c>
      <c r="H835" s="10">
        <f>IFERROR(VLOOKUP(B835, Proof!A$2:$B998,2, 0), 0)</f>
        <v>0</v>
      </c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</row>
    <row r="836">
      <c r="A836" s="6"/>
      <c r="B836" s="6"/>
      <c r="C836" s="6"/>
      <c r="D836" s="18"/>
      <c r="E836" s="18"/>
      <c r="F836" s="19"/>
      <c r="G836" s="10">
        <f>IFERROR(VLOOKUP(B836, 'Duke 4'!A$3:$B998,2, 0), 0)</f>
        <v>0</v>
      </c>
      <c r="H836" s="10">
        <f>IFERROR(VLOOKUP(B836, Proof!A$2:$B998,2, 0), 0)</f>
        <v>0</v>
      </c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</row>
    <row r="837">
      <c r="A837" s="6"/>
      <c r="B837" s="6"/>
      <c r="C837" s="6"/>
      <c r="D837" s="18"/>
      <c r="E837" s="18"/>
      <c r="F837" s="19"/>
      <c r="G837" s="10">
        <f>IFERROR(VLOOKUP(B837, 'Duke 4'!A$3:$B998,2, 0), 0)</f>
        <v>0</v>
      </c>
      <c r="H837" s="10">
        <f>IFERROR(VLOOKUP(B837, Proof!A$2:$B998,2, 0), 0)</f>
        <v>0</v>
      </c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</row>
    <row r="838">
      <c r="A838" s="6"/>
      <c r="B838" s="6"/>
      <c r="C838" s="6"/>
      <c r="D838" s="18"/>
      <c r="E838" s="18"/>
      <c r="F838" s="19"/>
      <c r="G838" s="10">
        <f>IFERROR(VLOOKUP(B838, 'Duke 4'!A$3:$B998,2, 0), 0)</f>
        <v>0</v>
      </c>
      <c r="H838" s="10">
        <f>IFERROR(VLOOKUP(B838, Proof!A$2:$B998,2, 0), 0)</f>
        <v>0</v>
      </c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</row>
    <row r="839">
      <c r="A839" s="6"/>
      <c r="B839" s="6"/>
      <c r="C839" s="6"/>
      <c r="D839" s="18"/>
      <c r="E839" s="18"/>
      <c r="F839" s="19"/>
      <c r="G839" s="10">
        <f>IFERROR(VLOOKUP(B839, 'Duke 4'!A$3:$B998,2, 0), 0)</f>
        <v>0</v>
      </c>
      <c r="H839" s="10">
        <f>IFERROR(VLOOKUP(B839, Proof!A$2:$B998,2, 0), 0)</f>
        <v>0</v>
      </c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</row>
    <row r="840">
      <c r="A840" s="6"/>
      <c r="B840" s="6"/>
      <c r="C840" s="6"/>
      <c r="D840" s="18"/>
      <c r="E840" s="18"/>
      <c r="F840" s="19"/>
      <c r="G840" s="10">
        <f>IFERROR(VLOOKUP(B840, 'Duke 4'!A$3:$B998,2, 0), 0)</f>
        <v>0</v>
      </c>
      <c r="H840" s="10">
        <f>IFERROR(VLOOKUP(B840, Proof!A$2:$B998,2, 0), 0)</f>
        <v>0</v>
      </c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</row>
    <row r="841">
      <c r="A841" s="6"/>
      <c r="B841" s="6"/>
      <c r="C841" s="6"/>
      <c r="D841" s="18"/>
      <c r="E841" s="18"/>
      <c r="F841" s="19"/>
      <c r="G841" s="10">
        <f>IFERROR(VLOOKUP(B841, 'Duke 4'!A$3:$B998,2, 0), 0)</f>
        <v>0</v>
      </c>
      <c r="H841" s="10">
        <f>IFERROR(VLOOKUP(B841, Proof!A$2:$B998,2, 0), 0)</f>
        <v>0</v>
      </c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</row>
    <row r="842">
      <c r="A842" s="6"/>
      <c r="B842" s="6"/>
      <c r="C842" s="6"/>
      <c r="D842" s="18"/>
      <c r="E842" s="18"/>
      <c r="F842" s="19"/>
      <c r="G842" s="10">
        <f>IFERROR(VLOOKUP(B842, 'Duke 4'!A$3:$B998,2, 0), 0)</f>
        <v>0</v>
      </c>
      <c r="H842" s="10">
        <f>IFERROR(VLOOKUP(B842, Proof!A$2:$B998,2, 0), 0)</f>
        <v>0</v>
      </c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</row>
    <row r="843">
      <c r="A843" s="6"/>
      <c r="B843" s="6"/>
      <c r="C843" s="6"/>
      <c r="D843" s="18"/>
      <c r="E843" s="18"/>
      <c r="F843" s="19"/>
      <c r="G843" s="10">
        <f>IFERROR(VLOOKUP(B843, 'Duke 4'!A$3:$B998,2, 0), 0)</f>
        <v>0</v>
      </c>
      <c r="H843" s="10">
        <f>IFERROR(VLOOKUP(B843, Proof!A$2:$B998,2, 0), 0)</f>
        <v>0</v>
      </c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</row>
    <row r="844">
      <c r="A844" s="6"/>
      <c r="B844" s="6"/>
      <c r="C844" s="6"/>
      <c r="D844" s="18"/>
      <c r="E844" s="18"/>
      <c r="F844" s="19"/>
      <c r="G844" s="10">
        <f>IFERROR(VLOOKUP(B844, 'Duke 4'!A$3:$B998,2, 0), 0)</f>
        <v>0</v>
      </c>
      <c r="H844" s="10">
        <f>IFERROR(VLOOKUP(B844, Proof!A$2:$B998,2, 0), 0)</f>
        <v>0</v>
      </c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</row>
    <row r="845">
      <c r="A845" s="6"/>
      <c r="B845" s="6"/>
      <c r="C845" s="6"/>
      <c r="D845" s="18"/>
      <c r="E845" s="18"/>
      <c r="F845" s="19"/>
      <c r="G845" s="10">
        <f>IFERROR(VLOOKUP(B845, 'Duke 4'!A$3:$B998,2, 0), 0)</f>
        <v>0</v>
      </c>
      <c r="H845" s="10">
        <f>IFERROR(VLOOKUP(B845, Proof!A$2:$B998,2, 0), 0)</f>
        <v>0</v>
      </c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</row>
    <row r="846">
      <c r="A846" s="6"/>
      <c r="B846" s="6"/>
      <c r="C846" s="6"/>
      <c r="D846" s="18"/>
      <c r="E846" s="18"/>
      <c r="F846" s="19"/>
      <c r="G846" s="10">
        <f>IFERROR(VLOOKUP(B846, 'Duke 4'!A$3:$B998,2, 0), 0)</f>
        <v>0</v>
      </c>
      <c r="H846" s="10">
        <f>IFERROR(VLOOKUP(B846, Proof!A$2:$B998,2, 0), 0)</f>
        <v>0</v>
      </c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</row>
    <row r="847">
      <c r="A847" s="6"/>
      <c r="B847" s="6"/>
      <c r="C847" s="6"/>
      <c r="D847" s="18"/>
      <c r="E847" s="18"/>
      <c r="F847" s="19"/>
      <c r="G847" s="10">
        <f>IFERROR(VLOOKUP(B847, 'Duke 4'!A$3:$B998,2, 0), 0)</f>
        <v>0</v>
      </c>
      <c r="H847" s="10">
        <f>IFERROR(VLOOKUP(B847, Proof!A$2:$B998,2, 0), 0)</f>
        <v>0</v>
      </c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</row>
    <row r="848">
      <c r="A848" s="6"/>
      <c r="B848" s="6"/>
      <c r="C848" s="6"/>
      <c r="D848" s="18"/>
      <c r="E848" s="18"/>
      <c r="F848" s="19"/>
      <c r="G848" s="10">
        <f>IFERROR(VLOOKUP(B848, 'Duke 4'!A$3:$B998,2, 0), 0)</f>
        <v>0</v>
      </c>
      <c r="H848" s="10">
        <f>IFERROR(VLOOKUP(B848, Proof!A$2:$B998,2, 0), 0)</f>
        <v>0</v>
      </c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</row>
    <row r="849">
      <c r="A849" s="6"/>
      <c r="B849" s="6"/>
      <c r="C849" s="6"/>
      <c r="D849" s="18"/>
      <c r="E849" s="18"/>
      <c r="F849" s="19"/>
      <c r="G849" s="10">
        <f>IFERROR(VLOOKUP(B849, 'Duke 4'!A$3:$B998,2, 0), 0)</f>
        <v>0</v>
      </c>
      <c r="H849" s="10">
        <f>IFERROR(VLOOKUP(B849, Proof!A$2:$B998,2, 0), 0)</f>
        <v>0</v>
      </c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</row>
    <row r="850">
      <c r="A850" s="6"/>
      <c r="B850" s="6"/>
      <c r="C850" s="6"/>
      <c r="D850" s="18"/>
      <c r="E850" s="18"/>
      <c r="F850" s="19"/>
      <c r="G850" s="10">
        <f>IFERROR(VLOOKUP(B850, 'Duke 4'!A$3:$B998,2, 0), 0)</f>
        <v>0</v>
      </c>
      <c r="H850" s="10">
        <f>IFERROR(VLOOKUP(B850, Proof!A$2:$B998,2, 0), 0)</f>
        <v>0</v>
      </c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</row>
    <row r="851">
      <c r="A851" s="6"/>
      <c r="B851" s="6"/>
      <c r="C851" s="6"/>
      <c r="D851" s="18"/>
      <c r="E851" s="18"/>
      <c r="F851" s="19"/>
      <c r="G851" s="10">
        <f>IFERROR(VLOOKUP(B851, 'Duke 4'!A$3:$B998,2, 0), 0)</f>
        <v>0</v>
      </c>
      <c r="H851" s="10">
        <f>IFERROR(VLOOKUP(B851, Proof!A$2:$B998,2, 0), 0)</f>
        <v>0</v>
      </c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</row>
    <row r="852">
      <c r="A852" s="6"/>
      <c r="B852" s="6"/>
      <c r="C852" s="6"/>
      <c r="D852" s="18"/>
      <c r="E852" s="18"/>
      <c r="F852" s="19"/>
      <c r="G852" s="10">
        <f>IFERROR(VLOOKUP(B852, 'Duke 4'!A$3:$B998,2, 0), 0)</f>
        <v>0</v>
      </c>
      <c r="H852" s="10">
        <f>IFERROR(VLOOKUP(B852, Proof!A$2:$B998,2, 0), 0)</f>
        <v>0</v>
      </c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</row>
    <row r="853">
      <c r="A853" s="6"/>
      <c r="B853" s="6"/>
      <c r="C853" s="6"/>
      <c r="D853" s="18"/>
      <c r="E853" s="18"/>
      <c r="F853" s="19"/>
      <c r="G853" s="10">
        <f>IFERROR(VLOOKUP(B853, 'Duke 4'!A$3:$B998,2, 0), 0)</f>
        <v>0</v>
      </c>
      <c r="H853" s="10">
        <f>IFERROR(VLOOKUP(B853, Proof!A$2:$B998,2, 0), 0)</f>
        <v>0</v>
      </c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</row>
    <row r="854">
      <c r="A854" s="6"/>
      <c r="B854" s="6"/>
      <c r="C854" s="6"/>
      <c r="D854" s="18"/>
      <c r="E854" s="18"/>
      <c r="F854" s="19"/>
      <c r="G854" s="10">
        <f>IFERROR(VLOOKUP(B854, 'Duke 4'!A$3:$B998,2, 0), 0)</f>
        <v>0</v>
      </c>
      <c r="H854" s="10">
        <f>IFERROR(VLOOKUP(B854, Proof!A$2:$B998,2, 0), 0)</f>
        <v>0</v>
      </c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</row>
    <row r="855">
      <c r="A855" s="6"/>
      <c r="B855" s="6"/>
      <c r="C855" s="6"/>
      <c r="D855" s="18"/>
      <c r="E855" s="18"/>
      <c r="F855" s="19"/>
      <c r="G855" s="10">
        <f>IFERROR(VLOOKUP(B855, 'Duke 4'!A$3:$B998,2, 0), 0)</f>
        <v>0</v>
      </c>
      <c r="H855" s="10">
        <f>IFERROR(VLOOKUP(B855, Proof!A$2:$B998,2, 0), 0)</f>
        <v>0</v>
      </c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</row>
    <row r="856">
      <c r="A856" s="6"/>
      <c r="B856" s="6"/>
      <c r="C856" s="6"/>
      <c r="D856" s="18"/>
      <c r="E856" s="18"/>
      <c r="F856" s="19"/>
      <c r="G856" s="10">
        <f>IFERROR(VLOOKUP(B856, 'Duke 4'!A$3:$B998,2, 0), 0)</f>
        <v>0</v>
      </c>
      <c r="H856" s="10">
        <f>IFERROR(VLOOKUP(B856, Proof!A$2:$B998,2, 0), 0)</f>
        <v>0</v>
      </c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</row>
    <row r="857">
      <c r="A857" s="6"/>
      <c r="B857" s="6"/>
      <c r="C857" s="6"/>
      <c r="D857" s="18"/>
      <c r="E857" s="18"/>
      <c r="F857" s="19"/>
      <c r="G857" s="10">
        <f>IFERROR(VLOOKUP(B857, 'Duke 4'!A$3:$B998,2, 0), 0)</f>
        <v>0</v>
      </c>
      <c r="H857" s="10">
        <f>IFERROR(VLOOKUP(B857, Proof!A$2:$B998,2, 0), 0)</f>
        <v>0</v>
      </c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</row>
    <row r="858">
      <c r="A858" s="6"/>
      <c r="B858" s="6"/>
      <c r="C858" s="6"/>
      <c r="D858" s="18"/>
      <c r="E858" s="18"/>
      <c r="F858" s="19"/>
      <c r="G858" s="10">
        <f>IFERROR(VLOOKUP(B858, 'Duke 4'!A$3:$B998,2, 0), 0)</f>
        <v>0</v>
      </c>
      <c r="H858" s="10">
        <f>IFERROR(VLOOKUP(B858, Proof!A$2:$B998,2, 0), 0)</f>
        <v>0</v>
      </c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</row>
    <row r="859">
      <c r="A859" s="6"/>
      <c r="B859" s="6"/>
      <c r="C859" s="6"/>
      <c r="D859" s="18"/>
      <c r="E859" s="18"/>
      <c r="F859" s="19"/>
      <c r="G859" s="10">
        <f>IFERROR(VLOOKUP(B859, 'Duke 4'!A$3:$B998,2, 0), 0)</f>
        <v>0</v>
      </c>
      <c r="H859" s="10">
        <f>IFERROR(VLOOKUP(B859, Proof!A$2:$B998,2, 0), 0)</f>
        <v>0</v>
      </c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</row>
    <row r="860">
      <c r="A860" s="6"/>
      <c r="B860" s="6"/>
      <c r="C860" s="6"/>
      <c r="D860" s="18"/>
      <c r="E860" s="18"/>
      <c r="F860" s="19"/>
      <c r="G860" s="10">
        <f>IFERROR(VLOOKUP(B860, 'Duke 4'!A$3:$B998,2, 0), 0)</f>
        <v>0</v>
      </c>
      <c r="H860" s="10">
        <f>IFERROR(VLOOKUP(B860, Proof!A$2:$B998,2, 0), 0)</f>
        <v>0</v>
      </c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</row>
    <row r="861">
      <c r="A861" s="6"/>
      <c r="B861" s="6"/>
      <c r="C861" s="6"/>
      <c r="D861" s="18"/>
      <c r="E861" s="18"/>
      <c r="F861" s="19"/>
      <c r="G861" s="10">
        <f>IFERROR(VLOOKUP(B861, 'Duke 4'!A$3:$B998,2, 0), 0)</f>
        <v>0</v>
      </c>
      <c r="H861" s="10">
        <f>IFERROR(VLOOKUP(B861, Proof!A$2:$B998,2, 0), 0)</f>
        <v>0</v>
      </c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</row>
    <row r="862">
      <c r="A862" s="6"/>
      <c r="B862" s="6"/>
      <c r="C862" s="6"/>
      <c r="D862" s="18"/>
      <c r="E862" s="18"/>
      <c r="F862" s="19"/>
      <c r="G862" s="10">
        <f>IFERROR(VLOOKUP(B862, 'Duke 4'!A$3:$B998,2, 0), 0)</f>
        <v>0</v>
      </c>
      <c r="H862" s="10">
        <f>IFERROR(VLOOKUP(B862, Proof!A$2:$B998,2, 0), 0)</f>
        <v>0</v>
      </c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</row>
    <row r="863">
      <c r="A863" s="6"/>
      <c r="B863" s="6"/>
      <c r="C863" s="6"/>
      <c r="D863" s="18"/>
      <c r="E863" s="18"/>
      <c r="F863" s="19"/>
      <c r="G863" s="10">
        <f>IFERROR(VLOOKUP(B863, 'Duke 4'!A$3:$B998,2, 0), 0)</f>
        <v>0</v>
      </c>
      <c r="H863" s="10">
        <f>IFERROR(VLOOKUP(B863, Proof!A$2:$B998,2, 0), 0)</f>
        <v>0</v>
      </c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</row>
    <row r="864">
      <c r="A864" s="6"/>
      <c r="B864" s="6"/>
      <c r="C864" s="6"/>
      <c r="D864" s="18"/>
      <c r="E864" s="18"/>
      <c r="F864" s="19"/>
      <c r="G864" s="10">
        <f>IFERROR(VLOOKUP(B864, 'Duke 4'!A$3:$B998,2, 0), 0)</f>
        <v>0</v>
      </c>
      <c r="H864" s="10">
        <f>IFERROR(VLOOKUP(B864, Proof!A$2:$B998,2, 0), 0)</f>
        <v>0</v>
      </c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</row>
    <row r="865">
      <c r="A865" s="6"/>
      <c r="B865" s="6"/>
      <c r="C865" s="6"/>
      <c r="D865" s="18"/>
      <c r="E865" s="18"/>
      <c r="F865" s="19"/>
      <c r="G865" s="10">
        <f>IFERROR(VLOOKUP(B865, 'Duke 4'!A$3:$B998,2, 0), 0)</f>
        <v>0</v>
      </c>
      <c r="H865" s="10">
        <f>IFERROR(VLOOKUP(B865, Proof!A$2:$B998,2, 0), 0)</f>
        <v>0</v>
      </c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</row>
    <row r="866">
      <c r="A866" s="6"/>
      <c r="B866" s="6"/>
      <c r="C866" s="6"/>
      <c r="D866" s="18"/>
      <c r="E866" s="18"/>
      <c r="F866" s="19"/>
      <c r="G866" s="10">
        <f>IFERROR(VLOOKUP(B866, 'Duke 4'!A$3:$B998,2, 0), 0)</f>
        <v>0</v>
      </c>
      <c r="H866" s="10">
        <f>IFERROR(VLOOKUP(B866, Proof!A$2:$B998,2, 0), 0)</f>
        <v>0</v>
      </c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</row>
    <row r="867">
      <c r="A867" s="6"/>
      <c r="B867" s="6"/>
      <c r="C867" s="6"/>
      <c r="D867" s="18"/>
      <c r="E867" s="18"/>
      <c r="F867" s="19"/>
      <c r="G867" s="10">
        <f>IFERROR(VLOOKUP(B867, 'Duke 4'!A$3:$B998,2, 0), 0)</f>
        <v>0</v>
      </c>
      <c r="H867" s="10">
        <f>IFERROR(VLOOKUP(B867, Proof!A$2:$B998,2, 0), 0)</f>
        <v>0</v>
      </c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</row>
    <row r="868">
      <c r="A868" s="6"/>
      <c r="B868" s="6"/>
      <c r="C868" s="6"/>
      <c r="D868" s="18"/>
      <c r="E868" s="18"/>
      <c r="F868" s="19"/>
      <c r="G868" s="10">
        <f>IFERROR(VLOOKUP(B868, 'Duke 4'!A$3:$B998,2, 0), 0)</f>
        <v>0</v>
      </c>
      <c r="H868" s="10">
        <f>IFERROR(VLOOKUP(B868, Proof!A$2:$B998,2, 0), 0)</f>
        <v>0</v>
      </c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</row>
    <row r="869">
      <c r="A869" s="6"/>
      <c r="B869" s="6"/>
      <c r="C869" s="6"/>
      <c r="D869" s="18"/>
      <c r="E869" s="18"/>
      <c r="F869" s="19"/>
      <c r="G869" s="10">
        <f>IFERROR(VLOOKUP(B869, 'Duke 4'!A$3:$B998,2, 0), 0)</f>
        <v>0</v>
      </c>
      <c r="H869" s="10">
        <f>IFERROR(VLOOKUP(B869, Proof!A$2:$B998,2, 0), 0)</f>
        <v>0</v>
      </c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</row>
    <row r="870">
      <c r="A870" s="6"/>
      <c r="B870" s="6"/>
      <c r="C870" s="6"/>
      <c r="D870" s="18"/>
      <c r="E870" s="18"/>
      <c r="F870" s="19"/>
      <c r="G870" s="10">
        <f>IFERROR(VLOOKUP(B870, 'Duke 4'!A$3:$B998,2, 0), 0)</f>
        <v>0</v>
      </c>
      <c r="H870" s="10">
        <f>IFERROR(VLOOKUP(B870, Proof!A$2:$B998,2, 0), 0)</f>
        <v>0</v>
      </c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</row>
    <row r="871">
      <c r="A871" s="6"/>
      <c r="B871" s="6"/>
      <c r="C871" s="6"/>
      <c r="D871" s="18"/>
      <c r="E871" s="18"/>
      <c r="F871" s="19"/>
      <c r="G871" s="10">
        <f>IFERROR(VLOOKUP(B871, 'Duke 4'!A$3:$B998,2, 0), 0)</f>
        <v>0</v>
      </c>
      <c r="H871" s="10">
        <f>IFERROR(VLOOKUP(B871, Proof!A$2:$B998,2, 0), 0)</f>
        <v>0</v>
      </c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</row>
    <row r="872">
      <c r="A872" s="6"/>
      <c r="B872" s="6"/>
      <c r="C872" s="6"/>
      <c r="D872" s="18"/>
      <c r="E872" s="18"/>
      <c r="F872" s="19"/>
      <c r="G872" s="10">
        <f>IFERROR(VLOOKUP(B872, 'Duke 4'!A$3:$B998,2, 0), 0)</f>
        <v>0</v>
      </c>
      <c r="H872" s="10">
        <f>IFERROR(VLOOKUP(B872, Proof!A$2:$B998,2, 0), 0)</f>
        <v>0</v>
      </c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</row>
    <row r="873">
      <c r="A873" s="6"/>
      <c r="B873" s="6"/>
      <c r="C873" s="6"/>
      <c r="D873" s="18"/>
      <c r="E873" s="18"/>
      <c r="F873" s="19"/>
      <c r="G873" s="10">
        <f>IFERROR(VLOOKUP(B873, 'Duke 4'!A$3:$B998,2, 0), 0)</f>
        <v>0</v>
      </c>
      <c r="H873" s="10">
        <f>IFERROR(VLOOKUP(B873, Proof!A$2:$B998,2, 0), 0)</f>
        <v>0</v>
      </c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</row>
    <row r="874">
      <c r="A874" s="6"/>
      <c r="B874" s="6"/>
      <c r="C874" s="6"/>
      <c r="D874" s="18"/>
      <c r="E874" s="18"/>
      <c r="F874" s="19"/>
      <c r="G874" s="10">
        <f>IFERROR(VLOOKUP(B874, 'Duke 4'!A$3:$B998,2, 0), 0)</f>
        <v>0</v>
      </c>
      <c r="H874" s="10">
        <f>IFERROR(VLOOKUP(B874, Proof!A$2:$B998,2, 0), 0)</f>
        <v>0</v>
      </c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</row>
    <row r="875">
      <c r="A875" s="6"/>
      <c r="B875" s="6"/>
      <c r="C875" s="6"/>
      <c r="D875" s="18"/>
      <c r="E875" s="18"/>
      <c r="F875" s="19"/>
      <c r="G875" s="10">
        <f>IFERROR(VLOOKUP(B875, 'Duke 4'!A$3:$B998,2, 0), 0)</f>
        <v>0</v>
      </c>
      <c r="H875" s="10">
        <f>IFERROR(VLOOKUP(B875, Proof!A$2:$B998,2, 0), 0)</f>
        <v>0</v>
      </c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</row>
    <row r="876">
      <c r="A876" s="6"/>
      <c r="B876" s="6"/>
      <c r="C876" s="6"/>
      <c r="D876" s="18"/>
      <c r="E876" s="18"/>
      <c r="F876" s="19"/>
      <c r="G876" s="10">
        <f>IFERROR(VLOOKUP(B876, 'Duke 4'!A$3:$B998,2, 0), 0)</f>
        <v>0</v>
      </c>
      <c r="H876" s="10">
        <f>IFERROR(VLOOKUP(B876, Proof!A$2:$B998,2, 0), 0)</f>
        <v>0</v>
      </c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</row>
    <row r="877">
      <c r="A877" s="6"/>
      <c r="B877" s="6"/>
      <c r="C877" s="6"/>
      <c r="D877" s="18"/>
      <c r="E877" s="18"/>
      <c r="F877" s="19"/>
      <c r="G877" s="10">
        <f>IFERROR(VLOOKUP(B877, 'Duke 4'!A$3:$B998,2, 0), 0)</f>
        <v>0</v>
      </c>
      <c r="H877" s="10">
        <f>IFERROR(VLOOKUP(B877, Proof!A$2:$B998,2, 0), 0)</f>
        <v>0</v>
      </c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</row>
    <row r="878">
      <c r="A878" s="6"/>
      <c r="B878" s="6"/>
      <c r="C878" s="6"/>
      <c r="D878" s="18"/>
      <c r="E878" s="18"/>
      <c r="F878" s="19"/>
      <c r="G878" s="10">
        <f>IFERROR(VLOOKUP(B878, 'Duke 4'!A$3:$B998,2, 0), 0)</f>
        <v>0</v>
      </c>
      <c r="H878" s="10">
        <f>IFERROR(VLOOKUP(B878, Proof!A$2:$B998,2, 0), 0)</f>
        <v>0</v>
      </c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</row>
    <row r="879">
      <c r="A879" s="6"/>
      <c r="B879" s="6"/>
      <c r="C879" s="6"/>
      <c r="D879" s="18"/>
      <c r="E879" s="18"/>
      <c r="F879" s="19"/>
      <c r="G879" s="10">
        <f>IFERROR(VLOOKUP(B879, 'Duke 4'!A$3:$B998,2, 0), 0)</f>
        <v>0</v>
      </c>
      <c r="H879" s="10">
        <f>IFERROR(VLOOKUP(B879, Proof!A$2:$B998,2, 0), 0)</f>
        <v>0</v>
      </c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</row>
    <row r="880">
      <c r="A880" s="6"/>
      <c r="B880" s="6"/>
      <c r="C880" s="6"/>
      <c r="D880" s="18"/>
      <c r="E880" s="18"/>
      <c r="F880" s="19"/>
      <c r="G880" s="10">
        <f>IFERROR(VLOOKUP(B880, 'Duke 4'!A$3:$B998,2, 0), 0)</f>
        <v>0</v>
      </c>
      <c r="H880" s="10">
        <f>IFERROR(VLOOKUP(B880, Proof!A$2:$B998,2, 0), 0)</f>
        <v>0</v>
      </c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</row>
    <row r="881">
      <c r="A881" s="6"/>
      <c r="B881" s="6"/>
      <c r="C881" s="6"/>
      <c r="D881" s="18"/>
      <c r="E881" s="18"/>
      <c r="F881" s="19"/>
      <c r="G881" s="10">
        <f>IFERROR(VLOOKUP(B881, 'Duke 4'!A$3:$B998,2, 0), 0)</f>
        <v>0</v>
      </c>
      <c r="H881" s="10">
        <f>IFERROR(VLOOKUP(B881, Proof!A$2:$B998,2, 0), 0)</f>
        <v>0</v>
      </c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</row>
    <row r="882">
      <c r="A882" s="6"/>
      <c r="B882" s="6"/>
      <c r="C882" s="6"/>
      <c r="D882" s="18"/>
      <c r="E882" s="18"/>
      <c r="F882" s="19"/>
      <c r="G882" s="10">
        <f>IFERROR(VLOOKUP(B882, 'Duke 4'!A$3:$B998,2, 0), 0)</f>
        <v>0</v>
      </c>
      <c r="H882" s="10">
        <f>IFERROR(VLOOKUP(B882, Proof!A$2:$B998,2, 0), 0)</f>
        <v>0</v>
      </c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</row>
    <row r="883">
      <c r="A883" s="6"/>
      <c r="B883" s="6"/>
      <c r="C883" s="6"/>
      <c r="D883" s="18"/>
      <c r="E883" s="18"/>
      <c r="F883" s="19"/>
      <c r="G883" s="10">
        <f>IFERROR(VLOOKUP(B883, 'Duke 4'!A$3:$B998,2, 0), 0)</f>
        <v>0</v>
      </c>
      <c r="H883" s="10">
        <f>IFERROR(VLOOKUP(B883, Proof!A$2:$B998,2, 0), 0)</f>
        <v>0</v>
      </c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</row>
    <row r="884">
      <c r="A884" s="6"/>
      <c r="B884" s="6"/>
      <c r="C884" s="6"/>
      <c r="D884" s="18"/>
      <c r="E884" s="18"/>
      <c r="F884" s="19"/>
      <c r="G884" s="10">
        <f>IFERROR(VLOOKUP(B884, 'Duke 4'!A$3:$B998,2, 0), 0)</f>
        <v>0</v>
      </c>
      <c r="H884" s="10">
        <f>IFERROR(VLOOKUP(B884, Proof!A$2:$B998,2, 0), 0)</f>
        <v>0</v>
      </c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</row>
    <row r="885">
      <c r="A885" s="6"/>
      <c r="B885" s="6"/>
      <c r="C885" s="6"/>
      <c r="D885" s="18"/>
      <c r="E885" s="18"/>
      <c r="F885" s="19"/>
      <c r="G885" s="10">
        <f>IFERROR(VLOOKUP(B885, 'Duke 4'!A$3:$B998,2, 0), 0)</f>
        <v>0</v>
      </c>
      <c r="H885" s="10">
        <f>IFERROR(VLOOKUP(B885, Proof!A$2:$B998,2, 0), 0)</f>
        <v>0</v>
      </c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</row>
    <row r="886">
      <c r="A886" s="6"/>
      <c r="B886" s="6"/>
      <c r="C886" s="6"/>
      <c r="D886" s="18"/>
      <c r="E886" s="18"/>
      <c r="F886" s="19"/>
      <c r="G886" s="10">
        <f>IFERROR(VLOOKUP(B886, 'Duke 4'!A$3:$B998,2, 0), 0)</f>
        <v>0</v>
      </c>
      <c r="H886" s="10">
        <f>IFERROR(VLOOKUP(B886, Proof!A$2:$B998,2, 0), 0)</f>
        <v>0</v>
      </c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</row>
    <row r="887">
      <c r="A887" s="6"/>
      <c r="B887" s="6"/>
      <c r="C887" s="6"/>
      <c r="D887" s="18"/>
      <c r="E887" s="18"/>
      <c r="F887" s="19"/>
      <c r="G887" s="10">
        <f>IFERROR(VLOOKUP(B887, 'Duke 4'!A$3:$B998,2, 0), 0)</f>
        <v>0</v>
      </c>
      <c r="H887" s="10">
        <f>IFERROR(VLOOKUP(B887, Proof!A$2:$B998,2, 0), 0)</f>
        <v>0</v>
      </c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</row>
    <row r="888">
      <c r="A888" s="6"/>
      <c r="B888" s="6"/>
      <c r="C888" s="6"/>
      <c r="D888" s="18"/>
      <c r="E888" s="18"/>
      <c r="F888" s="19"/>
      <c r="G888" s="10">
        <f>IFERROR(VLOOKUP(B888, 'Duke 4'!A$3:$B998,2, 0), 0)</f>
        <v>0</v>
      </c>
      <c r="H888" s="10">
        <f>IFERROR(VLOOKUP(B888, Proof!A$2:$B998,2, 0), 0)</f>
        <v>0</v>
      </c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</row>
    <row r="889">
      <c r="A889" s="6"/>
      <c r="B889" s="6"/>
      <c r="C889" s="6"/>
      <c r="D889" s="18"/>
      <c r="E889" s="18"/>
      <c r="F889" s="19"/>
      <c r="G889" s="10">
        <f>IFERROR(VLOOKUP(B889, 'Duke 4'!A$3:$B998,2, 0), 0)</f>
        <v>0</v>
      </c>
      <c r="H889" s="10">
        <f>IFERROR(VLOOKUP(B889, Proof!A$2:$B998,2, 0), 0)</f>
        <v>0</v>
      </c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</row>
    <row r="890">
      <c r="A890" s="6"/>
      <c r="B890" s="6"/>
      <c r="C890" s="6"/>
      <c r="D890" s="18"/>
      <c r="E890" s="18"/>
      <c r="F890" s="19"/>
      <c r="G890" s="10">
        <f>IFERROR(VLOOKUP(B890, 'Duke 4'!A$3:$B998,2, 0), 0)</f>
        <v>0</v>
      </c>
      <c r="H890" s="10">
        <f>IFERROR(VLOOKUP(B890, Proof!A$2:$B998,2, 0), 0)</f>
        <v>0</v>
      </c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</row>
    <row r="891">
      <c r="A891" s="6"/>
      <c r="B891" s="6"/>
      <c r="C891" s="6"/>
      <c r="D891" s="18"/>
      <c r="E891" s="18"/>
      <c r="F891" s="19"/>
      <c r="G891" s="10">
        <f>IFERROR(VLOOKUP(B891, 'Duke 4'!A$3:$B998,2, 0), 0)</f>
        <v>0</v>
      </c>
      <c r="H891" s="10">
        <f>IFERROR(VLOOKUP(B891, Proof!A$2:$B998,2, 0), 0)</f>
        <v>0</v>
      </c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</row>
    <row r="892">
      <c r="A892" s="6"/>
      <c r="B892" s="6"/>
      <c r="C892" s="6"/>
      <c r="D892" s="18"/>
      <c r="E892" s="18"/>
      <c r="F892" s="19"/>
      <c r="G892" s="10">
        <f>IFERROR(VLOOKUP(B892, 'Duke 4'!A$3:$B998,2, 0), 0)</f>
        <v>0</v>
      </c>
      <c r="H892" s="10">
        <f>IFERROR(VLOOKUP(B892, Proof!A$2:$B998,2, 0), 0)</f>
        <v>0</v>
      </c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</row>
    <row r="893">
      <c r="A893" s="6"/>
      <c r="B893" s="6"/>
      <c r="C893" s="6"/>
      <c r="D893" s="18"/>
      <c r="E893" s="18"/>
      <c r="F893" s="19"/>
      <c r="G893" s="10">
        <f>IFERROR(VLOOKUP(B893, 'Duke 4'!A$3:$B998,2, 0), 0)</f>
        <v>0</v>
      </c>
      <c r="H893" s="10">
        <f>IFERROR(VLOOKUP(B893, Proof!A$2:$B998,2, 0), 0)</f>
        <v>0</v>
      </c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</row>
    <row r="894">
      <c r="A894" s="6"/>
      <c r="B894" s="6"/>
      <c r="C894" s="6"/>
      <c r="D894" s="18"/>
      <c r="E894" s="18"/>
      <c r="F894" s="19"/>
      <c r="G894" s="10">
        <f>IFERROR(VLOOKUP(B894, 'Duke 4'!A$3:$B998,2, 0), 0)</f>
        <v>0</v>
      </c>
      <c r="H894" s="10">
        <f>IFERROR(VLOOKUP(B894, Proof!A$2:$B998,2, 0), 0)</f>
        <v>0</v>
      </c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</row>
    <row r="895">
      <c r="A895" s="6"/>
      <c r="B895" s="6"/>
      <c r="C895" s="6"/>
      <c r="D895" s="18"/>
      <c r="E895" s="18"/>
      <c r="F895" s="19"/>
      <c r="G895" s="10">
        <f>IFERROR(VLOOKUP(B895, 'Duke 4'!A$3:$B998,2, 0), 0)</f>
        <v>0</v>
      </c>
      <c r="H895" s="10">
        <f>IFERROR(VLOOKUP(B895, Proof!A$2:$B998,2, 0), 0)</f>
        <v>0</v>
      </c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</row>
    <row r="896">
      <c r="A896" s="6"/>
      <c r="B896" s="6"/>
      <c r="C896" s="6"/>
      <c r="D896" s="18"/>
      <c r="E896" s="18"/>
      <c r="F896" s="19"/>
      <c r="G896" s="10">
        <f>IFERROR(VLOOKUP(B896, 'Duke 4'!A$3:$B998,2, 0), 0)</f>
        <v>0</v>
      </c>
      <c r="H896" s="10">
        <f>IFERROR(VLOOKUP(B896, Proof!A$2:$B998,2, 0), 0)</f>
        <v>0</v>
      </c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</row>
    <row r="897">
      <c r="A897" s="6"/>
      <c r="B897" s="6"/>
      <c r="C897" s="6"/>
      <c r="D897" s="18"/>
      <c r="E897" s="18"/>
      <c r="F897" s="19"/>
      <c r="G897" s="10">
        <f>IFERROR(VLOOKUP(B897, 'Duke 4'!A$3:$B998,2, 0), 0)</f>
        <v>0</v>
      </c>
      <c r="H897" s="10">
        <f>IFERROR(VLOOKUP(B897, Proof!A$2:$B998,2, 0), 0)</f>
        <v>0</v>
      </c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</row>
    <row r="898">
      <c r="A898" s="6"/>
      <c r="B898" s="6"/>
      <c r="C898" s="6"/>
      <c r="D898" s="18"/>
      <c r="E898" s="18"/>
      <c r="F898" s="19"/>
      <c r="G898" s="10">
        <f>IFERROR(VLOOKUP(B898, 'Duke 4'!A$3:$B998,2, 0), 0)</f>
        <v>0</v>
      </c>
      <c r="H898" s="10">
        <f>IFERROR(VLOOKUP(B898, Proof!A$2:$B998,2, 0), 0)</f>
        <v>0</v>
      </c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</row>
    <row r="899">
      <c r="A899" s="6"/>
      <c r="B899" s="6"/>
      <c r="C899" s="6"/>
      <c r="D899" s="18"/>
      <c r="E899" s="18"/>
      <c r="F899" s="19"/>
      <c r="G899" s="10">
        <f>IFERROR(VLOOKUP(B899, 'Duke 4'!A$3:$B998,2, 0), 0)</f>
        <v>0</v>
      </c>
      <c r="H899" s="10">
        <f>IFERROR(VLOOKUP(B899, Proof!A$2:$B998,2, 0), 0)</f>
        <v>0</v>
      </c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</row>
    <row r="900">
      <c r="A900" s="6"/>
      <c r="B900" s="6"/>
      <c r="C900" s="6"/>
      <c r="D900" s="18"/>
      <c r="E900" s="18"/>
      <c r="F900" s="19"/>
      <c r="G900" s="10">
        <f>IFERROR(VLOOKUP(B900, 'Duke 4'!A$3:$B998,2, 0), 0)</f>
        <v>0</v>
      </c>
      <c r="H900" s="10">
        <f>IFERROR(VLOOKUP(B900, Proof!A$2:$B998,2, 0), 0)</f>
        <v>0</v>
      </c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</row>
    <row r="901">
      <c r="A901" s="6"/>
      <c r="B901" s="6"/>
      <c r="C901" s="6"/>
      <c r="D901" s="18"/>
      <c r="E901" s="18"/>
      <c r="F901" s="19"/>
      <c r="G901" s="10">
        <f>IFERROR(VLOOKUP(B901, 'Duke 4'!A$3:$B998,2, 0), 0)</f>
        <v>0</v>
      </c>
      <c r="H901" s="10">
        <f>IFERROR(VLOOKUP(B901, Proof!A$2:$B998,2, 0), 0)</f>
        <v>0</v>
      </c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</row>
    <row r="902">
      <c r="A902" s="6"/>
      <c r="B902" s="6"/>
      <c r="C902" s="6"/>
      <c r="D902" s="18"/>
      <c r="E902" s="18"/>
      <c r="F902" s="19"/>
      <c r="G902" s="10">
        <f>IFERROR(VLOOKUP(B902, 'Duke 4'!A$3:$B998,2, 0), 0)</f>
        <v>0</v>
      </c>
      <c r="H902" s="10">
        <f>IFERROR(VLOOKUP(B902, Proof!A$2:$B998,2, 0), 0)</f>
        <v>0</v>
      </c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</row>
    <row r="903">
      <c r="A903" s="6"/>
      <c r="B903" s="6"/>
      <c r="C903" s="6"/>
      <c r="D903" s="18"/>
      <c r="E903" s="18"/>
      <c r="F903" s="19"/>
      <c r="G903" s="10">
        <f>IFERROR(VLOOKUP(B903, 'Duke 4'!A$3:$B998,2, 0), 0)</f>
        <v>0</v>
      </c>
      <c r="H903" s="10">
        <f>IFERROR(VLOOKUP(B903, Proof!A$2:$B998,2, 0), 0)</f>
        <v>0</v>
      </c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</row>
    <row r="904">
      <c r="A904" s="6"/>
      <c r="B904" s="6"/>
      <c r="C904" s="6"/>
      <c r="D904" s="18"/>
      <c r="E904" s="18"/>
      <c r="F904" s="19"/>
      <c r="G904" s="10">
        <f>IFERROR(VLOOKUP(B904, 'Duke 4'!A$3:$B998,2, 0), 0)</f>
        <v>0</v>
      </c>
      <c r="H904" s="10">
        <f>IFERROR(VLOOKUP(B904, Proof!A$2:$B998,2, 0), 0)</f>
        <v>0</v>
      </c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</row>
    <row r="905">
      <c r="A905" s="6"/>
      <c r="B905" s="6"/>
      <c r="C905" s="6"/>
      <c r="D905" s="18"/>
      <c r="E905" s="18"/>
      <c r="F905" s="19"/>
      <c r="G905" s="10">
        <f>IFERROR(VLOOKUP(B905, 'Duke 4'!A$3:$B998,2, 0), 0)</f>
        <v>0</v>
      </c>
      <c r="H905" s="10">
        <f>IFERROR(VLOOKUP(B905, Proof!A$2:$B998,2, 0), 0)</f>
        <v>0</v>
      </c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</row>
    <row r="906">
      <c r="A906" s="6"/>
      <c r="B906" s="6"/>
      <c r="C906" s="6"/>
      <c r="D906" s="18"/>
      <c r="E906" s="18"/>
      <c r="F906" s="19"/>
      <c r="G906" s="10">
        <f>IFERROR(VLOOKUP(B906, 'Duke 4'!A$3:$B998,2, 0), 0)</f>
        <v>0</v>
      </c>
      <c r="H906" s="10">
        <f>IFERROR(VLOOKUP(B906, Proof!A$2:$B998,2, 0), 0)</f>
        <v>0</v>
      </c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</row>
    <row r="907">
      <c r="A907" s="6"/>
      <c r="B907" s="6"/>
      <c r="C907" s="6"/>
      <c r="D907" s="18"/>
      <c r="E907" s="18"/>
      <c r="F907" s="19"/>
      <c r="G907" s="10">
        <f>IFERROR(VLOOKUP(B907, 'Duke 4'!A$3:$B998,2, 0), 0)</f>
        <v>0</v>
      </c>
      <c r="H907" s="10">
        <f>IFERROR(VLOOKUP(B907, Proof!A$2:$B998,2, 0), 0)</f>
        <v>0</v>
      </c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</row>
    <row r="908">
      <c r="A908" s="6"/>
      <c r="B908" s="6"/>
      <c r="C908" s="6"/>
      <c r="D908" s="18"/>
      <c r="E908" s="18"/>
      <c r="F908" s="19"/>
      <c r="G908" s="10">
        <f>IFERROR(VLOOKUP(B908, 'Duke 4'!A$3:$B998,2, 0), 0)</f>
        <v>0</v>
      </c>
      <c r="H908" s="10">
        <f>IFERROR(VLOOKUP(B908, Proof!A$2:$B998,2, 0), 0)</f>
        <v>0</v>
      </c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</row>
    <row r="909">
      <c r="A909" s="6"/>
      <c r="B909" s="6"/>
      <c r="C909" s="6"/>
      <c r="D909" s="18"/>
      <c r="E909" s="18"/>
      <c r="F909" s="19"/>
      <c r="G909" s="10">
        <f>IFERROR(VLOOKUP(B909, 'Duke 4'!A$3:$B998,2, 0), 0)</f>
        <v>0</v>
      </c>
      <c r="H909" s="10">
        <f>IFERROR(VLOOKUP(B909, Proof!A$2:$B998,2, 0), 0)</f>
        <v>0</v>
      </c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</row>
    <row r="910">
      <c r="A910" s="6"/>
      <c r="B910" s="6"/>
      <c r="C910" s="6"/>
      <c r="D910" s="18"/>
      <c r="E910" s="18"/>
      <c r="F910" s="19"/>
      <c r="G910" s="10">
        <f>IFERROR(VLOOKUP(B910, 'Duke 4'!A$3:$B998,2, 0), 0)</f>
        <v>0</v>
      </c>
      <c r="H910" s="10">
        <f>IFERROR(VLOOKUP(B910, Proof!A$2:$B998,2, 0), 0)</f>
        <v>0</v>
      </c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</row>
    <row r="911">
      <c r="A911" s="6"/>
      <c r="B911" s="6"/>
      <c r="C911" s="6"/>
      <c r="D911" s="18"/>
      <c r="E911" s="18"/>
      <c r="F911" s="19"/>
      <c r="G911" s="10">
        <f>IFERROR(VLOOKUP(B911, 'Duke 4'!A$3:$B998,2, 0), 0)</f>
        <v>0</v>
      </c>
      <c r="H911" s="10">
        <f>IFERROR(VLOOKUP(B911, Proof!A$2:$B998,2, 0), 0)</f>
        <v>0</v>
      </c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</row>
    <row r="912">
      <c r="A912" s="6"/>
      <c r="B912" s="6"/>
      <c r="C912" s="6"/>
      <c r="D912" s="18"/>
      <c r="E912" s="18"/>
      <c r="F912" s="19"/>
      <c r="G912" s="10">
        <f>IFERROR(VLOOKUP(B912, 'Duke 4'!A$3:$B998,2, 0), 0)</f>
        <v>0</v>
      </c>
      <c r="H912" s="10">
        <f>IFERROR(VLOOKUP(B912, Proof!A$2:$B998,2, 0), 0)</f>
        <v>0</v>
      </c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</row>
    <row r="913">
      <c r="A913" s="6"/>
      <c r="B913" s="6"/>
      <c r="C913" s="6"/>
      <c r="D913" s="18"/>
      <c r="E913" s="18"/>
      <c r="F913" s="19"/>
      <c r="G913" s="10">
        <f>IFERROR(VLOOKUP(B913, 'Duke 4'!A$3:$B998,2, 0), 0)</f>
        <v>0</v>
      </c>
      <c r="H913" s="10">
        <f>IFERROR(VLOOKUP(B913, Proof!A$2:$B998,2, 0), 0)</f>
        <v>0</v>
      </c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</row>
    <row r="914">
      <c r="A914" s="6"/>
      <c r="B914" s="6"/>
      <c r="C914" s="6"/>
      <c r="D914" s="18"/>
      <c r="E914" s="18"/>
      <c r="F914" s="19"/>
      <c r="G914" s="10">
        <f>IFERROR(VLOOKUP(B914, 'Duke 4'!A$3:$B998,2, 0), 0)</f>
        <v>0</v>
      </c>
      <c r="H914" s="10">
        <f>IFERROR(VLOOKUP(B914, Proof!A$2:$B998,2, 0), 0)</f>
        <v>0</v>
      </c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</row>
    <row r="915">
      <c r="A915" s="6"/>
      <c r="B915" s="6"/>
      <c r="C915" s="6"/>
      <c r="D915" s="18"/>
      <c r="E915" s="18"/>
      <c r="F915" s="19"/>
      <c r="G915" s="10">
        <f>IFERROR(VLOOKUP(B915, 'Duke 4'!A$3:$B998,2, 0), 0)</f>
        <v>0</v>
      </c>
      <c r="H915" s="10">
        <f>IFERROR(VLOOKUP(B915, Proof!A$2:$B998,2, 0), 0)</f>
        <v>0</v>
      </c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</row>
    <row r="916">
      <c r="A916" s="6"/>
      <c r="B916" s="6"/>
      <c r="C916" s="6"/>
      <c r="D916" s="18"/>
      <c r="E916" s="18"/>
      <c r="F916" s="19"/>
      <c r="G916" s="10">
        <f>IFERROR(VLOOKUP(B916, 'Duke 4'!A$3:$B998,2, 0), 0)</f>
        <v>0</v>
      </c>
      <c r="H916" s="10">
        <f>IFERROR(VLOOKUP(B916, Proof!A$2:$B998,2, 0), 0)</f>
        <v>0</v>
      </c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</row>
    <row r="917">
      <c r="A917" s="6"/>
      <c r="B917" s="6"/>
      <c r="C917" s="6"/>
      <c r="D917" s="18"/>
      <c r="E917" s="18"/>
      <c r="F917" s="19"/>
      <c r="G917" s="10">
        <f>IFERROR(VLOOKUP(B917, 'Duke 4'!A$3:$B998,2, 0), 0)</f>
        <v>0</v>
      </c>
      <c r="H917" s="10">
        <f>IFERROR(VLOOKUP(B917, Proof!A$2:$B998,2, 0), 0)</f>
        <v>0</v>
      </c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</row>
    <row r="918">
      <c r="A918" s="6"/>
      <c r="B918" s="6"/>
      <c r="C918" s="6"/>
      <c r="D918" s="18"/>
      <c r="E918" s="18"/>
      <c r="F918" s="19"/>
      <c r="G918" s="10">
        <f>IFERROR(VLOOKUP(B918, 'Duke 4'!A$3:$B998,2, 0), 0)</f>
        <v>0</v>
      </c>
      <c r="H918" s="10">
        <f>IFERROR(VLOOKUP(B918, Proof!A$2:$B998,2, 0), 0)</f>
        <v>0</v>
      </c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</row>
    <row r="919">
      <c r="A919" s="6"/>
      <c r="B919" s="6"/>
      <c r="C919" s="6"/>
      <c r="D919" s="18"/>
      <c r="E919" s="18"/>
      <c r="F919" s="19"/>
      <c r="G919" s="10">
        <f>IFERROR(VLOOKUP(B919, 'Duke 4'!A$3:$B998,2, 0), 0)</f>
        <v>0</v>
      </c>
      <c r="H919" s="10">
        <f>IFERROR(VLOOKUP(B919, Proof!A$2:$B998,2, 0), 0)</f>
        <v>0</v>
      </c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</row>
    <row r="920">
      <c r="A920" s="6"/>
      <c r="B920" s="6"/>
      <c r="C920" s="6"/>
      <c r="D920" s="18"/>
      <c r="E920" s="18"/>
      <c r="F920" s="19"/>
      <c r="G920" s="10">
        <f>IFERROR(VLOOKUP(B920, 'Duke 4'!A$3:$B998,2, 0), 0)</f>
        <v>0</v>
      </c>
      <c r="H920" s="10">
        <f>IFERROR(VLOOKUP(B920, Proof!A$2:$B998,2, 0), 0)</f>
        <v>0</v>
      </c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</row>
    <row r="921">
      <c r="A921" s="6"/>
      <c r="B921" s="6"/>
      <c r="C921" s="6"/>
      <c r="D921" s="18"/>
      <c r="E921" s="18"/>
      <c r="F921" s="19"/>
      <c r="G921" s="10">
        <f>IFERROR(VLOOKUP(B921, 'Duke 4'!A$3:$B998,2, 0), 0)</f>
        <v>0</v>
      </c>
      <c r="H921" s="10">
        <f>IFERROR(VLOOKUP(B921, Proof!A$2:$B998,2, 0), 0)</f>
        <v>0</v>
      </c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</row>
    <row r="922">
      <c r="A922" s="6"/>
      <c r="B922" s="6"/>
      <c r="C922" s="6"/>
      <c r="D922" s="18"/>
      <c r="E922" s="18"/>
      <c r="F922" s="19"/>
      <c r="G922" s="10">
        <f>IFERROR(VLOOKUP(B922, 'Duke 4'!A$3:$B998,2, 0), 0)</f>
        <v>0</v>
      </c>
      <c r="H922" s="10">
        <f>IFERROR(VLOOKUP(B922, Proof!A$2:$B998,2, 0), 0)</f>
        <v>0</v>
      </c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</row>
    <row r="923">
      <c r="A923" s="6"/>
      <c r="B923" s="6"/>
      <c r="C923" s="6"/>
      <c r="D923" s="18"/>
      <c r="E923" s="18"/>
      <c r="F923" s="19"/>
      <c r="G923" s="10">
        <f>IFERROR(VLOOKUP(B923, 'Duke 4'!A$3:$B998,2, 0), 0)</f>
        <v>0</v>
      </c>
      <c r="H923" s="10">
        <f>IFERROR(VLOOKUP(B923, Proof!A$2:$B998,2, 0), 0)</f>
        <v>0</v>
      </c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</row>
    <row r="924">
      <c r="A924" s="6"/>
      <c r="B924" s="6"/>
      <c r="C924" s="6"/>
      <c r="D924" s="18"/>
      <c r="E924" s="18"/>
      <c r="F924" s="19"/>
      <c r="G924" s="10">
        <f>IFERROR(VLOOKUP(B924, 'Duke 4'!A$3:$B998,2, 0), 0)</f>
        <v>0</v>
      </c>
      <c r="H924" s="10">
        <f>IFERROR(VLOOKUP(B924, Proof!A$2:$B998,2, 0), 0)</f>
        <v>0</v>
      </c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</row>
    <row r="925">
      <c r="A925" s="6"/>
      <c r="B925" s="6"/>
      <c r="C925" s="6"/>
      <c r="D925" s="18"/>
      <c r="E925" s="18"/>
      <c r="F925" s="19"/>
      <c r="G925" s="10">
        <f>IFERROR(VLOOKUP(B925, 'Duke 4'!A$3:$B998,2, 0), 0)</f>
        <v>0</v>
      </c>
      <c r="H925" s="10">
        <f>IFERROR(VLOOKUP(B925, Proof!A$2:$B998,2, 0), 0)</f>
        <v>0</v>
      </c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</row>
    <row r="926">
      <c r="A926" s="6"/>
      <c r="B926" s="6"/>
      <c r="C926" s="6"/>
      <c r="D926" s="18"/>
      <c r="E926" s="18"/>
      <c r="F926" s="19"/>
      <c r="G926" s="10">
        <f>IFERROR(VLOOKUP(B926, 'Duke 4'!A$3:$B998,2, 0), 0)</f>
        <v>0</v>
      </c>
      <c r="H926" s="10">
        <f>IFERROR(VLOOKUP(B926, Proof!A$2:$B998,2, 0), 0)</f>
        <v>0</v>
      </c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</row>
    <row r="927">
      <c r="A927" s="6"/>
      <c r="B927" s="6"/>
      <c r="C927" s="6"/>
      <c r="D927" s="18"/>
      <c r="E927" s="18"/>
      <c r="F927" s="19"/>
      <c r="G927" s="10">
        <f>IFERROR(VLOOKUP(B927, 'Duke 4'!A$3:$B998,2, 0), 0)</f>
        <v>0</v>
      </c>
      <c r="H927" s="10">
        <f>IFERROR(VLOOKUP(B927, Proof!A$2:$B998,2, 0), 0)</f>
        <v>0</v>
      </c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</row>
    <row r="928">
      <c r="A928" s="6"/>
      <c r="B928" s="6"/>
      <c r="C928" s="6"/>
      <c r="D928" s="18"/>
      <c r="E928" s="18"/>
      <c r="F928" s="19"/>
      <c r="G928" s="10">
        <f>IFERROR(VLOOKUP(B928, 'Duke 4'!A$3:$B998,2, 0), 0)</f>
        <v>0</v>
      </c>
      <c r="H928" s="10">
        <f>IFERROR(VLOOKUP(B928, Proof!A$2:$B998,2, 0), 0)</f>
        <v>0</v>
      </c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</row>
    <row r="929">
      <c r="A929" s="6"/>
      <c r="B929" s="6"/>
      <c r="C929" s="6"/>
      <c r="D929" s="18"/>
      <c r="E929" s="18"/>
      <c r="F929" s="19"/>
      <c r="G929" s="10">
        <f>IFERROR(VLOOKUP(B929, 'Duke 4'!A$3:$B998,2, 0), 0)</f>
        <v>0</v>
      </c>
      <c r="H929" s="10">
        <f>IFERROR(VLOOKUP(B929, Proof!A$2:$B998,2, 0), 0)</f>
        <v>0</v>
      </c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</row>
    <row r="930">
      <c r="A930" s="6"/>
      <c r="B930" s="6"/>
      <c r="C930" s="6"/>
      <c r="D930" s="18"/>
      <c r="E930" s="18"/>
      <c r="F930" s="19"/>
      <c r="G930" s="10">
        <f>IFERROR(VLOOKUP(B930, 'Duke 4'!A$3:$B998,2, 0), 0)</f>
        <v>0</v>
      </c>
      <c r="H930" s="10">
        <f>IFERROR(VLOOKUP(B930, Proof!A$2:$B998,2, 0), 0)</f>
        <v>0</v>
      </c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</row>
    <row r="931">
      <c r="A931" s="6"/>
      <c r="B931" s="6"/>
      <c r="C931" s="6"/>
      <c r="D931" s="18"/>
      <c r="E931" s="18"/>
      <c r="F931" s="19"/>
      <c r="G931" s="10">
        <f>IFERROR(VLOOKUP(B931, 'Duke 4'!A$3:$B998,2, 0), 0)</f>
        <v>0</v>
      </c>
      <c r="H931" s="10">
        <f>IFERROR(VLOOKUP(B931, Proof!A$2:$B998,2, 0), 0)</f>
        <v>0</v>
      </c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</row>
    <row r="932">
      <c r="A932" s="6"/>
      <c r="B932" s="6"/>
      <c r="C932" s="6"/>
      <c r="D932" s="18"/>
      <c r="E932" s="18"/>
      <c r="F932" s="19"/>
      <c r="G932" s="10">
        <f>IFERROR(VLOOKUP(B932, 'Duke 4'!A$3:$B998,2, 0), 0)</f>
        <v>0</v>
      </c>
      <c r="H932" s="10">
        <f>IFERROR(VLOOKUP(B932, Proof!A$2:$B998,2, 0), 0)</f>
        <v>0</v>
      </c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</row>
    <row r="933">
      <c r="A933" s="6"/>
      <c r="B933" s="6"/>
      <c r="C933" s="6"/>
      <c r="D933" s="18"/>
      <c r="E933" s="18"/>
      <c r="F933" s="19"/>
      <c r="G933" s="10">
        <f>IFERROR(VLOOKUP(B933, 'Duke 4'!A$3:$B998,2, 0), 0)</f>
        <v>0</v>
      </c>
      <c r="H933" s="10">
        <f>IFERROR(VLOOKUP(B933, Proof!A$2:$B998,2, 0), 0)</f>
        <v>0</v>
      </c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</row>
    <row r="934">
      <c r="A934" s="6"/>
      <c r="B934" s="6"/>
      <c r="C934" s="6"/>
      <c r="D934" s="18"/>
      <c r="E934" s="18"/>
      <c r="F934" s="19"/>
      <c r="G934" s="10">
        <f>IFERROR(VLOOKUP(B934, 'Duke 4'!A$3:$B998,2, 0), 0)</f>
        <v>0</v>
      </c>
      <c r="H934" s="10">
        <f>IFERROR(VLOOKUP(B934, Proof!A$2:$B998,2, 0), 0)</f>
        <v>0</v>
      </c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</row>
    <row r="935">
      <c r="A935" s="6"/>
      <c r="B935" s="6"/>
      <c r="C935" s="6"/>
      <c r="D935" s="18"/>
      <c r="E935" s="18"/>
      <c r="F935" s="19"/>
      <c r="G935" s="10">
        <f>IFERROR(VLOOKUP(B935, 'Duke 4'!A$3:$B998,2, 0), 0)</f>
        <v>0</v>
      </c>
      <c r="H935" s="10">
        <f>IFERROR(VLOOKUP(B935, Proof!A$2:$B998,2, 0), 0)</f>
        <v>0</v>
      </c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</row>
    <row r="936">
      <c r="A936" s="6"/>
      <c r="B936" s="6"/>
      <c r="C936" s="6"/>
      <c r="D936" s="18"/>
      <c r="E936" s="18"/>
      <c r="F936" s="19"/>
      <c r="G936" s="10">
        <f>IFERROR(VLOOKUP(B936, 'Duke 4'!A$3:$B998,2, 0), 0)</f>
        <v>0</v>
      </c>
      <c r="H936" s="10">
        <f>IFERROR(VLOOKUP(B936, Proof!A$2:$B998,2, 0), 0)</f>
        <v>0</v>
      </c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</row>
    <row r="937">
      <c r="A937" s="6"/>
      <c r="B937" s="6"/>
      <c r="C937" s="6"/>
      <c r="D937" s="18"/>
      <c r="E937" s="18"/>
      <c r="F937" s="19"/>
      <c r="G937" s="10">
        <f>IFERROR(VLOOKUP(B937, 'Duke 4'!A$3:$B998,2, 0), 0)</f>
        <v>0</v>
      </c>
      <c r="H937" s="10">
        <f>IFERROR(VLOOKUP(B937, Proof!A$2:$B998,2, 0), 0)</f>
        <v>0</v>
      </c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</row>
    <row r="938">
      <c r="A938" s="6"/>
      <c r="B938" s="6"/>
      <c r="C938" s="6"/>
      <c r="D938" s="18"/>
      <c r="E938" s="18"/>
      <c r="F938" s="19"/>
      <c r="G938" s="10">
        <f>IFERROR(VLOOKUP(B938, 'Duke 4'!A$3:$B998,2, 0), 0)</f>
        <v>0</v>
      </c>
      <c r="H938" s="10">
        <f>IFERROR(VLOOKUP(B938, Proof!A$2:$B998,2, 0), 0)</f>
        <v>0</v>
      </c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</row>
    <row r="939">
      <c r="A939" s="6"/>
      <c r="B939" s="6"/>
      <c r="C939" s="6"/>
      <c r="D939" s="18"/>
      <c r="E939" s="18"/>
      <c r="F939" s="19"/>
      <c r="G939" s="10">
        <f>IFERROR(VLOOKUP(B939, 'Duke 4'!A$3:$B998,2, 0), 0)</f>
        <v>0</v>
      </c>
      <c r="H939" s="10">
        <f>IFERROR(VLOOKUP(B939, Proof!A$2:$B998,2, 0), 0)</f>
        <v>0</v>
      </c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</row>
    <row r="940">
      <c r="A940" s="6"/>
      <c r="B940" s="6"/>
      <c r="C940" s="6"/>
      <c r="D940" s="18"/>
      <c r="E940" s="18"/>
      <c r="F940" s="19"/>
      <c r="G940" s="10">
        <f>IFERROR(VLOOKUP(B940, 'Duke 4'!A$3:$B998,2, 0), 0)</f>
        <v>0</v>
      </c>
      <c r="H940" s="10">
        <f>IFERROR(VLOOKUP(B940, Proof!A$2:$B998,2, 0), 0)</f>
        <v>0</v>
      </c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</row>
    <row r="941">
      <c r="A941" s="6"/>
      <c r="B941" s="6"/>
      <c r="C941" s="6"/>
      <c r="D941" s="18"/>
      <c r="E941" s="18"/>
      <c r="F941" s="19"/>
      <c r="G941" s="10">
        <f>IFERROR(VLOOKUP(B941, 'Duke 4'!A$3:$B998,2, 0), 0)</f>
        <v>0</v>
      </c>
      <c r="H941" s="10">
        <f>IFERROR(VLOOKUP(B941, Proof!A$2:$B998,2, 0), 0)</f>
        <v>0</v>
      </c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</row>
    <row r="942">
      <c r="A942" s="6"/>
      <c r="B942" s="6"/>
      <c r="C942" s="6"/>
      <c r="D942" s="18"/>
      <c r="E942" s="18"/>
      <c r="F942" s="19"/>
      <c r="G942" s="10">
        <f>IFERROR(VLOOKUP(B942, 'Duke 4'!A$3:$B998,2, 0), 0)</f>
        <v>0</v>
      </c>
      <c r="H942" s="10">
        <f>IFERROR(VLOOKUP(B942, Proof!A$2:$B998,2, 0), 0)</f>
        <v>0</v>
      </c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</row>
    <row r="943">
      <c r="A943" s="6"/>
      <c r="B943" s="6"/>
      <c r="C943" s="6"/>
      <c r="D943" s="18"/>
      <c r="E943" s="18"/>
      <c r="F943" s="19"/>
      <c r="G943" s="10">
        <f>IFERROR(VLOOKUP(B943, 'Duke 4'!A$3:$B998,2, 0), 0)</f>
        <v>0</v>
      </c>
      <c r="H943" s="10">
        <f>IFERROR(VLOOKUP(B943, Proof!A$2:$B998,2, 0), 0)</f>
        <v>0</v>
      </c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</row>
    <row r="944">
      <c r="A944" s="6"/>
      <c r="B944" s="6"/>
      <c r="C944" s="6"/>
      <c r="D944" s="18"/>
      <c r="E944" s="18"/>
      <c r="F944" s="19"/>
      <c r="G944" s="10">
        <f>IFERROR(VLOOKUP(B944, 'Duke 4'!A$3:$B998,2, 0), 0)</f>
        <v>0</v>
      </c>
      <c r="H944" s="10">
        <f>IFERROR(VLOOKUP(B944, Proof!A$2:$B998,2, 0), 0)</f>
        <v>0</v>
      </c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</row>
    <row r="945">
      <c r="A945" s="6"/>
      <c r="B945" s="6"/>
      <c r="C945" s="6"/>
      <c r="D945" s="18"/>
      <c r="E945" s="18"/>
      <c r="F945" s="19"/>
      <c r="G945" s="10">
        <f>IFERROR(VLOOKUP(B945, 'Duke 4'!A$3:$B998,2, 0), 0)</f>
        <v>0</v>
      </c>
      <c r="H945" s="10">
        <f>IFERROR(VLOOKUP(B945, Proof!A$2:$B998,2, 0), 0)</f>
        <v>0</v>
      </c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</row>
    <row r="946">
      <c r="A946" s="6"/>
      <c r="B946" s="6"/>
      <c r="C946" s="6"/>
      <c r="D946" s="18"/>
      <c r="E946" s="18"/>
      <c r="F946" s="19"/>
      <c r="G946" s="10">
        <f>IFERROR(VLOOKUP(B946, 'Duke 4'!A$3:$B998,2, 0), 0)</f>
        <v>0</v>
      </c>
      <c r="H946" s="10">
        <f>IFERROR(VLOOKUP(B946, Proof!A$2:$B998,2, 0), 0)</f>
        <v>0</v>
      </c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</row>
    <row r="947">
      <c r="A947" s="6"/>
      <c r="B947" s="6"/>
      <c r="C947" s="6"/>
      <c r="D947" s="18"/>
      <c r="E947" s="18"/>
      <c r="F947" s="19"/>
      <c r="G947" s="10">
        <f>IFERROR(VLOOKUP(B947, 'Duke 4'!A$3:$B998,2, 0), 0)</f>
        <v>0</v>
      </c>
      <c r="H947" s="10">
        <f>IFERROR(VLOOKUP(B947, Proof!A$2:$B998,2, 0), 0)</f>
        <v>0</v>
      </c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</row>
    <row r="948">
      <c r="A948" s="6"/>
      <c r="B948" s="6"/>
      <c r="C948" s="6"/>
      <c r="D948" s="18"/>
      <c r="E948" s="18"/>
      <c r="F948" s="19"/>
      <c r="G948" s="10">
        <f>IFERROR(VLOOKUP(B948, 'Duke 4'!A$3:$B998,2, 0), 0)</f>
        <v>0</v>
      </c>
      <c r="H948" s="10">
        <f>IFERROR(VLOOKUP(B948, Proof!A$2:$B998,2, 0), 0)</f>
        <v>0</v>
      </c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</row>
    <row r="949">
      <c r="A949" s="6"/>
      <c r="B949" s="6"/>
      <c r="C949" s="6"/>
      <c r="D949" s="18"/>
      <c r="E949" s="18"/>
      <c r="F949" s="19"/>
      <c r="G949" s="10">
        <f>IFERROR(VLOOKUP(B949, 'Duke 4'!A$3:$B998,2, 0), 0)</f>
        <v>0</v>
      </c>
      <c r="H949" s="10">
        <f>IFERROR(VLOOKUP(B949, Proof!A$2:$B998,2, 0), 0)</f>
        <v>0</v>
      </c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</row>
    <row r="950">
      <c r="A950" s="6"/>
      <c r="B950" s="6"/>
      <c r="C950" s="6"/>
      <c r="D950" s="18"/>
      <c r="E950" s="18"/>
      <c r="F950" s="19"/>
      <c r="G950" s="10">
        <f>IFERROR(VLOOKUP(B950, 'Duke 4'!A$3:$B998,2, 0), 0)</f>
        <v>0</v>
      </c>
      <c r="H950" s="10">
        <f>IFERROR(VLOOKUP(B950, Proof!A$2:$B998,2, 0), 0)</f>
        <v>0</v>
      </c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</row>
    <row r="951">
      <c r="A951" s="6"/>
      <c r="B951" s="6"/>
      <c r="C951" s="6"/>
      <c r="D951" s="18"/>
      <c r="E951" s="18"/>
      <c r="F951" s="19"/>
      <c r="G951" s="10">
        <f>IFERROR(VLOOKUP(B951, 'Duke 4'!A$3:$B998,2, 0), 0)</f>
        <v>0</v>
      </c>
      <c r="H951" s="10">
        <f>IFERROR(VLOOKUP(B951, Proof!A$2:$B998,2, 0), 0)</f>
        <v>0</v>
      </c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</row>
    <row r="952">
      <c r="A952" s="6"/>
      <c r="B952" s="6"/>
      <c r="C952" s="6"/>
      <c r="D952" s="18"/>
      <c r="E952" s="18"/>
      <c r="F952" s="19"/>
      <c r="G952" s="10">
        <f>IFERROR(VLOOKUP(B952, 'Duke 4'!A$3:$B998,2, 0), 0)</f>
        <v>0</v>
      </c>
      <c r="H952" s="10">
        <f>IFERROR(VLOOKUP(B952, Proof!A$2:$B998,2, 0), 0)</f>
        <v>0</v>
      </c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</row>
    <row r="953">
      <c r="A953" s="6"/>
      <c r="B953" s="6"/>
      <c r="C953" s="6"/>
      <c r="D953" s="18"/>
      <c r="E953" s="18"/>
      <c r="F953" s="19"/>
      <c r="G953" s="10">
        <f>IFERROR(VLOOKUP(B953, 'Duke 4'!A$3:$B998,2, 0), 0)</f>
        <v>0</v>
      </c>
      <c r="H953" s="10">
        <f>IFERROR(VLOOKUP(B953, Proof!A$2:$B998,2, 0), 0)</f>
        <v>0</v>
      </c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</row>
    <row r="954">
      <c r="A954" s="6"/>
      <c r="B954" s="6"/>
      <c r="C954" s="6"/>
      <c r="D954" s="18"/>
      <c r="E954" s="18"/>
      <c r="F954" s="19"/>
      <c r="G954" s="10">
        <f>IFERROR(VLOOKUP(B954, 'Duke 4'!A$3:$B998,2, 0), 0)</f>
        <v>0</v>
      </c>
      <c r="H954" s="10">
        <f>IFERROR(VLOOKUP(B954, Proof!A$2:$B998,2, 0), 0)</f>
        <v>0</v>
      </c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</row>
    <row r="955">
      <c r="A955" s="6"/>
      <c r="B955" s="6"/>
      <c r="C955" s="6"/>
      <c r="D955" s="18"/>
      <c r="E955" s="18"/>
      <c r="F955" s="19"/>
      <c r="G955" s="10">
        <f>IFERROR(VLOOKUP(B955, 'Duke 4'!A$3:$B998,2, 0), 0)</f>
        <v>0</v>
      </c>
      <c r="H955" s="10">
        <f>IFERROR(VLOOKUP(B955, Proof!A$2:$B998,2, 0), 0)</f>
        <v>0</v>
      </c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</row>
    <row r="956">
      <c r="A956" s="6"/>
      <c r="B956" s="6"/>
      <c r="C956" s="6"/>
      <c r="D956" s="18"/>
      <c r="E956" s="18"/>
      <c r="F956" s="19"/>
      <c r="G956" s="10">
        <f>IFERROR(VLOOKUP(B956, 'Duke 4'!A$3:$B998,2, 0), 0)</f>
        <v>0</v>
      </c>
      <c r="H956" s="10">
        <f>IFERROR(VLOOKUP(B956, Proof!A$2:$B998,2, 0), 0)</f>
        <v>0</v>
      </c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</row>
    <row r="957">
      <c r="A957" s="6"/>
      <c r="B957" s="6"/>
      <c r="C957" s="6"/>
      <c r="D957" s="18"/>
      <c r="E957" s="18"/>
      <c r="F957" s="19"/>
      <c r="G957" s="10">
        <f>IFERROR(VLOOKUP(B957, 'Duke 4'!A$3:$B998,2, 0), 0)</f>
        <v>0</v>
      </c>
      <c r="H957" s="10">
        <f>IFERROR(VLOOKUP(B957, Proof!A$2:$B998,2, 0), 0)</f>
        <v>0</v>
      </c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</row>
    <row r="958">
      <c r="A958" s="6"/>
      <c r="B958" s="6"/>
      <c r="C958" s="6"/>
      <c r="D958" s="18"/>
      <c r="E958" s="18"/>
      <c r="F958" s="19"/>
      <c r="G958" s="10">
        <f>IFERROR(VLOOKUP(B958, 'Duke 4'!A$3:$B998,2, 0), 0)</f>
        <v>0</v>
      </c>
      <c r="H958" s="10">
        <f>IFERROR(VLOOKUP(B958, Proof!A$2:$B998,2, 0), 0)</f>
        <v>0</v>
      </c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</row>
    <row r="959">
      <c r="A959" s="6"/>
      <c r="B959" s="6"/>
      <c r="C959" s="6"/>
      <c r="D959" s="18"/>
      <c r="E959" s="18"/>
      <c r="F959" s="19"/>
      <c r="G959" s="10">
        <f>IFERROR(VLOOKUP(B959, 'Duke 4'!A$3:$B998,2, 0), 0)</f>
        <v>0</v>
      </c>
      <c r="H959" s="10">
        <f>IFERROR(VLOOKUP(B959, Proof!A$2:$B998,2, 0), 0)</f>
        <v>0</v>
      </c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</row>
    <row r="960">
      <c r="A960" s="6"/>
      <c r="B960" s="6"/>
      <c r="C960" s="6"/>
      <c r="D960" s="18"/>
      <c r="E960" s="18"/>
      <c r="F960" s="19"/>
      <c r="G960" s="10">
        <f>IFERROR(VLOOKUP(B960, 'Duke 4'!A$3:$B998,2, 0), 0)</f>
        <v>0</v>
      </c>
      <c r="H960" s="10">
        <f>IFERROR(VLOOKUP(B960, Proof!A$2:$B998,2, 0), 0)</f>
        <v>0</v>
      </c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</row>
    <row r="961">
      <c r="A961" s="6"/>
      <c r="B961" s="6"/>
      <c r="C961" s="6"/>
      <c r="D961" s="18"/>
      <c r="E961" s="18"/>
      <c r="F961" s="19"/>
      <c r="G961" s="10">
        <f>IFERROR(VLOOKUP(B961, 'Duke 4'!A$3:$B998,2, 0), 0)</f>
        <v>0</v>
      </c>
      <c r="H961" s="10">
        <f>IFERROR(VLOOKUP(B961, Proof!A$2:$B998,2, 0), 0)</f>
        <v>0</v>
      </c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</row>
    <row r="962">
      <c r="A962" s="6"/>
      <c r="B962" s="6"/>
      <c r="C962" s="6"/>
      <c r="D962" s="18"/>
      <c r="E962" s="18"/>
      <c r="F962" s="19"/>
      <c r="G962" s="10">
        <f>IFERROR(VLOOKUP(B962, 'Duke 4'!A$3:$B998,2, 0), 0)</f>
        <v>0</v>
      </c>
      <c r="H962" s="10">
        <f>IFERROR(VLOOKUP(B962, Proof!A$2:$B998,2, 0), 0)</f>
        <v>0</v>
      </c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</row>
    <row r="963">
      <c r="A963" s="6"/>
      <c r="B963" s="6"/>
      <c r="C963" s="6"/>
      <c r="D963" s="18"/>
      <c r="E963" s="18"/>
      <c r="F963" s="19"/>
      <c r="G963" s="10">
        <f>IFERROR(VLOOKUP(B963, 'Duke 4'!A$3:$B998,2, 0), 0)</f>
        <v>0</v>
      </c>
      <c r="H963" s="10">
        <f>IFERROR(VLOOKUP(B963, Proof!A$2:$B998,2, 0), 0)</f>
        <v>0</v>
      </c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</row>
    <row r="964">
      <c r="A964" s="6"/>
      <c r="B964" s="6"/>
      <c r="C964" s="6"/>
      <c r="D964" s="18"/>
      <c r="E964" s="18"/>
      <c r="F964" s="19"/>
      <c r="G964" s="10">
        <f>IFERROR(VLOOKUP(B964, 'Duke 4'!A$3:$B998,2, 0), 0)</f>
        <v>0</v>
      </c>
      <c r="H964" s="10">
        <f>IFERROR(VLOOKUP(B964, Proof!A$2:$B998,2, 0), 0)</f>
        <v>0</v>
      </c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</row>
    <row r="965">
      <c r="A965" s="6"/>
      <c r="B965" s="6"/>
      <c r="C965" s="6"/>
      <c r="D965" s="18"/>
      <c r="E965" s="18"/>
      <c r="F965" s="19"/>
      <c r="G965" s="10">
        <f>IFERROR(VLOOKUP(B965, 'Duke 4'!A$3:$B998,2, 0), 0)</f>
        <v>0</v>
      </c>
      <c r="H965" s="10">
        <f>IFERROR(VLOOKUP(B965, Proof!A$2:$B998,2, 0), 0)</f>
        <v>0</v>
      </c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</row>
    <row r="966">
      <c r="A966" s="6"/>
      <c r="B966" s="6"/>
      <c r="C966" s="6"/>
      <c r="D966" s="18"/>
      <c r="E966" s="18"/>
      <c r="F966" s="19"/>
      <c r="G966" s="10">
        <f>IFERROR(VLOOKUP(B966, 'Duke 4'!A$3:$B998,2, 0), 0)</f>
        <v>0</v>
      </c>
      <c r="H966" s="10">
        <f>IFERROR(VLOOKUP(B966, Proof!A$2:$B998,2, 0), 0)</f>
        <v>0</v>
      </c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</row>
    <row r="967">
      <c r="A967" s="6"/>
      <c r="B967" s="6"/>
      <c r="C967" s="6"/>
      <c r="D967" s="18"/>
      <c r="E967" s="18"/>
      <c r="F967" s="19"/>
      <c r="G967" s="10">
        <f>IFERROR(VLOOKUP(B967, 'Duke 4'!A$3:$B998,2, 0), 0)</f>
        <v>0</v>
      </c>
      <c r="H967" s="10">
        <f>IFERROR(VLOOKUP(B967, Proof!A$2:$B998,2, 0), 0)</f>
        <v>0</v>
      </c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</row>
    <row r="968">
      <c r="A968" s="6"/>
      <c r="B968" s="6"/>
      <c r="C968" s="6"/>
      <c r="D968" s="18"/>
      <c r="E968" s="18"/>
      <c r="F968" s="19"/>
      <c r="G968" s="10">
        <f>IFERROR(VLOOKUP(B968, 'Duke 4'!A$3:$B998,2, 0), 0)</f>
        <v>0</v>
      </c>
      <c r="H968" s="10">
        <f>IFERROR(VLOOKUP(B968, Proof!A$2:$B998,2, 0), 0)</f>
        <v>0</v>
      </c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</row>
    <row r="969">
      <c r="A969" s="6"/>
      <c r="B969" s="6"/>
      <c r="C969" s="6"/>
      <c r="D969" s="18"/>
      <c r="E969" s="18"/>
      <c r="F969" s="19"/>
      <c r="G969" s="10">
        <f>IFERROR(VLOOKUP(B969, 'Duke 4'!A$3:$B998,2, 0), 0)</f>
        <v>0</v>
      </c>
      <c r="H969" s="10">
        <f>IFERROR(VLOOKUP(B969, Proof!A$2:$B998,2, 0), 0)</f>
        <v>0</v>
      </c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</row>
    <row r="970">
      <c r="A970" s="6"/>
      <c r="B970" s="6"/>
      <c r="C970" s="6"/>
      <c r="D970" s="18"/>
      <c r="E970" s="18"/>
      <c r="F970" s="19"/>
      <c r="G970" s="10">
        <f>IFERROR(VLOOKUP(B970, 'Duke 4'!A$3:$B998,2, 0), 0)</f>
        <v>0</v>
      </c>
      <c r="H970" s="10">
        <f>IFERROR(VLOOKUP(B970, Proof!A$2:$B998,2, 0), 0)</f>
        <v>0</v>
      </c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</row>
    <row r="971">
      <c r="A971" s="6"/>
      <c r="B971" s="6"/>
      <c r="C971" s="6"/>
      <c r="D971" s="18"/>
      <c r="E971" s="18"/>
      <c r="F971" s="19"/>
      <c r="G971" s="10">
        <f>IFERROR(VLOOKUP(B971, 'Duke 4'!A$3:$B998,2, 0), 0)</f>
        <v>0</v>
      </c>
      <c r="H971" s="10">
        <f>IFERROR(VLOOKUP(B971, Proof!A$2:$B998,2, 0), 0)</f>
        <v>0</v>
      </c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</row>
    <row r="972">
      <c r="A972" s="6"/>
      <c r="B972" s="6"/>
      <c r="C972" s="6"/>
      <c r="D972" s="18"/>
      <c r="E972" s="18"/>
      <c r="F972" s="19"/>
      <c r="G972" s="10">
        <f>IFERROR(VLOOKUP(B972, 'Duke 4'!A$3:$B998,2, 0), 0)</f>
        <v>0</v>
      </c>
      <c r="H972" s="10">
        <f>IFERROR(VLOOKUP(B972, Proof!A$2:$B998,2, 0), 0)</f>
        <v>0</v>
      </c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</row>
    <row r="973">
      <c r="A973" s="6"/>
      <c r="B973" s="6"/>
      <c r="C973" s="6"/>
      <c r="D973" s="18"/>
      <c r="E973" s="18"/>
      <c r="F973" s="19"/>
      <c r="G973" s="10">
        <f>IFERROR(VLOOKUP(B973, 'Duke 4'!A$3:$B998,2, 0), 0)</f>
        <v>0</v>
      </c>
      <c r="H973" s="10">
        <f>IFERROR(VLOOKUP(B973, Proof!A$2:$B998,2, 0), 0)</f>
        <v>0</v>
      </c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</row>
    <row r="974">
      <c r="A974" s="6"/>
      <c r="B974" s="6"/>
      <c r="C974" s="6"/>
      <c r="D974" s="18"/>
      <c r="E974" s="18"/>
      <c r="F974" s="19"/>
      <c r="G974" s="10">
        <f>IFERROR(VLOOKUP(B974, 'Duke 4'!A$3:$B998,2, 0), 0)</f>
        <v>0</v>
      </c>
      <c r="H974" s="10">
        <f>IFERROR(VLOOKUP(B974, Proof!A$2:$B998,2, 0), 0)</f>
        <v>0</v>
      </c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</row>
    <row r="975">
      <c r="A975" s="6"/>
      <c r="B975" s="6"/>
      <c r="C975" s="6"/>
      <c r="D975" s="18"/>
      <c r="E975" s="18"/>
      <c r="F975" s="19"/>
      <c r="G975" s="10">
        <f>IFERROR(VLOOKUP(B975, 'Duke 4'!A$3:$B998,2, 0), 0)</f>
        <v>0</v>
      </c>
      <c r="H975" s="10">
        <f>IFERROR(VLOOKUP(B975, Proof!A$2:$B998,2, 0), 0)</f>
        <v>0</v>
      </c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</row>
    <row r="976">
      <c r="A976" s="6"/>
      <c r="B976" s="6"/>
      <c r="C976" s="6"/>
      <c r="D976" s="18"/>
      <c r="E976" s="18"/>
      <c r="F976" s="19"/>
      <c r="G976" s="10">
        <f>IFERROR(VLOOKUP(B976, 'Duke 4'!A$3:$B998,2, 0), 0)</f>
        <v>0</v>
      </c>
      <c r="H976" s="10">
        <f>IFERROR(VLOOKUP(B976, Proof!A$2:$B998,2, 0), 0)</f>
        <v>0</v>
      </c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</row>
    <row r="977">
      <c r="A977" s="6"/>
      <c r="B977" s="6"/>
      <c r="C977" s="6"/>
      <c r="D977" s="18"/>
      <c r="E977" s="18"/>
      <c r="F977" s="19"/>
      <c r="G977" s="10">
        <f>IFERROR(VLOOKUP(B977, 'Duke 4'!A$3:$B998,2, 0), 0)</f>
        <v>0</v>
      </c>
      <c r="H977" s="10">
        <f>IFERROR(VLOOKUP(B977, Proof!A$2:$B998,2, 0), 0)</f>
        <v>0</v>
      </c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</row>
    <row r="978">
      <c r="A978" s="6"/>
      <c r="B978" s="6"/>
      <c r="C978" s="6"/>
      <c r="D978" s="18"/>
      <c r="E978" s="18"/>
      <c r="F978" s="19"/>
      <c r="G978" s="10">
        <f>IFERROR(VLOOKUP(B978, 'Duke 4'!A$3:$B998,2, 0), 0)</f>
        <v>0</v>
      </c>
      <c r="H978" s="10">
        <f>IFERROR(VLOOKUP(B978, Proof!A$2:$B998,2, 0), 0)</f>
        <v>0</v>
      </c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</row>
    <row r="979">
      <c r="A979" s="6"/>
      <c r="B979" s="6"/>
      <c r="C979" s="6"/>
      <c r="D979" s="18"/>
      <c r="E979" s="18"/>
      <c r="F979" s="19"/>
      <c r="G979" s="10">
        <f>IFERROR(VLOOKUP(B979, 'Duke 4'!A$3:$B998,2, 0), 0)</f>
        <v>0</v>
      </c>
      <c r="H979" s="10">
        <f>IFERROR(VLOOKUP(B979, Proof!A$2:$B998,2, 0), 0)</f>
        <v>0</v>
      </c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</row>
    <row r="980">
      <c r="A980" s="6"/>
      <c r="B980" s="6"/>
      <c r="C980" s="6"/>
      <c r="D980" s="18"/>
      <c r="E980" s="18"/>
      <c r="F980" s="19"/>
      <c r="G980" s="10">
        <f>IFERROR(VLOOKUP(B980, 'Duke 4'!A$3:$B998,2, 0), 0)</f>
        <v>0</v>
      </c>
      <c r="H980" s="10">
        <f>IFERROR(VLOOKUP(B980, Proof!A$2:$B998,2, 0), 0)</f>
        <v>0</v>
      </c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</row>
    <row r="981">
      <c r="A981" s="6"/>
      <c r="B981" s="6"/>
      <c r="C981" s="6"/>
      <c r="D981" s="18"/>
      <c r="E981" s="18"/>
      <c r="F981" s="19"/>
      <c r="G981" s="10">
        <f>IFERROR(VLOOKUP(B981, 'Duke 4'!A$3:$B998,2, 0), 0)</f>
        <v>0</v>
      </c>
      <c r="H981" s="10">
        <f>IFERROR(VLOOKUP(B981, Proof!A$2:$B998,2, 0), 0)</f>
        <v>0</v>
      </c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</row>
    <row r="982">
      <c r="A982" s="6"/>
      <c r="B982" s="6"/>
      <c r="C982" s="6"/>
      <c r="D982" s="18"/>
      <c r="E982" s="18"/>
      <c r="F982" s="19"/>
      <c r="G982" s="10">
        <f>IFERROR(VLOOKUP(B982, 'Duke 4'!A$3:$B998,2, 0), 0)</f>
        <v>0</v>
      </c>
      <c r="H982" s="10">
        <f>IFERROR(VLOOKUP(B982, Proof!A$2:$B998,2, 0), 0)</f>
        <v>0</v>
      </c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</row>
    <row r="983">
      <c r="A983" s="6"/>
      <c r="B983" s="6"/>
      <c r="C983" s="6"/>
      <c r="D983" s="18"/>
      <c r="E983" s="18"/>
      <c r="F983" s="19"/>
      <c r="G983" s="10">
        <f>IFERROR(VLOOKUP(B983, 'Duke 4'!A$3:$B998,2, 0), 0)</f>
        <v>0</v>
      </c>
      <c r="H983" s="10">
        <f>IFERROR(VLOOKUP(B983, Proof!A$2:$B998,2, 0), 0)</f>
        <v>0</v>
      </c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</row>
    <row r="984">
      <c r="A984" s="6"/>
      <c r="B984" s="6"/>
      <c r="C984" s="6"/>
      <c r="D984" s="18"/>
      <c r="E984" s="18"/>
      <c r="F984" s="19"/>
      <c r="G984" s="10">
        <f>IFERROR(VLOOKUP(B984, 'Duke 4'!A$3:$B998,2, 0), 0)</f>
        <v>0</v>
      </c>
      <c r="H984" s="10">
        <f>IFERROR(VLOOKUP(B984, Proof!A$2:$B998,2, 0), 0)</f>
        <v>0</v>
      </c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</row>
    <row r="985">
      <c r="A985" s="6"/>
      <c r="B985" s="6"/>
      <c r="C985" s="6"/>
      <c r="D985" s="18"/>
      <c r="E985" s="18"/>
      <c r="F985" s="19"/>
      <c r="G985" s="10">
        <f>IFERROR(VLOOKUP(B985, 'Duke 4'!A$3:$B998,2, 0), 0)</f>
        <v>0</v>
      </c>
      <c r="H985" s="10">
        <f>IFERROR(VLOOKUP(B985, Proof!A$2:$B998,2, 0), 0)</f>
        <v>0</v>
      </c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</row>
    <row r="986">
      <c r="A986" s="6"/>
      <c r="B986" s="6"/>
      <c r="C986" s="6"/>
      <c r="D986" s="18"/>
      <c r="E986" s="18"/>
      <c r="F986" s="19"/>
      <c r="G986" s="10">
        <f>IFERROR(VLOOKUP(B986, 'Duke 4'!A$3:$B998,2, 0), 0)</f>
        <v>0</v>
      </c>
      <c r="H986" s="10">
        <f>IFERROR(VLOOKUP(B986, Proof!A$2:$B998,2, 0), 0)</f>
        <v>0</v>
      </c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</row>
    <row r="987">
      <c r="A987" s="6"/>
      <c r="B987" s="6"/>
      <c r="C987" s="6"/>
      <c r="D987" s="18"/>
      <c r="E987" s="18"/>
      <c r="F987" s="19"/>
      <c r="G987" s="10">
        <f>IFERROR(VLOOKUP(B987, 'Duke 4'!A$3:$B998,2, 0), 0)</f>
        <v>0</v>
      </c>
      <c r="H987" s="10">
        <f>IFERROR(VLOOKUP(B987, Proof!A$2:$B998,2, 0), 0)</f>
        <v>0</v>
      </c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</row>
    <row r="988">
      <c r="A988" s="6"/>
      <c r="B988" s="6"/>
      <c r="C988" s="6"/>
      <c r="D988" s="18"/>
      <c r="E988" s="18"/>
      <c r="F988" s="19"/>
      <c r="G988" s="10">
        <f>IFERROR(VLOOKUP(B988, 'Duke 4'!A$3:$B998,2, 0), 0)</f>
        <v>0</v>
      </c>
      <c r="H988" s="10">
        <f>IFERROR(VLOOKUP(B988, Proof!A$2:$B998,2, 0), 0)</f>
        <v>0</v>
      </c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</row>
    <row r="989">
      <c r="A989" s="6"/>
      <c r="B989" s="6"/>
      <c r="C989" s="6"/>
      <c r="D989" s="18"/>
      <c r="E989" s="18"/>
      <c r="F989" s="19"/>
      <c r="G989" s="10">
        <f>IFERROR(VLOOKUP(B989, 'Duke 4'!A$3:$B998,2, 0), 0)</f>
        <v>0</v>
      </c>
      <c r="H989" s="10">
        <f>IFERROR(VLOOKUP(B989, Proof!A$2:$B998,2, 0), 0)</f>
        <v>0</v>
      </c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</row>
    <row r="990">
      <c r="A990" s="6"/>
      <c r="B990" s="6"/>
      <c r="C990" s="6"/>
      <c r="D990" s="18"/>
      <c r="E990" s="18"/>
      <c r="F990" s="19"/>
      <c r="G990" s="10">
        <f>IFERROR(VLOOKUP(B990, 'Duke 4'!A$3:$B998,2, 0), 0)</f>
        <v>0</v>
      </c>
      <c r="H990" s="10">
        <f>IFERROR(VLOOKUP(B990, Proof!A$2:$B998,2, 0), 0)</f>
        <v>0</v>
      </c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</row>
    <row r="991">
      <c r="A991" s="6"/>
      <c r="B991" s="6"/>
      <c r="C991" s="6"/>
      <c r="D991" s="18"/>
      <c r="E991" s="18"/>
      <c r="F991" s="19"/>
      <c r="G991" s="10">
        <f>IFERROR(VLOOKUP(B991, 'Duke 4'!A$3:$B998,2, 0), 0)</f>
        <v>0</v>
      </c>
      <c r="H991" s="10">
        <f>IFERROR(VLOOKUP(B991, Proof!A$2:$B998,2, 0), 0)</f>
        <v>0</v>
      </c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</row>
    <row r="992">
      <c r="A992" s="6"/>
      <c r="B992" s="6"/>
      <c r="C992" s="6"/>
      <c r="D992" s="18"/>
      <c r="E992" s="18"/>
      <c r="F992" s="19"/>
      <c r="G992" s="10">
        <f>IFERROR(VLOOKUP(B992, 'Duke 4'!A$3:$B998,2, 0), 0)</f>
        <v>0</v>
      </c>
      <c r="H992" s="10">
        <f>IFERROR(VLOOKUP(B992, Proof!A$2:$B998,2, 0), 0)</f>
        <v>0</v>
      </c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</row>
    <row r="993">
      <c r="A993" s="6"/>
      <c r="B993" s="6"/>
      <c r="C993" s="6"/>
      <c r="D993" s="18"/>
      <c r="E993" s="18"/>
      <c r="F993" s="19"/>
      <c r="G993" s="10">
        <f>IFERROR(VLOOKUP(B993, 'Duke 4'!A$3:$B998,2, 0), 0)</f>
        <v>0</v>
      </c>
      <c r="H993" s="10">
        <f>IFERROR(VLOOKUP(B993, Proof!A$2:$B998,2, 0), 0)</f>
        <v>0</v>
      </c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</row>
    <row r="994">
      <c r="A994" s="6"/>
      <c r="B994" s="6"/>
      <c r="C994" s="6"/>
      <c r="D994" s="18"/>
      <c r="E994" s="18"/>
      <c r="F994" s="19"/>
      <c r="G994" s="10">
        <f>IFERROR(VLOOKUP(B994, 'Duke 4'!A$3:$B998,2, 0), 0)</f>
        <v>0</v>
      </c>
      <c r="H994" s="10">
        <f>IFERROR(VLOOKUP(B994, Proof!A$2:$B998,2, 0), 0)</f>
        <v>0</v>
      </c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</row>
    <row r="995">
      <c r="A995" s="6"/>
      <c r="B995" s="6"/>
      <c r="C995" s="6"/>
      <c r="D995" s="18"/>
      <c r="E995" s="18"/>
      <c r="F995" s="19"/>
      <c r="G995" s="10">
        <f>IFERROR(VLOOKUP(B995, 'Duke 4'!A$3:$B998,2, 0), 0)</f>
        <v>0</v>
      </c>
      <c r="H995" s="10">
        <f>IFERROR(VLOOKUP(B995, Proof!A$2:$B998,2, 0), 0)</f>
        <v>0</v>
      </c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</row>
    <row r="996">
      <c r="A996" s="6"/>
      <c r="B996" s="6"/>
      <c r="C996" s="6"/>
      <c r="D996" s="18"/>
      <c r="E996" s="18"/>
      <c r="F996" s="19"/>
      <c r="G996" s="10">
        <f>IFERROR(VLOOKUP(B996, 'Duke 4'!A$3:$B998,2, 0), 0)</f>
        <v>0</v>
      </c>
      <c r="H996" s="10">
        <f>IFERROR(VLOOKUP(B996, Proof!A$2:$B998,2, 0), 0)</f>
        <v>0</v>
      </c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</row>
    <row r="997">
      <c r="A997" s="6"/>
      <c r="B997" s="6"/>
      <c r="C997" s="6"/>
      <c r="D997" s="18"/>
      <c r="E997" s="18"/>
      <c r="F997" s="19"/>
      <c r="G997" s="10">
        <f>IFERROR(VLOOKUP(B997, 'Duke 4'!A$3:$B998,2, 0), 0)</f>
        <v>0</v>
      </c>
      <c r="H997" s="10">
        <f>IFERROR(VLOOKUP(B997, Proof!A$2:$B998,2, 0), 0)</f>
        <v>0</v>
      </c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</row>
    <row r="998">
      <c r="A998" s="6"/>
      <c r="B998" s="6"/>
      <c r="C998" s="6"/>
      <c r="D998" s="18"/>
      <c r="E998" s="18"/>
      <c r="F998" s="19"/>
      <c r="G998" s="10">
        <f>IFERROR(VLOOKUP(B998, 'Duke 4'!A$3:$B998,2, 0), 0)</f>
        <v>0</v>
      </c>
      <c r="H998" s="10">
        <f>IFERROR(VLOOKUP(B998, Proof!A$2:$B998,2, 0), 0)</f>
        <v>0</v>
      </c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</row>
  </sheetData>
  <autoFilter ref="$A$1:$H$998">
    <sortState ref="A1:H998">
      <sortCondition descending="1" ref="C1:C998"/>
      <sortCondition descending="1" ref="B1:B998"/>
      <sortCondition descending="1" ref="D1:D998"/>
      <sortCondition ref="A1:A998"/>
    </sortState>
  </autoFil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sheetData>
    <row r="1" ht="15.75" customHeight="1">
      <c r="A1" s="14" t="s">
        <v>1</v>
      </c>
      <c r="B1" s="14" t="s">
        <v>499</v>
      </c>
      <c r="C1" s="14" t="s">
        <v>500</v>
      </c>
      <c r="D1" s="20" t="s">
        <v>501</v>
      </c>
      <c r="E1" s="14" t="s">
        <v>502</v>
      </c>
      <c r="F1" s="14" t="s">
        <v>503</v>
      </c>
      <c r="G1" s="14" t="s">
        <v>504</v>
      </c>
      <c r="H1" s="14" t="s">
        <v>505</v>
      </c>
      <c r="I1" s="14" t="s">
        <v>506</v>
      </c>
      <c r="J1" s="14" t="s">
        <v>507</v>
      </c>
      <c r="L1" s="14" t="s">
        <v>508</v>
      </c>
      <c r="M1" s="21">
        <f t="array" ref="M1">sum(large(D3:D556,column(indirect("$A$1:" &amp;ADDRESS( 1, 12)))))/12</f>
        <v>3.166666667</v>
      </c>
    </row>
    <row r="2" ht="15.75" customHeight="1">
      <c r="A2" s="14" t="s">
        <v>509</v>
      </c>
      <c r="B2" s="14"/>
      <c r="C2" s="14"/>
      <c r="D2" s="20"/>
      <c r="E2" s="14">
        <f t="shared" ref="E2:J2" si="1">SUM(E3:E104)</f>
        <v>21</v>
      </c>
      <c r="F2" s="14">
        <f t="shared" si="1"/>
        <v>5</v>
      </c>
      <c r="G2" s="14">
        <f t="shared" si="1"/>
        <v>15</v>
      </c>
      <c r="H2" s="14">
        <f t="shared" si="1"/>
        <v>7</v>
      </c>
      <c r="I2" s="14">
        <f t="shared" si="1"/>
        <v>5</v>
      </c>
      <c r="J2" s="14">
        <f t="shared" si="1"/>
        <v>5</v>
      </c>
      <c r="L2" s="14"/>
    </row>
    <row r="3">
      <c r="A3" s="22" t="s">
        <v>9</v>
      </c>
      <c r="B3" s="21">
        <f t="shared" ref="B3:B104" si="2">D3/M$1*2000</f>
        <v>3789.473684</v>
      </c>
      <c r="C3" s="21" t="str">
        <f>VLOOKUP(A3, hash!A$2:B$500, 2, 0)</f>
        <v>66e1e1237a8e6dc2aed3a642</v>
      </c>
      <c r="D3" s="23">
        <f t="shared" ref="D3:D104" si="3">SUM(E3:J3)</f>
        <v>6</v>
      </c>
      <c r="E3" s="14">
        <v>1.0</v>
      </c>
      <c r="F3" s="14">
        <v>1.0</v>
      </c>
      <c r="G3" s="14">
        <v>1.0</v>
      </c>
      <c r="H3" s="14">
        <v>1.0</v>
      </c>
      <c r="I3" s="14">
        <v>1.0</v>
      </c>
      <c r="J3" s="14">
        <v>1.0</v>
      </c>
    </row>
    <row r="4">
      <c r="A4" s="22" t="s">
        <v>8</v>
      </c>
      <c r="B4" s="21">
        <f t="shared" si="2"/>
        <v>3157.894737</v>
      </c>
      <c r="C4" s="21" t="str">
        <f>VLOOKUP(A4, hash!A$2:B$500, 2, 0)</f>
        <v>6322202c0aa8ba2dbc57c0a6</v>
      </c>
      <c r="D4" s="23">
        <f t="shared" si="3"/>
        <v>5</v>
      </c>
      <c r="E4" s="14">
        <v>1.0</v>
      </c>
      <c r="F4" s="14">
        <v>1.0</v>
      </c>
      <c r="G4" s="14">
        <v>1.0</v>
      </c>
      <c r="H4" s="14">
        <v>1.0</v>
      </c>
      <c r="I4" s="14">
        <v>0.0</v>
      </c>
      <c r="J4" s="14">
        <v>1.0</v>
      </c>
    </row>
    <row r="5">
      <c r="A5" s="22" t="s">
        <v>11</v>
      </c>
      <c r="B5" s="21">
        <f t="shared" si="2"/>
        <v>3157.894737</v>
      </c>
      <c r="C5" s="21" t="str">
        <f>VLOOKUP(A5, hash!A$2:B$500, 2, 0)</f>
        <v>6502005e1d8cbbbd315ad52c</v>
      </c>
      <c r="D5" s="23">
        <f t="shared" si="3"/>
        <v>5</v>
      </c>
      <c r="E5" s="14">
        <v>1.0</v>
      </c>
      <c r="F5" s="14">
        <v>1.0</v>
      </c>
      <c r="G5" s="14">
        <v>0.0</v>
      </c>
      <c r="H5" s="14">
        <v>1.0</v>
      </c>
      <c r="I5" s="14">
        <v>1.0</v>
      </c>
      <c r="J5" s="14">
        <v>1.0</v>
      </c>
    </row>
    <row r="6">
      <c r="A6" s="22" t="s">
        <v>15</v>
      </c>
      <c r="B6" s="21">
        <f t="shared" si="2"/>
        <v>2526.315789</v>
      </c>
      <c r="C6" s="21" t="str">
        <f>VLOOKUP(A6, hash!A$2:B$500, 2, 0)</f>
        <v>65020037540ba7cc68909a9b</v>
      </c>
      <c r="D6" s="23">
        <f t="shared" si="3"/>
        <v>4</v>
      </c>
      <c r="E6" s="14">
        <v>1.0</v>
      </c>
      <c r="F6" s="14">
        <v>0.0</v>
      </c>
      <c r="G6" s="14">
        <v>1.0</v>
      </c>
      <c r="H6" s="14">
        <v>1.0</v>
      </c>
      <c r="I6" s="14">
        <v>1.0</v>
      </c>
      <c r="J6" s="14">
        <v>0.0</v>
      </c>
    </row>
    <row r="7">
      <c r="A7" s="22" t="s">
        <v>13</v>
      </c>
      <c r="B7" s="21">
        <f t="shared" si="2"/>
        <v>2526.315789</v>
      </c>
      <c r="C7" s="21" t="str">
        <f>VLOOKUP(A7, hash!A$2:B$500, 2, 0)</f>
        <v>65020be78f2b101294bb3da8</v>
      </c>
      <c r="D7" s="23">
        <f t="shared" si="3"/>
        <v>4</v>
      </c>
      <c r="E7" s="14">
        <v>1.0</v>
      </c>
      <c r="F7" s="14">
        <v>1.0</v>
      </c>
      <c r="G7" s="14">
        <v>1.0</v>
      </c>
      <c r="H7" s="14">
        <v>1.0</v>
      </c>
      <c r="I7" s="14">
        <v>0.0</v>
      </c>
      <c r="J7" s="14">
        <v>0.0</v>
      </c>
    </row>
    <row r="8">
      <c r="A8" s="22" t="s">
        <v>17</v>
      </c>
      <c r="B8" s="21">
        <f t="shared" si="2"/>
        <v>1894.736842</v>
      </c>
      <c r="C8" s="21" t="str">
        <f>VLOOKUP(A8, hash!A$2:B$500, 2, 0)</f>
        <v>65020bfc097ac3c9d063264d</v>
      </c>
      <c r="D8" s="23">
        <f t="shared" si="3"/>
        <v>3</v>
      </c>
      <c r="E8" s="14">
        <v>1.0</v>
      </c>
      <c r="F8" s="14">
        <v>0.0</v>
      </c>
      <c r="G8" s="14">
        <v>1.0</v>
      </c>
      <c r="H8" s="14">
        <v>0.0</v>
      </c>
      <c r="I8" s="14">
        <v>0.0</v>
      </c>
      <c r="J8" s="14">
        <v>1.0</v>
      </c>
    </row>
    <row r="9">
      <c r="A9" s="22" t="s">
        <v>10</v>
      </c>
      <c r="B9" s="21">
        <f t="shared" si="2"/>
        <v>1263.157895</v>
      </c>
      <c r="C9" s="21" t="str">
        <f>VLOOKUP(A9, hash!A$2:B$500, 2, 0)</f>
        <v>632220270aa8ba2dbc57c0a4</v>
      </c>
      <c r="D9" s="23">
        <f t="shared" si="3"/>
        <v>2</v>
      </c>
      <c r="E9" s="14">
        <v>1.0</v>
      </c>
      <c r="F9" s="14">
        <v>0.0</v>
      </c>
      <c r="G9" s="14">
        <v>1.0</v>
      </c>
      <c r="H9" s="14">
        <v>0.0</v>
      </c>
      <c r="I9" s="14">
        <v>0.0</v>
      </c>
      <c r="J9" s="14">
        <v>0.0</v>
      </c>
    </row>
    <row r="10">
      <c r="A10" s="22" t="s">
        <v>18</v>
      </c>
      <c r="B10" s="21">
        <f t="shared" si="2"/>
        <v>1263.157895</v>
      </c>
      <c r="C10" s="21" t="str">
        <f>VLOOKUP(A10, hash!A$2:B$500, 2, 0)</f>
        <v>6502003d1d8cbbbd315ad525</v>
      </c>
      <c r="D10" s="23">
        <f t="shared" si="3"/>
        <v>2</v>
      </c>
      <c r="E10" s="14">
        <v>1.0</v>
      </c>
      <c r="F10" s="14">
        <v>0.0</v>
      </c>
      <c r="G10" s="14">
        <v>0.0</v>
      </c>
      <c r="H10" s="14">
        <v>0.0</v>
      </c>
      <c r="I10" s="14">
        <v>1.0</v>
      </c>
      <c r="J10" s="14">
        <v>0.0</v>
      </c>
    </row>
    <row r="11">
      <c r="A11" s="22" t="s">
        <v>19</v>
      </c>
      <c r="B11" s="21">
        <f t="shared" si="2"/>
        <v>1263.157895</v>
      </c>
      <c r="C11" s="21" t="str">
        <f>VLOOKUP(A11, hash!A$2:B$500, 2, 0)</f>
        <v>6502007357ae167867eac223</v>
      </c>
      <c r="D11" s="23">
        <f t="shared" si="3"/>
        <v>2</v>
      </c>
      <c r="E11" s="14">
        <v>1.0</v>
      </c>
      <c r="F11" s="14">
        <v>0.0</v>
      </c>
      <c r="G11" s="14">
        <v>1.0</v>
      </c>
      <c r="H11" s="14">
        <v>0.0</v>
      </c>
      <c r="I11" s="14">
        <v>0.0</v>
      </c>
      <c r="J11" s="14">
        <v>0.0</v>
      </c>
    </row>
    <row r="12">
      <c r="A12" s="22" t="s">
        <v>29</v>
      </c>
      <c r="B12" s="21">
        <f t="shared" si="2"/>
        <v>1263.157895</v>
      </c>
      <c r="C12" s="21" t="str">
        <f>VLOOKUP(A12, hash!A$2:B$500, 2, 0)</f>
        <v>66e1e1659bdd593ffcd624e6</v>
      </c>
      <c r="D12" s="23">
        <f t="shared" si="3"/>
        <v>2</v>
      </c>
      <c r="E12" s="14">
        <v>1.0</v>
      </c>
      <c r="F12" s="14">
        <v>0.0</v>
      </c>
      <c r="G12" s="14">
        <v>0.0</v>
      </c>
      <c r="H12" s="14">
        <v>1.0</v>
      </c>
      <c r="I12" s="14">
        <v>0.0</v>
      </c>
      <c r="J12" s="14">
        <v>0.0</v>
      </c>
    </row>
    <row r="13">
      <c r="A13" s="14" t="s">
        <v>26</v>
      </c>
      <c r="B13" s="21">
        <f t="shared" si="2"/>
        <v>1263.157895</v>
      </c>
      <c r="C13" s="21" t="str">
        <f>VLOOKUP(A13, hash!A$2:B$500, 2, 0)</f>
        <v>68c1d00f9147fa44206d10b5</v>
      </c>
      <c r="D13" s="23">
        <f t="shared" si="3"/>
        <v>2</v>
      </c>
      <c r="E13" s="14">
        <v>1.0</v>
      </c>
      <c r="F13" s="14">
        <v>0.0</v>
      </c>
      <c r="G13" s="14">
        <v>1.0</v>
      </c>
      <c r="H13" s="14">
        <v>0.0</v>
      </c>
      <c r="I13" s="14">
        <v>0.0</v>
      </c>
      <c r="J13" s="14">
        <v>0.0</v>
      </c>
    </row>
    <row r="14">
      <c r="A14" s="22" t="s">
        <v>24</v>
      </c>
      <c r="B14" s="21">
        <f t="shared" si="2"/>
        <v>631.5789474</v>
      </c>
      <c r="C14" s="21" t="str">
        <f>VLOOKUP(A14, hash!A$2:B$500, 2, 0)</f>
        <v>66e1e1277a8e6dc2aed3a645</v>
      </c>
      <c r="D14" s="23">
        <f t="shared" si="3"/>
        <v>1</v>
      </c>
      <c r="E14" s="14">
        <v>0.0</v>
      </c>
      <c r="F14" s="14">
        <v>0.0</v>
      </c>
      <c r="G14" s="14">
        <v>0.0</v>
      </c>
      <c r="H14" s="14">
        <v>0.0</v>
      </c>
      <c r="I14" s="14">
        <v>0.0</v>
      </c>
      <c r="J14" s="14">
        <v>1.0</v>
      </c>
    </row>
    <row r="15">
      <c r="A15" s="22" t="s">
        <v>30</v>
      </c>
      <c r="B15" s="21">
        <f t="shared" si="2"/>
        <v>631.5789474</v>
      </c>
      <c r="C15" s="21" t="str">
        <f>VLOOKUP(A15, hash!A$2:B$500, 2, 0)</f>
        <v>6322236ef382c17890e6a3e1</v>
      </c>
      <c r="D15" s="23">
        <f t="shared" si="3"/>
        <v>1</v>
      </c>
      <c r="E15" s="14">
        <v>1.0</v>
      </c>
      <c r="F15" s="14">
        <v>0.0</v>
      </c>
      <c r="G15" s="14">
        <v>0.0</v>
      </c>
      <c r="H15" s="14">
        <v>0.0</v>
      </c>
      <c r="I15" s="14">
        <v>0.0</v>
      </c>
      <c r="J15" s="14">
        <v>0.0</v>
      </c>
    </row>
    <row r="16">
      <c r="A16" s="22" t="s">
        <v>56</v>
      </c>
      <c r="B16" s="21">
        <f t="shared" si="2"/>
        <v>631.5789474</v>
      </c>
      <c r="C16" s="21" t="str">
        <f>VLOOKUP(A16, hash!A$2:B$500, 2, 0)</f>
        <v>64515f804c53122bd367c958</v>
      </c>
      <c r="D16" s="23">
        <f t="shared" si="3"/>
        <v>1</v>
      </c>
      <c r="E16" s="14">
        <v>0.0</v>
      </c>
      <c r="F16" s="14">
        <v>0.0</v>
      </c>
      <c r="G16" s="14">
        <v>0.0</v>
      </c>
      <c r="H16" s="14">
        <v>0.0</v>
      </c>
      <c r="I16" s="14">
        <v>1.0</v>
      </c>
      <c r="J16" s="14">
        <v>0.0</v>
      </c>
    </row>
    <row r="17">
      <c r="A17" s="22" t="s">
        <v>40</v>
      </c>
      <c r="B17" s="21">
        <f t="shared" si="2"/>
        <v>631.5789474</v>
      </c>
      <c r="C17" s="21" t="str">
        <f>VLOOKUP(A17, hash!A$2:B$500, 2, 0)</f>
        <v>65020bed03dd812a55d3a207</v>
      </c>
      <c r="D17" s="23">
        <f t="shared" si="3"/>
        <v>1</v>
      </c>
      <c r="E17" s="14">
        <v>0.0</v>
      </c>
      <c r="F17" s="14">
        <v>1.0</v>
      </c>
      <c r="G17" s="14">
        <v>0.0</v>
      </c>
      <c r="H17" s="14">
        <v>0.0</v>
      </c>
      <c r="I17" s="14">
        <v>0.0</v>
      </c>
      <c r="J17" s="14">
        <v>0.0</v>
      </c>
    </row>
    <row r="18">
      <c r="A18" s="22" t="s">
        <v>23</v>
      </c>
      <c r="B18" s="21">
        <f t="shared" si="2"/>
        <v>631.5789474</v>
      </c>
      <c r="C18" s="21" t="str">
        <f>VLOOKUP(A18, hash!A$2:B$500, 2, 0)</f>
        <v>65020bfe097ac3c9d063264f</v>
      </c>
      <c r="D18" s="23">
        <f t="shared" si="3"/>
        <v>1</v>
      </c>
      <c r="E18" s="14">
        <v>1.0</v>
      </c>
      <c r="F18" s="14">
        <v>0.0</v>
      </c>
      <c r="G18" s="14">
        <v>0.0</v>
      </c>
      <c r="H18" s="14">
        <v>0.0</v>
      </c>
      <c r="I18" s="14">
        <v>0.0</v>
      </c>
      <c r="J18" s="14">
        <v>0.0</v>
      </c>
    </row>
    <row r="19">
      <c r="A19" s="22" t="s">
        <v>61</v>
      </c>
      <c r="B19" s="21">
        <f t="shared" si="2"/>
        <v>631.5789474</v>
      </c>
      <c r="C19" s="21" t="str">
        <f>VLOOKUP(A19, hash!A$2:B$500, 2, 0)</f>
        <v>65020c0f8f2b101294bb3dae</v>
      </c>
      <c r="D19" s="23">
        <f t="shared" si="3"/>
        <v>1</v>
      </c>
      <c r="E19" s="14">
        <v>1.0</v>
      </c>
      <c r="F19" s="14">
        <v>0.0</v>
      </c>
      <c r="G19" s="14">
        <v>0.0</v>
      </c>
      <c r="H19" s="14">
        <v>0.0</v>
      </c>
      <c r="I19" s="14">
        <v>0.0</v>
      </c>
      <c r="J19" s="14">
        <v>0.0</v>
      </c>
    </row>
    <row r="20">
      <c r="A20" s="22" t="s">
        <v>39</v>
      </c>
      <c r="B20" s="21">
        <f t="shared" si="2"/>
        <v>631.5789474</v>
      </c>
      <c r="C20" s="21" t="str">
        <f>VLOOKUP(A20, hash!A$2:B$500, 2, 0)</f>
        <v>6594377be0f4f63927a8ce26</v>
      </c>
      <c r="D20" s="23">
        <f t="shared" si="3"/>
        <v>1</v>
      </c>
      <c r="E20" s="14">
        <v>0.0</v>
      </c>
      <c r="F20" s="14">
        <v>0.0</v>
      </c>
      <c r="G20" s="14">
        <v>1.0</v>
      </c>
      <c r="H20" s="14">
        <v>0.0</v>
      </c>
      <c r="I20" s="14">
        <v>0.0</v>
      </c>
      <c r="J20" s="14">
        <v>0.0</v>
      </c>
    </row>
    <row r="21">
      <c r="A21" s="22" t="s">
        <v>14</v>
      </c>
      <c r="B21" s="21">
        <f t="shared" si="2"/>
        <v>631.5789474</v>
      </c>
      <c r="C21" s="21" t="str">
        <f>VLOOKUP(A21, hash!A$2:B$500, 2, 0)</f>
        <v>66e1e10f7a8e6dc2aed3a63c</v>
      </c>
      <c r="D21" s="23">
        <f t="shared" si="3"/>
        <v>1</v>
      </c>
      <c r="E21" s="14">
        <v>1.0</v>
      </c>
      <c r="F21" s="14">
        <v>0.0</v>
      </c>
      <c r="G21" s="14">
        <v>0.0</v>
      </c>
      <c r="H21" s="14">
        <v>0.0</v>
      </c>
      <c r="I21" s="14">
        <v>0.0</v>
      </c>
      <c r="J21" s="14">
        <v>0.0</v>
      </c>
    </row>
    <row r="22">
      <c r="A22" s="22" t="s">
        <v>33</v>
      </c>
      <c r="B22" s="21">
        <f t="shared" si="2"/>
        <v>631.5789474</v>
      </c>
      <c r="C22" s="21" t="str">
        <f>VLOOKUP(A22, hash!A$2:B$500, 2, 0)</f>
        <v>66e1e126f0db8f5922c91d85</v>
      </c>
      <c r="D22" s="23">
        <f t="shared" si="3"/>
        <v>1</v>
      </c>
      <c r="E22" s="14">
        <v>1.0</v>
      </c>
      <c r="F22" s="14">
        <v>0.0</v>
      </c>
      <c r="G22" s="14">
        <v>0.0</v>
      </c>
      <c r="H22" s="14">
        <v>0.0</v>
      </c>
      <c r="I22" s="14">
        <v>0.0</v>
      </c>
      <c r="J22" s="14">
        <v>0.0</v>
      </c>
    </row>
    <row r="23">
      <c r="A23" s="22" t="s">
        <v>41</v>
      </c>
      <c r="B23" s="21">
        <f t="shared" si="2"/>
        <v>631.5789474</v>
      </c>
      <c r="C23" s="21" t="str">
        <f>VLOOKUP(A23, hash!A$2:B$500, 2, 0)</f>
        <v>66e1e12ef0db8f5922c91d8b</v>
      </c>
      <c r="D23" s="23">
        <f t="shared" si="3"/>
        <v>1</v>
      </c>
      <c r="E23" s="14">
        <v>0.0</v>
      </c>
      <c r="F23" s="14">
        <v>0.0</v>
      </c>
      <c r="G23" s="14">
        <v>1.0</v>
      </c>
      <c r="H23" s="14">
        <v>0.0</v>
      </c>
      <c r="I23" s="14">
        <v>0.0</v>
      </c>
      <c r="J23" s="14">
        <v>0.0</v>
      </c>
    </row>
    <row r="24">
      <c r="A24" s="22" t="s">
        <v>57</v>
      </c>
      <c r="B24" s="21">
        <f t="shared" si="2"/>
        <v>631.5789474</v>
      </c>
      <c r="C24" s="21" t="str">
        <f>VLOOKUP(A24, hash!A$2:B$500, 2, 0)</f>
        <v>66e1e13168fa766abf5d11d8</v>
      </c>
      <c r="D24" s="23">
        <f t="shared" si="3"/>
        <v>1</v>
      </c>
      <c r="E24" s="14">
        <v>0.0</v>
      </c>
      <c r="F24" s="14">
        <v>0.0</v>
      </c>
      <c r="G24" s="14">
        <v>1.0</v>
      </c>
      <c r="H24" s="14">
        <v>0.0</v>
      </c>
      <c r="I24" s="14">
        <v>0.0</v>
      </c>
      <c r="J24" s="14">
        <v>0.0</v>
      </c>
    </row>
    <row r="25">
      <c r="A25" s="22" t="s">
        <v>31</v>
      </c>
      <c r="B25" s="21">
        <f t="shared" si="2"/>
        <v>631.5789474</v>
      </c>
      <c r="C25" s="21" t="str">
        <f>VLOOKUP(A25, hash!A$2:B$500, 2, 0)</f>
        <v>66e1e13fdb315cbd40043fca</v>
      </c>
      <c r="D25" s="23">
        <f t="shared" si="3"/>
        <v>1</v>
      </c>
      <c r="E25" s="14">
        <v>1.0</v>
      </c>
      <c r="F25" s="14">
        <v>0.0</v>
      </c>
      <c r="G25" s="14">
        <v>0.0</v>
      </c>
      <c r="H25" s="14">
        <v>0.0</v>
      </c>
      <c r="I25" s="14">
        <v>0.0</v>
      </c>
      <c r="J25" s="14">
        <v>0.0</v>
      </c>
    </row>
    <row r="26">
      <c r="A26" s="22" t="s">
        <v>38</v>
      </c>
      <c r="B26" s="21">
        <f t="shared" si="2"/>
        <v>631.5789474</v>
      </c>
      <c r="C26" s="21" t="str">
        <f>VLOOKUP(A26, hash!A$2:B$500, 2, 0)</f>
        <v>66e1e295c67d6a88d4309dde</v>
      </c>
      <c r="D26" s="23">
        <f t="shared" si="3"/>
        <v>1</v>
      </c>
      <c r="E26" s="14">
        <v>0.0</v>
      </c>
      <c r="F26" s="14">
        <v>0.0</v>
      </c>
      <c r="G26" s="14">
        <v>0.0</v>
      </c>
      <c r="H26" s="14">
        <v>1.0</v>
      </c>
      <c r="I26" s="14">
        <v>0.0</v>
      </c>
      <c r="J26" s="14">
        <v>0.0</v>
      </c>
    </row>
    <row r="27">
      <c r="A27" s="22" t="s">
        <v>37</v>
      </c>
      <c r="B27" s="21">
        <f t="shared" si="2"/>
        <v>631.5789474</v>
      </c>
      <c r="C27" s="21" t="str">
        <f>VLOOKUP(A27, hash!A$2:B$500, 2, 0)</f>
        <v>66e21e0e9dc93e7d858c34ab</v>
      </c>
      <c r="D27" s="23">
        <f t="shared" si="3"/>
        <v>1</v>
      </c>
      <c r="E27" s="14">
        <v>1.0</v>
      </c>
      <c r="F27" s="14">
        <v>0.0</v>
      </c>
      <c r="G27" s="14">
        <v>0.0</v>
      </c>
      <c r="H27" s="14">
        <v>0.0</v>
      </c>
      <c r="I27" s="14">
        <v>0.0</v>
      </c>
      <c r="J27" s="14">
        <v>0.0</v>
      </c>
    </row>
    <row r="28">
      <c r="A28" s="22" t="s">
        <v>87</v>
      </c>
      <c r="B28" s="21">
        <f t="shared" si="2"/>
        <v>631.5789474</v>
      </c>
      <c r="C28" s="21" t="str">
        <f>VLOOKUP(A28, hash!A$2:B$500, 2, 0)</f>
        <v>68c1c3226d9fc0b28257c5f3</v>
      </c>
      <c r="D28" s="23">
        <f t="shared" si="3"/>
        <v>1</v>
      </c>
      <c r="E28" s="14">
        <v>0.0</v>
      </c>
      <c r="F28" s="14">
        <v>0.0</v>
      </c>
      <c r="G28" s="14">
        <v>1.0</v>
      </c>
      <c r="H28" s="14">
        <v>0.0</v>
      </c>
      <c r="I28" s="14">
        <v>0.0</v>
      </c>
      <c r="J28" s="14">
        <v>0.0</v>
      </c>
    </row>
    <row r="29">
      <c r="A29" s="22" t="s">
        <v>58</v>
      </c>
      <c r="B29" s="21">
        <f t="shared" si="2"/>
        <v>631.5789474</v>
      </c>
      <c r="C29" s="21" t="str">
        <f>VLOOKUP(A29, hash!A$2:B$500, 2, 0)</f>
        <v>68c1c3336d9fc0b28257c5f4</v>
      </c>
      <c r="D29" s="23">
        <f t="shared" si="3"/>
        <v>1</v>
      </c>
      <c r="E29" s="14">
        <v>0.0</v>
      </c>
      <c r="F29" s="14">
        <v>0.0</v>
      </c>
      <c r="G29" s="14">
        <v>1.0</v>
      </c>
      <c r="H29" s="14">
        <v>0.0</v>
      </c>
      <c r="I29" s="14">
        <v>0.0</v>
      </c>
      <c r="J29" s="14">
        <v>0.0</v>
      </c>
    </row>
    <row r="30">
      <c r="A30" s="22" t="s">
        <v>55</v>
      </c>
      <c r="B30" s="21">
        <f t="shared" si="2"/>
        <v>631.5789474</v>
      </c>
      <c r="C30" s="21" t="str">
        <f>VLOOKUP(A30, hash!A$2:B$500, 2, 0)</f>
        <v>68c1c33d6d9fc0b28257c5f7</v>
      </c>
      <c r="D30" s="23">
        <f t="shared" si="3"/>
        <v>1</v>
      </c>
      <c r="E30" s="14">
        <v>0.0</v>
      </c>
      <c r="F30" s="14">
        <v>0.0</v>
      </c>
      <c r="G30" s="14">
        <v>1.0</v>
      </c>
      <c r="H30" s="14">
        <v>0.0</v>
      </c>
      <c r="I30" s="14">
        <v>0.0</v>
      </c>
      <c r="J30" s="14">
        <v>0.0</v>
      </c>
    </row>
    <row r="31">
      <c r="A31" s="22" t="s">
        <v>20</v>
      </c>
      <c r="B31" s="21">
        <f t="shared" si="2"/>
        <v>631.5789474</v>
      </c>
      <c r="C31" s="21" t="str">
        <f>VLOOKUP(A31, hash!A$2:B$500, 2, 0)</f>
        <v>68c1c4ad8d697869a6c944d9</v>
      </c>
      <c r="D31" s="23">
        <f t="shared" si="3"/>
        <v>1</v>
      </c>
      <c r="E31" s="14">
        <v>1.0</v>
      </c>
      <c r="F31" s="14">
        <v>0.0</v>
      </c>
      <c r="G31" s="14">
        <v>0.0</v>
      </c>
      <c r="H31" s="14">
        <v>0.0</v>
      </c>
      <c r="I31" s="14">
        <v>0.0</v>
      </c>
      <c r="J31" s="14">
        <v>0.0</v>
      </c>
    </row>
    <row r="32">
      <c r="A32" s="14" t="s">
        <v>25</v>
      </c>
      <c r="B32" s="21">
        <f t="shared" si="2"/>
        <v>631.5789474</v>
      </c>
      <c r="C32" s="21" t="str">
        <f>VLOOKUP(A32, hash!A$2:B$500, 2, 0)</f>
        <v>68c1ceeed4e889598e7f612e</v>
      </c>
      <c r="D32" s="23">
        <f t="shared" si="3"/>
        <v>1</v>
      </c>
      <c r="E32" s="14">
        <v>0.0</v>
      </c>
      <c r="F32" s="14">
        <v>0.0</v>
      </c>
      <c r="G32" s="14">
        <v>1.0</v>
      </c>
      <c r="H32" s="14">
        <v>0.0</v>
      </c>
      <c r="I32" s="14">
        <v>0.0</v>
      </c>
      <c r="J32" s="14">
        <v>0.0</v>
      </c>
    </row>
    <row r="33">
      <c r="A33" s="14" t="s">
        <v>59</v>
      </c>
      <c r="B33" s="21">
        <f t="shared" si="2"/>
        <v>631.5789474</v>
      </c>
      <c r="C33" s="21" t="str">
        <f>VLOOKUP(A33, hash!A$2:B$500, 2, 0)</f>
        <v>#N/A</v>
      </c>
      <c r="D33" s="23">
        <f t="shared" si="3"/>
        <v>1</v>
      </c>
      <c r="E33" s="14">
        <v>1.0</v>
      </c>
      <c r="F33" s="14">
        <v>0.0</v>
      </c>
      <c r="G33" s="14">
        <v>0.0</v>
      </c>
      <c r="H33" s="14">
        <v>0.0</v>
      </c>
      <c r="I33" s="14">
        <v>0.0</v>
      </c>
      <c r="J33" s="14">
        <v>0.0</v>
      </c>
    </row>
    <row r="34">
      <c r="A34" s="14" t="s">
        <v>32</v>
      </c>
      <c r="B34" s="21">
        <f t="shared" si="2"/>
        <v>631.5789474</v>
      </c>
      <c r="C34" s="21" t="str">
        <f>VLOOKUP(A34, hash!A$2:B$500, 2, 0)</f>
        <v>#N/A</v>
      </c>
      <c r="D34" s="23">
        <f t="shared" si="3"/>
        <v>1</v>
      </c>
      <c r="E34" s="14">
        <v>1.0</v>
      </c>
      <c r="F34" s="14">
        <v>0.0</v>
      </c>
      <c r="G34" s="14">
        <v>0.0</v>
      </c>
      <c r="H34" s="14">
        <v>0.0</v>
      </c>
      <c r="I34" s="14">
        <v>0.0</v>
      </c>
      <c r="J34" s="14">
        <v>0.0</v>
      </c>
    </row>
    <row r="35">
      <c r="A35" s="22" t="s">
        <v>34</v>
      </c>
      <c r="B35" s="21">
        <f t="shared" si="2"/>
        <v>0</v>
      </c>
      <c r="C35" s="21" t="str">
        <f>VLOOKUP(A35, hash!A$2:B$500, 2, 0)</f>
        <v>63222c2fed58d92b843f7cbf</v>
      </c>
      <c r="D35" s="23">
        <f t="shared" si="3"/>
        <v>0</v>
      </c>
      <c r="E35" s="14">
        <v>0.0</v>
      </c>
      <c r="F35" s="14">
        <v>0.0</v>
      </c>
      <c r="G35" s="14">
        <v>0.0</v>
      </c>
      <c r="H35" s="14">
        <v>0.0</v>
      </c>
      <c r="I35" s="14">
        <v>0.0</v>
      </c>
      <c r="J35" s="14">
        <v>0.0</v>
      </c>
    </row>
    <row r="36">
      <c r="A36" s="22" t="s">
        <v>21</v>
      </c>
      <c r="B36" s="21">
        <f t="shared" si="2"/>
        <v>0</v>
      </c>
      <c r="C36" s="21" t="str">
        <f>VLOOKUP(A36, hash!A$2:B$500, 2, 0)</f>
        <v>63222da0116f680d68804fa7</v>
      </c>
      <c r="D36" s="23">
        <f t="shared" si="3"/>
        <v>0</v>
      </c>
      <c r="E36" s="14">
        <v>0.0</v>
      </c>
      <c r="F36" s="14">
        <v>0.0</v>
      </c>
      <c r="G36" s="14">
        <v>0.0</v>
      </c>
      <c r="H36" s="14">
        <v>0.0</v>
      </c>
      <c r="I36" s="14">
        <v>0.0</v>
      </c>
      <c r="J36" s="14">
        <v>0.0</v>
      </c>
    </row>
    <row r="37">
      <c r="A37" s="22" t="s">
        <v>86</v>
      </c>
      <c r="B37" s="21">
        <f t="shared" si="2"/>
        <v>0</v>
      </c>
      <c r="C37" s="21" t="str">
        <f>VLOOKUP(A37, hash!A$2:B$500, 2, 0)</f>
        <v>65020c05097ac3c9d0632651</v>
      </c>
      <c r="D37" s="23">
        <f t="shared" si="3"/>
        <v>0</v>
      </c>
      <c r="E37" s="14">
        <v>0.0</v>
      </c>
      <c r="F37" s="14">
        <v>0.0</v>
      </c>
      <c r="G37" s="14">
        <v>0.0</v>
      </c>
      <c r="H37" s="14">
        <v>0.0</v>
      </c>
      <c r="I37" s="14">
        <v>0.0</v>
      </c>
      <c r="J37" s="14">
        <v>0.0</v>
      </c>
    </row>
    <row r="38">
      <c r="A38" s="22" t="s">
        <v>88</v>
      </c>
      <c r="B38" s="21">
        <f t="shared" si="2"/>
        <v>0</v>
      </c>
      <c r="C38" s="21" t="str">
        <f>VLOOKUP(A38, hash!A$2:B$500, 2, 0)</f>
        <v>65020d65097ac3c9d063266d</v>
      </c>
      <c r="D38" s="23">
        <f t="shared" si="3"/>
        <v>0</v>
      </c>
      <c r="E38" s="14">
        <v>0.0</v>
      </c>
      <c r="F38" s="14">
        <v>0.0</v>
      </c>
      <c r="G38" s="14">
        <v>0.0</v>
      </c>
      <c r="H38" s="14">
        <v>0.0</v>
      </c>
      <c r="I38" s="14">
        <v>0.0</v>
      </c>
      <c r="J38" s="14">
        <v>0.0</v>
      </c>
    </row>
    <row r="39">
      <c r="A39" s="22" t="s">
        <v>12</v>
      </c>
      <c r="B39" s="21">
        <f t="shared" si="2"/>
        <v>0</v>
      </c>
      <c r="C39" s="21" t="str">
        <f>VLOOKUP(A39, hash!A$2:B$500, 2, 0)</f>
        <v>651dadf4a69631c34bde617f</v>
      </c>
      <c r="D39" s="23">
        <f t="shared" si="3"/>
        <v>0</v>
      </c>
      <c r="E39" s="14">
        <v>0.0</v>
      </c>
      <c r="F39" s="14">
        <v>0.0</v>
      </c>
      <c r="G39" s="14">
        <v>0.0</v>
      </c>
      <c r="H39" s="14">
        <v>0.0</v>
      </c>
      <c r="I39" s="14">
        <v>0.0</v>
      </c>
      <c r="J39" s="14">
        <v>0.0</v>
      </c>
    </row>
    <row r="40">
      <c r="A40" s="22" t="s">
        <v>42</v>
      </c>
      <c r="B40" s="21">
        <f t="shared" si="2"/>
        <v>0</v>
      </c>
      <c r="C40" s="21" t="str">
        <f>VLOOKUP(A40, hash!A$2:B$500, 2, 0)</f>
        <v>66e1e102a61e89c7c68f6e2f</v>
      </c>
      <c r="D40" s="23">
        <f t="shared" si="3"/>
        <v>0</v>
      </c>
      <c r="E40" s="14">
        <v>0.0</v>
      </c>
      <c r="F40" s="14">
        <v>0.0</v>
      </c>
      <c r="G40" s="14">
        <v>0.0</v>
      </c>
      <c r="H40" s="14">
        <v>0.0</v>
      </c>
      <c r="I40" s="14">
        <v>0.0</v>
      </c>
      <c r="J40" s="14">
        <v>0.0</v>
      </c>
    </row>
    <row r="41">
      <c r="A41" s="22" t="s">
        <v>60</v>
      </c>
      <c r="B41" s="21">
        <f t="shared" si="2"/>
        <v>0</v>
      </c>
      <c r="C41" s="21" t="str">
        <f>VLOOKUP(A41, hash!A$2:B$500, 2, 0)</f>
        <v>66e1e105db315cbd40043fc1</v>
      </c>
      <c r="D41" s="23">
        <f t="shared" si="3"/>
        <v>0</v>
      </c>
      <c r="E41" s="14">
        <v>0.0</v>
      </c>
      <c r="F41" s="14">
        <v>0.0</v>
      </c>
      <c r="G41" s="14">
        <v>0.0</v>
      </c>
      <c r="H41" s="14">
        <v>0.0</v>
      </c>
      <c r="I41" s="14">
        <v>0.0</v>
      </c>
      <c r="J41" s="14">
        <v>0.0</v>
      </c>
    </row>
    <row r="42">
      <c r="A42" s="22" t="s">
        <v>43</v>
      </c>
      <c r="B42" s="21">
        <f t="shared" si="2"/>
        <v>0</v>
      </c>
      <c r="C42" s="21" t="str">
        <f>VLOOKUP(A42, hash!A$2:B$500, 2, 0)</f>
        <v>66e1e108a61e89c7c68f6e31</v>
      </c>
      <c r="D42" s="23">
        <f t="shared" si="3"/>
        <v>0</v>
      </c>
      <c r="E42" s="14">
        <v>0.0</v>
      </c>
      <c r="F42" s="14">
        <v>0.0</v>
      </c>
      <c r="G42" s="14">
        <v>0.0</v>
      </c>
      <c r="H42" s="14">
        <v>0.0</v>
      </c>
      <c r="I42" s="14">
        <v>0.0</v>
      </c>
      <c r="J42" s="14">
        <v>0.0</v>
      </c>
    </row>
    <row r="43">
      <c r="A43" s="22" t="s">
        <v>89</v>
      </c>
      <c r="B43" s="21">
        <f t="shared" si="2"/>
        <v>0</v>
      </c>
      <c r="C43" s="21" t="str">
        <f>VLOOKUP(A43, hash!A$2:B$500, 2, 0)</f>
        <v>66e1e10cdb315cbd40043fc4</v>
      </c>
      <c r="D43" s="23">
        <f t="shared" si="3"/>
        <v>0</v>
      </c>
      <c r="E43" s="14">
        <v>0.0</v>
      </c>
      <c r="F43" s="14">
        <v>0.0</v>
      </c>
      <c r="G43" s="14">
        <v>0.0</v>
      </c>
      <c r="H43" s="14">
        <v>0.0</v>
      </c>
      <c r="I43" s="14">
        <v>0.0</v>
      </c>
      <c r="J43" s="14">
        <v>0.0</v>
      </c>
    </row>
    <row r="44">
      <c r="A44" s="22" t="s">
        <v>50</v>
      </c>
      <c r="B44" s="21">
        <f t="shared" si="2"/>
        <v>0</v>
      </c>
      <c r="C44" s="21" t="str">
        <f>VLOOKUP(A44, hash!A$2:B$500, 2, 0)</f>
        <v>66e1e1227a8e6dc2aed3a641</v>
      </c>
      <c r="D44" s="23">
        <f t="shared" si="3"/>
        <v>0</v>
      </c>
      <c r="E44" s="14">
        <v>0.0</v>
      </c>
      <c r="F44" s="14">
        <v>0.0</v>
      </c>
      <c r="G44" s="14">
        <v>0.0</v>
      </c>
      <c r="H44" s="14">
        <v>0.0</v>
      </c>
      <c r="I44" s="14">
        <v>0.0</v>
      </c>
      <c r="J44" s="14">
        <v>0.0</v>
      </c>
    </row>
    <row r="45">
      <c r="A45" s="22" t="s">
        <v>44</v>
      </c>
      <c r="B45" s="21">
        <f t="shared" si="2"/>
        <v>0</v>
      </c>
      <c r="C45" s="21" t="str">
        <f>VLOOKUP(A45, hash!A$2:B$500, 2, 0)</f>
        <v>66e1e125f0db8f5922c91d84</v>
      </c>
      <c r="D45" s="23">
        <f t="shared" si="3"/>
        <v>0</v>
      </c>
      <c r="E45" s="14">
        <v>0.0</v>
      </c>
      <c r="F45" s="14">
        <v>0.0</v>
      </c>
      <c r="G45" s="14">
        <v>0.0</v>
      </c>
      <c r="H45" s="14">
        <v>0.0</v>
      </c>
      <c r="I45" s="14">
        <v>0.0</v>
      </c>
      <c r="J45" s="14">
        <v>0.0</v>
      </c>
    </row>
    <row r="46">
      <c r="A46" s="22" t="s">
        <v>16</v>
      </c>
      <c r="B46" s="21">
        <f t="shared" si="2"/>
        <v>0</v>
      </c>
      <c r="C46" s="21" t="str">
        <f>VLOOKUP(A46, hash!A$2:B$500, 2, 0)</f>
        <v>66e1e1267a8e6dc2aed3a644</v>
      </c>
      <c r="D46" s="23">
        <f t="shared" si="3"/>
        <v>0</v>
      </c>
      <c r="E46" s="14">
        <v>0.0</v>
      </c>
      <c r="F46" s="14">
        <v>0.0</v>
      </c>
      <c r="G46" s="14">
        <v>0.0</v>
      </c>
      <c r="H46" s="14">
        <v>0.0</v>
      </c>
      <c r="I46" s="14">
        <v>0.0</v>
      </c>
      <c r="J46" s="14">
        <v>0.0</v>
      </c>
    </row>
    <row r="47">
      <c r="A47" s="22" t="s">
        <v>62</v>
      </c>
      <c r="B47" s="21">
        <f t="shared" si="2"/>
        <v>0</v>
      </c>
      <c r="C47" s="21" t="str">
        <f>VLOOKUP(A47, hash!A$2:B$500, 2, 0)</f>
        <v>66e1e12a45950d34f3139132</v>
      </c>
      <c r="D47" s="23">
        <f t="shared" si="3"/>
        <v>0</v>
      </c>
      <c r="E47" s="14">
        <v>0.0</v>
      </c>
      <c r="F47" s="14">
        <v>0.0</v>
      </c>
      <c r="G47" s="14">
        <v>0.0</v>
      </c>
      <c r="H47" s="14">
        <v>0.0</v>
      </c>
      <c r="I47" s="14">
        <v>0.0</v>
      </c>
      <c r="J47" s="14">
        <v>0.0</v>
      </c>
    </row>
    <row r="48">
      <c r="A48" s="22" t="s">
        <v>63</v>
      </c>
      <c r="B48" s="21">
        <f t="shared" si="2"/>
        <v>0</v>
      </c>
      <c r="C48" s="21" t="str">
        <f>VLOOKUP(A48, hash!A$2:B$500, 2, 0)</f>
        <v>66e1e12cf0db8f5922c91d89</v>
      </c>
      <c r="D48" s="23">
        <f t="shared" si="3"/>
        <v>0</v>
      </c>
      <c r="E48" s="14">
        <v>0.0</v>
      </c>
      <c r="F48" s="14">
        <v>0.0</v>
      </c>
      <c r="G48" s="14">
        <v>0.0</v>
      </c>
      <c r="H48" s="14">
        <v>0.0</v>
      </c>
      <c r="I48" s="14">
        <v>0.0</v>
      </c>
      <c r="J48" s="14">
        <v>0.0</v>
      </c>
    </row>
    <row r="49">
      <c r="A49" s="22" t="s">
        <v>64</v>
      </c>
      <c r="B49" s="21">
        <f t="shared" si="2"/>
        <v>0</v>
      </c>
      <c r="C49" s="21" t="str">
        <f>VLOOKUP(A49, hash!A$2:B$500, 2, 0)</f>
        <v>66e1ed8c1129889a3e2c24aa</v>
      </c>
      <c r="D49" s="23">
        <f t="shared" si="3"/>
        <v>0</v>
      </c>
      <c r="E49" s="14">
        <v>0.0</v>
      </c>
      <c r="F49" s="14">
        <v>0.0</v>
      </c>
      <c r="G49" s="14">
        <v>0.0</v>
      </c>
      <c r="H49" s="14">
        <v>0.0</v>
      </c>
      <c r="I49" s="14">
        <v>0.0</v>
      </c>
      <c r="J49" s="14">
        <v>0.0</v>
      </c>
    </row>
    <row r="50">
      <c r="A50" s="22" t="s">
        <v>45</v>
      </c>
      <c r="B50" s="21">
        <f t="shared" si="2"/>
        <v>0</v>
      </c>
      <c r="C50" s="21" t="str">
        <f>VLOOKUP(A50, hash!A$2:B$500, 2, 0)</f>
        <v>66e1ed8d1129889a3e2c24ab</v>
      </c>
      <c r="D50" s="23">
        <f t="shared" si="3"/>
        <v>0</v>
      </c>
      <c r="E50" s="14">
        <v>0.0</v>
      </c>
      <c r="F50" s="14">
        <v>0.0</v>
      </c>
      <c r="G50" s="14">
        <v>0.0</v>
      </c>
      <c r="H50" s="14">
        <v>0.0</v>
      </c>
      <c r="I50" s="14">
        <v>0.0</v>
      </c>
      <c r="J50" s="14">
        <v>0.0</v>
      </c>
    </row>
    <row r="51">
      <c r="A51" s="22" t="s">
        <v>90</v>
      </c>
      <c r="B51" s="21">
        <f t="shared" si="2"/>
        <v>0</v>
      </c>
      <c r="C51" s="21" t="str">
        <f>VLOOKUP(A51, hash!A$2:B$500, 2, 0)</f>
        <v>66e1edab07067318cc1e18d3</v>
      </c>
      <c r="D51" s="23">
        <f t="shared" si="3"/>
        <v>0</v>
      </c>
      <c r="E51" s="14">
        <v>0.0</v>
      </c>
      <c r="F51" s="14">
        <v>0.0</v>
      </c>
      <c r="G51" s="14">
        <v>0.0</v>
      </c>
      <c r="H51" s="14">
        <v>0.0</v>
      </c>
      <c r="I51" s="14">
        <v>0.0</v>
      </c>
      <c r="J51" s="14">
        <v>0.0</v>
      </c>
    </row>
    <row r="52">
      <c r="A52" s="22" t="s">
        <v>35</v>
      </c>
      <c r="B52" s="21">
        <f t="shared" si="2"/>
        <v>0</v>
      </c>
      <c r="C52" s="21" t="str">
        <f>VLOOKUP(A52, hash!A$2:B$500, 2, 0)</f>
        <v>66eb1b4237edf2b32f9fc2ec</v>
      </c>
      <c r="D52" s="23">
        <f t="shared" si="3"/>
        <v>0</v>
      </c>
      <c r="E52" s="14">
        <v>0.0</v>
      </c>
      <c r="F52" s="14">
        <v>0.0</v>
      </c>
      <c r="G52" s="14">
        <v>0.0</v>
      </c>
      <c r="H52" s="14">
        <v>0.0</v>
      </c>
      <c r="I52" s="14">
        <v>0.0</v>
      </c>
      <c r="J52" s="14">
        <v>0.0</v>
      </c>
    </row>
    <row r="53">
      <c r="A53" s="22" t="s">
        <v>65</v>
      </c>
      <c r="B53" s="21">
        <f t="shared" si="2"/>
        <v>0</v>
      </c>
      <c r="C53" s="21" t="str">
        <f>VLOOKUP(A53, hash!A$2:B$500, 2, 0)</f>
        <v>67194c61fd5423623b1a2f50</v>
      </c>
      <c r="D53" s="23">
        <f t="shared" si="3"/>
        <v>0</v>
      </c>
      <c r="E53" s="14">
        <v>0.0</v>
      </c>
      <c r="F53" s="14">
        <v>0.0</v>
      </c>
      <c r="G53" s="14">
        <v>0.0</v>
      </c>
      <c r="H53" s="14">
        <v>0.0</v>
      </c>
      <c r="I53" s="14">
        <v>0.0</v>
      </c>
      <c r="J53" s="14">
        <v>0.0</v>
      </c>
    </row>
    <row r="54">
      <c r="A54" s="22" t="s">
        <v>28</v>
      </c>
      <c r="B54" s="21">
        <f t="shared" si="2"/>
        <v>0</v>
      </c>
      <c r="C54" s="21" t="str">
        <f>VLOOKUP(A54, hash!A$2:B$500, 2, 0)</f>
        <v>672a75c30d4b802ed589275d</v>
      </c>
      <c r="D54" s="23">
        <f t="shared" si="3"/>
        <v>0</v>
      </c>
      <c r="E54" s="14">
        <v>0.0</v>
      </c>
      <c r="F54" s="14">
        <v>0.0</v>
      </c>
      <c r="G54" s="14">
        <v>0.0</v>
      </c>
      <c r="H54" s="14">
        <v>0.0</v>
      </c>
      <c r="I54" s="14">
        <v>0.0</v>
      </c>
      <c r="J54" s="14">
        <v>0.0</v>
      </c>
    </row>
    <row r="55">
      <c r="A55" s="22" t="s">
        <v>66</v>
      </c>
      <c r="B55" s="21">
        <f t="shared" si="2"/>
        <v>0</v>
      </c>
      <c r="C55" s="21" t="str">
        <f>VLOOKUP(A55, hash!A$2:B$500, 2, 0)</f>
        <v>68a8f8ba8829a7be88667a86</v>
      </c>
      <c r="D55" s="23">
        <f t="shared" si="3"/>
        <v>0</v>
      </c>
      <c r="E55" s="14">
        <v>0.0</v>
      </c>
      <c r="F55" s="14">
        <v>0.0</v>
      </c>
      <c r="G55" s="14">
        <v>0.0</v>
      </c>
      <c r="H55" s="14">
        <v>0.0</v>
      </c>
      <c r="I55" s="14">
        <v>0.0</v>
      </c>
      <c r="J55" s="14">
        <v>0.0</v>
      </c>
    </row>
    <row r="56">
      <c r="A56" s="22" t="s">
        <v>67</v>
      </c>
      <c r="B56" s="21">
        <f t="shared" si="2"/>
        <v>0</v>
      </c>
      <c r="C56" s="21" t="str">
        <f>VLOOKUP(A56, hash!A$2:B$500, 2, 0)</f>
        <v>68ae776645784f0c9b674d14</v>
      </c>
      <c r="D56" s="23">
        <f t="shared" si="3"/>
        <v>0</v>
      </c>
      <c r="E56" s="14">
        <v>0.0</v>
      </c>
      <c r="F56" s="14">
        <v>0.0</v>
      </c>
      <c r="G56" s="14">
        <v>0.0</v>
      </c>
      <c r="H56" s="14">
        <v>0.0</v>
      </c>
      <c r="I56" s="14">
        <v>0.0</v>
      </c>
      <c r="J56" s="14">
        <v>0.0</v>
      </c>
    </row>
    <row r="57">
      <c r="A57" s="22" t="s">
        <v>68</v>
      </c>
      <c r="B57" s="21">
        <f t="shared" si="2"/>
        <v>0</v>
      </c>
      <c r="C57" s="21" t="str">
        <f>VLOOKUP(A57, hash!A$2:B$500, 2, 0)</f>
        <v>68af5fb7a3c82a4914c27eae</v>
      </c>
      <c r="D57" s="23">
        <f t="shared" si="3"/>
        <v>0</v>
      </c>
      <c r="E57" s="14">
        <v>0.0</v>
      </c>
      <c r="F57" s="14">
        <v>0.0</v>
      </c>
      <c r="G57" s="14">
        <v>0.0</v>
      </c>
      <c r="H57" s="14">
        <v>0.0</v>
      </c>
      <c r="I57" s="14">
        <v>0.0</v>
      </c>
      <c r="J57" s="14">
        <v>0.0</v>
      </c>
    </row>
    <row r="58">
      <c r="A58" s="22" t="s">
        <v>69</v>
      </c>
      <c r="B58" s="21">
        <f t="shared" si="2"/>
        <v>0</v>
      </c>
      <c r="C58" s="21" t="str">
        <f>VLOOKUP(A58, hash!A$2:B$500, 2, 0)</f>
        <v>68b201d43ba156dcc33e83fd</v>
      </c>
      <c r="D58" s="23">
        <f t="shared" si="3"/>
        <v>0</v>
      </c>
      <c r="E58" s="14">
        <v>0.0</v>
      </c>
      <c r="F58" s="14">
        <v>0.0</v>
      </c>
      <c r="G58" s="14">
        <v>0.0</v>
      </c>
      <c r="H58" s="14">
        <v>0.0</v>
      </c>
      <c r="I58" s="14">
        <v>0.0</v>
      </c>
      <c r="J58" s="14">
        <v>0.0</v>
      </c>
    </row>
    <row r="59">
      <c r="A59" s="22" t="s">
        <v>70</v>
      </c>
      <c r="B59" s="21">
        <f t="shared" si="2"/>
        <v>0</v>
      </c>
      <c r="C59" s="21" t="str">
        <f>VLOOKUP(A59, hash!A$2:B$500, 2, 0)</f>
        <v>68c1c2d66d9fc0b28257c5ec</v>
      </c>
      <c r="D59" s="23">
        <f t="shared" si="3"/>
        <v>0</v>
      </c>
      <c r="E59" s="14">
        <v>0.0</v>
      </c>
      <c r="F59" s="14">
        <v>0.0</v>
      </c>
      <c r="G59" s="14">
        <v>0.0</v>
      </c>
      <c r="H59" s="14">
        <v>0.0</v>
      </c>
      <c r="I59" s="14">
        <v>0.0</v>
      </c>
      <c r="J59" s="14">
        <v>0.0</v>
      </c>
    </row>
    <row r="60">
      <c r="A60" s="22" t="s">
        <v>71</v>
      </c>
      <c r="B60" s="21">
        <f t="shared" si="2"/>
        <v>0</v>
      </c>
      <c r="C60" s="21" t="str">
        <f>VLOOKUP(A60, hash!A$2:B$500, 2, 0)</f>
        <v>68c1c2fb9900186967b69332</v>
      </c>
      <c r="D60" s="23">
        <f t="shared" si="3"/>
        <v>0</v>
      </c>
      <c r="E60" s="14">
        <v>0.0</v>
      </c>
      <c r="F60" s="14">
        <v>0.0</v>
      </c>
      <c r="G60" s="14">
        <v>0.0</v>
      </c>
      <c r="H60" s="14">
        <v>0.0</v>
      </c>
      <c r="I60" s="14">
        <v>0.0</v>
      </c>
      <c r="J60" s="14">
        <v>0.0</v>
      </c>
    </row>
    <row r="61">
      <c r="A61" s="22" t="s">
        <v>36</v>
      </c>
      <c r="B61" s="21">
        <f t="shared" si="2"/>
        <v>0</v>
      </c>
      <c r="C61" s="21" t="str">
        <f>VLOOKUP(A61, hash!A$2:B$500, 2, 0)</f>
        <v>68c1c3056d9fc0b28257c5ed</v>
      </c>
      <c r="D61" s="23">
        <f t="shared" si="3"/>
        <v>0</v>
      </c>
      <c r="E61" s="14">
        <v>0.0</v>
      </c>
      <c r="F61" s="14">
        <v>0.0</v>
      </c>
      <c r="G61" s="14">
        <v>0.0</v>
      </c>
      <c r="H61" s="14">
        <v>0.0</v>
      </c>
      <c r="I61" s="14">
        <v>0.0</v>
      </c>
      <c r="J61" s="14">
        <v>0.0</v>
      </c>
    </row>
    <row r="62">
      <c r="A62" s="22" t="s">
        <v>51</v>
      </c>
      <c r="B62" s="21">
        <f t="shared" si="2"/>
        <v>0</v>
      </c>
      <c r="C62" s="21" t="str">
        <f>VLOOKUP(A62, hash!A$2:B$500, 2, 0)</f>
        <v>68c1c30f6d9fc0b28257c5f0</v>
      </c>
      <c r="D62" s="23">
        <f t="shared" si="3"/>
        <v>0</v>
      </c>
      <c r="E62" s="14">
        <v>0.0</v>
      </c>
      <c r="F62" s="14">
        <v>0.0</v>
      </c>
      <c r="G62" s="14">
        <v>0.0</v>
      </c>
      <c r="H62" s="14">
        <v>0.0</v>
      </c>
      <c r="I62" s="14">
        <v>0.0</v>
      </c>
      <c r="J62" s="14">
        <v>0.0</v>
      </c>
    </row>
    <row r="63">
      <c r="A63" s="22" t="s">
        <v>72</v>
      </c>
      <c r="B63" s="21">
        <f t="shared" si="2"/>
        <v>0</v>
      </c>
      <c r="C63" s="21" t="str">
        <f>VLOOKUP(A63, hash!A$2:B$500, 2, 0)</f>
        <v>68c1c3386d9fc0b28257c5f5</v>
      </c>
      <c r="D63" s="23">
        <f t="shared" si="3"/>
        <v>0</v>
      </c>
      <c r="E63" s="14">
        <v>0.0</v>
      </c>
      <c r="F63" s="14">
        <v>0.0</v>
      </c>
      <c r="G63" s="14">
        <v>0.0</v>
      </c>
      <c r="H63" s="14">
        <v>0.0</v>
      </c>
      <c r="I63" s="14">
        <v>0.0</v>
      </c>
      <c r="J63" s="14">
        <v>0.0</v>
      </c>
    </row>
    <row r="64">
      <c r="A64" s="22" t="s">
        <v>46</v>
      </c>
      <c r="B64" s="21">
        <f t="shared" si="2"/>
        <v>0</v>
      </c>
      <c r="C64" s="21" t="str">
        <f>VLOOKUP(A64, hash!A$2:B$500, 2, 0)</f>
        <v>68c1c3396d9fc0b28257c5f6</v>
      </c>
      <c r="D64" s="23">
        <f t="shared" si="3"/>
        <v>0</v>
      </c>
      <c r="E64" s="14">
        <v>0.0</v>
      </c>
      <c r="F64" s="14">
        <v>0.0</v>
      </c>
      <c r="G64" s="14">
        <v>0.0</v>
      </c>
      <c r="H64" s="14">
        <v>0.0</v>
      </c>
      <c r="I64" s="14">
        <v>0.0</v>
      </c>
      <c r="J64" s="14">
        <v>0.0</v>
      </c>
    </row>
    <row r="65">
      <c r="A65" s="22" t="s">
        <v>52</v>
      </c>
      <c r="B65" s="21">
        <f t="shared" si="2"/>
        <v>0</v>
      </c>
      <c r="C65" s="21" t="str">
        <f>VLOOKUP(A65, hash!A$2:B$500, 2, 0)</f>
        <v>68c1c42919cae884bc3ecddf</v>
      </c>
      <c r="D65" s="23">
        <f t="shared" si="3"/>
        <v>0</v>
      </c>
      <c r="E65" s="14">
        <v>0.0</v>
      </c>
      <c r="F65" s="14">
        <v>0.0</v>
      </c>
      <c r="G65" s="14">
        <v>0.0</v>
      </c>
      <c r="H65" s="14">
        <v>0.0</v>
      </c>
      <c r="I65" s="14">
        <v>0.0</v>
      </c>
      <c r="J65" s="14">
        <v>0.0</v>
      </c>
    </row>
    <row r="66">
      <c r="A66" s="22" t="s">
        <v>73</v>
      </c>
      <c r="B66" s="21">
        <f t="shared" si="2"/>
        <v>0</v>
      </c>
      <c r="C66" s="21" t="str">
        <f>VLOOKUP(A66, hash!A$2:B$500, 2, 0)</f>
        <v>68c1c48aa70b0954910985c2</v>
      </c>
      <c r="D66" s="23">
        <f t="shared" si="3"/>
        <v>0</v>
      </c>
      <c r="E66" s="14">
        <v>0.0</v>
      </c>
      <c r="F66" s="14">
        <v>0.0</v>
      </c>
      <c r="G66" s="14">
        <v>0.0</v>
      </c>
      <c r="H66" s="14">
        <v>0.0</v>
      </c>
      <c r="I66" s="14">
        <v>0.0</v>
      </c>
      <c r="J66" s="14">
        <v>0.0</v>
      </c>
    </row>
    <row r="67">
      <c r="A67" s="22" t="s">
        <v>74</v>
      </c>
      <c r="B67" s="21">
        <f t="shared" si="2"/>
        <v>0</v>
      </c>
      <c r="C67" s="21" t="str">
        <f>VLOOKUP(A67, hash!A$2:B$500, 2, 0)</f>
        <v>68c1c48c8d697869a6c944d3</v>
      </c>
      <c r="D67" s="23">
        <f t="shared" si="3"/>
        <v>0</v>
      </c>
      <c r="E67" s="14">
        <v>0.0</v>
      </c>
      <c r="F67" s="14">
        <v>0.0</v>
      </c>
      <c r="G67" s="14">
        <v>0.0</v>
      </c>
      <c r="H67" s="14">
        <v>0.0</v>
      </c>
      <c r="I67" s="14">
        <v>0.0</v>
      </c>
      <c r="J67" s="14">
        <v>0.0</v>
      </c>
    </row>
    <row r="68">
      <c r="A68" s="14" t="s">
        <v>75</v>
      </c>
      <c r="B68" s="21">
        <f t="shared" si="2"/>
        <v>0</v>
      </c>
      <c r="C68" s="21" t="str">
        <f>VLOOKUP(A68, hash!A$2:B$500, 2, 0)</f>
        <v>68c1cf4ad4e889598e7f6131</v>
      </c>
      <c r="D68" s="23">
        <f t="shared" si="3"/>
        <v>0</v>
      </c>
      <c r="E68" s="14">
        <v>0.0</v>
      </c>
      <c r="F68" s="14">
        <v>0.0</v>
      </c>
      <c r="G68" s="14">
        <v>0.0</v>
      </c>
      <c r="H68" s="14">
        <v>0.0</v>
      </c>
      <c r="I68" s="14">
        <v>0.0</v>
      </c>
      <c r="J68" s="14">
        <v>0.0</v>
      </c>
    </row>
    <row r="69">
      <c r="A69" s="14" t="s">
        <v>76</v>
      </c>
      <c r="B69" s="21">
        <f t="shared" si="2"/>
        <v>0</v>
      </c>
      <c r="C69" s="21" t="str">
        <f>VLOOKUP(A69, hash!A$2:B$500, 2, 0)</f>
        <v>68c1cf5ed4e889598e7f6138</v>
      </c>
      <c r="D69" s="23">
        <f t="shared" si="3"/>
        <v>0</v>
      </c>
      <c r="E69" s="14">
        <v>0.0</v>
      </c>
      <c r="F69" s="14">
        <v>0.0</v>
      </c>
      <c r="G69" s="14">
        <v>0.0</v>
      </c>
      <c r="H69" s="14">
        <v>0.0</v>
      </c>
      <c r="I69" s="14">
        <v>0.0</v>
      </c>
      <c r="J69" s="14">
        <v>0.0</v>
      </c>
    </row>
    <row r="70">
      <c r="A70" s="14" t="s">
        <v>77</v>
      </c>
      <c r="B70" s="21">
        <f t="shared" si="2"/>
        <v>0</v>
      </c>
      <c r="C70" s="21" t="str">
        <f>VLOOKUP(A70, hash!A$2:B$500, 2, 0)</f>
        <v>68c1cfcf6c36cb3b60206bc4</v>
      </c>
      <c r="D70" s="23">
        <f t="shared" si="3"/>
        <v>0</v>
      </c>
      <c r="E70" s="14">
        <v>0.0</v>
      </c>
      <c r="F70" s="14">
        <v>0.0</v>
      </c>
      <c r="G70" s="14">
        <v>0.0</v>
      </c>
      <c r="H70" s="14">
        <v>0.0</v>
      </c>
      <c r="I70" s="14">
        <v>0.0</v>
      </c>
      <c r="J70" s="14">
        <v>0.0</v>
      </c>
    </row>
    <row r="71">
      <c r="A71" s="14" t="s">
        <v>47</v>
      </c>
      <c r="B71" s="21">
        <f t="shared" si="2"/>
        <v>0</v>
      </c>
      <c r="C71" s="21" t="str">
        <f>VLOOKUP(A71, hash!A$2:B$500, 2, 0)</f>
        <v>68c1cfdf6c36cb3b60206bc7</v>
      </c>
      <c r="D71" s="23">
        <f t="shared" si="3"/>
        <v>0</v>
      </c>
      <c r="E71" s="14">
        <v>0.0</v>
      </c>
      <c r="F71" s="14">
        <v>0.0</v>
      </c>
      <c r="G71" s="14">
        <v>0.0</v>
      </c>
      <c r="H71" s="14">
        <v>0.0</v>
      </c>
      <c r="I71" s="14">
        <v>0.0</v>
      </c>
      <c r="J71" s="14">
        <v>0.0</v>
      </c>
    </row>
    <row r="72">
      <c r="A72" s="14" t="s">
        <v>78</v>
      </c>
      <c r="B72" s="21">
        <f t="shared" si="2"/>
        <v>0</v>
      </c>
      <c r="C72" s="21" t="str">
        <f>VLOOKUP(A72, hash!A$2:B$500, 2, 0)</f>
        <v>68c1cfeb6c36cb3b60206bc9</v>
      </c>
      <c r="D72" s="23">
        <f t="shared" si="3"/>
        <v>0</v>
      </c>
      <c r="E72" s="14">
        <v>0.0</v>
      </c>
      <c r="F72" s="14">
        <v>0.0</v>
      </c>
      <c r="G72" s="14">
        <v>0.0</v>
      </c>
      <c r="H72" s="14">
        <v>0.0</v>
      </c>
      <c r="I72" s="14">
        <v>0.0</v>
      </c>
      <c r="J72" s="14">
        <v>0.0</v>
      </c>
    </row>
    <row r="73">
      <c r="A73" s="14" t="s">
        <v>49</v>
      </c>
      <c r="B73" s="21">
        <f t="shared" si="2"/>
        <v>0</v>
      </c>
      <c r="C73" s="21" t="str">
        <f>VLOOKUP(A73, hash!A$2:B$500, 2, 0)</f>
        <v>68c1d003f29fd291859a49b7</v>
      </c>
      <c r="D73" s="23">
        <f t="shared" si="3"/>
        <v>0</v>
      </c>
      <c r="E73" s="14">
        <v>0.0</v>
      </c>
      <c r="F73" s="14">
        <v>0.0</v>
      </c>
      <c r="G73" s="14">
        <v>0.0</v>
      </c>
      <c r="H73" s="14">
        <v>0.0</v>
      </c>
      <c r="I73" s="14">
        <v>0.0</v>
      </c>
      <c r="J73" s="14">
        <v>0.0</v>
      </c>
    </row>
    <row r="74">
      <c r="A74" s="14" t="s">
        <v>79</v>
      </c>
      <c r="B74" s="21">
        <f t="shared" si="2"/>
        <v>0</v>
      </c>
      <c r="C74" s="21" t="str">
        <f>VLOOKUP(A74, hash!A$2:B$500, 2, 0)</f>
        <v>68c1d0119147fa44206d10b7</v>
      </c>
      <c r="D74" s="23">
        <f t="shared" si="3"/>
        <v>0</v>
      </c>
      <c r="E74" s="14">
        <v>0.0</v>
      </c>
      <c r="F74" s="14">
        <v>0.0</v>
      </c>
      <c r="G74" s="14">
        <v>0.0</v>
      </c>
      <c r="H74" s="14">
        <v>0.0</v>
      </c>
      <c r="I74" s="14">
        <v>0.0</v>
      </c>
      <c r="J74" s="14">
        <v>0.0</v>
      </c>
    </row>
    <row r="75">
      <c r="A75" s="14" t="s">
        <v>53</v>
      </c>
      <c r="B75" s="21">
        <f t="shared" si="2"/>
        <v>0</v>
      </c>
      <c r="C75" s="21" t="str">
        <f>VLOOKUP(A75, hash!A$2:B$500, 2, 0)</f>
        <v>68c1d018f29fd291859a49b9</v>
      </c>
      <c r="D75" s="23">
        <f t="shared" si="3"/>
        <v>0</v>
      </c>
      <c r="E75" s="14">
        <v>0.0</v>
      </c>
      <c r="F75" s="14">
        <v>0.0</v>
      </c>
      <c r="G75" s="14">
        <v>0.0</v>
      </c>
      <c r="H75" s="14">
        <v>0.0</v>
      </c>
      <c r="I75" s="14">
        <v>0.0</v>
      </c>
      <c r="J75" s="14">
        <v>0.0</v>
      </c>
    </row>
    <row r="76">
      <c r="A76" s="14" t="s">
        <v>80</v>
      </c>
      <c r="B76" s="21">
        <f t="shared" si="2"/>
        <v>0</v>
      </c>
      <c r="C76" s="21" t="str">
        <f>VLOOKUP(A76, hash!A$2:B$500, 2, 0)</f>
        <v>68c1d0229147fa44206d10ba</v>
      </c>
      <c r="D76" s="23">
        <f t="shared" si="3"/>
        <v>0</v>
      </c>
      <c r="E76" s="14">
        <v>0.0</v>
      </c>
      <c r="F76" s="14">
        <v>0.0</v>
      </c>
      <c r="G76" s="14">
        <v>0.0</v>
      </c>
      <c r="H76" s="14">
        <v>0.0</v>
      </c>
      <c r="I76" s="14">
        <v>0.0</v>
      </c>
      <c r="J76" s="14">
        <v>0.0</v>
      </c>
    </row>
    <row r="77">
      <c r="A77" s="14" t="s">
        <v>81</v>
      </c>
      <c r="B77" s="21">
        <f t="shared" si="2"/>
        <v>0</v>
      </c>
      <c r="C77" s="21" t="str">
        <f>VLOOKUP(A77, hash!A$2:B$500, 2, 0)</f>
        <v>#N/A</v>
      </c>
      <c r="D77" s="23">
        <f t="shared" si="3"/>
        <v>0</v>
      </c>
      <c r="E77" s="14">
        <v>0.0</v>
      </c>
      <c r="F77" s="14">
        <v>0.0</v>
      </c>
      <c r="G77" s="14">
        <v>0.0</v>
      </c>
      <c r="H77" s="14">
        <v>0.0</v>
      </c>
      <c r="I77" s="14">
        <v>0.0</v>
      </c>
      <c r="J77" s="14">
        <v>0.0</v>
      </c>
    </row>
    <row r="78">
      <c r="A78" s="14" t="s">
        <v>22</v>
      </c>
      <c r="B78" s="21">
        <f t="shared" si="2"/>
        <v>0</v>
      </c>
      <c r="C78" s="21" t="str">
        <f>VLOOKUP(A78, hash!A$2:B$500, 2, 0)</f>
        <v>#N/A</v>
      </c>
      <c r="D78" s="23">
        <f t="shared" si="3"/>
        <v>0</v>
      </c>
      <c r="E78" s="14">
        <v>0.0</v>
      </c>
      <c r="F78" s="14">
        <v>0.0</v>
      </c>
      <c r="G78" s="14">
        <v>0.0</v>
      </c>
      <c r="H78" s="14">
        <v>0.0</v>
      </c>
      <c r="I78" s="14">
        <v>0.0</v>
      </c>
      <c r="J78" s="14">
        <v>0.0</v>
      </c>
    </row>
    <row r="79">
      <c r="A79" s="14" t="s">
        <v>82</v>
      </c>
      <c r="B79" s="21">
        <f t="shared" si="2"/>
        <v>0</v>
      </c>
      <c r="C79" s="21" t="str">
        <f>VLOOKUP(A79, hash!A$2:B$500, 2, 0)</f>
        <v>#N/A</v>
      </c>
      <c r="D79" s="23">
        <f t="shared" si="3"/>
        <v>0</v>
      </c>
      <c r="E79" s="14">
        <v>0.0</v>
      </c>
      <c r="F79" s="14">
        <v>0.0</v>
      </c>
      <c r="G79" s="14">
        <v>0.0</v>
      </c>
      <c r="H79" s="14">
        <v>0.0</v>
      </c>
      <c r="I79" s="14">
        <v>0.0</v>
      </c>
      <c r="J79" s="14">
        <v>0.0</v>
      </c>
    </row>
    <row r="80">
      <c r="A80" s="14" t="s">
        <v>83</v>
      </c>
      <c r="B80" s="21">
        <f t="shared" si="2"/>
        <v>0</v>
      </c>
      <c r="C80" s="21" t="str">
        <f>VLOOKUP(A80, hash!A$2:B$500, 2, 0)</f>
        <v>#N/A</v>
      </c>
      <c r="D80" s="23">
        <f t="shared" si="3"/>
        <v>0</v>
      </c>
      <c r="E80" s="14">
        <v>0.0</v>
      </c>
      <c r="F80" s="14">
        <v>0.0</v>
      </c>
      <c r="G80" s="14">
        <v>0.0</v>
      </c>
      <c r="H80" s="14">
        <v>0.0</v>
      </c>
      <c r="I80" s="14">
        <v>0.0</v>
      </c>
      <c r="J80" s="14">
        <v>0.0</v>
      </c>
    </row>
    <row r="81">
      <c r="A81" s="14" t="s">
        <v>54</v>
      </c>
      <c r="B81" s="21">
        <f t="shared" si="2"/>
        <v>0</v>
      </c>
      <c r="C81" s="21" t="str">
        <f>VLOOKUP(A81, hash!A$2:B$500, 2, 0)</f>
        <v>#N/A</v>
      </c>
      <c r="D81" s="23">
        <f t="shared" si="3"/>
        <v>0</v>
      </c>
      <c r="E81" s="14">
        <v>0.0</v>
      </c>
      <c r="F81" s="14">
        <v>0.0</v>
      </c>
      <c r="G81" s="14">
        <v>0.0</v>
      </c>
      <c r="H81" s="14">
        <v>0.0</v>
      </c>
      <c r="I81" s="14">
        <v>0.0</v>
      </c>
      <c r="J81" s="14">
        <v>0.0</v>
      </c>
    </row>
    <row r="82">
      <c r="A82" s="14" t="s">
        <v>48</v>
      </c>
      <c r="B82" s="21">
        <f t="shared" si="2"/>
        <v>0</v>
      </c>
      <c r="C82" s="21" t="str">
        <f>VLOOKUP(A82, hash!A$2:B$500, 2, 0)</f>
        <v>#N/A</v>
      </c>
      <c r="D82" s="23">
        <f t="shared" si="3"/>
        <v>0</v>
      </c>
      <c r="E82" s="14">
        <v>0.0</v>
      </c>
      <c r="F82" s="14">
        <v>0.0</v>
      </c>
      <c r="G82" s="14">
        <v>0.0</v>
      </c>
      <c r="H82" s="14">
        <v>0.0</v>
      </c>
      <c r="I82" s="14">
        <v>0.0</v>
      </c>
      <c r="J82" s="14">
        <v>0.0</v>
      </c>
    </row>
    <row r="83">
      <c r="A83" s="14" t="s">
        <v>91</v>
      </c>
      <c r="B83" s="21">
        <f t="shared" si="2"/>
        <v>0</v>
      </c>
      <c r="C83" s="21" t="str">
        <f>VLOOKUP(A83, hash!A$2:B$500, 2, 0)</f>
        <v>#N/A</v>
      </c>
      <c r="D83" s="23">
        <f t="shared" si="3"/>
        <v>0</v>
      </c>
      <c r="E83" s="14">
        <v>0.0</v>
      </c>
      <c r="F83" s="14">
        <v>0.0</v>
      </c>
      <c r="G83" s="14">
        <v>0.0</v>
      </c>
      <c r="H83" s="14">
        <v>0.0</v>
      </c>
      <c r="I83" s="14">
        <v>0.0</v>
      </c>
      <c r="J83" s="14">
        <v>0.0</v>
      </c>
    </row>
    <row r="84">
      <c r="A84" s="14" t="s">
        <v>84</v>
      </c>
      <c r="B84" s="21">
        <f t="shared" si="2"/>
        <v>0</v>
      </c>
      <c r="C84" s="21" t="str">
        <f>VLOOKUP(A84, hash!A$2:B$500, 2, 0)</f>
        <v>#N/A</v>
      </c>
      <c r="D84" s="23">
        <f t="shared" si="3"/>
        <v>0</v>
      </c>
      <c r="E84" s="14">
        <v>0.0</v>
      </c>
      <c r="F84" s="14">
        <v>0.0</v>
      </c>
      <c r="G84" s="14">
        <v>0.0</v>
      </c>
      <c r="H84" s="14">
        <v>0.0</v>
      </c>
      <c r="I84" s="14">
        <v>0.0</v>
      </c>
      <c r="J84" s="14">
        <v>0.0</v>
      </c>
    </row>
    <row r="85">
      <c r="A85" s="14" t="s">
        <v>85</v>
      </c>
      <c r="B85" s="21">
        <f t="shared" si="2"/>
        <v>0</v>
      </c>
      <c r="C85" s="21" t="str">
        <f>VLOOKUP(A85, hash!A$2:B$500, 2, 0)</f>
        <v>#N/A</v>
      </c>
      <c r="D85" s="23">
        <f t="shared" si="3"/>
        <v>0</v>
      </c>
      <c r="E85" s="14">
        <v>0.0</v>
      </c>
      <c r="F85" s="14">
        <v>0.0</v>
      </c>
      <c r="G85" s="14">
        <v>0.0</v>
      </c>
      <c r="H85" s="14">
        <v>0.0</v>
      </c>
      <c r="I85" s="14">
        <v>0.0</v>
      </c>
      <c r="J85" s="14">
        <v>0.0</v>
      </c>
    </row>
    <row r="86">
      <c r="B86" s="21">
        <f t="shared" si="2"/>
        <v>0</v>
      </c>
      <c r="C86" s="21" t="str">
        <f>VLOOKUP(A86, hash!A$2:B$500, 2, 0)</f>
        <v>#N/A</v>
      </c>
      <c r="D86" s="23">
        <f t="shared" si="3"/>
        <v>0</v>
      </c>
      <c r="E86" s="14">
        <v>0.0</v>
      </c>
      <c r="F86" s="14">
        <v>0.0</v>
      </c>
    </row>
    <row r="87">
      <c r="B87" s="21">
        <f t="shared" si="2"/>
        <v>0</v>
      </c>
      <c r="C87" s="21" t="str">
        <f>VLOOKUP(A87, hash!A$2:B$500, 2, 0)</f>
        <v>#N/A</v>
      </c>
      <c r="D87" s="23">
        <f t="shared" si="3"/>
        <v>0</v>
      </c>
    </row>
    <row r="88">
      <c r="B88" s="21">
        <f t="shared" si="2"/>
        <v>0</v>
      </c>
      <c r="C88" s="21" t="str">
        <f>VLOOKUP(A88, hash!A$2:B$500, 2, 0)</f>
        <v>#N/A</v>
      </c>
      <c r="D88" s="23">
        <f t="shared" si="3"/>
        <v>0</v>
      </c>
    </row>
    <row r="89">
      <c r="B89" s="21">
        <f t="shared" si="2"/>
        <v>0</v>
      </c>
      <c r="C89" s="21" t="str">
        <f>VLOOKUP(A89, hash!A$2:B$500, 2, 0)</f>
        <v>#N/A</v>
      </c>
      <c r="D89" s="23">
        <f t="shared" si="3"/>
        <v>0</v>
      </c>
    </row>
    <row r="90">
      <c r="B90" s="21">
        <f t="shared" si="2"/>
        <v>0</v>
      </c>
      <c r="C90" s="21" t="str">
        <f>VLOOKUP(A90, hash!A$2:B$500, 2, 0)</f>
        <v>#N/A</v>
      </c>
      <c r="D90" s="23">
        <f t="shared" si="3"/>
        <v>0</v>
      </c>
    </row>
    <row r="91">
      <c r="B91" s="21">
        <f t="shared" si="2"/>
        <v>0</v>
      </c>
      <c r="C91" s="21" t="str">
        <f>VLOOKUP(A91, hash!A$2:B$500, 2, 0)</f>
        <v>#N/A</v>
      </c>
      <c r="D91" s="23">
        <f t="shared" si="3"/>
        <v>0</v>
      </c>
    </row>
    <row r="92">
      <c r="B92" s="21">
        <f t="shared" si="2"/>
        <v>0</v>
      </c>
      <c r="C92" s="21" t="str">
        <f>VLOOKUP(A92, hash!A$2:B$500, 2, 0)</f>
        <v>#N/A</v>
      </c>
      <c r="D92" s="23">
        <f t="shared" si="3"/>
        <v>0</v>
      </c>
    </row>
    <row r="93">
      <c r="B93" s="21">
        <f t="shared" si="2"/>
        <v>0</v>
      </c>
      <c r="C93" s="21" t="str">
        <f>VLOOKUP(A93, hash!A$2:B$500, 2, 0)</f>
        <v>#N/A</v>
      </c>
      <c r="D93" s="23">
        <f t="shared" si="3"/>
        <v>0</v>
      </c>
    </row>
    <row r="94">
      <c r="B94" s="21">
        <f t="shared" si="2"/>
        <v>0</v>
      </c>
      <c r="C94" s="21" t="str">
        <f>VLOOKUP(A94, hash!A$2:B$500, 2, 0)</f>
        <v>#N/A</v>
      </c>
      <c r="D94" s="23">
        <f t="shared" si="3"/>
        <v>0</v>
      </c>
    </row>
    <row r="95">
      <c r="B95" s="21">
        <f t="shared" si="2"/>
        <v>0</v>
      </c>
      <c r="C95" s="21" t="str">
        <f>VLOOKUP(A95, hash!A$2:B$500, 2, 0)</f>
        <v>#N/A</v>
      </c>
      <c r="D95" s="23">
        <f t="shared" si="3"/>
        <v>0</v>
      </c>
    </row>
    <row r="96">
      <c r="B96" s="21">
        <f t="shared" si="2"/>
        <v>0</v>
      </c>
      <c r="C96" s="21" t="str">
        <f>VLOOKUP(A96, hash!A$2:B$500, 2, 0)</f>
        <v>#N/A</v>
      </c>
      <c r="D96" s="23">
        <f t="shared" si="3"/>
        <v>0</v>
      </c>
    </row>
    <row r="97">
      <c r="B97" s="21">
        <f t="shared" si="2"/>
        <v>0</v>
      </c>
      <c r="C97" s="21" t="str">
        <f>VLOOKUP(A97, hash!A$2:B$500, 2, 0)</f>
        <v>#N/A</v>
      </c>
      <c r="D97" s="23">
        <f t="shared" si="3"/>
        <v>0</v>
      </c>
    </row>
    <row r="98">
      <c r="B98" s="21">
        <f t="shared" si="2"/>
        <v>0</v>
      </c>
      <c r="C98" s="21" t="str">
        <f>VLOOKUP(A98, hash!A$2:B$500, 2, 0)</f>
        <v>#N/A</v>
      </c>
      <c r="D98" s="23">
        <f t="shared" si="3"/>
        <v>0</v>
      </c>
    </row>
    <row r="99">
      <c r="B99" s="21">
        <f t="shared" si="2"/>
        <v>0</v>
      </c>
      <c r="C99" s="21" t="str">
        <f>VLOOKUP(A99, hash!A$2:B$500, 2, 0)</f>
        <v>#N/A</v>
      </c>
      <c r="D99" s="23">
        <f t="shared" si="3"/>
        <v>0</v>
      </c>
    </row>
    <row r="100">
      <c r="B100" s="21">
        <f t="shared" si="2"/>
        <v>0</v>
      </c>
      <c r="C100" s="21" t="str">
        <f>VLOOKUP(A100, hash!A$2:B$500, 2, 0)</f>
        <v>#N/A</v>
      </c>
      <c r="D100" s="23">
        <f t="shared" si="3"/>
        <v>0</v>
      </c>
    </row>
    <row r="101">
      <c r="B101" s="21">
        <f t="shared" si="2"/>
        <v>0</v>
      </c>
      <c r="C101" s="21" t="str">
        <f>VLOOKUP(A101, hash!A$2:B$500, 2, 0)</f>
        <v>#N/A</v>
      </c>
      <c r="D101" s="23">
        <f t="shared" si="3"/>
        <v>0</v>
      </c>
    </row>
    <row r="102">
      <c r="B102" s="21">
        <f t="shared" si="2"/>
        <v>0</v>
      </c>
      <c r="C102" s="21" t="str">
        <f>VLOOKUP(A102, hash!A$2:B$500, 2, 0)</f>
        <v>#N/A</v>
      </c>
      <c r="D102" s="23">
        <f t="shared" si="3"/>
        <v>0</v>
      </c>
    </row>
    <row r="103">
      <c r="B103" s="21">
        <f t="shared" si="2"/>
        <v>0</v>
      </c>
      <c r="C103" s="21" t="str">
        <f>VLOOKUP(A103, hash!A$2:B$500, 2, 0)</f>
        <v>#N/A</v>
      </c>
      <c r="D103" s="23">
        <f t="shared" si="3"/>
        <v>0</v>
      </c>
    </row>
    <row r="104">
      <c r="B104" s="21">
        <f t="shared" si="2"/>
        <v>0</v>
      </c>
      <c r="C104" s="21" t="str">
        <f>VLOOKUP(A104, hash!A$2:B$500, 2, 0)</f>
        <v>#N/A</v>
      </c>
      <c r="D104" s="23">
        <f t="shared" si="3"/>
        <v>0</v>
      </c>
    </row>
    <row r="105">
      <c r="D105" s="23"/>
    </row>
    <row r="106">
      <c r="D106" s="23"/>
    </row>
    <row r="107">
      <c r="D107" s="23"/>
    </row>
    <row r="108">
      <c r="D108" s="23"/>
    </row>
    <row r="109">
      <c r="D109" s="23"/>
    </row>
    <row r="110">
      <c r="D110" s="23"/>
    </row>
    <row r="111">
      <c r="D111" s="23"/>
    </row>
    <row r="112">
      <c r="D112" s="23"/>
    </row>
    <row r="113">
      <c r="D113" s="23"/>
    </row>
    <row r="114">
      <c r="D114" s="23"/>
    </row>
    <row r="115">
      <c r="D115" s="23"/>
    </row>
    <row r="116">
      <c r="D116" s="23"/>
    </row>
    <row r="117">
      <c r="D117" s="23"/>
    </row>
    <row r="118">
      <c r="D118" s="23"/>
    </row>
    <row r="119">
      <c r="D119" s="23"/>
    </row>
    <row r="120">
      <c r="D120" s="23"/>
    </row>
    <row r="121">
      <c r="D121" s="23"/>
    </row>
    <row r="122">
      <c r="D122" s="23"/>
    </row>
    <row r="123">
      <c r="D123" s="23"/>
    </row>
    <row r="124">
      <c r="D124" s="23"/>
    </row>
    <row r="125">
      <c r="D125" s="23"/>
    </row>
    <row r="126">
      <c r="D126" s="23"/>
    </row>
    <row r="127">
      <c r="D127" s="23"/>
    </row>
    <row r="128">
      <c r="D128" s="23"/>
    </row>
    <row r="129">
      <c r="D129" s="23"/>
    </row>
    <row r="130">
      <c r="D130" s="23"/>
    </row>
    <row r="131">
      <c r="D131" s="23"/>
    </row>
    <row r="132">
      <c r="D132" s="23"/>
    </row>
    <row r="133">
      <c r="D133" s="23"/>
    </row>
    <row r="134">
      <c r="D134" s="23"/>
    </row>
    <row r="135">
      <c r="D135" s="23"/>
    </row>
    <row r="136">
      <c r="D136" s="23"/>
    </row>
    <row r="137">
      <c r="D137" s="23"/>
    </row>
    <row r="138">
      <c r="D138" s="23"/>
    </row>
    <row r="139">
      <c r="D139" s="23"/>
    </row>
    <row r="140">
      <c r="D140" s="23"/>
    </row>
    <row r="141">
      <c r="D141" s="23"/>
    </row>
    <row r="142">
      <c r="D142" s="23"/>
    </row>
    <row r="143">
      <c r="D143" s="23"/>
    </row>
    <row r="144">
      <c r="D144" s="23"/>
    </row>
    <row r="145">
      <c r="D145" s="23"/>
    </row>
    <row r="146">
      <c r="D146" s="23"/>
    </row>
    <row r="147">
      <c r="D147" s="23"/>
    </row>
    <row r="148">
      <c r="D148" s="23"/>
    </row>
    <row r="149">
      <c r="D149" s="23"/>
    </row>
    <row r="150">
      <c r="D150" s="23"/>
    </row>
    <row r="151">
      <c r="D151" s="23"/>
    </row>
    <row r="152">
      <c r="D152" s="23"/>
    </row>
    <row r="153">
      <c r="D153" s="23"/>
    </row>
    <row r="154">
      <c r="D154" s="23"/>
    </row>
    <row r="155">
      <c r="D155" s="23"/>
    </row>
    <row r="156">
      <c r="D156" s="23"/>
    </row>
    <row r="157">
      <c r="D157" s="23"/>
    </row>
    <row r="158">
      <c r="D158" s="23"/>
    </row>
    <row r="159">
      <c r="D159" s="23"/>
    </row>
    <row r="160">
      <c r="D160" s="23"/>
    </row>
    <row r="161">
      <c r="D161" s="23"/>
    </row>
    <row r="162">
      <c r="D162" s="23"/>
    </row>
    <row r="163">
      <c r="D163" s="23"/>
    </row>
    <row r="164">
      <c r="D164" s="23"/>
    </row>
    <row r="165">
      <c r="D165" s="23"/>
    </row>
    <row r="166">
      <c r="D166" s="23"/>
    </row>
    <row r="167">
      <c r="D167" s="23"/>
    </row>
    <row r="168">
      <c r="D168" s="23"/>
    </row>
    <row r="169">
      <c r="D169" s="23"/>
    </row>
    <row r="170">
      <c r="D170" s="23"/>
    </row>
    <row r="171">
      <c r="D171" s="23"/>
    </row>
    <row r="172">
      <c r="D172" s="23"/>
    </row>
    <row r="173">
      <c r="D173" s="23"/>
    </row>
    <row r="174">
      <c r="D174" s="23"/>
    </row>
    <row r="175">
      <c r="D175" s="23"/>
    </row>
    <row r="176">
      <c r="D176" s="23"/>
    </row>
    <row r="177">
      <c r="D177" s="23"/>
    </row>
    <row r="178">
      <c r="D178" s="23"/>
    </row>
    <row r="179">
      <c r="D179" s="23"/>
    </row>
    <row r="180">
      <c r="D180" s="23"/>
    </row>
    <row r="181">
      <c r="D181" s="23"/>
    </row>
    <row r="182">
      <c r="D182" s="23"/>
    </row>
    <row r="183">
      <c r="D183" s="23"/>
    </row>
    <row r="184">
      <c r="D184" s="23"/>
    </row>
    <row r="185">
      <c r="D185" s="23"/>
    </row>
    <row r="186">
      <c r="D186" s="23"/>
    </row>
    <row r="187">
      <c r="D187" s="23"/>
    </row>
    <row r="188">
      <c r="D188" s="23"/>
    </row>
    <row r="189">
      <c r="D189" s="23"/>
    </row>
    <row r="190">
      <c r="D190" s="23"/>
    </row>
    <row r="191">
      <c r="D191" s="23"/>
    </row>
    <row r="192">
      <c r="D192" s="23"/>
    </row>
    <row r="193">
      <c r="D193" s="23"/>
    </row>
    <row r="194">
      <c r="D194" s="23"/>
    </row>
    <row r="195">
      <c r="D195" s="23"/>
    </row>
    <row r="196">
      <c r="D196" s="23"/>
    </row>
    <row r="197">
      <c r="D197" s="23"/>
    </row>
    <row r="198">
      <c r="D198" s="23"/>
    </row>
    <row r="199">
      <c r="D199" s="23"/>
    </row>
    <row r="200">
      <c r="D200" s="23"/>
    </row>
    <row r="201">
      <c r="D201" s="23"/>
    </row>
    <row r="202">
      <c r="D202" s="23"/>
    </row>
    <row r="203">
      <c r="D203" s="23"/>
    </row>
    <row r="204">
      <c r="D204" s="23"/>
    </row>
    <row r="205">
      <c r="D205" s="23"/>
    </row>
    <row r="206">
      <c r="D206" s="23"/>
    </row>
    <row r="207">
      <c r="D207" s="23"/>
    </row>
    <row r="208">
      <c r="D208" s="23"/>
    </row>
    <row r="209">
      <c r="D209" s="23"/>
    </row>
    <row r="210">
      <c r="D210" s="23"/>
    </row>
    <row r="211">
      <c r="D211" s="23"/>
    </row>
    <row r="212">
      <c r="D212" s="23"/>
    </row>
    <row r="213">
      <c r="D213" s="23"/>
    </row>
    <row r="214">
      <c r="D214" s="23"/>
    </row>
    <row r="215">
      <c r="D215" s="23"/>
    </row>
    <row r="216">
      <c r="D216" s="23"/>
    </row>
    <row r="217">
      <c r="D217" s="23"/>
    </row>
    <row r="218">
      <c r="D218" s="23"/>
    </row>
    <row r="219">
      <c r="D219" s="23"/>
    </row>
    <row r="220">
      <c r="D220" s="23"/>
    </row>
    <row r="221">
      <c r="D221" s="23"/>
    </row>
    <row r="222">
      <c r="D222" s="23"/>
    </row>
    <row r="223">
      <c r="D223" s="23"/>
    </row>
    <row r="224">
      <c r="D224" s="23"/>
    </row>
    <row r="225">
      <c r="D225" s="23"/>
    </row>
    <row r="226">
      <c r="D226" s="23"/>
    </row>
    <row r="227">
      <c r="D227" s="23"/>
    </row>
    <row r="228">
      <c r="D228" s="23"/>
    </row>
    <row r="229">
      <c r="D229" s="23"/>
    </row>
    <row r="230">
      <c r="D230" s="23"/>
    </row>
    <row r="231">
      <c r="D231" s="23"/>
    </row>
    <row r="232">
      <c r="D232" s="23"/>
    </row>
    <row r="233">
      <c r="D233" s="23"/>
    </row>
    <row r="234">
      <c r="D234" s="23"/>
    </row>
    <row r="235">
      <c r="D235" s="23"/>
    </row>
    <row r="236">
      <c r="D236" s="23"/>
    </row>
    <row r="237">
      <c r="D237" s="23"/>
    </row>
    <row r="238">
      <c r="D238" s="23"/>
    </row>
    <row r="239">
      <c r="D239" s="23"/>
    </row>
    <row r="240">
      <c r="D240" s="23"/>
    </row>
    <row r="241">
      <c r="D241" s="23"/>
    </row>
    <row r="242">
      <c r="D242" s="23"/>
    </row>
    <row r="243">
      <c r="D243" s="23"/>
    </row>
    <row r="244">
      <c r="D244" s="23"/>
    </row>
    <row r="245">
      <c r="D245" s="23"/>
    </row>
    <row r="246">
      <c r="D246" s="23"/>
    </row>
    <row r="247">
      <c r="D247" s="23"/>
    </row>
    <row r="248">
      <c r="D248" s="23"/>
    </row>
    <row r="249">
      <c r="D249" s="23"/>
    </row>
    <row r="250">
      <c r="D250" s="23"/>
    </row>
    <row r="251">
      <c r="D251" s="23"/>
    </row>
    <row r="252">
      <c r="D252" s="23"/>
    </row>
    <row r="253">
      <c r="D253" s="23"/>
    </row>
    <row r="254">
      <c r="D254" s="23"/>
    </row>
    <row r="255">
      <c r="D255" s="23"/>
    </row>
    <row r="256">
      <c r="D256" s="23"/>
    </row>
    <row r="257">
      <c r="D257" s="23"/>
    </row>
    <row r="258">
      <c r="D258" s="23"/>
    </row>
    <row r="259">
      <c r="D259" s="23"/>
    </row>
    <row r="260">
      <c r="D260" s="23"/>
    </row>
    <row r="261">
      <c r="D261" s="23"/>
    </row>
    <row r="262">
      <c r="D262" s="23"/>
    </row>
    <row r="263">
      <c r="D263" s="23"/>
    </row>
    <row r="264">
      <c r="D264" s="23"/>
    </row>
    <row r="265">
      <c r="D265" s="23"/>
    </row>
    <row r="266">
      <c r="D266" s="23"/>
    </row>
    <row r="267">
      <c r="D267" s="23"/>
    </row>
    <row r="268">
      <c r="D268" s="23"/>
    </row>
    <row r="269">
      <c r="D269" s="23"/>
    </row>
    <row r="270">
      <c r="D270" s="23"/>
    </row>
    <row r="271">
      <c r="D271" s="23"/>
    </row>
    <row r="272">
      <c r="D272" s="23"/>
    </row>
    <row r="273">
      <c r="D273" s="23"/>
    </row>
    <row r="274">
      <c r="D274" s="23"/>
    </row>
    <row r="275">
      <c r="D275" s="23"/>
    </row>
    <row r="276">
      <c r="D276" s="23"/>
    </row>
    <row r="277">
      <c r="D277" s="23"/>
    </row>
    <row r="278">
      <c r="D278" s="23"/>
    </row>
    <row r="279">
      <c r="D279" s="23"/>
    </row>
    <row r="280">
      <c r="D280" s="23"/>
    </row>
    <row r="281">
      <c r="D281" s="23"/>
    </row>
    <row r="282">
      <c r="D282" s="23"/>
    </row>
    <row r="283">
      <c r="D283" s="23"/>
    </row>
    <row r="284">
      <c r="D284" s="23"/>
    </row>
    <row r="285">
      <c r="D285" s="23"/>
    </row>
    <row r="286">
      <c r="D286" s="23"/>
    </row>
    <row r="287">
      <c r="D287" s="23"/>
    </row>
    <row r="288">
      <c r="D288" s="23"/>
    </row>
    <row r="289">
      <c r="D289" s="23"/>
    </row>
    <row r="290">
      <c r="D290" s="23"/>
    </row>
    <row r="291">
      <c r="D291" s="23"/>
    </row>
    <row r="292">
      <c r="D292" s="23"/>
    </row>
    <row r="293">
      <c r="D293" s="23"/>
    </row>
    <row r="294">
      <c r="D294" s="23"/>
    </row>
    <row r="295">
      <c r="D295" s="23"/>
    </row>
    <row r="296">
      <c r="D296" s="23"/>
    </row>
    <row r="297">
      <c r="D297" s="23"/>
    </row>
    <row r="298">
      <c r="D298" s="23"/>
    </row>
    <row r="299">
      <c r="D299" s="23"/>
    </row>
    <row r="300">
      <c r="D300" s="23"/>
    </row>
    <row r="301">
      <c r="D301" s="23"/>
    </row>
    <row r="302">
      <c r="D302" s="23"/>
    </row>
    <row r="303">
      <c r="D303" s="23"/>
    </row>
    <row r="304">
      <c r="D304" s="23"/>
    </row>
    <row r="305">
      <c r="D305" s="23"/>
    </row>
    <row r="306">
      <c r="D306" s="23"/>
    </row>
    <row r="307">
      <c r="D307" s="23"/>
    </row>
    <row r="308">
      <c r="D308" s="23"/>
    </row>
    <row r="309">
      <c r="D309" s="23"/>
    </row>
    <row r="310">
      <c r="D310" s="23"/>
    </row>
    <row r="311">
      <c r="D311" s="23"/>
    </row>
    <row r="312">
      <c r="D312" s="23"/>
    </row>
    <row r="313">
      <c r="D313" s="23"/>
    </row>
    <row r="314">
      <c r="D314" s="23"/>
    </row>
    <row r="315">
      <c r="D315" s="23"/>
    </row>
    <row r="316">
      <c r="D316" s="23"/>
    </row>
    <row r="317">
      <c r="D317" s="23"/>
    </row>
    <row r="318">
      <c r="D318" s="23"/>
    </row>
    <row r="319">
      <c r="D319" s="23"/>
    </row>
    <row r="320">
      <c r="D320" s="23"/>
    </row>
    <row r="321">
      <c r="D321" s="23"/>
    </row>
    <row r="322">
      <c r="D322" s="23"/>
    </row>
    <row r="323">
      <c r="D323" s="23"/>
    </row>
    <row r="324">
      <c r="D324" s="23"/>
    </row>
    <row r="325">
      <c r="D325" s="23"/>
    </row>
    <row r="326">
      <c r="D326" s="23"/>
    </row>
    <row r="327">
      <c r="D327" s="23"/>
    </row>
    <row r="328">
      <c r="D328" s="23"/>
    </row>
    <row r="329">
      <c r="D329" s="23"/>
    </row>
    <row r="330">
      <c r="D330" s="23"/>
    </row>
    <row r="331">
      <c r="D331" s="23"/>
    </row>
    <row r="332">
      <c r="D332" s="23"/>
    </row>
    <row r="333">
      <c r="D333" s="23"/>
    </row>
    <row r="334">
      <c r="D334" s="23"/>
    </row>
    <row r="335">
      <c r="D335" s="23"/>
    </row>
    <row r="336">
      <c r="D336" s="23"/>
    </row>
    <row r="337">
      <c r="D337" s="23"/>
    </row>
    <row r="338">
      <c r="D338" s="23"/>
    </row>
    <row r="339">
      <c r="D339" s="23"/>
    </row>
    <row r="340">
      <c r="D340" s="23"/>
    </row>
    <row r="341">
      <c r="D341" s="23"/>
    </row>
    <row r="342">
      <c r="D342" s="23"/>
    </row>
    <row r="343">
      <c r="D343" s="23"/>
    </row>
    <row r="344">
      <c r="D344" s="23"/>
    </row>
    <row r="345">
      <c r="D345" s="23"/>
    </row>
    <row r="346">
      <c r="D346" s="23"/>
    </row>
    <row r="347">
      <c r="D347" s="23"/>
    </row>
    <row r="348">
      <c r="D348" s="23"/>
    </row>
    <row r="349">
      <c r="D349" s="23"/>
    </row>
    <row r="350">
      <c r="D350" s="23"/>
    </row>
    <row r="351">
      <c r="D351" s="23"/>
    </row>
    <row r="352">
      <c r="D352" s="23"/>
    </row>
    <row r="353">
      <c r="D353" s="23"/>
    </row>
    <row r="354">
      <c r="D354" s="23"/>
    </row>
    <row r="355">
      <c r="D355" s="23"/>
    </row>
    <row r="356">
      <c r="D356" s="23"/>
    </row>
    <row r="357">
      <c r="D357" s="23"/>
    </row>
    <row r="358">
      <c r="D358" s="23"/>
    </row>
    <row r="359">
      <c r="D359" s="23"/>
    </row>
    <row r="360">
      <c r="D360" s="23"/>
    </row>
    <row r="361">
      <c r="D361" s="23"/>
    </row>
    <row r="362">
      <c r="D362" s="23"/>
    </row>
    <row r="363">
      <c r="D363" s="23"/>
    </row>
    <row r="364">
      <c r="D364" s="23"/>
    </row>
    <row r="365">
      <c r="D365" s="23"/>
    </row>
    <row r="366">
      <c r="D366" s="23"/>
    </row>
    <row r="367">
      <c r="D367" s="23"/>
    </row>
    <row r="368">
      <c r="D368" s="23"/>
    </row>
    <row r="369">
      <c r="D369" s="23"/>
    </row>
    <row r="370">
      <c r="D370" s="23"/>
    </row>
    <row r="371">
      <c r="D371" s="23"/>
    </row>
    <row r="372">
      <c r="D372" s="23"/>
    </row>
    <row r="373">
      <c r="D373" s="23"/>
    </row>
    <row r="374">
      <c r="D374" s="23"/>
    </row>
    <row r="375">
      <c r="D375" s="23"/>
    </row>
    <row r="376">
      <c r="D376" s="23"/>
    </row>
    <row r="377">
      <c r="D377" s="23"/>
    </row>
    <row r="378">
      <c r="D378" s="23"/>
    </row>
    <row r="379">
      <c r="D379" s="23"/>
    </row>
    <row r="380">
      <c r="D380" s="23"/>
    </row>
    <row r="381">
      <c r="D381" s="23"/>
    </row>
    <row r="382">
      <c r="D382" s="23"/>
    </row>
    <row r="383">
      <c r="D383" s="23"/>
    </row>
    <row r="384">
      <c r="D384" s="23"/>
    </row>
    <row r="385">
      <c r="D385" s="23"/>
    </row>
    <row r="386">
      <c r="D386" s="23"/>
    </row>
    <row r="387">
      <c r="D387" s="23"/>
    </row>
    <row r="388">
      <c r="D388" s="23"/>
    </row>
    <row r="389">
      <c r="D389" s="23"/>
    </row>
    <row r="390">
      <c r="D390" s="23"/>
    </row>
    <row r="391">
      <c r="D391" s="23"/>
    </row>
    <row r="392">
      <c r="D392" s="23"/>
    </row>
    <row r="393">
      <c r="D393" s="23"/>
    </row>
    <row r="394">
      <c r="D394" s="23"/>
    </row>
    <row r="395">
      <c r="D395" s="23"/>
    </row>
    <row r="396">
      <c r="D396" s="23"/>
    </row>
    <row r="397">
      <c r="D397" s="23"/>
    </row>
    <row r="398">
      <c r="D398" s="23"/>
    </row>
    <row r="399">
      <c r="D399" s="23"/>
    </row>
    <row r="400">
      <c r="D400" s="23"/>
    </row>
    <row r="401">
      <c r="D401" s="23"/>
    </row>
    <row r="402">
      <c r="D402" s="23"/>
    </row>
    <row r="403">
      <c r="D403" s="23"/>
    </row>
    <row r="404">
      <c r="D404" s="23"/>
    </row>
    <row r="405">
      <c r="D405" s="23"/>
    </row>
    <row r="406">
      <c r="D406" s="23"/>
    </row>
    <row r="407">
      <c r="D407" s="23"/>
    </row>
    <row r="408">
      <c r="D408" s="23"/>
    </row>
    <row r="409">
      <c r="D409" s="23"/>
    </row>
    <row r="410">
      <c r="D410" s="23"/>
    </row>
    <row r="411">
      <c r="D411" s="23"/>
    </row>
    <row r="412">
      <c r="D412" s="23"/>
    </row>
    <row r="413">
      <c r="D413" s="23"/>
    </row>
    <row r="414">
      <c r="D414" s="23"/>
    </row>
    <row r="415">
      <c r="D415" s="23"/>
    </row>
    <row r="416">
      <c r="D416" s="23"/>
    </row>
    <row r="417">
      <c r="D417" s="23"/>
    </row>
    <row r="418">
      <c r="D418" s="23"/>
    </row>
    <row r="419">
      <c r="D419" s="23"/>
    </row>
    <row r="420">
      <c r="D420" s="23"/>
    </row>
    <row r="421">
      <c r="D421" s="23"/>
    </row>
    <row r="422">
      <c r="D422" s="23"/>
    </row>
    <row r="423">
      <c r="D423" s="23"/>
    </row>
    <row r="424">
      <c r="D424" s="23"/>
    </row>
    <row r="425">
      <c r="D425" s="23"/>
    </row>
    <row r="426">
      <c r="D426" s="23"/>
    </row>
    <row r="427">
      <c r="D427" s="23"/>
    </row>
    <row r="428">
      <c r="D428" s="23"/>
    </row>
    <row r="429">
      <c r="D429" s="23"/>
    </row>
    <row r="430">
      <c r="D430" s="23"/>
    </row>
    <row r="431">
      <c r="D431" s="23"/>
    </row>
    <row r="432">
      <c r="D432" s="23"/>
    </row>
    <row r="433">
      <c r="D433" s="23"/>
    </row>
    <row r="434">
      <c r="D434" s="23"/>
    </row>
    <row r="435">
      <c r="D435" s="23"/>
    </row>
    <row r="436">
      <c r="D436" s="23"/>
    </row>
    <row r="437">
      <c r="D437" s="23"/>
    </row>
    <row r="438">
      <c r="D438" s="23"/>
    </row>
    <row r="439">
      <c r="D439" s="23"/>
    </row>
    <row r="440">
      <c r="D440" s="23"/>
    </row>
    <row r="441">
      <c r="D441" s="23"/>
    </row>
    <row r="442">
      <c r="D442" s="23"/>
    </row>
    <row r="443">
      <c r="D443" s="23"/>
    </row>
    <row r="444">
      <c r="D444" s="23"/>
    </row>
    <row r="445">
      <c r="D445" s="23"/>
    </row>
    <row r="446">
      <c r="D446" s="23"/>
    </row>
    <row r="447">
      <c r="D447" s="23"/>
    </row>
    <row r="448">
      <c r="D448" s="23"/>
    </row>
    <row r="449">
      <c r="D449" s="23"/>
    </row>
    <row r="450">
      <c r="D450" s="23"/>
    </row>
    <row r="451">
      <c r="D451" s="23"/>
    </row>
    <row r="452">
      <c r="D452" s="23"/>
    </row>
    <row r="453">
      <c r="D453" s="23"/>
    </row>
    <row r="454">
      <c r="D454" s="23"/>
    </row>
    <row r="455">
      <c r="D455" s="23"/>
    </row>
    <row r="456">
      <c r="D456" s="23"/>
    </row>
    <row r="457">
      <c r="D457" s="23"/>
    </row>
    <row r="458">
      <c r="D458" s="23"/>
    </row>
    <row r="459">
      <c r="D459" s="23"/>
    </row>
    <row r="460">
      <c r="D460" s="23"/>
    </row>
    <row r="461">
      <c r="D461" s="23"/>
    </row>
    <row r="462">
      <c r="D462" s="23"/>
    </row>
    <row r="463">
      <c r="D463" s="23"/>
    </row>
    <row r="464">
      <c r="D464" s="23"/>
    </row>
    <row r="465">
      <c r="D465" s="23"/>
    </row>
    <row r="466">
      <c r="D466" s="23"/>
    </row>
    <row r="467">
      <c r="D467" s="23"/>
    </row>
    <row r="468">
      <c r="D468" s="23"/>
    </row>
    <row r="469">
      <c r="D469" s="23"/>
    </row>
    <row r="470">
      <c r="D470" s="23"/>
    </row>
    <row r="471">
      <c r="D471" s="23"/>
    </row>
    <row r="472">
      <c r="D472" s="23"/>
    </row>
    <row r="473">
      <c r="D473" s="23"/>
    </row>
    <row r="474">
      <c r="D474" s="23"/>
    </row>
    <row r="475">
      <c r="D475" s="23"/>
    </row>
    <row r="476">
      <c r="D476" s="23"/>
    </row>
    <row r="477">
      <c r="D477" s="23"/>
    </row>
    <row r="478">
      <c r="D478" s="23"/>
    </row>
    <row r="479">
      <c r="D479" s="23"/>
    </row>
    <row r="480">
      <c r="D480" s="23"/>
    </row>
    <row r="481">
      <c r="D481" s="23"/>
    </row>
    <row r="482">
      <c r="D482" s="23"/>
    </row>
    <row r="483">
      <c r="D483" s="23"/>
    </row>
    <row r="484">
      <c r="D484" s="23"/>
    </row>
    <row r="485">
      <c r="D485" s="23"/>
    </row>
    <row r="486">
      <c r="D486" s="23"/>
    </row>
    <row r="487">
      <c r="D487" s="23"/>
    </row>
    <row r="488">
      <c r="D488" s="23"/>
    </row>
    <row r="489">
      <c r="D489" s="23"/>
    </row>
    <row r="490">
      <c r="D490" s="23"/>
    </row>
    <row r="491">
      <c r="D491" s="23"/>
    </row>
    <row r="492">
      <c r="D492" s="23"/>
    </row>
    <row r="493">
      <c r="D493" s="23"/>
    </row>
    <row r="494">
      <c r="D494" s="23"/>
    </row>
    <row r="495">
      <c r="D495" s="23"/>
    </row>
    <row r="496">
      <c r="D496" s="23"/>
    </row>
    <row r="497">
      <c r="D497" s="23"/>
    </row>
    <row r="498">
      <c r="D498" s="23"/>
    </row>
    <row r="499">
      <c r="D499" s="23"/>
    </row>
    <row r="500">
      <c r="D500" s="23"/>
    </row>
    <row r="501">
      <c r="D501" s="23"/>
    </row>
    <row r="502">
      <c r="D502" s="23"/>
    </row>
    <row r="503">
      <c r="D503" s="23"/>
    </row>
    <row r="504">
      <c r="D504" s="23"/>
    </row>
    <row r="505">
      <c r="D505" s="23"/>
    </row>
    <row r="506">
      <c r="D506" s="23"/>
    </row>
    <row r="507">
      <c r="D507" s="23"/>
    </row>
    <row r="508">
      <c r="D508" s="23"/>
    </row>
    <row r="509">
      <c r="D509" s="23"/>
    </row>
    <row r="510">
      <c r="D510" s="23"/>
    </row>
    <row r="511">
      <c r="D511" s="23"/>
    </row>
    <row r="512">
      <c r="D512" s="23"/>
    </row>
    <row r="513">
      <c r="D513" s="23"/>
    </row>
    <row r="514">
      <c r="D514" s="23"/>
    </row>
    <row r="515">
      <c r="D515" s="23"/>
    </row>
    <row r="516">
      <c r="D516" s="23"/>
    </row>
    <row r="517">
      <c r="D517" s="23"/>
    </row>
    <row r="518">
      <c r="D518" s="23"/>
    </row>
    <row r="519">
      <c r="D519" s="23"/>
    </row>
    <row r="520">
      <c r="D520" s="23"/>
    </row>
    <row r="521">
      <c r="D521" s="23"/>
    </row>
    <row r="522">
      <c r="D522" s="23"/>
    </row>
    <row r="523">
      <c r="D523" s="23"/>
    </row>
    <row r="524">
      <c r="D524" s="23"/>
    </row>
    <row r="525">
      <c r="D525" s="23"/>
    </row>
    <row r="526">
      <c r="D526" s="23"/>
    </row>
    <row r="527">
      <c r="D527" s="23"/>
    </row>
    <row r="528">
      <c r="D528" s="23"/>
    </row>
    <row r="529">
      <c r="D529" s="23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sheetData>
    <row r="1" ht="15.75" customHeight="1">
      <c r="A1" s="14" t="s">
        <v>1</v>
      </c>
      <c r="B1" s="21">
        <f>D1/M$1*2000</f>
        <v>0</v>
      </c>
      <c r="C1" s="21" t="str">
        <f>VLOOKUP(A1, hash!A$2:B$500, 2, 0)</f>
        <v>#N/A</v>
      </c>
      <c r="D1" s="23">
        <f>SUM(E1:J1)</f>
        <v>0</v>
      </c>
      <c r="E1" s="14" t="s">
        <v>502</v>
      </c>
      <c r="F1" s="14" t="s">
        <v>503</v>
      </c>
      <c r="G1" s="14" t="s">
        <v>504</v>
      </c>
      <c r="H1" s="14" t="s">
        <v>505</v>
      </c>
      <c r="I1" s="14" t="s">
        <v>506</v>
      </c>
      <c r="J1" s="14" t="s">
        <v>507</v>
      </c>
      <c r="L1" s="14" t="s">
        <v>508</v>
      </c>
      <c r="M1" s="21">
        <f t="array" ref="M1">sum(large(D3:D993,column(indirect("$A$1:" &amp;ADDRESS( 1, 12)))))/12</f>
        <v>1.333333333</v>
      </c>
    </row>
    <row r="2" ht="15.75" customHeight="1">
      <c r="A2" s="14"/>
      <c r="D2" s="23"/>
      <c r="E2" s="14">
        <f t="shared" ref="E2:J2" si="1">SUM(E3:E547)</f>
        <v>0</v>
      </c>
      <c r="F2" s="14">
        <f t="shared" si="1"/>
        <v>3</v>
      </c>
      <c r="G2" s="14">
        <f t="shared" si="1"/>
        <v>2</v>
      </c>
      <c r="H2" s="14">
        <f t="shared" si="1"/>
        <v>0</v>
      </c>
      <c r="I2" s="14">
        <f t="shared" si="1"/>
        <v>1</v>
      </c>
      <c r="J2" s="14">
        <f t="shared" si="1"/>
        <v>74</v>
      </c>
      <c r="L2" s="14"/>
    </row>
    <row r="3">
      <c r="A3" s="22" t="s">
        <v>8</v>
      </c>
      <c r="B3" s="21">
        <f t="shared" ref="B3:B547" si="2">D3/M$1*2000</f>
        <v>6000</v>
      </c>
      <c r="C3" s="21" t="str">
        <f>VLOOKUP(A3, hash!A$2:B$500, 2, 0)</f>
        <v>6322202c0aa8ba2dbc57c0a6</v>
      </c>
      <c r="D3" s="23">
        <f t="shared" ref="D3:D547" si="3">SUM(E3:J3)</f>
        <v>4</v>
      </c>
      <c r="E3" s="14">
        <v>0.0</v>
      </c>
      <c r="F3" s="14">
        <v>1.0</v>
      </c>
      <c r="G3" s="14">
        <v>1.0</v>
      </c>
      <c r="H3" s="14">
        <v>0.0</v>
      </c>
      <c r="I3" s="14">
        <v>1.0</v>
      </c>
      <c r="J3" s="14">
        <v>1.0</v>
      </c>
    </row>
    <row r="4">
      <c r="A4" s="14" t="s">
        <v>25</v>
      </c>
      <c r="B4" s="21">
        <f t="shared" si="2"/>
        <v>3000</v>
      </c>
      <c r="C4" s="21" t="str">
        <f>VLOOKUP(A4, hash!A$2:B$500, 2, 0)</f>
        <v>68c1ceeed4e889598e7f612e</v>
      </c>
      <c r="D4" s="23">
        <f t="shared" si="3"/>
        <v>2</v>
      </c>
      <c r="E4" s="14">
        <v>0.0</v>
      </c>
      <c r="F4" s="14">
        <v>0.0</v>
      </c>
      <c r="G4" s="14">
        <v>1.0</v>
      </c>
      <c r="H4" s="14">
        <v>0.0</v>
      </c>
      <c r="I4" s="14">
        <v>0.0</v>
      </c>
      <c r="J4" s="14">
        <v>1.0</v>
      </c>
    </row>
    <row r="5">
      <c r="A5" s="22" t="s">
        <v>10</v>
      </c>
      <c r="B5" s="21">
        <f t="shared" si="2"/>
        <v>1500</v>
      </c>
      <c r="C5" s="21" t="str">
        <f>VLOOKUP(A5, hash!A$2:B$500, 2, 0)</f>
        <v>632220270aa8ba2dbc57c0a4</v>
      </c>
      <c r="D5" s="23">
        <f t="shared" si="3"/>
        <v>1</v>
      </c>
      <c r="E5" s="14">
        <v>0.0</v>
      </c>
      <c r="F5" s="14">
        <v>0.0</v>
      </c>
      <c r="G5" s="14">
        <v>0.0</v>
      </c>
      <c r="H5" s="14">
        <v>0.0</v>
      </c>
      <c r="I5" s="14">
        <v>0.0</v>
      </c>
      <c r="J5" s="14">
        <v>1.0</v>
      </c>
    </row>
    <row r="6">
      <c r="A6" s="22" t="s">
        <v>30</v>
      </c>
      <c r="B6" s="21">
        <f t="shared" si="2"/>
        <v>1500</v>
      </c>
      <c r="C6" s="21" t="str">
        <f>VLOOKUP(A6, hash!A$2:B$500, 2, 0)</f>
        <v>6322236ef382c17890e6a3e1</v>
      </c>
      <c r="D6" s="23">
        <f t="shared" si="3"/>
        <v>1</v>
      </c>
      <c r="E6" s="14">
        <v>0.0</v>
      </c>
      <c r="F6" s="14">
        <v>0.0</v>
      </c>
      <c r="G6" s="14">
        <v>0.0</v>
      </c>
      <c r="H6" s="14">
        <v>0.0</v>
      </c>
      <c r="I6" s="14">
        <v>0.0</v>
      </c>
      <c r="J6" s="14">
        <v>1.0</v>
      </c>
    </row>
    <row r="7">
      <c r="A7" s="22" t="s">
        <v>34</v>
      </c>
      <c r="B7" s="21">
        <f t="shared" si="2"/>
        <v>1500</v>
      </c>
      <c r="C7" s="21" t="str">
        <f>VLOOKUP(A7, hash!A$2:B$500, 2, 0)</f>
        <v>63222c2fed58d92b843f7cbf</v>
      </c>
      <c r="D7" s="23">
        <f t="shared" si="3"/>
        <v>1</v>
      </c>
      <c r="E7" s="14">
        <v>0.0</v>
      </c>
      <c r="F7" s="14">
        <v>0.0</v>
      </c>
      <c r="G7" s="14">
        <v>0.0</v>
      </c>
      <c r="H7" s="14">
        <v>0.0</v>
      </c>
      <c r="I7" s="14">
        <v>0.0</v>
      </c>
      <c r="J7" s="14">
        <v>1.0</v>
      </c>
    </row>
    <row r="8">
      <c r="A8" s="22" t="s">
        <v>21</v>
      </c>
      <c r="B8" s="21">
        <f t="shared" si="2"/>
        <v>1500</v>
      </c>
      <c r="C8" s="21" t="str">
        <f>VLOOKUP(A8, hash!A$2:B$500, 2, 0)</f>
        <v>63222da0116f680d68804fa7</v>
      </c>
      <c r="D8" s="23">
        <f t="shared" si="3"/>
        <v>1</v>
      </c>
      <c r="E8" s="14">
        <v>0.0</v>
      </c>
      <c r="F8" s="14">
        <v>0.0</v>
      </c>
      <c r="G8" s="14">
        <v>0.0</v>
      </c>
      <c r="H8" s="14">
        <v>0.0</v>
      </c>
      <c r="I8" s="14">
        <v>0.0</v>
      </c>
      <c r="J8" s="14">
        <v>1.0</v>
      </c>
    </row>
    <row r="9">
      <c r="A9" s="22" t="s">
        <v>510</v>
      </c>
      <c r="B9" s="21">
        <f t="shared" si="2"/>
        <v>1500</v>
      </c>
      <c r="C9" s="21" t="str">
        <f>VLOOKUP(A9, hash!A$2:B$500, 2, 0)</f>
        <v>6334931c5db42318c75b941a</v>
      </c>
      <c r="D9" s="23">
        <f t="shared" si="3"/>
        <v>1</v>
      </c>
      <c r="E9" s="14">
        <v>0.0</v>
      </c>
      <c r="F9" s="14">
        <v>0.0</v>
      </c>
      <c r="G9" s="14">
        <v>0.0</v>
      </c>
      <c r="H9" s="14">
        <v>0.0</v>
      </c>
      <c r="I9" s="14">
        <v>0.0</v>
      </c>
      <c r="J9" s="14">
        <v>1.0</v>
      </c>
    </row>
    <row r="10">
      <c r="A10" s="22" t="s">
        <v>56</v>
      </c>
      <c r="B10" s="21">
        <f t="shared" si="2"/>
        <v>1500</v>
      </c>
      <c r="C10" s="21" t="str">
        <f>VLOOKUP(A10, hash!A$2:B$500, 2, 0)</f>
        <v>64515f804c53122bd367c958</v>
      </c>
      <c r="D10" s="23">
        <f t="shared" si="3"/>
        <v>1</v>
      </c>
      <c r="E10" s="14">
        <v>0.0</v>
      </c>
      <c r="F10" s="14">
        <v>0.0</v>
      </c>
      <c r="G10" s="14">
        <v>0.0</v>
      </c>
      <c r="H10" s="14">
        <v>0.0</v>
      </c>
      <c r="I10" s="14">
        <v>0.0</v>
      </c>
      <c r="J10" s="14">
        <v>1.0</v>
      </c>
    </row>
    <row r="11">
      <c r="A11" s="22" t="s">
        <v>15</v>
      </c>
      <c r="B11" s="21">
        <f t="shared" si="2"/>
        <v>1500</v>
      </c>
      <c r="C11" s="21" t="str">
        <f>VLOOKUP(A11, hash!A$2:B$500, 2, 0)</f>
        <v>65020037540ba7cc68909a9b</v>
      </c>
      <c r="D11" s="23">
        <f t="shared" si="3"/>
        <v>1</v>
      </c>
      <c r="E11" s="14">
        <v>0.0</v>
      </c>
      <c r="F11" s="14">
        <v>0.0</v>
      </c>
      <c r="G11" s="14">
        <v>0.0</v>
      </c>
      <c r="H11" s="14">
        <v>0.0</v>
      </c>
      <c r="I11" s="14">
        <v>0.0</v>
      </c>
      <c r="J11" s="14">
        <v>1.0</v>
      </c>
    </row>
    <row r="12">
      <c r="A12" s="22" t="s">
        <v>18</v>
      </c>
      <c r="B12" s="21">
        <f t="shared" si="2"/>
        <v>1500</v>
      </c>
      <c r="C12" s="21" t="str">
        <f>VLOOKUP(A12, hash!A$2:B$500, 2, 0)</f>
        <v>6502003d1d8cbbbd315ad525</v>
      </c>
      <c r="D12" s="23">
        <f t="shared" si="3"/>
        <v>1</v>
      </c>
      <c r="E12" s="14">
        <v>0.0</v>
      </c>
      <c r="F12" s="14">
        <v>0.0</v>
      </c>
      <c r="G12" s="14">
        <v>0.0</v>
      </c>
      <c r="H12" s="14">
        <v>0.0</v>
      </c>
      <c r="I12" s="14">
        <v>0.0</v>
      </c>
      <c r="J12" s="14">
        <v>1.0</v>
      </c>
    </row>
    <row r="13">
      <c r="A13" s="22" t="s">
        <v>11</v>
      </c>
      <c r="B13" s="21">
        <f t="shared" si="2"/>
        <v>1500</v>
      </c>
      <c r="C13" s="21" t="str">
        <f>VLOOKUP(A13, hash!A$2:B$500, 2, 0)</f>
        <v>6502005e1d8cbbbd315ad52c</v>
      </c>
      <c r="D13" s="23">
        <f t="shared" si="3"/>
        <v>1</v>
      </c>
      <c r="E13" s="14">
        <v>0.0</v>
      </c>
      <c r="F13" s="14">
        <v>0.0</v>
      </c>
      <c r="G13" s="14">
        <v>0.0</v>
      </c>
      <c r="H13" s="14">
        <v>0.0</v>
      </c>
      <c r="I13" s="14">
        <v>0.0</v>
      </c>
      <c r="J13" s="14">
        <v>1.0</v>
      </c>
    </row>
    <row r="14">
      <c r="A14" s="22" t="s">
        <v>19</v>
      </c>
      <c r="B14" s="21">
        <f t="shared" si="2"/>
        <v>1500</v>
      </c>
      <c r="C14" s="21" t="str">
        <f>VLOOKUP(A14, hash!A$2:B$500, 2, 0)</f>
        <v>6502007357ae167867eac223</v>
      </c>
      <c r="D14" s="23">
        <f t="shared" si="3"/>
        <v>1</v>
      </c>
      <c r="E14" s="14">
        <v>0.0</v>
      </c>
      <c r="F14" s="14">
        <v>0.0</v>
      </c>
      <c r="G14" s="14">
        <v>0.0</v>
      </c>
      <c r="H14" s="14">
        <v>0.0</v>
      </c>
      <c r="I14" s="14">
        <v>0.0</v>
      </c>
      <c r="J14" s="14">
        <v>1.0</v>
      </c>
    </row>
    <row r="15">
      <c r="A15" s="22" t="s">
        <v>40</v>
      </c>
      <c r="B15" s="21">
        <f t="shared" si="2"/>
        <v>1500</v>
      </c>
      <c r="C15" s="21" t="str">
        <f>VLOOKUP(A15, hash!A$2:B$500, 2, 0)</f>
        <v>65020bed03dd812a55d3a207</v>
      </c>
      <c r="D15" s="23">
        <f t="shared" si="3"/>
        <v>1</v>
      </c>
      <c r="E15" s="14">
        <v>0.0</v>
      </c>
      <c r="F15" s="14">
        <v>0.0</v>
      </c>
      <c r="G15" s="14">
        <v>0.0</v>
      </c>
      <c r="H15" s="14">
        <v>0.0</v>
      </c>
      <c r="I15" s="14">
        <v>0.0</v>
      </c>
      <c r="J15" s="14">
        <v>1.0</v>
      </c>
    </row>
    <row r="16">
      <c r="A16" s="22" t="s">
        <v>23</v>
      </c>
      <c r="B16" s="21">
        <f t="shared" si="2"/>
        <v>1500</v>
      </c>
      <c r="C16" s="21" t="str">
        <f>VLOOKUP(A16, hash!A$2:B$500, 2, 0)</f>
        <v>65020bfe097ac3c9d063264f</v>
      </c>
      <c r="D16" s="23">
        <f t="shared" si="3"/>
        <v>1</v>
      </c>
      <c r="E16" s="14">
        <v>0.0</v>
      </c>
      <c r="F16" s="14">
        <v>0.0</v>
      </c>
      <c r="G16" s="14">
        <v>0.0</v>
      </c>
      <c r="H16" s="14">
        <v>0.0</v>
      </c>
      <c r="I16" s="14">
        <v>0.0</v>
      </c>
      <c r="J16" s="14">
        <v>1.0</v>
      </c>
    </row>
    <row r="17">
      <c r="A17" s="22" t="s">
        <v>12</v>
      </c>
      <c r="B17" s="21">
        <f t="shared" si="2"/>
        <v>1500</v>
      </c>
      <c r="C17" s="21" t="str">
        <f>VLOOKUP(A17, hash!A$2:B$500, 2, 0)</f>
        <v>651dadf4a69631c34bde617f</v>
      </c>
      <c r="D17" s="23">
        <f t="shared" si="3"/>
        <v>1</v>
      </c>
      <c r="E17" s="14">
        <v>0.0</v>
      </c>
      <c r="F17" s="14">
        <v>0.0</v>
      </c>
      <c r="G17" s="14">
        <v>0.0</v>
      </c>
      <c r="H17" s="14">
        <v>0.0</v>
      </c>
      <c r="I17" s="14">
        <v>0.0</v>
      </c>
      <c r="J17" s="14">
        <v>1.0</v>
      </c>
    </row>
    <row r="18">
      <c r="A18" s="22" t="s">
        <v>39</v>
      </c>
      <c r="B18" s="21">
        <f t="shared" si="2"/>
        <v>1500</v>
      </c>
      <c r="C18" s="21" t="str">
        <f>VLOOKUP(A18, hash!A$2:B$500, 2, 0)</f>
        <v>6594377be0f4f63927a8ce26</v>
      </c>
      <c r="D18" s="23">
        <f t="shared" si="3"/>
        <v>1</v>
      </c>
      <c r="E18" s="14">
        <v>0.0</v>
      </c>
      <c r="F18" s="14">
        <v>0.0</v>
      </c>
      <c r="G18" s="14">
        <v>0.0</v>
      </c>
      <c r="H18" s="14">
        <v>0.0</v>
      </c>
      <c r="I18" s="14">
        <v>0.0</v>
      </c>
      <c r="J18" s="14">
        <v>1.0</v>
      </c>
    </row>
    <row r="19">
      <c r="A19" s="22" t="s">
        <v>42</v>
      </c>
      <c r="B19" s="21">
        <f t="shared" si="2"/>
        <v>1500</v>
      </c>
      <c r="C19" s="21" t="str">
        <f>VLOOKUP(A19, hash!A$2:B$500, 2, 0)</f>
        <v>66e1e102a61e89c7c68f6e2f</v>
      </c>
      <c r="D19" s="23">
        <f t="shared" si="3"/>
        <v>1</v>
      </c>
      <c r="E19" s="14">
        <v>0.0</v>
      </c>
      <c r="F19" s="14">
        <v>0.0</v>
      </c>
      <c r="G19" s="14">
        <v>0.0</v>
      </c>
      <c r="H19" s="14">
        <v>0.0</v>
      </c>
      <c r="I19" s="14">
        <v>0.0</v>
      </c>
      <c r="J19" s="14">
        <v>1.0</v>
      </c>
    </row>
    <row r="20">
      <c r="A20" s="22" t="s">
        <v>43</v>
      </c>
      <c r="B20" s="21">
        <f t="shared" si="2"/>
        <v>1500</v>
      </c>
      <c r="C20" s="21" t="str">
        <f>VLOOKUP(A20, hash!A$2:B$500, 2, 0)</f>
        <v>66e1e108a61e89c7c68f6e31</v>
      </c>
      <c r="D20" s="23">
        <f t="shared" si="3"/>
        <v>1</v>
      </c>
      <c r="E20" s="14">
        <v>0.0</v>
      </c>
      <c r="F20" s="14">
        <v>0.0</v>
      </c>
      <c r="G20" s="14">
        <v>0.0</v>
      </c>
      <c r="H20" s="14">
        <v>0.0</v>
      </c>
      <c r="I20" s="14">
        <v>0.0</v>
      </c>
      <c r="J20" s="14">
        <v>1.0</v>
      </c>
    </row>
    <row r="21">
      <c r="A21" s="22" t="s">
        <v>14</v>
      </c>
      <c r="B21" s="21">
        <f t="shared" si="2"/>
        <v>1500</v>
      </c>
      <c r="C21" s="21" t="str">
        <f>VLOOKUP(A21, hash!A$2:B$500, 2, 0)</f>
        <v>66e1e10f7a8e6dc2aed3a63c</v>
      </c>
      <c r="D21" s="23">
        <f t="shared" si="3"/>
        <v>1</v>
      </c>
      <c r="E21" s="14">
        <v>0.0</v>
      </c>
      <c r="F21" s="14">
        <v>0.0</v>
      </c>
      <c r="G21" s="14">
        <v>0.0</v>
      </c>
      <c r="H21" s="14">
        <v>0.0</v>
      </c>
      <c r="I21" s="14">
        <v>0.0</v>
      </c>
      <c r="J21" s="14">
        <v>1.0</v>
      </c>
    </row>
    <row r="22">
      <c r="A22" s="22" t="s">
        <v>50</v>
      </c>
      <c r="B22" s="21">
        <f t="shared" si="2"/>
        <v>1500</v>
      </c>
      <c r="C22" s="21" t="str">
        <f>VLOOKUP(A22, hash!A$2:B$500, 2, 0)</f>
        <v>66e1e1227a8e6dc2aed3a641</v>
      </c>
      <c r="D22" s="23">
        <f t="shared" si="3"/>
        <v>1</v>
      </c>
      <c r="E22" s="14">
        <v>0.0</v>
      </c>
      <c r="F22" s="14">
        <v>0.0</v>
      </c>
      <c r="G22" s="14">
        <v>0.0</v>
      </c>
      <c r="H22" s="14">
        <v>0.0</v>
      </c>
      <c r="I22" s="14">
        <v>0.0</v>
      </c>
      <c r="J22" s="14">
        <v>1.0</v>
      </c>
    </row>
    <row r="23">
      <c r="A23" s="22" t="s">
        <v>9</v>
      </c>
      <c r="B23" s="21">
        <f t="shared" si="2"/>
        <v>1500</v>
      </c>
      <c r="C23" s="21" t="str">
        <f>VLOOKUP(A23, hash!A$2:B$500, 2, 0)</f>
        <v>66e1e1237a8e6dc2aed3a642</v>
      </c>
      <c r="D23" s="23">
        <f t="shared" si="3"/>
        <v>1</v>
      </c>
      <c r="E23" s="14">
        <v>0.0</v>
      </c>
      <c r="F23" s="14">
        <v>0.0</v>
      </c>
      <c r="G23" s="14">
        <v>0.0</v>
      </c>
      <c r="H23" s="14">
        <v>0.0</v>
      </c>
      <c r="I23" s="14">
        <v>0.0</v>
      </c>
      <c r="J23" s="14">
        <v>1.0</v>
      </c>
    </row>
    <row r="24">
      <c r="A24" s="22" t="s">
        <v>44</v>
      </c>
      <c r="B24" s="21">
        <f t="shared" si="2"/>
        <v>1500</v>
      </c>
      <c r="C24" s="21" t="str">
        <f>VLOOKUP(A24, hash!A$2:B$500, 2, 0)</f>
        <v>66e1e125f0db8f5922c91d84</v>
      </c>
      <c r="D24" s="23">
        <f t="shared" si="3"/>
        <v>1</v>
      </c>
      <c r="E24" s="14">
        <v>0.0</v>
      </c>
      <c r="F24" s="14">
        <v>0.0</v>
      </c>
      <c r="G24" s="14">
        <v>0.0</v>
      </c>
      <c r="H24" s="14">
        <v>0.0</v>
      </c>
      <c r="I24" s="14">
        <v>0.0</v>
      </c>
      <c r="J24" s="14">
        <v>1.0</v>
      </c>
    </row>
    <row r="25">
      <c r="A25" s="22" t="s">
        <v>16</v>
      </c>
      <c r="B25" s="21">
        <f t="shared" si="2"/>
        <v>1500</v>
      </c>
      <c r="C25" s="21" t="str">
        <f>VLOOKUP(A25, hash!A$2:B$500, 2, 0)</f>
        <v>66e1e1267a8e6dc2aed3a644</v>
      </c>
      <c r="D25" s="23">
        <f t="shared" si="3"/>
        <v>1</v>
      </c>
      <c r="E25" s="14">
        <v>0.0</v>
      </c>
      <c r="F25" s="14">
        <v>0.0</v>
      </c>
      <c r="G25" s="14">
        <v>0.0</v>
      </c>
      <c r="H25" s="14">
        <v>0.0</v>
      </c>
      <c r="I25" s="14">
        <v>0.0</v>
      </c>
      <c r="J25" s="14">
        <v>1.0</v>
      </c>
    </row>
    <row r="26">
      <c r="A26" s="22" t="s">
        <v>24</v>
      </c>
      <c r="B26" s="21">
        <f t="shared" si="2"/>
        <v>1500</v>
      </c>
      <c r="C26" s="21" t="str">
        <f>VLOOKUP(A26, hash!A$2:B$500, 2, 0)</f>
        <v>66e1e1277a8e6dc2aed3a645</v>
      </c>
      <c r="D26" s="23">
        <f t="shared" si="3"/>
        <v>1</v>
      </c>
      <c r="E26" s="14">
        <v>0.0</v>
      </c>
      <c r="F26" s="14">
        <v>1.0</v>
      </c>
      <c r="G26" s="14">
        <v>0.0</v>
      </c>
      <c r="H26" s="14">
        <v>0.0</v>
      </c>
      <c r="I26" s="14">
        <v>0.0</v>
      </c>
      <c r="J26" s="14">
        <v>0.0</v>
      </c>
    </row>
    <row r="27">
      <c r="A27" s="22" t="s">
        <v>62</v>
      </c>
      <c r="B27" s="21">
        <f t="shared" si="2"/>
        <v>1500</v>
      </c>
      <c r="C27" s="21" t="str">
        <f>VLOOKUP(A27, hash!A$2:B$500, 2, 0)</f>
        <v>66e1e12a45950d34f3139132</v>
      </c>
      <c r="D27" s="23">
        <f t="shared" si="3"/>
        <v>1</v>
      </c>
      <c r="E27" s="14">
        <v>0.0</v>
      </c>
      <c r="F27" s="14">
        <v>0.0</v>
      </c>
      <c r="G27" s="14">
        <v>0.0</v>
      </c>
      <c r="H27" s="14">
        <v>0.0</v>
      </c>
      <c r="I27" s="14">
        <v>0.0</v>
      </c>
      <c r="J27" s="14">
        <v>1.0</v>
      </c>
    </row>
    <row r="28">
      <c r="A28" s="22" t="s">
        <v>63</v>
      </c>
      <c r="B28" s="21">
        <f t="shared" si="2"/>
        <v>1500</v>
      </c>
      <c r="C28" s="21" t="str">
        <f>VLOOKUP(A28, hash!A$2:B$500, 2, 0)</f>
        <v>66e1e12cf0db8f5922c91d89</v>
      </c>
      <c r="D28" s="23">
        <f t="shared" si="3"/>
        <v>1</v>
      </c>
      <c r="E28" s="14">
        <v>0.0</v>
      </c>
      <c r="F28" s="14">
        <v>0.0</v>
      </c>
      <c r="G28" s="14">
        <v>0.0</v>
      </c>
      <c r="H28" s="14">
        <v>0.0</v>
      </c>
      <c r="I28" s="14">
        <v>0.0</v>
      </c>
      <c r="J28" s="14">
        <v>1.0</v>
      </c>
    </row>
    <row r="29">
      <c r="A29" s="22" t="s">
        <v>41</v>
      </c>
      <c r="B29" s="21">
        <f t="shared" si="2"/>
        <v>1500</v>
      </c>
      <c r="C29" s="21" t="str">
        <f>VLOOKUP(A29, hash!A$2:B$500, 2, 0)</f>
        <v>66e1e12ef0db8f5922c91d8b</v>
      </c>
      <c r="D29" s="23">
        <f t="shared" si="3"/>
        <v>1</v>
      </c>
      <c r="E29" s="14">
        <v>0.0</v>
      </c>
      <c r="F29" s="14">
        <v>0.0</v>
      </c>
      <c r="G29" s="14">
        <v>0.0</v>
      </c>
      <c r="H29" s="14">
        <v>0.0</v>
      </c>
      <c r="I29" s="14">
        <v>0.0</v>
      </c>
      <c r="J29" s="14">
        <v>1.0</v>
      </c>
    </row>
    <row r="30">
      <c r="A30" s="22" t="s">
        <v>57</v>
      </c>
      <c r="B30" s="21">
        <f t="shared" si="2"/>
        <v>1500</v>
      </c>
      <c r="C30" s="21" t="str">
        <f>VLOOKUP(A30, hash!A$2:B$500, 2, 0)</f>
        <v>66e1e13168fa766abf5d11d8</v>
      </c>
      <c r="D30" s="23">
        <f t="shared" si="3"/>
        <v>1</v>
      </c>
      <c r="E30" s="14">
        <v>0.0</v>
      </c>
      <c r="F30" s="14">
        <v>0.0</v>
      </c>
      <c r="G30" s="14">
        <v>0.0</v>
      </c>
      <c r="H30" s="14">
        <v>0.0</v>
      </c>
      <c r="I30" s="14">
        <v>0.0</v>
      </c>
      <c r="J30" s="14">
        <v>1.0</v>
      </c>
    </row>
    <row r="31">
      <c r="A31" s="22" t="s">
        <v>31</v>
      </c>
      <c r="B31" s="21">
        <f t="shared" si="2"/>
        <v>1500</v>
      </c>
      <c r="C31" s="21" t="str">
        <f>VLOOKUP(A31, hash!A$2:B$500, 2, 0)</f>
        <v>66e1e13fdb315cbd40043fca</v>
      </c>
      <c r="D31" s="23">
        <f t="shared" si="3"/>
        <v>1</v>
      </c>
      <c r="E31" s="14">
        <v>0.0</v>
      </c>
      <c r="F31" s="14">
        <v>0.0</v>
      </c>
      <c r="G31" s="14">
        <v>0.0</v>
      </c>
      <c r="H31" s="14">
        <v>0.0</v>
      </c>
      <c r="I31" s="14">
        <v>0.0</v>
      </c>
      <c r="J31" s="14">
        <v>1.0</v>
      </c>
    </row>
    <row r="32">
      <c r="A32" s="22" t="s">
        <v>29</v>
      </c>
      <c r="B32" s="21">
        <f t="shared" si="2"/>
        <v>1500</v>
      </c>
      <c r="C32" s="21" t="str">
        <f>VLOOKUP(A32, hash!A$2:B$500, 2, 0)</f>
        <v>66e1e1659bdd593ffcd624e6</v>
      </c>
      <c r="D32" s="23">
        <f t="shared" si="3"/>
        <v>1</v>
      </c>
      <c r="E32" s="14">
        <v>0.0</v>
      </c>
      <c r="F32" s="14">
        <v>0.0</v>
      </c>
      <c r="G32" s="14">
        <v>0.0</v>
      </c>
      <c r="H32" s="14">
        <v>0.0</v>
      </c>
      <c r="I32" s="14">
        <v>0.0</v>
      </c>
      <c r="J32" s="14">
        <v>1.0</v>
      </c>
    </row>
    <row r="33">
      <c r="A33" s="22" t="s">
        <v>38</v>
      </c>
      <c r="B33" s="21">
        <f t="shared" si="2"/>
        <v>1500</v>
      </c>
      <c r="C33" s="21" t="str">
        <f>VLOOKUP(A33, hash!A$2:B$500, 2, 0)</f>
        <v>66e1e295c67d6a88d4309dde</v>
      </c>
      <c r="D33" s="23">
        <f t="shared" si="3"/>
        <v>1</v>
      </c>
      <c r="E33" s="14">
        <v>0.0</v>
      </c>
      <c r="F33" s="14">
        <v>0.0</v>
      </c>
      <c r="G33" s="14">
        <v>0.0</v>
      </c>
      <c r="H33" s="14">
        <v>0.0</v>
      </c>
      <c r="I33" s="14">
        <v>0.0</v>
      </c>
      <c r="J33" s="14">
        <v>1.0</v>
      </c>
    </row>
    <row r="34">
      <c r="A34" s="22" t="s">
        <v>64</v>
      </c>
      <c r="B34" s="21">
        <f t="shared" si="2"/>
        <v>1500</v>
      </c>
      <c r="C34" s="21" t="str">
        <f>VLOOKUP(A34, hash!A$2:B$500, 2, 0)</f>
        <v>66e1ed8c1129889a3e2c24aa</v>
      </c>
      <c r="D34" s="23">
        <f t="shared" si="3"/>
        <v>1</v>
      </c>
      <c r="E34" s="14">
        <v>0.0</v>
      </c>
      <c r="F34" s="14">
        <v>0.0</v>
      </c>
      <c r="G34" s="14">
        <v>0.0</v>
      </c>
      <c r="H34" s="14">
        <v>0.0</v>
      </c>
      <c r="I34" s="14">
        <v>0.0</v>
      </c>
      <c r="J34" s="14">
        <v>1.0</v>
      </c>
    </row>
    <row r="35">
      <c r="A35" s="22" t="s">
        <v>45</v>
      </c>
      <c r="B35" s="21">
        <f t="shared" si="2"/>
        <v>1500</v>
      </c>
      <c r="C35" s="21" t="str">
        <f>VLOOKUP(A35, hash!A$2:B$500, 2, 0)</f>
        <v>66e1ed8d1129889a3e2c24ab</v>
      </c>
      <c r="D35" s="23">
        <f t="shared" si="3"/>
        <v>1</v>
      </c>
      <c r="E35" s="14">
        <v>0.0</v>
      </c>
      <c r="F35" s="14">
        <v>0.0</v>
      </c>
      <c r="G35" s="14">
        <v>0.0</v>
      </c>
      <c r="H35" s="14">
        <v>0.0</v>
      </c>
      <c r="I35" s="14">
        <v>0.0</v>
      </c>
      <c r="J35" s="14">
        <v>1.0</v>
      </c>
    </row>
    <row r="36">
      <c r="A36" s="22" t="s">
        <v>35</v>
      </c>
      <c r="B36" s="21">
        <f t="shared" si="2"/>
        <v>1500</v>
      </c>
      <c r="C36" s="21" t="str">
        <f>VLOOKUP(A36, hash!A$2:B$500, 2, 0)</f>
        <v>66eb1b4237edf2b32f9fc2ec</v>
      </c>
      <c r="D36" s="23">
        <f t="shared" si="3"/>
        <v>1</v>
      </c>
      <c r="E36" s="14">
        <v>0.0</v>
      </c>
      <c r="F36" s="14">
        <v>0.0</v>
      </c>
      <c r="G36" s="14">
        <v>0.0</v>
      </c>
      <c r="H36" s="14">
        <v>0.0</v>
      </c>
      <c r="I36" s="14">
        <v>0.0</v>
      </c>
      <c r="J36" s="14">
        <v>1.0</v>
      </c>
    </row>
    <row r="37">
      <c r="A37" s="22" t="s">
        <v>65</v>
      </c>
      <c r="B37" s="21">
        <f t="shared" si="2"/>
        <v>1500</v>
      </c>
      <c r="C37" s="21" t="str">
        <f>VLOOKUP(A37, hash!A$2:B$500, 2, 0)</f>
        <v>67194c61fd5423623b1a2f50</v>
      </c>
      <c r="D37" s="23">
        <f t="shared" si="3"/>
        <v>1</v>
      </c>
      <c r="E37" s="14">
        <v>0.0</v>
      </c>
      <c r="F37" s="14">
        <v>0.0</v>
      </c>
      <c r="G37" s="14">
        <v>0.0</v>
      </c>
      <c r="H37" s="14">
        <v>0.0</v>
      </c>
      <c r="I37" s="14">
        <v>0.0</v>
      </c>
      <c r="J37" s="14">
        <v>1.0</v>
      </c>
    </row>
    <row r="38">
      <c r="A38" s="22" t="s">
        <v>511</v>
      </c>
      <c r="B38" s="21">
        <f t="shared" si="2"/>
        <v>1500</v>
      </c>
      <c r="C38" s="21" t="str">
        <f>VLOOKUP(A38, hash!A$2:B$500, 2, 0)</f>
        <v>672288c715f26c44c0143302</v>
      </c>
      <c r="D38" s="23">
        <f t="shared" si="3"/>
        <v>1</v>
      </c>
      <c r="E38" s="14">
        <v>0.0</v>
      </c>
      <c r="F38" s="14">
        <v>0.0</v>
      </c>
      <c r="G38" s="14">
        <v>0.0</v>
      </c>
      <c r="H38" s="14">
        <v>0.0</v>
      </c>
      <c r="I38" s="14">
        <v>0.0</v>
      </c>
      <c r="J38" s="14">
        <v>1.0</v>
      </c>
    </row>
    <row r="39">
      <c r="A39" s="22" t="s">
        <v>28</v>
      </c>
      <c r="B39" s="21">
        <f t="shared" si="2"/>
        <v>1500</v>
      </c>
      <c r="C39" s="21" t="str">
        <f>VLOOKUP(A39, hash!A$2:B$500, 2, 0)</f>
        <v>672a75c30d4b802ed589275d</v>
      </c>
      <c r="D39" s="23">
        <f t="shared" si="3"/>
        <v>1</v>
      </c>
      <c r="E39" s="14">
        <v>0.0</v>
      </c>
      <c r="F39" s="14">
        <v>0.0</v>
      </c>
      <c r="G39" s="14">
        <v>0.0</v>
      </c>
      <c r="H39" s="14">
        <v>0.0</v>
      </c>
      <c r="I39" s="14">
        <v>0.0</v>
      </c>
      <c r="J39" s="14">
        <v>1.0</v>
      </c>
    </row>
    <row r="40">
      <c r="A40" s="22" t="s">
        <v>66</v>
      </c>
      <c r="B40" s="21">
        <f t="shared" si="2"/>
        <v>1500</v>
      </c>
      <c r="C40" s="21" t="str">
        <f>VLOOKUP(A40, hash!A$2:B$500, 2, 0)</f>
        <v>68a8f8ba8829a7be88667a86</v>
      </c>
      <c r="D40" s="23">
        <f t="shared" si="3"/>
        <v>1</v>
      </c>
      <c r="E40" s="14">
        <v>0.0</v>
      </c>
      <c r="F40" s="14">
        <v>0.0</v>
      </c>
      <c r="G40" s="14">
        <v>0.0</v>
      </c>
      <c r="H40" s="14">
        <v>0.0</v>
      </c>
      <c r="I40" s="14">
        <v>0.0</v>
      </c>
      <c r="J40" s="14">
        <v>1.0</v>
      </c>
    </row>
    <row r="41">
      <c r="A41" s="22" t="s">
        <v>68</v>
      </c>
      <c r="B41" s="21">
        <f t="shared" si="2"/>
        <v>1500</v>
      </c>
      <c r="C41" s="21" t="str">
        <f>VLOOKUP(A41, hash!A$2:B$500, 2, 0)</f>
        <v>68af5fb7a3c82a4914c27eae</v>
      </c>
      <c r="D41" s="23">
        <f t="shared" si="3"/>
        <v>1</v>
      </c>
      <c r="E41" s="14">
        <v>0.0</v>
      </c>
      <c r="F41" s="14">
        <v>0.0</v>
      </c>
      <c r="G41" s="14">
        <v>0.0</v>
      </c>
      <c r="H41" s="14">
        <v>0.0</v>
      </c>
      <c r="I41" s="14">
        <v>0.0</v>
      </c>
      <c r="J41" s="14">
        <v>1.0</v>
      </c>
    </row>
    <row r="42">
      <c r="A42" s="22" t="s">
        <v>69</v>
      </c>
      <c r="B42" s="21">
        <f t="shared" si="2"/>
        <v>1500</v>
      </c>
      <c r="C42" s="21" t="str">
        <f>VLOOKUP(A42, hash!A$2:B$500, 2, 0)</f>
        <v>68b201d43ba156dcc33e83fd</v>
      </c>
      <c r="D42" s="23">
        <f t="shared" si="3"/>
        <v>1</v>
      </c>
      <c r="E42" s="14">
        <v>0.0</v>
      </c>
      <c r="F42" s="14">
        <v>0.0</v>
      </c>
      <c r="G42" s="14">
        <v>0.0</v>
      </c>
      <c r="H42" s="14">
        <v>0.0</v>
      </c>
      <c r="I42" s="14">
        <v>0.0</v>
      </c>
      <c r="J42" s="14">
        <v>1.0</v>
      </c>
    </row>
    <row r="43">
      <c r="A43" s="22" t="s">
        <v>70</v>
      </c>
      <c r="B43" s="21">
        <f t="shared" si="2"/>
        <v>1500</v>
      </c>
      <c r="C43" s="21" t="str">
        <f>VLOOKUP(A43, hash!A$2:B$500, 2, 0)</f>
        <v>68c1c2d66d9fc0b28257c5ec</v>
      </c>
      <c r="D43" s="23">
        <f t="shared" si="3"/>
        <v>1</v>
      </c>
      <c r="E43" s="14">
        <v>0.0</v>
      </c>
      <c r="F43" s="14">
        <v>0.0</v>
      </c>
      <c r="G43" s="14">
        <v>0.0</v>
      </c>
      <c r="H43" s="14">
        <v>0.0</v>
      </c>
      <c r="I43" s="14">
        <v>0.0</v>
      </c>
      <c r="J43" s="14">
        <v>1.0</v>
      </c>
    </row>
    <row r="44">
      <c r="A44" s="22" t="s">
        <v>71</v>
      </c>
      <c r="B44" s="21">
        <f t="shared" si="2"/>
        <v>1500</v>
      </c>
      <c r="C44" s="21" t="str">
        <f>VLOOKUP(A44, hash!A$2:B$500, 2, 0)</f>
        <v>68c1c2fb9900186967b69332</v>
      </c>
      <c r="D44" s="23">
        <f t="shared" si="3"/>
        <v>1</v>
      </c>
      <c r="E44" s="14">
        <v>0.0</v>
      </c>
      <c r="F44" s="14">
        <v>0.0</v>
      </c>
      <c r="G44" s="14">
        <v>0.0</v>
      </c>
      <c r="H44" s="14">
        <v>0.0</v>
      </c>
      <c r="I44" s="14">
        <v>0.0</v>
      </c>
      <c r="J44" s="14">
        <v>1.0</v>
      </c>
    </row>
    <row r="45">
      <c r="A45" s="22" t="s">
        <v>36</v>
      </c>
      <c r="B45" s="21">
        <f t="shared" si="2"/>
        <v>1500</v>
      </c>
      <c r="C45" s="21" t="str">
        <f>VLOOKUP(A45, hash!A$2:B$500, 2, 0)</f>
        <v>68c1c3056d9fc0b28257c5ed</v>
      </c>
      <c r="D45" s="23">
        <f t="shared" si="3"/>
        <v>1</v>
      </c>
      <c r="E45" s="14">
        <v>0.0</v>
      </c>
      <c r="F45" s="14">
        <v>0.0</v>
      </c>
      <c r="G45" s="14">
        <v>0.0</v>
      </c>
      <c r="H45" s="14">
        <v>0.0</v>
      </c>
      <c r="I45" s="14">
        <v>0.0</v>
      </c>
      <c r="J45" s="14">
        <v>1.0</v>
      </c>
    </row>
    <row r="46">
      <c r="A46" s="22" t="s">
        <v>51</v>
      </c>
      <c r="B46" s="21">
        <f t="shared" si="2"/>
        <v>1500</v>
      </c>
      <c r="C46" s="21" t="str">
        <f>VLOOKUP(A46, hash!A$2:B$500, 2, 0)</f>
        <v>68c1c30f6d9fc0b28257c5f0</v>
      </c>
      <c r="D46" s="23">
        <f t="shared" si="3"/>
        <v>1</v>
      </c>
      <c r="E46" s="14">
        <v>0.0</v>
      </c>
      <c r="F46" s="14">
        <v>0.0</v>
      </c>
      <c r="G46" s="14">
        <v>0.0</v>
      </c>
      <c r="H46" s="14">
        <v>0.0</v>
      </c>
      <c r="I46" s="14">
        <v>0.0</v>
      </c>
      <c r="J46" s="14">
        <v>1.0</v>
      </c>
    </row>
    <row r="47">
      <c r="A47" s="22" t="s">
        <v>58</v>
      </c>
      <c r="B47" s="21">
        <f t="shared" si="2"/>
        <v>1500</v>
      </c>
      <c r="C47" s="21" t="str">
        <f>VLOOKUP(A47, hash!A$2:B$500, 2, 0)</f>
        <v>68c1c3336d9fc0b28257c5f4</v>
      </c>
      <c r="D47" s="23">
        <f t="shared" si="3"/>
        <v>1</v>
      </c>
      <c r="E47" s="14">
        <v>0.0</v>
      </c>
      <c r="F47" s="14">
        <v>0.0</v>
      </c>
      <c r="G47" s="14">
        <v>0.0</v>
      </c>
      <c r="H47" s="14">
        <v>0.0</v>
      </c>
      <c r="I47" s="14">
        <v>0.0</v>
      </c>
      <c r="J47" s="14">
        <v>1.0</v>
      </c>
    </row>
    <row r="48">
      <c r="A48" s="22" t="s">
        <v>72</v>
      </c>
      <c r="B48" s="21">
        <f t="shared" si="2"/>
        <v>1500</v>
      </c>
      <c r="C48" s="21" t="str">
        <f>VLOOKUP(A48, hash!A$2:B$500, 2, 0)</f>
        <v>68c1c3386d9fc0b28257c5f5</v>
      </c>
      <c r="D48" s="23">
        <f t="shared" si="3"/>
        <v>1</v>
      </c>
      <c r="E48" s="14">
        <v>0.0</v>
      </c>
      <c r="F48" s="14">
        <v>0.0</v>
      </c>
      <c r="G48" s="14">
        <v>0.0</v>
      </c>
      <c r="H48" s="14">
        <v>0.0</v>
      </c>
      <c r="I48" s="14">
        <v>0.0</v>
      </c>
      <c r="J48" s="14">
        <v>1.0</v>
      </c>
    </row>
    <row r="49">
      <c r="A49" s="22" t="s">
        <v>46</v>
      </c>
      <c r="B49" s="21">
        <f t="shared" si="2"/>
        <v>1500</v>
      </c>
      <c r="C49" s="21" t="str">
        <f>VLOOKUP(A49, hash!A$2:B$500, 2, 0)</f>
        <v>68c1c3396d9fc0b28257c5f6</v>
      </c>
      <c r="D49" s="23">
        <f t="shared" si="3"/>
        <v>1</v>
      </c>
      <c r="E49" s="14">
        <v>0.0</v>
      </c>
      <c r="F49" s="14">
        <v>0.0</v>
      </c>
      <c r="G49" s="14">
        <v>0.0</v>
      </c>
      <c r="H49" s="14">
        <v>0.0</v>
      </c>
      <c r="I49" s="14">
        <v>0.0</v>
      </c>
      <c r="J49" s="14">
        <v>1.0</v>
      </c>
    </row>
    <row r="50">
      <c r="A50" s="22" t="s">
        <v>52</v>
      </c>
      <c r="B50" s="21">
        <f t="shared" si="2"/>
        <v>1500</v>
      </c>
      <c r="C50" s="21" t="str">
        <f>VLOOKUP(A50, hash!A$2:B$500, 2, 0)</f>
        <v>68c1c42919cae884bc3ecddf</v>
      </c>
      <c r="D50" s="23">
        <f t="shared" si="3"/>
        <v>1</v>
      </c>
      <c r="E50" s="14">
        <v>0.0</v>
      </c>
      <c r="F50" s="14">
        <v>0.0</v>
      </c>
      <c r="G50" s="14">
        <v>0.0</v>
      </c>
      <c r="H50" s="14">
        <v>0.0</v>
      </c>
      <c r="I50" s="14">
        <v>0.0</v>
      </c>
      <c r="J50" s="14">
        <v>1.0</v>
      </c>
    </row>
    <row r="51">
      <c r="A51" s="22" t="s">
        <v>73</v>
      </c>
      <c r="B51" s="21">
        <f t="shared" si="2"/>
        <v>1500</v>
      </c>
      <c r="C51" s="21" t="str">
        <f>VLOOKUP(A51, hash!A$2:B$500, 2, 0)</f>
        <v>68c1c48aa70b0954910985c2</v>
      </c>
      <c r="D51" s="23">
        <f t="shared" si="3"/>
        <v>1</v>
      </c>
      <c r="E51" s="14">
        <v>0.0</v>
      </c>
      <c r="F51" s="14">
        <v>0.0</v>
      </c>
      <c r="G51" s="14">
        <v>0.0</v>
      </c>
      <c r="H51" s="14">
        <v>0.0</v>
      </c>
      <c r="I51" s="14">
        <v>0.0</v>
      </c>
      <c r="J51" s="14">
        <v>1.0</v>
      </c>
    </row>
    <row r="52">
      <c r="A52" s="22" t="s">
        <v>74</v>
      </c>
      <c r="B52" s="21">
        <f t="shared" si="2"/>
        <v>1500</v>
      </c>
      <c r="C52" s="21" t="str">
        <f>VLOOKUP(A52, hash!A$2:B$500, 2, 0)</f>
        <v>68c1c48c8d697869a6c944d3</v>
      </c>
      <c r="D52" s="23">
        <f t="shared" si="3"/>
        <v>1</v>
      </c>
      <c r="E52" s="14">
        <v>0.0</v>
      </c>
      <c r="F52" s="14">
        <v>0.0</v>
      </c>
      <c r="G52" s="14">
        <v>0.0</v>
      </c>
      <c r="H52" s="14">
        <v>0.0</v>
      </c>
      <c r="I52" s="14">
        <v>0.0</v>
      </c>
      <c r="J52" s="14">
        <v>1.0</v>
      </c>
    </row>
    <row r="53">
      <c r="A53" s="22" t="s">
        <v>20</v>
      </c>
      <c r="B53" s="21">
        <f t="shared" si="2"/>
        <v>1500</v>
      </c>
      <c r="C53" s="21" t="str">
        <f>VLOOKUP(A53, hash!A$2:B$500, 2, 0)</f>
        <v>68c1c4ad8d697869a6c944d9</v>
      </c>
      <c r="D53" s="23">
        <f t="shared" si="3"/>
        <v>1</v>
      </c>
      <c r="E53" s="14">
        <v>0.0</v>
      </c>
      <c r="F53" s="14">
        <v>0.0</v>
      </c>
      <c r="G53" s="14">
        <v>0.0</v>
      </c>
      <c r="H53" s="14">
        <v>0.0</v>
      </c>
      <c r="I53" s="14">
        <v>0.0</v>
      </c>
      <c r="J53" s="14">
        <v>1.0</v>
      </c>
    </row>
    <row r="54">
      <c r="A54" s="14" t="s">
        <v>75</v>
      </c>
      <c r="B54" s="21">
        <f t="shared" si="2"/>
        <v>1500</v>
      </c>
      <c r="C54" s="21" t="str">
        <f>VLOOKUP(A54, hash!A$2:B$500, 2, 0)</f>
        <v>68c1cf4ad4e889598e7f6131</v>
      </c>
      <c r="D54" s="23">
        <f t="shared" si="3"/>
        <v>1</v>
      </c>
      <c r="E54" s="14">
        <v>0.0</v>
      </c>
      <c r="F54" s="14">
        <v>0.0</v>
      </c>
      <c r="G54" s="14">
        <v>0.0</v>
      </c>
      <c r="H54" s="14">
        <v>0.0</v>
      </c>
      <c r="I54" s="14">
        <v>0.0</v>
      </c>
      <c r="J54" s="14">
        <v>1.0</v>
      </c>
    </row>
    <row r="55">
      <c r="A55" s="14" t="s">
        <v>76</v>
      </c>
      <c r="B55" s="21">
        <f t="shared" si="2"/>
        <v>1500</v>
      </c>
      <c r="C55" s="21" t="str">
        <f>VLOOKUP(A55, hash!A$2:B$500, 2, 0)</f>
        <v>68c1cf5ed4e889598e7f6138</v>
      </c>
      <c r="D55" s="23">
        <f t="shared" si="3"/>
        <v>1</v>
      </c>
      <c r="E55" s="14">
        <v>0.0</v>
      </c>
      <c r="F55" s="14">
        <v>0.0</v>
      </c>
      <c r="G55" s="14">
        <v>0.0</v>
      </c>
      <c r="H55" s="14">
        <v>0.0</v>
      </c>
      <c r="I55" s="14">
        <v>0.0</v>
      </c>
      <c r="J55" s="14">
        <v>1.0</v>
      </c>
    </row>
    <row r="56">
      <c r="A56" s="14" t="s">
        <v>512</v>
      </c>
      <c r="B56" s="21">
        <f t="shared" si="2"/>
        <v>1500</v>
      </c>
      <c r="C56" s="21" t="str">
        <f>VLOOKUP(A56, hash!A$2:B$500, 2, 0)</f>
        <v>68c1cf99d4e889598e7f613f</v>
      </c>
      <c r="D56" s="23">
        <f t="shared" si="3"/>
        <v>1</v>
      </c>
      <c r="E56" s="14">
        <v>0.0</v>
      </c>
      <c r="F56" s="14">
        <v>0.0</v>
      </c>
      <c r="G56" s="14">
        <v>0.0</v>
      </c>
      <c r="H56" s="14">
        <v>0.0</v>
      </c>
      <c r="I56" s="14">
        <v>0.0</v>
      </c>
      <c r="J56" s="14">
        <v>1.0</v>
      </c>
    </row>
    <row r="57">
      <c r="A57" s="14" t="s">
        <v>47</v>
      </c>
      <c r="B57" s="21">
        <f t="shared" si="2"/>
        <v>1500</v>
      </c>
      <c r="C57" s="21" t="str">
        <f>VLOOKUP(A57, hash!A$2:B$500, 2, 0)</f>
        <v>68c1cfdf6c36cb3b60206bc7</v>
      </c>
      <c r="D57" s="23">
        <f t="shared" si="3"/>
        <v>1</v>
      </c>
      <c r="E57" s="14">
        <v>0.0</v>
      </c>
      <c r="F57" s="14">
        <v>0.0</v>
      </c>
      <c r="G57" s="14">
        <v>0.0</v>
      </c>
      <c r="H57" s="14">
        <v>0.0</v>
      </c>
      <c r="I57" s="14">
        <v>0.0</v>
      </c>
      <c r="J57" s="14">
        <v>1.0</v>
      </c>
    </row>
    <row r="58">
      <c r="A58" s="14" t="s">
        <v>78</v>
      </c>
      <c r="B58" s="21">
        <f t="shared" si="2"/>
        <v>1500</v>
      </c>
      <c r="C58" s="21" t="str">
        <f>VLOOKUP(A58, hash!A$2:B$500, 2, 0)</f>
        <v>68c1cfeb6c36cb3b60206bc9</v>
      </c>
      <c r="D58" s="23">
        <f t="shared" si="3"/>
        <v>1</v>
      </c>
      <c r="E58" s="14">
        <v>0.0</v>
      </c>
      <c r="F58" s="14">
        <v>0.0</v>
      </c>
      <c r="G58" s="14">
        <v>0.0</v>
      </c>
      <c r="H58" s="14">
        <v>0.0</v>
      </c>
      <c r="I58" s="14">
        <v>0.0</v>
      </c>
      <c r="J58" s="14">
        <v>1.0</v>
      </c>
    </row>
    <row r="59">
      <c r="A59" s="14" t="s">
        <v>26</v>
      </c>
      <c r="B59" s="21">
        <f t="shared" si="2"/>
        <v>1500</v>
      </c>
      <c r="C59" s="21" t="str">
        <f>VLOOKUP(A59, hash!A$2:B$500, 2, 0)</f>
        <v>68c1d00f9147fa44206d10b5</v>
      </c>
      <c r="D59" s="23">
        <f t="shared" si="3"/>
        <v>1</v>
      </c>
      <c r="E59" s="14">
        <v>0.0</v>
      </c>
      <c r="F59" s="14">
        <v>0.0</v>
      </c>
      <c r="G59" s="14">
        <v>0.0</v>
      </c>
      <c r="H59" s="14">
        <v>0.0</v>
      </c>
      <c r="I59" s="14">
        <v>0.0</v>
      </c>
      <c r="J59" s="14">
        <v>1.0</v>
      </c>
    </row>
    <row r="60">
      <c r="A60" s="14" t="s">
        <v>79</v>
      </c>
      <c r="B60" s="21">
        <f t="shared" si="2"/>
        <v>1500</v>
      </c>
      <c r="C60" s="21" t="str">
        <f>VLOOKUP(A60, hash!A$2:B$500, 2, 0)</f>
        <v>68c1d0119147fa44206d10b7</v>
      </c>
      <c r="D60" s="23">
        <f t="shared" si="3"/>
        <v>1</v>
      </c>
      <c r="E60" s="14">
        <v>0.0</v>
      </c>
      <c r="F60" s="14">
        <v>0.0</v>
      </c>
      <c r="G60" s="14">
        <v>0.0</v>
      </c>
      <c r="H60" s="14">
        <v>0.0</v>
      </c>
      <c r="I60" s="14">
        <v>0.0</v>
      </c>
      <c r="J60" s="14">
        <v>1.0</v>
      </c>
    </row>
    <row r="61">
      <c r="A61" s="14" t="s">
        <v>53</v>
      </c>
      <c r="B61" s="21">
        <f t="shared" si="2"/>
        <v>1500</v>
      </c>
      <c r="C61" s="21" t="str">
        <f>VLOOKUP(A61, hash!A$2:B$500, 2, 0)</f>
        <v>68c1d018f29fd291859a49b9</v>
      </c>
      <c r="D61" s="23">
        <f t="shared" si="3"/>
        <v>1</v>
      </c>
      <c r="E61" s="14">
        <v>0.0</v>
      </c>
      <c r="F61" s="14">
        <v>0.0</v>
      </c>
      <c r="G61" s="14">
        <v>0.0</v>
      </c>
      <c r="H61" s="14">
        <v>0.0</v>
      </c>
      <c r="I61" s="14">
        <v>0.0</v>
      </c>
      <c r="J61" s="14">
        <v>1.0</v>
      </c>
    </row>
    <row r="62">
      <c r="A62" s="14" t="s">
        <v>80</v>
      </c>
      <c r="B62" s="21">
        <f t="shared" si="2"/>
        <v>1500</v>
      </c>
      <c r="C62" s="21" t="str">
        <f>VLOOKUP(A62, hash!A$2:B$500, 2, 0)</f>
        <v>68c1d0229147fa44206d10ba</v>
      </c>
      <c r="D62" s="23">
        <f t="shared" si="3"/>
        <v>1</v>
      </c>
      <c r="E62" s="14">
        <v>0.0</v>
      </c>
      <c r="F62" s="14">
        <v>0.0</v>
      </c>
      <c r="G62" s="14">
        <v>0.0</v>
      </c>
      <c r="H62" s="14">
        <v>0.0</v>
      </c>
      <c r="I62" s="14">
        <v>0.0</v>
      </c>
      <c r="J62" s="14">
        <v>1.0</v>
      </c>
    </row>
    <row r="63">
      <c r="A63" s="14" t="s">
        <v>81</v>
      </c>
      <c r="B63" s="21">
        <f t="shared" si="2"/>
        <v>1500</v>
      </c>
      <c r="C63" s="21" t="str">
        <f>VLOOKUP(A63, hash!A$2:B$500, 2, 0)</f>
        <v>#N/A</v>
      </c>
      <c r="D63" s="23">
        <f t="shared" si="3"/>
        <v>1</v>
      </c>
      <c r="E63" s="14">
        <v>0.0</v>
      </c>
      <c r="F63" s="14">
        <v>0.0</v>
      </c>
      <c r="G63" s="14">
        <v>0.0</v>
      </c>
      <c r="H63" s="14">
        <v>0.0</v>
      </c>
      <c r="I63" s="14">
        <v>0.0</v>
      </c>
      <c r="J63" s="14">
        <v>1.0</v>
      </c>
    </row>
    <row r="64">
      <c r="A64" s="14" t="s">
        <v>22</v>
      </c>
      <c r="B64" s="21">
        <f t="shared" si="2"/>
        <v>1500</v>
      </c>
      <c r="C64" s="21" t="str">
        <f>VLOOKUP(A64, hash!A$2:B$500, 2, 0)</f>
        <v>#N/A</v>
      </c>
      <c r="D64" s="23">
        <f t="shared" si="3"/>
        <v>1</v>
      </c>
      <c r="E64" s="14">
        <v>0.0</v>
      </c>
      <c r="F64" s="14">
        <v>0.0</v>
      </c>
      <c r="G64" s="14">
        <v>0.0</v>
      </c>
      <c r="H64" s="14">
        <v>0.0</v>
      </c>
      <c r="I64" s="14">
        <v>0.0</v>
      </c>
      <c r="J64" s="14">
        <v>1.0</v>
      </c>
    </row>
    <row r="65">
      <c r="A65" s="14" t="s">
        <v>82</v>
      </c>
      <c r="B65" s="21">
        <f t="shared" si="2"/>
        <v>1500</v>
      </c>
      <c r="C65" s="21" t="str">
        <f>VLOOKUP(A65, hash!A$2:B$500, 2, 0)</f>
        <v>#N/A</v>
      </c>
      <c r="D65" s="23">
        <f t="shared" si="3"/>
        <v>1</v>
      </c>
      <c r="E65" s="14">
        <v>0.0</v>
      </c>
      <c r="F65" s="14">
        <v>0.0</v>
      </c>
      <c r="G65" s="14">
        <v>0.0</v>
      </c>
      <c r="H65" s="14">
        <v>0.0</v>
      </c>
      <c r="I65" s="14">
        <v>0.0</v>
      </c>
      <c r="J65" s="14">
        <v>1.0</v>
      </c>
    </row>
    <row r="66">
      <c r="A66" s="14" t="s">
        <v>83</v>
      </c>
      <c r="B66" s="21">
        <f t="shared" si="2"/>
        <v>1500</v>
      </c>
      <c r="C66" s="21" t="str">
        <f>VLOOKUP(A66, hash!A$2:B$500, 2, 0)</f>
        <v>#N/A</v>
      </c>
      <c r="D66" s="23">
        <f t="shared" si="3"/>
        <v>1</v>
      </c>
      <c r="E66" s="14">
        <v>0.0</v>
      </c>
      <c r="F66" s="14">
        <v>0.0</v>
      </c>
      <c r="G66" s="14">
        <v>0.0</v>
      </c>
      <c r="H66" s="14">
        <v>0.0</v>
      </c>
      <c r="I66" s="14">
        <v>0.0</v>
      </c>
      <c r="J66" s="14">
        <v>1.0</v>
      </c>
    </row>
    <row r="67">
      <c r="A67" s="14" t="s">
        <v>59</v>
      </c>
      <c r="B67" s="21">
        <f t="shared" si="2"/>
        <v>1500</v>
      </c>
      <c r="C67" s="21" t="str">
        <f>VLOOKUP(A67, hash!A$2:B$500, 2, 0)</f>
        <v>#N/A</v>
      </c>
      <c r="D67" s="23">
        <f t="shared" si="3"/>
        <v>1</v>
      </c>
      <c r="E67" s="14">
        <v>0.0</v>
      </c>
      <c r="F67" s="14">
        <v>0.0</v>
      </c>
      <c r="G67" s="14">
        <v>0.0</v>
      </c>
      <c r="H67" s="14">
        <v>0.0</v>
      </c>
      <c r="I67" s="14">
        <v>0.0</v>
      </c>
      <c r="J67" s="14">
        <v>1.0</v>
      </c>
    </row>
    <row r="68">
      <c r="A68" s="14" t="s">
        <v>54</v>
      </c>
      <c r="B68" s="21">
        <f t="shared" si="2"/>
        <v>1500</v>
      </c>
      <c r="C68" s="21" t="str">
        <f>VLOOKUP(A68, hash!A$2:B$500, 2, 0)</f>
        <v>#N/A</v>
      </c>
      <c r="D68" s="23">
        <f t="shared" si="3"/>
        <v>1</v>
      </c>
      <c r="E68" s="14">
        <v>0.0</v>
      </c>
      <c r="F68" s="14">
        <v>0.0</v>
      </c>
      <c r="G68" s="14">
        <v>0.0</v>
      </c>
      <c r="H68" s="14">
        <v>0.0</v>
      </c>
      <c r="I68" s="14">
        <v>0.0</v>
      </c>
      <c r="J68" s="14">
        <v>1.0</v>
      </c>
    </row>
    <row r="69">
      <c r="A69" s="14" t="s">
        <v>85</v>
      </c>
      <c r="B69" s="21">
        <f t="shared" si="2"/>
        <v>1500</v>
      </c>
      <c r="C69" s="21" t="str">
        <f>VLOOKUP(A69, hash!A$2:B$500, 2, 0)</f>
        <v>#N/A</v>
      </c>
      <c r="D69" s="23">
        <f t="shared" si="3"/>
        <v>1</v>
      </c>
      <c r="E69" s="14">
        <v>0.0</v>
      </c>
      <c r="F69" s="14">
        <v>0.0</v>
      </c>
      <c r="G69" s="14">
        <v>0.0</v>
      </c>
      <c r="H69" s="14">
        <v>0.0</v>
      </c>
      <c r="I69" s="14">
        <v>0.0</v>
      </c>
      <c r="J69" s="14">
        <v>1.0</v>
      </c>
    </row>
    <row r="70">
      <c r="A70" s="14" t="s">
        <v>48</v>
      </c>
      <c r="B70" s="21">
        <f t="shared" si="2"/>
        <v>1500</v>
      </c>
      <c r="C70" s="21" t="str">
        <f>VLOOKUP(A70, hash!A$2:B$500, 2, 0)</f>
        <v>#N/A</v>
      </c>
      <c r="D70" s="23">
        <f t="shared" si="3"/>
        <v>1</v>
      </c>
      <c r="E70" s="14">
        <v>0.0</v>
      </c>
      <c r="F70" s="14">
        <v>0.0</v>
      </c>
      <c r="G70" s="14">
        <v>0.0</v>
      </c>
      <c r="H70" s="14">
        <v>0.0</v>
      </c>
      <c r="I70" s="14">
        <v>0.0</v>
      </c>
      <c r="J70" s="14">
        <v>1.0</v>
      </c>
    </row>
    <row r="71">
      <c r="A71" s="14" t="s">
        <v>84</v>
      </c>
      <c r="B71" s="21">
        <f t="shared" si="2"/>
        <v>1500</v>
      </c>
      <c r="C71" s="21" t="str">
        <f>VLOOKUP(A71, hash!A$2:B$500, 2, 0)</f>
        <v>#N/A</v>
      </c>
      <c r="D71" s="23">
        <f t="shared" si="3"/>
        <v>1</v>
      </c>
      <c r="E71" s="14">
        <v>0.0</v>
      </c>
      <c r="F71" s="14">
        <v>0.0</v>
      </c>
      <c r="G71" s="14">
        <v>0.0</v>
      </c>
      <c r="H71" s="14">
        <v>0.0</v>
      </c>
      <c r="I71" s="14">
        <v>0.0</v>
      </c>
      <c r="J71" s="14">
        <v>1.0</v>
      </c>
    </row>
    <row r="72">
      <c r="A72" s="14" t="s">
        <v>32</v>
      </c>
      <c r="B72" s="21">
        <f t="shared" si="2"/>
        <v>1500</v>
      </c>
      <c r="C72" s="21" t="str">
        <f>VLOOKUP(A72, hash!A$2:B$500, 2, 0)</f>
        <v>#N/A</v>
      </c>
      <c r="D72" s="23">
        <f t="shared" si="3"/>
        <v>1</v>
      </c>
      <c r="E72" s="14">
        <v>0.0</v>
      </c>
      <c r="F72" s="14">
        <v>0.0</v>
      </c>
      <c r="G72" s="14">
        <v>0.0</v>
      </c>
      <c r="H72" s="14">
        <v>0.0</v>
      </c>
      <c r="I72" s="14">
        <v>0.0</v>
      </c>
      <c r="J72" s="14">
        <v>1.0</v>
      </c>
    </row>
    <row r="73">
      <c r="A73" s="22" t="s">
        <v>437</v>
      </c>
      <c r="B73" s="21">
        <f t="shared" si="2"/>
        <v>0</v>
      </c>
      <c r="C73" s="21" t="str">
        <f>VLOOKUP(A73, hash!A$2:B$500, 2, 0)</f>
        <v>63221ff90aa8ba2dbc57c0a2</v>
      </c>
      <c r="D73" s="23">
        <f t="shared" si="3"/>
        <v>0</v>
      </c>
      <c r="E73" s="14">
        <v>0.0</v>
      </c>
      <c r="F73" s="14">
        <v>0.0</v>
      </c>
      <c r="G73" s="14">
        <v>0.0</v>
      </c>
      <c r="H73" s="14">
        <v>0.0</v>
      </c>
      <c r="I73" s="14">
        <v>0.0</v>
      </c>
      <c r="J73" s="14">
        <v>0.0</v>
      </c>
    </row>
    <row r="74">
      <c r="A74" s="22" t="s">
        <v>430</v>
      </c>
      <c r="B74" s="21">
        <f t="shared" si="2"/>
        <v>0</v>
      </c>
      <c r="C74" s="21" t="str">
        <f>VLOOKUP(A74, hash!A$2:B$500, 2, 0)</f>
        <v>63222011e6a618b2a0444361</v>
      </c>
      <c r="D74" s="23">
        <f t="shared" si="3"/>
        <v>0</v>
      </c>
      <c r="E74" s="14">
        <v>0.0</v>
      </c>
      <c r="F74" s="14">
        <v>0.0</v>
      </c>
      <c r="G74" s="14">
        <v>0.0</v>
      </c>
      <c r="H74" s="14">
        <v>0.0</v>
      </c>
      <c r="I74" s="14">
        <v>0.0</v>
      </c>
      <c r="J74" s="14">
        <v>0.0</v>
      </c>
    </row>
    <row r="75">
      <c r="A75" s="22" t="s">
        <v>431</v>
      </c>
      <c r="B75" s="21">
        <f t="shared" si="2"/>
        <v>0</v>
      </c>
      <c r="C75" s="21" t="str">
        <f>VLOOKUP(A75, hash!A$2:B$500, 2, 0)</f>
        <v>6322202a0aa8ba2dbc57c0a5</v>
      </c>
      <c r="D75" s="23">
        <f t="shared" si="3"/>
        <v>0</v>
      </c>
      <c r="E75" s="14">
        <v>0.0</v>
      </c>
      <c r="F75" s="14">
        <v>0.0</v>
      </c>
      <c r="G75" s="14">
        <v>0.0</v>
      </c>
      <c r="H75" s="14">
        <v>0.0</v>
      </c>
      <c r="I75" s="14">
        <v>0.0</v>
      </c>
      <c r="J75" s="14">
        <v>0.0</v>
      </c>
    </row>
    <row r="76">
      <c r="A76" s="22" t="s">
        <v>438</v>
      </c>
      <c r="B76" s="21">
        <f t="shared" si="2"/>
        <v>0</v>
      </c>
      <c r="C76" s="21" t="str">
        <f>VLOOKUP(A76, hash!A$2:B$500, 2, 0)</f>
        <v>6322202f81b57daeeb478dd1</v>
      </c>
      <c r="D76" s="23">
        <f t="shared" si="3"/>
        <v>0</v>
      </c>
      <c r="E76" s="14">
        <v>0.0</v>
      </c>
      <c r="F76" s="14">
        <v>0.0</v>
      </c>
      <c r="G76" s="14">
        <v>0.0</v>
      </c>
      <c r="H76" s="14">
        <v>0.0</v>
      </c>
      <c r="I76" s="14">
        <v>0.0</v>
      </c>
      <c r="J76" s="14">
        <v>0.0</v>
      </c>
    </row>
    <row r="77">
      <c r="A77" s="22" t="s">
        <v>439</v>
      </c>
      <c r="B77" s="21">
        <f t="shared" si="2"/>
        <v>0</v>
      </c>
      <c r="C77" s="21" t="str">
        <f>VLOOKUP(A77, hash!A$2:B$500, 2, 0)</f>
        <v>632220300aa8ba2dbc57c0a7</v>
      </c>
      <c r="D77" s="23">
        <f t="shared" si="3"/>
        <v>0</v>
      </c>
      <c r="E77" s="14">
        <v>0.0</v>
      </c>
      <c r="F77" s="14">
        <v>0.0</v>
      </c>
      <c r="G77" s="14">
        <v>0.0</v>
      </c>
      <c r="H77" s="14">
        <v>0.0</v>
      </c>
      <c r="I77" s="14">
        <v>0.0</v>
      </c>
      <c r="J77" s="14">
        <v>0.0</v>
      </c>
    </row>
    <row r="78">
      <c r="A78" s="22" t="s">
        <v>433</v>
      </c>
      <c r="B78" s="21">
        <f t="shared" si="2"/>
        <v>0</v>
      </c>
      <c r="C78" s="21" t="str">
        <f>VLOOKUP(A78, hash!A$2:B$500, 2, 0)</f>
        <v>6322203581b57daeeb478dd2</v>
      </c>
      <c r="D78" s="23">
        <f t="shared" si="3"/>
        <v>0</v>
      </c>
      <c r="E78" s="14">
        <v>0.0</v>
      </c>
      <c r="F78" s="14">
        <v>0.0</v>
      </c>
      <c r="G78" s="14">
        <v>0.0</v>
      </c>
      <c r="H78" s="14">
        <v>0.0</v>
      </c>
      <c r="I78" s="14">
        <v>0.0</v>
      </c>
      <c r="J78" s="14">
        <v>0.0</v>
      </c>
    </row>
    <row r="79">
      <c r="A79" s="22" t="s">
        <v>440</v>
      </c>
      <c r="B79" s="21">
        <f t="shared" si="2"/>
        <v>0</v>
      </c>
      <c r="C79" s="21" t="str">
        <f>VLOOKUP(A79, hash!A$2:B$500, 2, 0)</f>
        <v>632220580aa8ba2dbc57c0a9</v>
      </c>
      <c r="D79" s="23">
        <f t="shared" si="3"/>
        <v>0</v>
      </c>
      <c r="E79" s="14">
        <v>0.0</v>
      </c>
      <c r="F79" s="14">
        <v>0.0</v>
      </c>
      <c r="G79" s="14">
        <v>0.0</v>
      </c>
      <c r="H79" s="14">
        <v>0.0</v>
      </c>
      <c r="I79" s="14">
        <v>0.0</v>
      </c>
      <c r="J79" s="14">
        <v>0.0</v>
      </c>
    </row>
    <row r="80">
      <c r="A80" s="22" t="s">
        <v>441</v>
      </c>
      <c r="B80" s="21">
        <f t="shared" si="2"/>
        <v>0</v>
      </c>
      <c r="C80" s="21" t="str">
        <f>VLOOKUP(A80, hash!A$2:B$500, 2, 0)</f>
        <v>632220596d021b5cf508ccd5</v>
      </c>
      <c r="D80" s="23">
        <f t="shared" si="3"/>
        <v>0</v>
      </c>
      <c r="E80" s="14">
        <v>0.0</v>
      </c>
      <c r="F80" s="14">
        <v>0.0</v>
      </c>
      <c r="G80" s="14">
        <v>0.0</v>
      </c>
      <c r="H80" s="14">
        <v>0.0</v>
      </c>
      <c r="I80" s="14">
        <v>0.0</v>
      </c>
      <c r="J80" s="14">
        <v>0.0</v>
      </c>
    </row>
    <row r="81">
      <c r="A81" s="22" t="s">
        <v>432</v>
      </c>
      <c r="B81" s="21">
        <f t="shared" si="2"/>
        <v>0</v>
      </c>
      <c r="C81" s="21" t="str">
        <f>VLOOKUP(A81, hash!A$2:B$500, 2, 0)</f>
        <v>632220620aa8ba2dbc57c0ab</v>
      </c>
      <c r="D81" s="23">
        <f t="shared" si="3"/>
        <v>0</v>
      </c>
      <c r="E81" s="14">
        <v>0.0</v>
      </c>
      <c r="F81" s="14">
        <v>0.0</v>
      </c>
      <c r="G81" s="14">
        <v>0.0</v>
      </c>
      <c r="H81" s="14">
        <v>0.0</v>
      </c>
      <c r="I81" s="14">
        <v>0.0</v>
      </c>
      <c r="J81" s="14">
        <v>0.0</v>
      </c>
    </row>
    <row r="82">
      <c r="A82" s="22" t="s">
        <v>442</v>
      </c>
      <c r="B82" s="21">
        <f t="shared" si="2"/>
        <v>0</v>
      </c>
      <c r="C82" s="21" t="str">
        <f>VLOOKUP(A82, hash!A$2:B$500, 2, 0)</f>
        <v>632220710aa8ba2dbc57c0ac</v>
      </c>
      <c r="D82" s="23">
        <f t="shared" si="3"/>
        <v>0</v>
      </c>
      <c r="E82" s="14">
        <v>0.0</v>
      </c>
      <c r="F82" s="14">
        <v>0.0</v>
      </c>
      <c r="G82" s="14">
        <v>0.0</v>
      </c>
      <c r="H82" s="14">
        <v>0.0</v>
      </c>
      <c r="I82" s="14">
        <v>0.0</v>
      </c>
      <c r="J82" s="14">
        <v>0.0</v>
      </c>
    </row>
    <row r="83">
      <c r="A83" s="22" t="s">
        <v>434</v>
      </c>
      <c r="B83" s="21">
        <f t="shared" si="2"/>
        <v>0</v>
      </c>
      <c r="C83" s="21" t="str">
        <f>VLOOKUP(A83, hash!A$2:B$500, 2, 0)</f>
        <v>63222083cfccb655ce1f3a74</v>
      </c>
      <c r="D83" s="23">
        <f t="shared" si="3"/>
        <v>0</v>
      </c>
      <c r="E83" s="14">
        <v>0.0</v>
      </c>
      <c r="F83" s="14">
        <v>0.0</v>
      </c>
      <c r="G83" s="14">
        <v>0.0</v>
      </c>
      <c r="H83" s="14">
        <v>0.0</v>
      </c>
      <c r="I83" s="14">
        <v>0.0</v>
      </c>
      <c r="J83" s="14">
        <v>0.0</v>
      </c>
    </row>
    <row r="84">
      <c r="A84" s="22" t="s">
        <v>443</v>
      </c>
      <c r="B84" s="21">
        <f t="shared" si="2"/>
        <v>0</v>
      </c>
      <c r="C84" s="21" t="str">
        <f>VLOOKUP(A84, hash!A$2:B$500, 2, 0)</f>
        <v>6322211bf382c17890e6a3dd</v>
      </c>
      <c r="D84" s="23">
        <f t="shared" si="3"/>
        <v>0</v>
      </c>
      <c r="E84" s="14">
        <v>0.0</v>
      </c>
      <c r="F84" s="14">
        <v>0.0</v>
      </c>
      <c r="G84" s="14">
        <v>0.0</v>
      </c>
      <c r="H84" s="14">
        <v>0.0</v>
      </c>
      <c r="I84" s="14">
        <v>0.0</v>
      </c>
      <c r="J84" s="14">
        <v>0.0</v>
      </c>
    </row>
    <row r="85">
      <c r="A85" s="22" t="s">
        <v>444</v>
      </c>
      <c r="B85" s="21">
        <f t="shared" si="2"/>
        <v>0</v>
      </c>
      <c r="C85" s="21" t="str">
        <f>VLOOKUP(A85, hash!A$2:B$500, 2, 0)</f>
        <v>63222123f382c17890e6a3de</v>
      </c>
      <c r="D85" s="23">
        <f t="shared" si="3"/>
        <v>0</v>
      </c>
      <c r="E85" s="14">
        <v>0.0</v>
      </c>
      <c r="F85" s="14">
        <v>0.0</v>
      </c>
      <c r="G85" s="14">
        <v>0.0</v>
      </c>
      <c r="H85" s="14">
        <v>0.0</v>
      </c>
      <c r="I85" s="14">
        <v>0.0</v>
      </c>
      <c r="J85" s="14">
        <v>0.0</v>
      </c>
    </row>
    <row r="86">
      <c r="A86" s="22" t="s">
        <v>445</v>
      </c>
      <c r="B86" s="21">
        <f t="shared" si="2"/>
        <v>0</v>
      </c>
      <c r="C86" s="21" t="str">
        <f>VLOOKUP(A86, hash!A$2:B$500, 2, 0)</f>
        <v>632222c3f382c17890e6a3e0</v>
      </c>
      <c r="D86" s="23">
        <f t="shared" si="3"/>
        <v>0</v>
      </c>
      <c r="E86" s="14">
        <v>0.0</v>
      </c>
      <c r="F86" s="14">
        <v>0.0</v>
      </c>
      <c r="G86" s="14">
        <v>0.0</v>
      </c>
      <c r="H86" s="14">
        <v>0.0</v>
      </c>
      <c r="I86" s="14">
        <v>0.0</v>
      </c>
      <c r="J86" s="14">
        <v>0.0</v>
      </c>
    </row>
    <row r="87">
      <c r="A87" s="22" t="s">
        <v>446</v>
      </c>
      <c r="B87" s="21">
        <f t="shared" si="2"/>
        <v>0</v>
      </c>
      <c r="C87" s="21" t="str">
        <f>VLOOKUP(A87, hash!A$2:B$500, 2, 0)</f>
        <v>63222372f382c17890e6a3e2</v>
      </c>
      <c r="D87" s="23">
        <f t="shared" si="3"/>
        <v>0</v>
      </c>
      <c r="E87" s="14">
        <v>0.0</v>
      </c>
      <c r="F87" s="14">
        <v>0.0</v>
      </c>
      <c r="G87" s="14">
        <v>0.0</v>
      </c>
      <c r="H87" s="14">
        <v>0.0</v>
      </c>
      <c r="I87" s="14">
        <v>0.0</v>
      </c>
      <c r="J87" s="14">
        <v>0.0</v>
      </c>
    </row>
    <row r="88">
      <c r="A88" s="22" t="s">
        <v>447</v>
      </c>
      <c r="B88" s="21">
        <f t="shared" si="2"/>
        <v>0</v>
      </c>
      <c r="C88" s="21" t="str">
        <f>VLOOKUP(A88, hash!A$2:B$500, 2, 0)</f>
        <v>632223746d021b5cf508ccde</v>
      </c>
      <c r="D88" s="23">
        <f t="shared" si="3"/>
        <v>0</v>
      </c>
      <c r="E88" s="14">
        <v>0.0</v>
      </c>
      <c r="F88" s="14">
        <v>0.0</v>
      </c>
      <c r="G88" s="14">
        <v>0.0</v>
      </c>
      <c r="H88" s="14">
        <v>0.0</v>
      </c>
      <c r="I88" s="14">
        <v>0.0</v>
      </c>
      <c r="J88" s="14">
        <v>0.0</v>
      </c>
    </row>
    <row r="89">
      <c r="A89" s="22" t="s">
        <v>448</v>
      </c>
      <c r="B89" s="21">
        <f t="shared" si="2"/>
        <v>0</v>
      </c>
      <c r="C89" s="21" t="str">
        <f>VLOOKUP(A89, hash!A$2:B$500, 2, 0)</f>
        <v>6322239b6d021b5cf508cce5</v>
      </c>
      <c r="D89" s="23">
        <f t="shared" si="3"/>
        <v>0</v>
      </c>
      <c r="E89" s="14">
        <v>0.0</v>
      </c>
      <c r="F89" s="14">
        <v>0.0</v>
      </c>
      <c r="G89" s="14">
        <v>0.0</v>
      </c>
      <c r="H89" s="14">
        <v>0.0</v>
      </c>
      <c r="I89" s="14">
        <v>0.0</v>
      </c>
      <c r="J89" s="14">
        <v>0.0</v>
      </c>
    </row>
    <row r="90">
      <c r="A90" s="22" t="s">
        <v>449</v>
      </c>
      <c r="B90" s="21">
        <f t="shared" si="2"/>
        <v>0</v>
      </c>
      <c r="C90" s="21" t="str">
        <f>VLOOKUP(A90, hash!A$2:B$500, 2, 0)</f>
        <v>632223a1d53b2d7ef1d3746d</v>
      </c>
      <c r="D90" s="23">
        <f t="shared" si="3"/>
        <v>0</v>
      </c>
      <c r="E90" s="14">
        <v>0.0</v>
      </c>
      <c r="F90" s="14">
        <v>0.0</v>
      </c>
      <c r="G90" s="14">
        <v>0.0</v>
      </c>
      <c r="H90" s="14">
        <v>0.0</v>
      </c>
      <c r="I90" s="14">
        <v>0.0</v>
      </c>
      <c r="J90" s="14">
        <v>0.0</v>
      </c>
    </row>
    <row r="91">
      <c r="A91" s="22" t="s">
        <v>450</v>
      </c>
      <c r="B91" s="21">
        <f t="shared" si="2"/>
        <v>0</v>
      </c>
      <c r="C91" s="21" t="str">
        <f>VLOOKUP(A91, hash!A$2:B$500, 2, 0)</f>
        <v>632223bdd53b2d7ef1d3746e</v>
      </c>
      <c r="D91" s="23">
        <f t="shared" si="3"/>
        <v>0</v>
      </c>
      <c r="E91" s="14">
        <v>0.0</v>
      </c>
      <c r="F91" s="14">
        <v>0.0</v>
      </c>
      <c r="G91" s="14">
        <v>0.0</v>
      </c>
      <c r="H91" s="14">
        <v>0.0</v>
      </c>
      <c r="I91" s="14">
        <v>0.0</v>
      </c>
      <c r="J91" s="14">
        <v>0.0</v>
      </c>
    </row>
    <row r="92">
      <c r="A92" s="22" t="s">
        <v>451</v>
      </c>
      <c r="B92" s="21">
        <f t="shared" si="2"/>
        <v>0</v>
      </c>
      <c r="C92" s="21" t="str">
        <f>VLOOKUP(A92, hash!A$2:B$500, 2, 0)</f>
        <v>632223e585532e9bb23b7f01</v>
      </c>
      <c r="D92" s="23">
        <f t="shared" si="3"/>
        <v>0</v>
      </c>
      <c r="E92" s="14">
        <v>0.0</v>
      </c>
      <c r="F92" s="14">
        <v>0.0</v>
      </c>
      <c r="G92" s="14">
        <v>0.0</v>
      </c>
      <c r="H92" s="14">
        <v>0.0</v>
      </c>
      <c r="I92" s="14">
        <v>0.0</v>
      </c>
      <c r="J92" s="14">
        <v>0.0</v>
      </c>
    </row>
    <row r="93">
      <c r="A93" s="22" t="s">
        <v>452</v>
      </c>
      <c r="B93" s="21">
        <f t="shared" si="2"/>
        <v>0</v>
      </c>
      <c r="C93" s="21" t="str">
        <f>VLOOKUP(A93, hash!A$2:B$500, 2, 0)</f>
        <v>632226f3d53b2d7ef1d37472</v>
      </c>
      <c r="D93" s="23">
        <f t="shared" si="3"/>
        <v>0</v>
      </c>
      <c r="E93" s="14">
        <v>0.0</v>
      </c>
      <c r="F93" s="14">
        <v>0.0</v>
      </c>
      <c r="G93" s="14">
        <v>0.0</v>
      </c>
      <c r="H93" s="14">
        <v>0.0</v>
      </c>
      <c r="I93" s="14">
        <v>0.0</v>
      </c>
      <c r="J93" s="14">
        <v>0.0</v>
      </c>
    </row>
    <row r="94">
      <c r="A94" s="22" t="s">
        <v>453</v>
      </c>
      <c r="B94" s="21">
        <f t="shared" si="2"/>
        <v>0</v>
      </c>
      <c r="C94" s="21" t="str">
        <f>VLOOKUP(A94, hash!A$2:B$500, 2, 0)</f>
        <v>63222960d53b2d7ef1d37476</v>
      </c>
      <c r="D94" s="23">
        <f t="shared" si="3"/>
        <v>0</v>
      </c>
      <c r="E94" s="14">
        <v>0.0</v>
      </c>
      <c r="F94" s="14">
        <v>0.0</v>
      </c>
      <c r="G94" s="14">
        <v>0.0</v>
      </c>
      <c r="H94" s="14">
        <v>0.0</v>
      </c>
      <c r="I94" s="14">
        <v>0.0</v>
      </c>
      <c r="J94" s="14">
        <v>0.0</v>
      </c>
    </row>
    <row r="95">
      <c r="A95" s="22" t="s">
        <v>454</v>
      </c>
      <c r="B95" s="21">
        <f t="shared" si="2"/>
        <v>0</v>
      </c>
      <c r="C95" s="21" t="str">
        <f>VLOOKUP(A95, hash!A$2:B$500, 2, 0)</f>
        <v>632229c19832ea0dea0e2dcf</v>
      </c>
      <c r="D95" s="23">
        <f t="shared" si="3"/>
        <v>0</v>
      </c>
      <c r="E95" s="14">
        <v>0.0</v>
      </c>
      <c r="F95" s="14">
        <v>0.0</v>
      </c>
      <c r="G95" s="14">
        <v>0.0</v>
      </c>
      <c r="H95" s="14">
        <v>0.0</v>
      </c>
      <c r="I95" s="14">
        <v>0.0</v>
      </c>
      <c r="J95" s="14">
        <v>0.0</v>
      </c>
    </row>
    <row r="96">
      <c r="A96" s="22" t="s">
        <v>455</v>
      </c>
      <c r="B96" s="21">
        <f t="shared" si="2"/>
        <v>0</v>
      </c>
      <c r="C96" s="21" t="str">
        <f>VLOOKUP(A96, hash!A$2:B$500, 2, 0)</f>
        <v>63222a025bded5e4ff37ac1e</v>
      </c>
      <c r="D96" s="23">
        <f t="shared" si="3"/>
        <v>0</v>
      </c>
      <c r="E96" s="14">
        <v>0.0</v>
      </c>
      <c r="F96" s="14">
        <v>0.0</v>
      </c>
      <c r="G96" s="14">
        <v>0.0</v>
      </c>
      <c r="H96" s="14">
        <v>0.0</v>
      </c>
      <c r="I96" s="14">
        <v>0.0</v>
      </c>
      <c r="J96" s="14">
        <v>0.0</v>
      </c>
    </row>
    <row r="97">
      <c r="A97" s="22" t="s">
        <v>435</v>
      </c>
      <c r="B97" s="21">
        <f t="shared" si="2"/>
        <v>0</v>
      </c>
      <c r="C97" s="21" t="str">
        <f>VLOOKUP(A97, hash!A$2:B$500, 2, 0)</f>
        <v>63222a4c5bded5e4ff37ac1f</v>
      </c>
      <c r="D97" s="23">
        <f t="shared" si="3"/>
        <v>0</v>
      </c>
      <c r="E97" s="14">
        <v>0.0</v>
      </c>
      <c r="F97" s="14">
        <v>0.0</v>
      </c>
      <c r="G97" s="14">
        <v>0.0</v>
      </c>
      <c r="H97" s="14">
        <v>0.0</v>
      </c>
      <c r="I97" s="14">
        <v>0.0</v>
      </c>
      <c r="J97" s="14">
        <v>0.0</v>
      </c>
    </row>
    <row r="98">
      <c r="A98" s="22" t="s">
        <v>456</v>
      </c>
      <c r="B98" s="21">
        <f t="shared" si="2"/>
        <v>0</v>
      </c>
      <c r="C98" s="21" t="str">
        <f>VLOOKUP(A98, hash!A$2:B$500, 2, 0)</f>
        <v>63222a9ced58d92b843f7cb0</v>
      </c>
      <c r="D98" s="23">
        <f t="shared" si="3"/>
        <v>0</v>
      </c>
      <c r="E98" s="14">
        <v>0.0</v>
      </c>
      <c r="F98" s="14">
        <v>0.0</v>
      </c>
      <c r="G98" s="14">
        <v>0.0</v>
      </c>
      <c r="H98" s="14">
        <v>0.0</v>
      </c>
      <c r="I98" s="14">
        <v>0.0</v>
      </c>
      <c r="J98" s="14">
        <v>0.0</v>
      </c>
    </row>
    <row r="99">
      <c r="A99" s="22" t="s">
        <v>457</v>
      </c>
      <c r="B99" s="21">
        <f t="shared" si="2"/>
        <v>0</v>
      </c>
      <c r="C99" s="21" t="str">
        <f>VLOOKUP(A99, hash!A$2:B$500, 2, 0)</f>
        <v>63222ae4562da848b695b87f</v>
      </c>
      <c r="D99" s="23">
        <f t="shared" si="3"/>
        <v>0</v>
      </c>
      <c r="E99" s="14">
        <v>0.0</v>
      </c>
      <c r="F99" s="14">
        <v>0.0</v>
      </c>
      <c r="G99" s="14">
        <v>0.0</v>
      </c>
      <c r="H99" s="14">
        <v>0.0</v>
      </c>
      <c r="I99" s="14">
        <v>0.0</v>
      </c>
      <c r="J99" s="14">
        <v>0.0</v>
      </c>
    </row>
    <row r="100">
      <c r="A100" s="22" t="s">
        <v>458</v>
      </c>
      <c r="B100" s="21">
        <f t="shared" si="2"/>
        <v>0</v>
      </c>
      <c r="C100" s="21" t="str">
        <f>VLOOKUP(A100, hash!A$2:B$500, 2, 0)</f>
        <v>63222d94ed58d92b843f7cc0</v>
      </c>
      <c r="D100" s="23">
        <f t="shared" si="3"/>
        <v>0</v>
      </c>
      <c r="E100" s="14">
        <v>0.0</v>
      </c>
      <c r="F100" s="14">
        <v>0.0</v>
      </c>
      <c r="G100" s="14">
        <v>0.0</v>
      </c>
      <c r="H100" s="14">
        <v>0.0</v>
      </c>
      <c r="I100" s="14">
        <v>0.0</v>
      </c>
      <c r="J100" s="14">
        <v>0.0</v>
      </c>
    </row>
    <row r="101">
      <c r="A101" s="22" t="s">
        <v>459</v>
      </c>
      <c r="B101" s="21">
        <f t="shared" si="2"/>
        <v>0</v>
      </c>
      <c r="C101" s="21" t="str">
        <f>VLOOKUP(A101, hash!A$2:B$500, 2, 0)</f>
        <v>63222da4562da848b695b882</v>
      </c>
      <c r="D101" s="23">
        <f t="shared" si="3"/>
        <v>0</v>
      </c>
      <c r="E101" s="14">
        <v>0.0</v>
      </c>
      <c r="F101" s="14">
        <v>0.0</v>
      </c>
      <c r="G101" s="14">
        <v>0.0</v>
      </c>
      <c r="H101" s="14">
        <v>0.0</v>
      </c>
      <c r="I101" s="14">
        <v>0.0</v>
      </c>
      <c r="J101" s="14">
        <v>0.0</v>
      </c>
    </row>
    <row r="102">
      <c r="A102" s="22" t="s">
        <v>460</v>
      </c>
      <c r="B102" s="21">
        <f t="shared" si="2"/>
        <v>0</v>
      </c>
      <c r="C102" s="21" t="str">
        <f>VLOOKUP(A102, hash!A$2:B$500, 2, 0)</f>
        <v>63222dc6a729a8363c093b6b</v>
      </c>
      <c r="D102" s="23">
        <f t="shared" si="3"/>
        <v>0</v>
      </c>
      <c r="E102" s="14">
        <v>0.0</v>
      </c>
      <c r="F102" s="14">
        <v>0.0</v>
      </c>
      <c r="G102" s="14">
        <v>0.0</v>
      </c>
      <c r="H102" s="14">
        <v>0.0</v>
      </c>
      <c r="I102" s="14">
        <v>0.0</v>
      </c>
      <c r="J102" s="14">
        <v>0.0</v>
      </c>
    </row>
    <row r="103">
      <c r="A103" s="22" t="s">
        <v>436</v>
      </c>
      <c r="B103" s="21">
        <f t="shared" si="2"/>
        <v>0</v>
      </c>
      <c r="C103" s="21" t="str">
        <f>VLOOKUP(A103, hash!A$2:B$500, 2, 0)</f>
        <v>63222dd4a729a8363c093b6d</v>
      </c>
      <c r="D103" s="23">
        <f t="shared" si="3"/>
        <v>0</v>
      </c>
      <c r="E103" s="14">
        <v>0.0</v>
      </c>
      <c r="F103" s="14">
        <v>0.0</v>
      </c>
      <c r="G103" s="14">
        <v>0.0</v>
      </c>
      <c r="H103" s="14">
        <v>0.0</v>
      </c>
      <c r="I103" s="14">
        <v>0.0</v>
      </c>
      <c r="J103" s="14">
        <v>0.0</v>
      </c>
    </row>
    <row r="104">
      <c r="A104" s="22" t="s">
        <v>461</v>
      </c>
      <c r="B104" s="21">
        <f t="shared" si="2"/>
        <v>0</v>
      </c>
      <c r="C104" s="21" t="str">
        <f>VLOOKUP(A104, hash!A$2:B$500, 2, 0)</f>
        <v>63222dd7a729a8363c093b6e</v>
      </c>
      <c r="D104" s="23">
        <f t="shared" si="3"/>
        <v>0</v>
      </c>
      <c r="E104" s="14">
        <v>0.0</v>
      </c>
      <c r="F104" s="14">
        <v>0.0</v>
      </c>
      <c r="G104" s="14">
        <v>0.0</v>
      </c>
      <c r="H104" s="14">
        <v>0.0</v>
      </c>
      <c r="I104" s="14">
        <v>0.0</v>
      </c>
      <c r="J104" s="14">
        <v>0.0</v>
      </c>
    </row>
    <row r="105">
      <c r="A105" s="22" t="s">
        <v>462</v>
      </c>
      <c r="B105" s="21">
        <f t="shared" si="2"/>
        <v>0</v>
      </c>
      <c r="C105" s="21" t="str">
        <f>VLOOKUP(A105, hash!A$2:B$500, 2, 0)</f>
        <v>63222deca729a8363c093b71</v>
      </c>
      <c r="D105" s="23">
        <f t="shared" si="3"/>
        <v>0</v>
      </c>
      <c r="E105" s="14">
        <v>0.0</v>
      </c>
      <c r="F105" s="14">
        <v>0.0</v>
      </c>
      <c r="G105" s="14">
        <v>0.0</v>
      </c>
      <c r="H105" s="14">
        <v>0.0</v>
      </c>
      <c r="I105" s="14">
        <v>0.0</v>
      </c>
      <c r="J105" s="14">
        <v>0.0</v>
      </c>
    </row>
    <row r="106">
      <c r="A106" s="22" t="s">
        <v>463</v>
      </c>
      <c r="B106" s="21">
        <f t="shared" si="2"/>
        <v>0</v>
      </c>
      <c r="C106" s="21" t="str">
        <f>VLOOKUP(A106, hash!A$2:B$500, 2, 0)</f>
        <v>63222e10ed58d92b843f7cca</v>
      </c>
      <c r="D106" s="23">
        <f t="shared" si="3"/>
        <v>0</v>
      </c>
      <c r="E106" s="14">
        <v>0.0</v>
      </c>
      <c r="F106" s="14">
        <v>0.0</v>
      </c>
      <c r="G106" s="14">
        <v>0.0</v>
      </c>
      <c r="H106" s="14">
        <v>0.0</v>
      </c>
      <c r="I106" s="14">
        <v>0.0</v>
      </c>
      <c r="J106" s="14">
        <v>0.0</v>
      </c>
    </row>
    <row r="107">
      <c r="A107" s="22" t="s">
        <v>464</v>
      </c>
      <c r="B107" s="21">
        <f t="shared" si="2"/>
        <v>0</v>
      </c>
      <c r="C107" s="21" t="str">
        <f>VLOOKUP(A107, hash!A$2:B$500, 2, 0)</f>
        <v>63222e35ed58d92b843f7ccd</v>
      </c>
      <c r="D107" s="23">
        <f t="shared" si="3"/>
        <v>0</v>
      </c>
      <c r="E107" s="14">
        <v>0.0</v>
      </c>
      <c r="F107" s="14">
        <v>0.0</v>
      </c>
      <c r="G107" s="14">
        <v>0.0</v>
      </c>
      <c r="H107" s="14">
        <v>0.0</v>
      </c>
      <c r="I107" s="14">
        <v>0.0</v>
      </c>
      <c r="J107" s="14">
        <v>0.0</v>
      </c>
    </row>
    <row r="108">
      <c r="A108" s="22" t="s">
        <v>465</v>
      </c>
      <c r="B108" s="21">
        <f t="shared" si="2"/>
        <v>0</v>
      </c>
      <c r="C108" s="21" t="str">
        <f>VLOOKUP(A108, hash!A$2:B$500, 2, 0)</f>
        <v>63222e3a116f680d68804fa8</v>
      </c>
      <c r="D108" s="23">
        <f t="shared" si="3"/>
        <v>0</v>
      </c>
      <c r="E108" s="14">
        <v>0.0</v>
      </c>
      <c r="F108" s="14">
        <v>0.0</v>
      </c>
      <c r="G108" s="14">
        <v>0.0</v>
      </c>
      <c r="H108" s="14">
        <v>0.0</v>
      </c>
      <c r="I108" s="14">
        <v>0.0</v>
      </c>
      <c r="J108" s="14">
        <v>0.0</v>
      </c>
    </row>
    <row r="109">
      <c r="A109" s="22" t="s">
        <v>466</v>
      </c>
      <c r="B109" s="21">
        <f t="shared" si="2"/>
        <v>0</v>
      </c>
      <c r="C109" s="21" t="str">
        <f>VLOOKUP(A109, hash!A$2:B$500, 2, 0)</f>
        <v>63222fa8562da848b695b887</v>
      </c>
      <c r="D109" s="23">
        <f t="shared" si="3"/>
        <v>0</v>
      </c>
      <c r="E109" s="14">
        <v>0.0</v>
      </c>
      <c r="F109" s="14">
        <v>0.0</v>
      </c>
      <c r="G109" s="14">
        <v>0.0</v>
      </c>
      <c r="H109" s="14">
        <v>0.0</v>
      </c>
      <c r="I109" s="14">
        <v>0.0</v>
      </c>
      <c r="J109" s="14">
        <v>0.0</v>
      </c>
    </row>
    <row r="110">
      <c r="A110" s="22" t="s">
        <v>467</v>
      </c>
      <c r="B110" s="21">
        <f t="shared" si="2"/>
        <v>0</v>
      </c>
      <c r="C110" s="21" t="str">
        <f>VLOOKUP(A110, hash!A$2:B$500, 2, 0)</f>
        <v>6329051b0c14e4fbd2ecace8</v>
      </c>
      <c r="D110" s="23">
        <f t="shared" si="3"/>
        <v>0</v>
      </c>
      <c r="E110" s="14">
        <v>0.0</v>
      </c>
      <c r="F110" s="14">
        <v>0.0</v>
      </c>
      <c r="G110" s="14">
        <v>0.0</v>
      </c>
      <c r="H110" s="14">
        <v>0.0</v>
      </c>
      <c r="I110" s="14">
        <v>0.0</v>
      </c>
      <c r="J110" s="14">
        <v>0.0</v>
      </c>
    </row>
    <row r="111">
      <c r="A111" s="22" t="s">
        <v>468</v>
      </c>
      <c r="B111" s="21">
        <f t="shared" si="2"/>
        <v>0</v>
      </c>
      <c r="C111" s="21" t="str">
        <f>VLOOKUP(A111, hash!A$2:B$500, 2, 0)</f>
        <v>632b580f43e430c49f17d5dc</v>
      </c>
      <c r="D111" s="23">
        <f t="shared" si="3"/>
        <v>0</v>
      </c>
      <c r="E111" s="14">
        <v>0.0</v>
      </c>
      <c r="F111" s="14">
        <v>0.0</v>
      </c>
      <c r="G111" s="14">
        <v>0.0</v>
      </c>
      <c r="H111" s="14">
        <v>0.0</v>
      </c>
      <c r="I111" s="14">
        <v>0.0</v>
      </c>
      <c r="J111" s="14">
        <v>0.0</v>
      </c>
    </row>
    <row r="112">
      <c r="A112" s="22" t="s">
        <v>469</v>
      </c>
      <c r="B112" s="21">
        <f t="shared" si="2"/>
        <v>0</v>
      </c>
      <c r="C112" s="21" t="str">
        <f>VLOOKUP(A112, hash!A$2:B$500, 2, 0)</f>
        <v>632b58290801926c6f0d9a37</v>
      </c>
      <c r="D112" s="23">
        <f t="shared" si="3"/>
        <v>0</v>
      </c>
      <c r="E112" s="14">
        <v>0.0</v>
      </c>
      <c r="F112" s="14">
        <v>0.0</v>
      </c>
      <c r="G112" s="14">
        <v>0.0</v>
      </c>
      <c r="H112" s="14">
        <v>0.0</v>
      </c>
      <c r="I112" s="14">
        <v>0.0</v>
      </c>
      <c r="J112" s="14">
        <v>0.0</v>
      </c>
    </row>
    <row r="113">
      <c r="A113" s="22" t="s">
        <v>470</v>
      </c>
      <c r="B113" s="21">
        <f t="shared" si="2"/>
        <v>0</v>
      </c>
      <c r="C113" s="21" t="str">
        <f>VLOOKUP(A113, hash!A$2:B$500, 2, 0)</f>
        <v>632b5867c396d0088321be3a</v>
      </c>
      <c r="D113" s="23">
        <f t="shared" si="3"/>
        <v>0</v>
      </c>
      <c r="E113" s="14">
        <v>0.0</v>
      </c>
      <c r="F113" s="14">
        <v>0.0</v>
      </c>
      <c r="G113" s="14">
        <v>0.0</v>
      </c>
      <c r="H113" s="14">
        <v>0.0</v>
      </c>
      <c r="I113" s="14">
        <v>0.0</v>
      </c>
      <c r="J113" s="14">
        <v>0.0</v>
      </c>
    </row>
    <row r="114">
      <c r="A114" s="22" t="s">
        <v>471</v>
      </c>
      <c r="B114" s="21">
        <f t="shared" si="2"/>
        <v>0</v>
      </c>
      <c r="C114" s="21" t="str">
        <f>VLOOKUP(A114, hash!A$2:B$500, 2, 0)</f>
        <v>632b592764f599396d113b28</v>
      </c>
      <c r="D114" s="23">
        <f t="shared" si="3"/>
        <v>0</v>
      </c>
      <c r="E114" s="14">
        <v>0.0</v>
      </c>
      <c r="F114" s="14">
        <v>0.0</v>
      </c>
      <c r="G114" s="14">
        <v>0.0</v>
      </c>
      <c r="H114" s="14">
        <v>0.0</v>
      </c>
      <c r="I114" s="14">
        <v>0.0</v>
      </c>
      <c r="J114" s="14">
        <v>0.0</v>
      </c>
    </row>
    <row r="115">
      <c r="A115" s="22" t="s">
        <v>472</v>
      </c>
      <c r="B115" s="21">
        <f t="shared" si="2"/>
        <v>0</v>
      </c>
      <c r="C115" s="21" t="str">
        <f>VLOOKUP(A115, hash!A$2:B$500, 2, 0)</f>
        <v>632b659ebfb5f9d04c8cca40</v>
      </c>
      <c r="D115" s="23">
        <f t="shared" si="3"/>
        <v>0</v>
      </c>
      <c r="E115" s="14">
        <v>0.0</v>
      </c>
      <c r="F115" s="14">
        <v>0.0</v>
      </c>
      <c r="G115" s="14">
        <v>0.0</v>
      </c>
      <c r="H115" s="14">
        <v>0.0</v>
      </c>
      <c r="I115" s="14">
        <v>0.0</v>
      </c>
      <c r="J115" s="14">
        <v>0.0</v>
      </c>
    </row>
    <row r="116">
      <c r="A116" s="22" t="s">
        <v>473</v>
      </c>
      <c r="B116" s="21">
        <f t="shared" si="2"/>
        <v>0</v>
      </c>
      <c r="C116" s="21" t="str">
        <f>VLOOKUP(A116, hash!A$2:B$500, 2, 0)</f>
        <v>63332820dde72043c98a24b0</v>
      </c>
      <c r="D116" s="23">
        <f t="shared" si="3"/>
        <v>0</v>
      </c>
      <c r="E116" s="14">
        <v>0.0</v>
      </c>
      <c r="F116" s="14">
        <v>0.0</v>
      </c>
      <c r="G116" s="14">
        <v>0.0</v>
      </c>
      <c r="H116" s="14">
        <v>0.0</v>
      </c>
      <c r="I116" s="14">
        <v>0.0</v>
      </c>
      <c r="J116" s="14">
        <v>0.0</v>
      </c>
    </row>
    <row r="117">
      <c r="A117" s="22" t="s">
        <v>474</v>
      </c>
      <c r="B117" s="21">
        <f t="shared" si="2"/>
        <v>0</v>
      </c>
      <c r="C117" s="21" t="str">
        <f>VLOOKUP(A117, hash!A$2:B$500, 2, 0)</f>
        <v>6334930daf5a29e196628f54</v>
      </c>
      <c r="D117" s="23">
        <f t="shared" si="3"/>
        <v>0</v>
      </c>
      <c r="E117" s="14">
        <v>0.0</v>
      </c>
      <c r="F117" s="14">
        <v>0.0</v>
      </c>
      <c r="G117" s="14">
        <v>0.0</v>
      </c>
      <c r="H117" s="14">
        <v>0.0</v>
      </c>
      <c r="I117" s="14">
        <v>0.0</v>
      </c>
      <c r="J117" s="14">
        <v>0.0</v>
      </c>
    </row>
    <row r="118">
      <c r="A118" s="22" t="s">
        <v>475</v>
      </c>
      <c r="B118" s="21">
        <f t="shared" si="2"/>
        <v>0</v>
      </c>
      <c r="C118" s="21" t="str">
        <f>VLOOKUP(A118, hash!A$2:B$500, 2, 0)</f>
        <v>6334934ee801712b31d25536</v>
      </c>
      <c r="D118" s="23">
        <f t="shared" si="3"/>
        <v>0</v>
      </c>
      <c r="E118" s="14">
        <v>0.0</v>
      </c>
      <c r="F118" s="14">
        <v>0.0</v>
      </c>
      <c r="G118" s="14">
        <v>0.0</v>
      </c>
      <c r="H118" s="14">
        <v>0.0</v>
      </c>
      <c r="I118" s="14">
        <v>0.0</v>
      </c>
      <c r="J118" s="14">
        <v>0.0</v>
      </c>
    </row>
    <row r="119">
      <c r="A119" s="22" t="s">
        <v>476</v>
      </c>
      <c r="B119" s="21">
        <f t="shared" si="2"/>
        <v>0</v>
      </c>
      <c r="C119" s="21" t="str">
        <f>VLOOKUP(A119, hash!A$2:B$500, 2, 0)</f>
        <v>63349f8e3a8dbca7ef791374</v>
      </c>
      <c r="D119" s="23">
        <f t="shared" si="3"/>
        <v>0</v>
      </c>
      <c r="E119" s="14">
        <v>0.0</v>
      </c>
      <c r="F119" s="14">
        <v>0.0</v>
      </c>
      <c r="G119" s="14">
        <v>0.0</v>
      </c>
      <c r="H119" s="14">
        <v>0.0</v>
      </c>
      <c r="I119" s="14">
        <v>0.0</v>
      </c>
      <c r="J119" s="14">
        <v>0.0</v>
      </c>
    </row>
    <row r="120">
      <c r="A120" s="22" t="s">
        <v>477</v>
      </c>
      <c r="B120" s="21">
        <f t="shared" si="2"/>
        <v>0</v>
      </c>
      <c r="C120" s="21" t="str">
        <f>VLOOKUP(A120, hash!A$2:B$500, 2, 0)</f>
        <v>63349f9a3a8dbca7ef791375</v>
      </c>
      <c r="D120" s="23">
        <f t="shared" si="3"/>
        <v>0</v>
      </c>
      <c r="E120" s="14">
        <v>0.0</v>
      </c>
      <c r="F120" s="14">
        <v>0.0</v>
      </c>
      <c r="G120" s="14">
        <v>0.0</v>
      </c>
      <c r="H120" s="14">
        <v>0.0</v>
      </c>
      <c r="I120" s="14">
        <v>0.0</v>
      </c>
      <c r="J120" s="14">
        <v>0.0</v>
      </c>
    </row>
    <row r="121">
      <c r="A121" s="22" t="s">
        <v>478</v>
      </c>
      <c r="B121" s="21">
        <f t="shared" si="2"/>
        <v>0</v>
      </c>
      <c r="C121" s="21" t="str">
        <f>VLOOKUP(A121, hash!A$2:B$500, 2, 0)</f>
        <v>633b2944907d3b0ce904b02f</v>
      </c>
      <c r="D121" s="23">
        <f t="shared" si="3"/>
        <v>0</v>
      </c>
      <c r="E121" s="14">
        <v>0.0</v>
      </c>
      <c r="F121" s="14">
        <v>0.0</v>
      </c>
      <c r="G121" s="14">
        <v>0.0</v>
      </c>
      <c r="H121" s="14">
        <v>0.0</v>
      </c>
      <c r="I121" s="14">
        <v>0.0</v>
      </c>
      <c r="J121" s="14">
        <v>0.0</v>
      </c>
    </row>
    <row r="122">
      <c r="A122" s="22" t="s">
        <v>479</v>
      </c>
      <c r="B122" s="21">
        <f t="shared" si="2"/>
        <v>0</v>
      </c>
      <c r="C122" s="21" t="str">
        <f>VLOOKUP(A122, hash!A$2:B$500, 2, 0)</f>
        <v>633b296e907d3b0ce904b03b</v>
      </c>
      <c r="D122" s="23">
        <f t="shared" si="3"/>
        <v>0</v>
      </c>
      <c r="E122" s="14">
        <v>0.0</v>
      </c>
      <c r="F122" s="14">
        <v>0.0</v>
      </c>
      <c r="G122" s="14">
        <v>0.0</v>
      </c>
      <c r="H122" s="14">
        <v>0.0</v>
      </c>
      <c r="I122" s="14">
        <v>0.0</v>
      </c>
      <c r="J122" s="14">
        <v>0.0</v>
      </c>
    </row>
    <row r="123">
      <c r="A123" s="22" t="s">
        <v>480</v>
      </c>
      <c r="B123" s="21">
        <f t="shared" si="2"/>
        <v>0</v>
      </c>
      <c r="C123" s="21" t="str">
        <f>VLOOKUP(A123, hash!A$2:B$500, 2, 0)</f>
        <v>633b33dde2076b371abb58dd</v>
      </c>
      <c r="D123" s="23">
        <f t="shared" si="3"/>
        <v>0</v>
      </c>
      <c r="E123" s="14">
        <v>0.0</v>
      </c>
      <c r="F123" s="14">
        <v>0.0</v>
      </c>
      <c r="G123" s="14">
        <v>0.0</v>
      </c>
      <c r="H123" s="14">
        <v>0.0</v>
      </c>
      <c r="I123" s="14">
        <v>0.0</v>
      </c>
      <c r="J123" s="14">
        <v>0.0</v>
      </c>
    </row>
    <row r="124">
      <c r="A124" s="22" t="s">
        <v>481</v>
      </c>
      <c r="B124" s="21">
        <f t="shared" si="2"/>
        <v>0</v>
      </c>
      <c r="C124" s="21" t="str">
        <f>VLOOKUP(A124, hash!A$2:B$500, 2, 0)</f>
        <v>633b36b4e2076b371abb58ed</v>
      </c>
      <c r="D124" s="23">
        <f t="shared" si="3"/>
        <v>0</v>
      </c>
      <c r="E124" s="14">
        <v>0.0</v>
      </c>
      <c r="F124" s="14">
        <v>0.0</v>
      </c>
      <c r="G124" s="14">
        <v>0.0</v>
      </c>
      <c r="H124" s="14">
        <v>0.0</v>
      </c>
      <c r="I124" s="14">
        <v>0.0</v>
      </c>
      <c r="J124" s="14">
        <v>0.0</v>
      </c>
    </row>
    <row r="125">
      <c r="A125" s="22" t="s">
        <v>482</v>
      </c>
      <c r="B125" s="21">
        <f t="shared" si="2"/>
        <v>0</v>
      </c>
      <c r="C125" s="21" t="str">
        <f>VLOOKUP(A125, hash!A$2:B$500, 2, 0)</f>
        <v>634ebd057dcff4d8aaf60ecd</v>
      </c>
      <c r="D125" s="23">
        <f t="shared" si="3"/>
        <v>0</v>
      </c>
      <c r="E125" s="14">
        <v>0.0</v>
      </c>
      <c r="F125" s="14">
        <v>0.0</v>
      </c>
      <c r="G125" s="14">
        <v>0.0</v>
      </c>
      <c r="H125" s="14">
        <v>0.0</v>
      </c>
      <c r="I125" s="14">
        <v>0.0</v>
      </c>
      <c r="J125" s="14">
        <v>0.0</v>
      </c>
    </row>
    <row r="126">
      <c r="A126" s="22" t="s">
        <v>483</v>
      </c>
      <c r="B126" s="21">
        <f t="shared" si="2"/>
        <v>0</v>
      </c>
      <c r="C126" s="21" t="str">
        <f>VLOOKUP(A126, hash!A$2:B$500, 2, 0)</f>
        <v>6350260e6b84e6835b7bdb10</v>
      </c>
      <c r="D126" s="23">
        <f t="shared" si="3"/>
        <v>0</v>
      </c>
      <c r="E126" s="14">
        <v>0.0</v>
      </c>
      <c r="F126" s="14">
        <v>0.0</v>
      </c>
      <c r="G126" s="14">
        <v>0.0</v>
      </c>
      <c r="H126" s="14">
        <v>0.0</v>
      </c>
      <c r="I126" s="14">
        <v>0.0</v>
      </c>
      <c r="J126" s="14">
        <v>0.0</v>
      </c>
    </row>
    <row r="127">
      <c r="A127" s="22" t="s">
        <v>484</v>
      </c>
      <c r="B127" s="21">
        <f t="shared" si="2"/>
        <v>0</v>
      </c>
      <c r="C127" s="21" t="str">
        <f>VLOOKUP(A127, hash!A$2:B$500, 2, 0)</f>
        <v>635041d40aaa9d7642b16a2a</v>
      </c>
      <c r="D127" s="23">
        <f t="shared" si="3"/>
        <v>0</v>
      </c>
      <c r="E127" s="14">
        <v>0.0</v>
      </c>
      <c r="F127" s="14">
        <v>0.0</v>
      </c>
      <c r="G127" s="14">
        <v>0.0</v>
      </c>
      <c r="H127" s="14">
        <v>0.0</v>
      </c>
      <c r="I127" s="14">
        <v>0.0</v>
      </c>
      <c r="J127" s="14">
        <v>0.0</v>
      </c>
    </row>
    <row r="128">
      <c r="A128" s="22" t="s">
        <v>485</v>
      </c>
      <c r="B128" s="21">
        <f t="shared" si="2"/>
        <v>0</v>
      </c>
      <c r="C128" s="21" t="str">
        <f>VLOOKUP(A128, hash!A$2:B$500, 2, 0)</f>
        <v>63504cfc4e941e57f7932609</v>
      </c>
      <c r="D128" s="23">
        <f t="shared" si="3"/>
        <v>0</v>
      </c>
      <c r="E128" s="14">
        <v>0.0</v>
      </c>
      <c r="F128" s="14">
        <v>0.0</v>
      </c>
      <c r="G128" s="14">
        <v>0.0</v>
      </c>
      <c r="H128" s="14">
        <v>0.0</v>
      </c>
      <c r="I128" s="14">
        <v>0.0</v>
      </c>
      <c r="J128" s="14">
        <v>0.0</v>
      </c>
    </row>
    <row r="129">
      <c r="A129" s="22" t="s">
        <v>486</v>
      </c>
      <c r="B129" s="21">
        <f t="shared" si="2"/>
        <v>0</v>
      </c>
      <c r="C129" s="21" t="str">
        <f>VLOOKUP(A129, hash!A$2:B$500, 2, 0)</f>
        <v>63504d21680a31686694f409</v>
      </c>
      <c r="D129" s="23">
        <f t="shared" si="3"/>
        <v>0</v>
      </c>
      <c r="E129" s="14">
        <v>0.0</v>
      </c>
      <c r="F129" s="14">
        <v>0.0</v>
      </c>
      <c r="G129" s="14">
        <v>0.0</v>
      </c>
      <c r="H129" s="14">
        <v>0.0</v>
      </c>
      <c r="I129" s="14">
        <v>0.0</v>
      </c>
      <c r="J129" s="14">
        <v>0.0</v>
      </c>
    </row>
    <row r="130">
      <c r="A130" s="22" t="s">
        <v>487</v>
      </c>
      <c r="B130" s="21">
        <f t="shared" si="2"/>
        <v>0</v>
      </c>
      <c r="C130" s="21" t="str">
        <f>VLOOKUP(A130, hash!A$2:B$500, 2, 0)</f>
        <v>63504d993b59fc8152ddcd16</v>
      </c>
      <c r="D130" s="23">
        <f t="shared" si="3"/>
        <v>0</v>
      </c>
      <c r="E130" s="14">
        <v>0.0</v>
      </c>
      <c r="F130" s="14">
        <v>0.0</v>
      </c>
      <c r="G130" s="14">
        <v>0.0</v>
      </c>
      <c r="H130" s="14">
        <v>0.0</v>
      </c>
      <c r="I130" s="14">
        <v>0.0</v>
      </c>
      <c r="J130" s="14">
        <v>0.0</v>
      </c>
    </row>
    <row r="131">
      <c r="A131" s="22" t="s">
        <v>488</v>
      </c>
      <c r="B131" s="21">
        <f t="shared" si="2"/>
        <v>0</v>
      </c>
      <c r="C131" s="21" t="str">
        <f>VLOOKUP(A131, hash!A$2:B$500, 2, 0)</f>
        <v>63504f2bf3c9b5fc221a8b0b</v>
      </c>
      <c r="D131" s="23">
        <f t="shared" si="3"/>
        <v>0</v>
      </c>
      <c r="E131" s="14">
        <v>0.0</v>
      </c>
      <c r="F131" s="14">
        <v>0.0</v>
      </c>
      <c r="G131" s="14">
        <v>0.0</v>
      </c>
      <c r="H131" s="14">
        <v>0.0</v>
      </c>
      <c r="I131" s="14">
        <v>0.0</v>
      </c>
      <c r="J131" s="14">
        <v>0.0</v>
      </c>
    </row>
    <row r="132">
      <c r="A132" s="22" t="s">
        <v>489</v>
      </c>
      <c r="B132" s="21">
        <f t="shared" si="2"/>
        <v>0</v>
      </c>
      <c r="C132" s="21" t="str">
        <f>VLOOKUP(A132, hash!A$2:B$500, 2, 0)</f>
        <v>63505039f3c9b5fc221a8b11</v>
      </c>
      <c r="D132" s="23">
        <f t="shared" si="3"/>
        <v>0</v>
      </c>
      <c r="E132" s="14">
        <v>0.0</v>
      </c>
      <c r="F132" s="14">
        <v>0.0</v>
      </c>
      <c r="G132" s="14">
        <v>0.0</v>
      </c>
      <c r="H132" s="14">
        <v>0.0</v>
      </c>
      <c r="I132" s="14">
        <v>0.0</v>
      </c>
      <c r="J132" s="14">
        <v>0.0</v>
      </c>
    </row>
    <row r="133">
      <c r="A133" s="22" t="s">
        <v>490</v>
      </c>
      <c r="B133" s="21">
        <f t="shared" si="2"/>
        <v>0</v>
      </c>
      <c r="C133" s="21" t="str">
        <f>VLOOKUP(A133, hash!A$2:B$500, 2, 0)</f>
        <v>6350508cf3c9b5fc221a8b14</v>
      </c>
      <c r="D133" s="23">
        <f t="shared" si="3"/>
        <v>0</v>
      </c>
      <c r="E133" s="14">
        <v>0.0</v>
      </c>
      <c r="F133" s="14">
        <v>0.0</v>
      </c>
      <c r="G133" s="14">
        <v>0.0</v>
      </c>
      <c r="H133" s="14">
        <v>0.0</v>
      </c>
      <c r="I133" s="14">
        <v>0.0</v>
      </c>
      <c r="J133" s="14">
        <v>0.0</v>
      </c>
    </row>
    <row r="134">
      <c r="A134" s="22" t="s">
        <v>491</v>
      </c>
      <c r="B134" s="21">
        <f t="shared" si="2"/>
        <v>0</v>
      </c>
      <c r="C134" s="21" t="str">
        <f>VLOOKUP(A134, hash!A$2:B$500, 2, 0)</f>
        <v>635052bcd5280881c6468696</v>
      </c>
      <c r="D134" s="23">
        <f t="shared" si="3"/>
        <v>0</v>
      </c>
      <c r="E134" s="14">
        <v>0.0</v>
      </c>
      <c r="F134" s="14">
        <v>0.0</v>
      </c>
      <c r="G134" s="14">
        <v>0.0</v>
      </c>
      <c r="H134" s="14">
        <v>0.0</v>
      </c>
      <c r="I134" s="14">
        <v>0.0</v>
      </c>
      <c r="J134" s="14">
        <v>0.0</v>
      </c>
    </row>
    <row r="135">
      <c r="A135" s="22" t="s">
        <v>492</v>
      </c>
      <c r="B135" s="21">
        <f t="shared" si="2"/>
        <v>0</v>
      </c>
      <c r="C135" s="21" t="str">
        <f>VLOOKUP(A135, hash!A$2:B$500, 2, 0)</f>
        <v>635053873b59fc8152ddcd3f</v>
      </c>
      <c r="D135" s="23">
        <f t="shared" si="3"/>
        <v>0</v>
      </c>
      <c r="E135" s="14">
        <v>0.0</v>
      </c>
      <c r="F135" s="14">
        <v>0.0</v>
      </c>
      <c r="G135" s="14">
        <v>0.0</v>
      </c>
      <c r="H135" s="14">
        <v>0.0</v>
      </c>
      <c r="I135" s="14">
        <v>0.0</v>
      </c>
      <c r="J135" s="14">
        <v>0.0</v>
      </c>
    </row>
    <row r="136">
      <c r="A136" s="22" t="s">
        <v>493</v>
      </c>
      <c r="B136" s="21">
        <f t="shared" si="2"/>
        <v>0</v>
      </c>
      <c r="C136" s="21" t="str">
        <f>VLOOKUP(A136, hash!A$2:B$500, 2, 0)</f>
        <v>6350549ca87d74ab21f25e75</v>
      </c>
      <c r="D136" s="23">
        <f t="shared" si="3"/>
        <v>0</v>
      </c>
      <c r="E136" s="14">
        <v>0.0</v>
      </c>
      <c r="F136" s="14">
        <v>0.0</v>
      </c>
      <c r="G136" s="14">
        <v>0.0</v>
      </c>
      <c r="H136" s="14">
        <v>0.0</v>
      </c>
      <c r="I136" s="14">
        <v>0.0</v>
      </c>
      <c r="J136" s="14">
        <v>0.0</v>
      </c>
    </row>
    <row r="137">
      <c r="A137" s="22" t="s">
        <v>494</v>
      </c>
      <c r="B137" s="21">
        <f t="shared" si="2"/>
        <v>0</v>
      </c>
      <c r="C137" s="21" t="str">
        <f>VLOOKUP(A137, hash!A$2:B$500, 2, 0)</f>
        <v>63529e993c9eeacf2b95884e</v>
      </c>
      <c r="D137" s="23">
        <f t="shared" si="3"/>
        <v>0</v>
      </c>
      <c r="E137" s="14">
        <v>0.0</v>
      </c>
      <c r="F137" s="14">
        <v>0.0</v>
      </c>
      <c r="G137" s="14">
        <v>0.0</v>
      </c>
      <c r="H137" s="14">
        <v>0.0</v>
      </c>
      <c r="I137" s="14">
        <v>0.0</v>
      </c>
      <c r="J137" s="14">
        <v>0.0</v>
      </c>
    </row>
    <row r="138">
      <c r="A138" s="22" t="s">
        <v>495</v>
      </c>
      <c r="B138" s="21">
        <f t="shared" si="2"/>
        <v>0</v>
      </c>
      <c r="C138" s="21" t="str">
        <f>VLOOKUP(A138, hash!A$2:B$500, 2, 0)</f>
        <v>63597cb9a9e578282a60ad9d</v>
      </c>
      <c r="D138" s="23">
        <f t="shared" si="3"/>
        <v>0</v>
      </c>
      <c r="E138" s="14">
        <v>0.0</v>
      </c>
      <c r="F138" s="14">
        <v>0.0</v>
      </c>
      <c r="G138" s="14">
        <v>0.0</v>
      </c>
      <c r="H138" s="14">
        <v>0.0</v>
      </c>
      <c r="I138" s="14">
        <v>0.0</v>
      </c>
      <c r="J138" s="14">
        <v>0.0</v>
      </c>
    </row>
    <row r="139">
      <c r="A139" s="22" t="s">
        <v>101</v>
      </c>
      <c r="B139" s="21">
        <f t="shared" si="2"/>
        <v>0</v>
      </c>
      <c r="C139" s="21" t="str">
        <f>VLOOKUP(A139, hash!A$2:B$500, 2, 0)</f>
        <v>6362864bd6615019231bd3fc</v>
      </c>
      <c r="D139" s="23">
        <f t="shared" si="3"/>
        <v>0</v>
      </c>
      <c r="E139" s="14">
        <v>0.0</v>
      </c>
      <c r="F139" s="14">
        <v>0.0</v>
      </c>
      <c r="G139" s="14">
        <v>0.0</v>
      </c>
      <c r="H139" s="14">
        <v>0.0</v>
      </c>
      <c r="I139" s="14">
        <v>0.0</v>
      </c>
      <c r="J139" s="14">
        <v>0.0</v>
      </c>
    </row>
    <row r="140">
      <c r="A140" s="22" t="s">
        <v>102</v>
      </c>
      <c r="B140" s="21">
        <f t="shared" si="2"/>
        <v>0</v>
      </c>
      <c r="C140" s="21" t="str">
        <f>VLOOKUP(A140, hash!A$2:B$500, 2, 0)</f>
        <v>6362b77fe777ad6bbb240412</v>
      </c>
      <c r="D140" s="23">
        <f t="shared" si="3"/>
        <v>0</v>
      </c>
      <c r="E140" s="14">
        <v>0.0</v>
      </c>
      <c r="F140" s="14">
        <v>0.0</v>
      </c>
      <c r="G140" s="14">
        <v>0.0</v>
      </c>
      <c r="H140" s="14">
        <v>0.0</v>
      </c>
      <c r="I140" s="14">
        <v>0.0</v>
      </c>
      <c r="J140" s="14">
        <v>0.0</v>
      </c>
    </row>
    <row r="141">
      <c r="A141" s="22" t="s">
        <v>103</v>
      </c>
      <c r="B141" s="21">
        <f t="shared" si="2"/>
        <v>0</v>
      </c>
      <c r="C141" s="21" t="str">
        <f>VLOOKUP(A141, hash!A$2:B$500, 2, 0)</f>
        <v>6376b58661fba9785d07416f</v>
      </c>
      <c r="D141" s="23">
        <f t="shared" si="3"/>
        <v>0</v>
      </c>
      <c r="E141" s="14">
        <v>0.0</v>
      </c>
      <c r="F141" s="14">
        <v>0.0</v>
      </c>
      <c r="G141" s="14">
        <v>0.0</v>
      </c>
      <c r="H141" s="14">
        <v>0.0</v>
      </c>
      <c r="I141" s="14">
        <v>0.0</v>
      </c>
      <c r="J141" s="14">
        <v>0.0</v>
      </c>
    </row>
    <row r="142">
      <c r="A142" s="22" t="s">
        <v>104</v>
      </c>
      <c r="B142" s="21">
        <f t="shared" si="2"/>
        <v>0</v>
      </c>
      <c r="C142" s="21" t="str">
        <f>VLOOKUP(A142, hash!A$2:B$500, 2, 0)</f>
        <v>6387bb73c1e51a839dd5a996</v>
      </c>
      <c r="D142" s="23">
        <f t="shared" si="3"/>
        <v>0</v>
      </c>
      <c r="E142" s="14">
        <v>0.0</v>
      </c>
      <c r="F142" s="14">
        <v>0.0</v>
      </c>
      <c r="G142" s="14">
        <v>0.0</v>
      </c>
      <c r="H142" s="14">
        <v>0.0</v>
      </c>
      <c r="I142" s="14">
        <v>0.0</v>
      </c>
      <c r="J142" s="14">
        <v>0.0</v>
      </c>
    </row>
    <row r="143">
      <c r="A143" s="22" t="s">
        <v>105</v>
      </c>
      <c r="B143" s="21">
        <f t="shared" si="2"/>
        <v>0</v>
      </c>
      <c r="C143" s="21" t="str">
        <f>VLOOKUP(A143, hash!A$2:B$500, 2, 0)</f>
        <v>6387bbc6c1e51a839dd5a9a4</v>
      </c>
      <c r="D143" s="23">
        <f t="shared" si="3"/>
        <v>0</v>
      </c>
      <c r="E143" s="14">
        <v>0.0</v>
      </c>
      <c r="F143" s="14">
        <v>0.0</v>
      </c>
      <c r="G143" s="14">
        <v>0.0</v>
      </c>
      <c r="H143" s="14">
        <v>0.0</v>
      </c>
      <c r="I143" s="14">
        <v>0.0</v>
      </c>
      <c r="J143" s="14">
        <v>0.0</v>
      </c>
    </row>
    <row r="144">
      <c r="A144" s="22" t="s">
        <v>106</v>
      </c>
      <c r="B144" s="21">
        <f t="shared" si="2"/>
        <v>0</v>
      </c>
      <c r="C144" s="21" t="str">
        <f>VLOOKUP(A144, hash!A$2:B$500, 2, 0)</f>
        <v>639a2e9e3b748bad962c153c</v>
      </c>
      <c r="D144" s="23">
        <f t="shared" si="3"/>
        <v>0</v>
      </c>
      <c r="E144" s="14">
        <v>0.0</v>
      </c>
      <c r="F144" s="14">
        <v>0.0</v>
      </c>
      <c r="G144" s="14">
        <v>0.0</v>
      </c>
      <c r="H144" s="14">
        <v>0.0</v>
      </c>
      <c r="I144" s="14">
        <v>0.0</v>
      </c>
      <c r="J144" s="14">
        <v>0.0</v>
      </c>
    </row>
    <row r="145">
      <c r="A145" s="22" t="s">
        <v>107</v>
      </c>
      <c r="B145" s="21">
        <f t="shared" si="2"/>
        <v>0</v>
      </c>
      <c r="C145" s="21" t="str">
        <f>VLOOKUP(A145, hash!A$2:B$500, 2, 0)</f>
        <v>63b5d35a964a47f092354843</v>
      </c>
      <c r="D145" s="23">
        <f t="shared" si="3"/>
        <v>0</v>
      </c>
      <c r="E145" s="14">
        <v>0.0</v>
      </c>
      <c r="F145" s="14">
        <v>0.0</v>
      </c>
      <c r="G145" s="14">
        <v>0.0</v>
      </c>
      <c r="H145" s="14">
        <v>0.0</v>
      </c>
      <c r="I145" s="14">
        <v>0.0</v>
      </c>
      <c r="J145" s="14">
        <v>0.0</v>
      </c>
    </row>
    <row r="146">
      <c r="A146" s="22" t="s">
        <v>108</v>
      </c>
      <c r="B146" s="21">
        <f t="shared" si="2"/>
        <v>0</v>
      </c>
      <c r="C146" s="21" t="str">
        <f>VLOOKUP(A146, hash!A$2:B$500, 2, 0)</f>
        <v>63c833ef38ef4ba2f7bbe919</v>
      </c>
      <c r="D146" s="23">
        <f t="shared" si="3"/>
        <v>0</v>
      </c>
      <c r="E146" s="14">
        <v>0.0</v>
      </c>
      <c r="F146" s="14">
        <v>0.0</v>
      </c>
      <c r="G146" s="14">
        <v>0.0</v>
      </c>
      <c r="H146" s="14">
        <v>0.0</v>
      </c>
      <c r="I146" s="14">
        <v>0.0</v>
      </c>
      <c r="J146" s="14">
        <v>0.0</v>
      </c>
    </row>
    <row r="147">
      <c r="A147" s="22" t="s">
        <v>109</v>
      </c>
      <c r="B147" s="21">
        <f t="shared" si="2"/>
        <v>0</v>
      </c>
      <c r="C147" s="21" t="str">
        <f>VLOOKUP(A147, hash!A$2:B$500, 2, 0)</f>
        <v>63c8473f511ce7e89481b00b</v>
      </c>
      <c r="D147" s="23">
        <f t="shared" si="3"/>
        <v>0</v>
      </c>
      <c r="E147" s="14">
        <v>0.0</v>
      </c>
      <c r="F147" s="14">
        <v>0.0</v>
      </c>
      <c r="G147" s="14">
        <v>0.0</v>
      </c>
      <c r="H147" s="14">
        <v>0.0</v>
      </c>
      <c r="I147" s="14">
        <v>0.0</v>
      </c>
      <c r="J147" s="14">
        <v>0.0</v>
      </c>
    </row>
    <row r="148">
      <c r="A148" s="22" t="s">
        <v>110</v>
      </c>
      <c r="B148" s="21">
        <f t="shared" si="2"/>
        <v>0</v>
      </c>
      <c r="C148" s="21" t="str">
        <f>VLOOKUP(A148, hash!A$2:B$500, 2, 0)</f>
        <v>63c8477b67bbb48b24b073b9</v>
      </c>
      <c r="D148" s="23">
        <f t="shared" si="3"/>
        <v>0</v>
      </c>
      <c r="E148" s="14">
        <v>0.0</v>
      </c>
      <c r="F148" s="14">
        <v>0.0</v>
      </c>
      <c r="G148" s="14">
        <v>0.0</v>
      </c>
      <c r="H148" s="14">
        <v>0.0</v>
      </c>
      <c r="I148" s="14">
        <v>0.0</v>
      </c>
      <c r="J148" s="14">
        <v>0.0</v>
      </c>
    </row>
    <row r="149">
      <c r="A149" s="22" t="s">
        <v>111</v>
      </c>
      <c r="B149" s="21">
        <f t="shared" si="2"/>
        <v>0</v>
      </c>
      <c r="C149" s="21" t="str">
        <f>VLOOKUP(A149, hash!A$2:B$500, 2, 0)</f>
        <v>63dabd0663f6b9aef34df313</v>
      </c>
      <c r="D149" s="23">
        <f t="shared" si="3"/>
        <v>0</v>
      </c>
      <c r="E149" s="14">
        <v>0.0</v>
      </c>
      <c r="F149" s="14">
        <v>0.0</v>
      </c>
      <c r="G149" s="14">
        <v>0.0</v>
      </c>
      <c r="H149" s="14">
        <v>0.0</v>
      </c>
      <c r="I149" s="14">
        <v>0.0</v>
      </c>
      <c r="J149" s="14">
        <v>0.0</v>
      </c>
    </row>
    <row r="150">
      <c r="A150" s="22" t="s">
        <v>112</v>
      </c>
      <c r="B150" s="21">
        <f t="shared" si="2"/>
        <v>0</v>
      </c>
      <c r="C150" s="21" t="str">
        <f>VLOOKUP(A150, hash!A$2:B$500, 2, 0)</f>
        <v>63dabd3d9dab57a89c8ed2ec</v>
      </c>
      <c r="D150" s="23">
        <f t="shared" si="3"/>
        <v>0</v>
      </c>
      <c r="E150" s="14">
        <v>0.0</v>
      </c>
      <c r="F150" s="14">
        <v>0.0</v>
      </c>
      <c r="G150" s="14">
        <v>0.0</v>
      </c>
      <c r="H150" s="14">
        <v>0.0</v>
      </c>
      <c r="I150" s="14">
        <v>0.0</v>
      </c>
      <c r="J150" s="14">
        <v>0.0</v>
      </c>
    </row>
    <row r="151">
      <c r="A151" s="22" t="s">
        <v>113</v>
      </c>
      <c r="B151" s="21">
        <f t="shared" si="2"/>
        <v>0</v>
      </c>
      <c r="C151" s="21" t="str">
        <f>VLOOKUP(A151, hash!A$2:B$500, 2, 0)</f>
        <v>63ddd5541cf7a4a53455fa2b</v>
      </c>
      <c r="D151" s="23">
        <f t="shared" si="3"/>
        <v>0</v>
      </c>
      <c r="E151" s="14">
        <v>0.0</v>
      </c>
      <c r="F151" s="14">
        <v>0.0</v>
      </c>
      <c r="G151" s="14">
        <v>0.0</v>
      </c>
      <c r="H151" s="14">
        <v>0.0</v>
      </c>
      <c r="I151" s="14">
        <v>0.0</v>
      </c>
      <c r="J151" s="14">
        <v>0.0</v>
      </c>
    </row>
    <row r="152">
      <c r="A152" s="22" t="s">
        <v>114</v>
      </c>
      <c r="B152" s="21">
        <f t="shared" si="2"/>
        <v>0</v>
      </c>
      <c r="C152" s="21" t="str">
        <f>VLOOKUP(A152, hash!A$2:B$500, 2, 0)</f>
        <v>63ed3c20ba3040bfda3dc990</v>
      </c>
      <c r="D152" s="23">
        <f t="shared" si="3"/>
        <v>0</v>
      </c>
      <c r="E152" s="14">
        <v>0.0</v>
      </c>
      <c r="F152" s="14">
        <v>0.0</v>
      </c>
      <c r="G152" s="14">
        <v>0.0</v>
      </c>
      <c r="H152" s="14">
        <v>0.0</v>
      </c>
      <c r="I152" s="14">
        <v>0.0</v>
      </c>
      <c r="J152" s="14">
        <v>0.0</v>
      </c>
    </row>
    <row r="153">
      <c r="A153" s="22" t="s">
        <v>115</v>
      </c>
      <c r="B153" s="21">
        <f t="shared" si="2"/>
        <v>0</v>
      </c>
      <c r="C153" s="21" t="str">
        <f>VLOOKUP(A153, hash!A$2:B$500, 2, 0)</f>
        <v>63f67889c8ff9ace793384df</v>
      </c>
      <c r="D153" s="23">
        <f t="shared" si="3"/>
        <v>0</v>
      </c>
      <c r="E153" s="14">
        <v>0.0</v>
      </c>
      <c r="F153" s="14">
        <v>0.0</v>
      </c>
      <c r="G153" s="14">
        <v>0.0</v>
      </c>
      <c r="H153" s="14">
        <v>0.0</v>
      </c>
      <c r="I153" s="14">
        <v>0.0</v>
      </c>
      <c r="J153" s="14">
        <v>0.0</v>
      </c>
    </row>
    <row r="154">
      <c r="A154" s="22" t="s">
        <v>116</v>
      </c>
      <c r="B154" s="21">
        <f t="shared" si="2"/>
        <v>0</v>
      </c>
      <c r="C154" s="21" t="str">
        <f>VLOOKUP(A154, hash!A$2:B$500, 2, 0)</f>
        <v>63f67911eb2d54539e475aef</v>
      </c>
      <c r="D154" s="23">
        <f t="shared" si="3"/>
        <v>0</v>
      </c>
      <c r="E154" s="14">
        <v>0.0</v>
      </c>
      <c r="F154" s="14">
        <v>0.0</v>
      </c>
      <c r="G154" s="14">
        <v>0.0</v>
      </c>
      <c r="H154" s="14">
        <v>0.0</v>
      </c>
      <c r="I154" s="14">
        <v>0.0</v>
      </c>
      <c r="J154" s="14">
        <v>0.0</v>
      </c>
    </row>
    <row r="155">
      <c r="A155" s="22" t="s">
        <v>117</v>
      </c>
      <c r="B155" s="21">
        <f t="shared" si="2"/>
        <v>0</v>
      </c>
      <c r="C155" s="21" t="str">
        <f>VLOOKUP(A155, hash!A$2:B$500, 2, 0)</f>
        <v>64120eb5cd7bcbc0e50f33da</v>
      </c>
      <c r="D155" s="23">
        <f t="shared" si="3"/>
        <v>0</v>
      </c>
      <c r="E155" s="14">
        <v>0.0</v>
      </c>
      <c r="F155" s="14">
        <v>0.0</v>
      </c>
      <c r="G155" s="14">
        <v>0.0</v>
      </c>
      <c r="H155" s="14">
        <v>0.0</v>
      </c>
      <c r="I155" s="14">
        <v>0.0</v>
      </c>
      <c r="J155" s="14">
        <v>0.0</v>
      </c>
    </row>
    <row r="156">
      <c r="A156" s="22" t="s">
        <v>118</v>
      </c>
      <c r="B156" s="21">
        <f t="shared" si="2"/>
        <v>0</v>
      </c>
      <c r="C156" s="21" t="str">
        <f>VLOOKUP(A156, hash!A$2:B$500, 2, 0)</f>
        <v>64403390f40f176b87a687a7</v>
      </c>
      <c r="D156" s="23">
        <f t="shared" si="3"/>
        <v>0</v>
      </c>
      <c r="E156" s="14">
        <v>0.0</v>
      </c>
      <c r="F156" s="14">
        <v>0.0</v>
      </c>
      <c r="G156" s="14">
        <v>0.0</v>
      </c>
      <c r="H156" s="14">
        <v>0.0</v>
      </c>
      <c r="I156" s="14">
        <v>0.0</v>
      </c>
      <c r="J156" s="14">
        <v>0.0</v>
      </c>
    </row>
    <row r="157">
      <c r="A157" s="22" t="s">
        <v>119</v>
      </c>
      <c r="B157" s="21">
        <f t="shared" si="2"/>
        <v>0</v>
      </c>
      <c r="C157" s="21" t="str">
        <f>VLOOKUP(A157, hash!A$2:B$500, 2, 0)</f>
        <v>64403395ea1fa9a912edb699</v>
      </c>
      <c r="D157" s="23">
        <f t="shared" si="3"/>
        <v>0</v>
      </c>
      <c r="E157" s="14">
        <v>0.0</v>
      </c>
      <c r="F157" s="14">
        <v>0.0</v>
      </c>
      <c r="G157" s="14">
        <v>0.0</v>
      </c>
      <c r="H157" s="14">
        <v>0.0</v>
      </c>
      <c r="I157" s="14">
        <v>0.0</v>
      </c>
      <c r="J157" s="14">
        <v>0.0</v>
      </c>
    </row>
    <row r="158">
      <c r="A158" s="22" t="s">
        <v>120</v>
      </c>
      <c r="B158" s="21">
        <f t="shared" si="2"/>
        <v>0</v>
      </c>
      <c r="C158" s="21" t="str">
        <f>VLOOKUP(A158, hash!A$2:B$500, 2, 0)</f>
        <v>64403399ea1fa9a912edb69a</v>
      </c>
      <c r="D158" s="23">
        <f t="shared" si="3"/>
        <v>0</v>
      </c>
      <c r="E158" s="14">
        <v>0.0</v>
      </c>
      <c r="F158" s="14">
        <v>0.0</v>
      </c>
      <c r="G158" s="14">
        <v>0.0</v>
      </c>
      <c r="H158" s="14">
        <v>0.0</v>
      </c>
      <c r="I158" s="14">
        <v>0.0</v>
      </c>
      <c r="J158" s="14">
        <v>0.0</v>
      </c>
    </row>
    <row r="159">
      <c r="A159" s="22" t="s">
        <v>121</v>
      </c>
      <c r="B159" s="21">
        <f t="shared" si="2"/>
        <v>0</v>
      </c>
      <c r="C159" s="21" t="str">
        <f>VLOOKUP(A159, hash!A$2:B$500, 2, 0)</f>
        <v>644033a6ea1fa9a912edb69b</v>
      </c>
      <c r="D159" s="23">
        <f t="shared" si="3"/>
        <v>0</v>
      </c>
      <c r="E159" s="14">
        <v>0.0</v>
      </c>
      <c r="F159" s="14">
        <v>0.0</v>
      </c>
      <c r="G159" s="14">
        <v>0.0</v>
      </c>
      <c r="H159" s="14">
        <v>0.0</v>
      </c>
      <c r="I159" s="14">
        <v>0.0</v>
      </c>
      <c r="J159" s="14">
        <v>0.0</v>
      </c>
    </row>
    <row r="160">
      <c r="A160" s="22" t="s">
        <v>122</v>
      </c>
      <c r="B160" s="21">
        <f t="shared" si="2"/>
        <v>0</v>
      </c>
      <c r="C160" s="21" t="str">
        <f>VLOOKUP(A160, hash!A$2:B$500, 2, 0)</f>
        <v>6440343c3d99f5a46dd56558</v>
      </c>
      <c r="D160" s="23">
        <f t="shared" si="3"/>
        <v>0</v>
      </c>
      <c r="E160" s="14">
        <v>0.0</v>
      </c>
      <c r="F160" s="14">
        <v>0.0</v>
      </c>
      <c r="G160" s="14">
        <v>0.0</v>
      </c>
      <c r="H160" s="14">
        <v>0.0</v>
      </c>
      <c r="I160" s="14">
        <v>0.0</v>
      </c>
      <c r="J160" s="14">
        <v>0.0</v>
      </c>
    </row>
    <row r="161">
      <c r="A161" s="22" t="s">
        <v>123</v>
      </c>
      <c r="B161" s="21">
        <f t="shared" si="2"/>
        <v>0</v>
      </c>
      <c r="C161" s="21" t="str">
        <f>VLOOKUP(A161, hash!A$2:B$500, 2, 0)</f>
        <v>644034954fa829a66b219e95</v>
      </c>
      <c r="D161" s="23">
        <f t="shared" si="3"/>
        <v>0</v>
      </c>
      <c r="E161" s="14">
        <v>0.0</v>
      </c>
      <c r="F161" s="14">
        <v>0.0</v>
      </c>
      <c r="G161" s="14">
        <v>0.0</v>
      </c>
      <c r="H161" s="14">
        <v>0.0</v>
      </c>
      <c r="I161" s="14">
        <v>0.0</v>
      </c>
      <c r="J161" s="14">
        <v>0.0</v>
      </c>
    </row>
    <row r="162">
      <c r="A162" s="22" t="s">
        <v>124</v>
      </c>
      <c r="B162" s="21">
        <f t="shared" si="2"/>
        <v>0</v>
      </c>
      <c r="C162" s="21" t="str">
        <f>VLOOKUP(A162, hash!A$2:B$500, 2, 0)</f>
        <v>6451565d77ece8ad709943e6</v>
      </c>
      <c r="D162" s="23">
        <f t="shared" si="3"/>
        <v>0</v>
      </c>
      <c r="E162" s="14">
        <v>0.0</v>
      </c>
      <c r="F162" s="14">
        <v>0.0</v>
      </c>
      <c r="G162" s="14">
        <v>0.0</v>
      </c>
      <c r="H162" s="14">
        <v>0.0</v>
      </c>
      <c r="I162" s="14">
        <v>0.0</v>
      </c>
      <c r="J162" s="14">
        <v>0.0</v>
      </c>
    </row>
    <row r="163">
      <c r="A163" s="22" t="s">
        <v>125</v>
      </c>
      <c r="B163" s="21">
        <f t="shared" si="2"/>
        <v>0</v>
      </c>
      <c r="C163" s="21" t="str">
        <f>VLOOKUP(A163, hash!A$2:B$500, 2, 0)</f>
        <v>6451566b3e57b23a771eb77e</v>
      </c>
      <c r="D163" s="23">
        <f t="shared" si="3"/>
        <v>0</v>
      </c>
      <c r="E163" s="14">
        <v>0.0</v>
      </c>
      <c r="F163" s="14">
        <v>0.0</v>
      </c>
      <c r="G163" s="14">
        <v>0.0</v>
      </c>
      <c r="H163" s="14">
        <v>0.0</v>
      </c>
      <c r="I163" s="14">
        <v>0.0</v>
      </c>
      <c r="J163" s="14">
        <v>0.0</v>
      </c>
    </row>
    <row r="164">
      <c r="A164" s="22" t="s">
        <v>126</v>
      </c>
      <c r="B164" s="21">
        <f t="shared" si="2"/>
        <v>0</v>
      </c>
      <c r="C164" s="21" t="str">
        <f>VLOOKUP(A164, hash!A$2:B$500, 2, 0)</f>
        <v>64515f40d1db94b82bde4768</v>
      </c>
      <c r="D164" s="23">
        <f t="shared" si="3"/>
        <v>0</v>
      </c>
      <c r="E164" s="14">
        <v>0.0</v>
      </c>
      <c r="F164" s="14">
        <v>0.0</v>
      </c>
      <c r="G164" s="14">
        <v>0.0</v>
      </c>
      <c r="H164" s="14">
        <v>0.0</v>
      </c>
      <c r="I164" s="14">
        <v>0.0</v>
      </c>
      <c r="J164" s="14">
        <v>0.0</v>
      </c>
    </row>
    <row r="165">
      <c r="A165" s="22" t="s">
        <v>127</v>
      </c>
      <c r="B165" s="21">
        <f t="shared" si="2"/>
        <v>0</v>
      </c>
      <c r="C165" s="21" t="str">
        <f>VLOOKUP(A165, hash!A$2:B$500, 2, 0)</f>
        <v>6501ffd91d8cbbbd315ad51c</v>
      </c>
      <c r="D165" s="23">
        <f t="shared" si="3"/>
        <v>0</v>
      </c>
      <c r="E165" s="14">
        <v>0.0</v>
      </c>
      <c r="F165" s="14">
        <v>0.0</v>
      </c>
      <c r="G165" s="14">
        <v>0.0</v>
      </c>
      <c r="H165" s="14">
        <v>0.0</v>
      </c>
      <c r="I165" s="14">
        <v>0.0</v>
      </c>
      <c r="J165" s="14">
        <v>0.0</v>
      </c>
    </row>
    <row r="166">
      <c r="A166" s="22" t="s">
        <v>128</v>
      </c>
      <c r="B166" s="21">
        <f t="shared" si="2"/>
        <v>0</v>
      </c>
      <c r="C166" s="21" t="str">
        <f>VLOOKUP(A166, hash!A$2:B$500, 2, 0)</f>
        <v>6501ffe41d8cbbbd315ad51d</v>
      </c>
      <c r="D166" s="23">
        <f t="shared" si="3"/>
        <v>0</v>
      </c>
      <c r="E166" s="14">
        <v>0.0</v>
      </c>
      <c r="F166" s="14">
        <v>0.0</v>
      </c>
      <c r="G166" s="14">
        <v>0.0</v>
      </c>
      <c r="H166" s="14">
        <v>0.0</v>
      </c>
      <c r="I166" s="14">
        <v>0.0</v>
      </c>
      <c r="J166" s="14">
        <v>0.0</v>
      </c>
    </row>
    <row r="167">
      <c r="A167" s="22" t="s">
        <v>129</v>
      </c>
      <c r="B167" s="21">
        <f t="shared" si="2"/>
        <v>0</v>
      </c>
      <c r="C167" s="21" t="str">
        <f>VLOOKUP(A167, hash!A$2:B$500, 2, 0)</f>
        <v>6501fff01d8cbbbd315ad51f</v>
      </c>
      <c r="D167" s="23">
        <f t="shared" si="3"/>
        <v>0</v>
      </c>
      <c r="E167" s="14">
        <v>0.0</v>
      </c>
      <c r="F167" s="14">
        <v>0.0</v>
      </c>
      <c r="G167" s="14">
        <v>0.0</v>
      </c>
      <c r="H167" s="14">
        <v>0.0</v>
      </c>
      <c r="I167" s="14">
        <v>0.0</v>
      </c>
      <c r="J167" s="14">
        <v>0.0</v>
      </c>
    </row>
    <row r="168">
      <c r="A168" s="22" t="s">
        <v>130</v>
      </c>
      <c r="B168" s="21">
        <f t="shared" si="2"/>
        <v>0</v>
      </c>
      <c r="C168" s="21" t="str">
        <f>VLOOKUP(A168, hash!A$2:B$500, 2, 0)</f>
        <v>6501fff296a576d9fa03f986</v>
      </c>
      <c r="D168" s="23">
        <f t="shared" si="3"/>
        <v>0</v>
      </c>
      <c r="E168" s="14">
        <v>0.0</v>
      </c>
      <c r="F168" s="14">
        <v>0.0</v>
      </c>
      <c r="G168" s="14">
        <v>0.0</v>
      </c>
      <c r="H168" s="14">
        <v>0.0</v>
      </c>
      <c r="I168" s="14">
        <v>0.0</v>
      </c>
      <c r="J168" s="14">
        <v>0.0</v>
      </c>
    </row>
    <row r="169">
      <c r="A169" s="22" t="s">
        <v>131</v>
      </c>
      <c r="B169" s="21">
        <f t="shared" si="2"/>
        <v>0</v>
      </c>
      <c r="C169" s="21" t="str">
        <f>VLOOKUP(A169, hash!A$2:B$500, 2, 0)</f>
        <v>6501fffc96a576d9fa03f988</v>
      </c>
      <c r="D169" s="23">
        <f t="shared" si="3"/>
        <v>0</v>
      </c>
      <c r="E169" s="14">
        <v>0.0</v>
      </c>
      <c r="F169" s="14">
        <v>0.0</v>
      </c>
      <c r="G169" s="14">
        <v>0.0</v>
      </c>
      <c r="H169" s="14">
        <v>0.0</v>
      </c>
      <c r="I169" s="14">
        <v>0.0</v>
      </c>
      <c r="J169" s="14">
        <v>0.0</v>
      </c>
    </row>
    <row r="170">
      <c r="A170" s="22" t="s">
        <v>132</v>
      </c>
      <c r="B170" s="21">
        <f t="shared" si="2"/>
        <v>0</v>
      </c>
      <c r="C170" s="21" t="str">
        <f>VLOOKUP(A170, hash!A$2:B$500, 2, 0)</f>
        <v>6501fffd96a576d9fa03f989</v>
      </c>
      <c r="D170" s="23">
        <f t="shared" si="3"/>
        <v>0</v>
      </c>
      <c r="E170" s="14">
        <v>0.0</v>
      </c>
      <c r="F170" s="14">
        <v>0.0</v>
      </c>
      <c r="G170" s="14">
        <v>0.0</v>
      </c>
      <c r="H170" s="14">
        <v>0.0</v>
      </c>
      <c r="I170" s="14">
        <v>0.0</v>
      </c>
      <c r="J170" s="14">
        <v>0.0</v>
      </c>
    </row>
    <row r="171">
      <c r="A171" s="22" t="s">
        <v>133</v>
      </c>
      <c r="B171" s="21">
        <f t="shared" si="2"/>
        <v>0</v>
      </c>
      <c r="C171" s="21" t="str">
        <f>VLOOKUP(A171, hash!A$2:B$500, 2, 0)</f>
        <v>6502000096a576d9fa03f98a</v>
      </c>
      <c r="D171" s="23">
        <f t="shared" si="3"/>
        <v>0</v>
      </c>
      <c r="E171" s="14">
        <v>0.0</v>
      </c>
      <c r="F171" s="14">
        <v>0.0</v>
      </c>
      <c r="G171" s="14">
        <v>0.0</v>
      </c>
      <c r="H171" s="14">
        <v>0.0</v>
      </c>
      <c r="I171" s="14">
        <v>0.0</v>
      </c>
      <c r="J171" s="14">
        <v>0.0</v>
      </c>
    </row>
    <row r="172">
      <c r="A172" s="22" t="s">
        <v>134</v>
      </c>
      <c r="B172" s="21">
        <f t="shared" si="2"/>
        <v>0</v>
      </c>
      <c r="C172" s="21" t="str">
        <f>VLOOKUP(A172, hash!A$2:B$500, 2, 0)</f>
        <v>6502000196a576d9fa03f98b</v>
      </c>
      <c r="D172" s="23">
        <f t="shared" si="3"/>
        <v>0</v>
      </c>
      <c r="E172" s="14">
        <v>0.0</v>
      </c>
      <c r="F172" s="14">
        <v>0.0</v>
      </c>
      <c r="G172" s="14">
        <v>0.0</v>
      </c>
      <c r="H172" s="14">
        <v>0.0</v>
      </c>
      <c r="I172" s="14">
        <v>0.0</v>
      </c>
      <c r="J172" s="14">
        <v>0.0</v>
      </c>
    </row>
    <row r="173">
      <c r="A173" s="22" t="s">
        <v>135</v>
      </c>
      <c r="B173" s="21">
        <f t="shared" si="2"/>
        <v>0</v>
      </c>
      <c r="C173" s="21" t="str">
        <f>VLOOKUP(A173, hash!A$2:B$500, 2, 0)</f>
        <v>65020008540ba7cc68909a94</v>
      </c>
      <c r="D173" s="23">
        <f t="shared" si="3"/>
        <v>0</v>
      </c>
      <c r="E173" s="14">
        <v>0.0</v>
      </c>
      <c r="F173" s="14">
        <v>0.0</v>
      </c>
      <c r="G173" s="14">
        <v>0.0</v>
      </c>
      <c r="H173" s="14">
        <v>0.0</v>
      </c>
      <c r="I173" s="14">
        <v>0.0</v>
      </c>
      <c r="J173" s="14">
        <v>0.0</v>
      </c>
    </row>
    <row r="174">
      <c r="A174" s="22" t="s">
        <v>136</v>
      </c>
      <c r="B174" s="21">
        <f t="shared" si="2"/>
        <v>0</v>
      </c>
      <c r="C174" s="21" t="str">
        <f>VLOOKUP(A174, hash!A$2:B$500, 2, 0)</f>
        <v>6502000b1d8cbbbd315ad521</v>
      </c>
      <c r="D174" s="23">
        <f t="shared" si="3"/>
        <v>0</v>
      </c>
      <c r="E174" s="14">
        <v>0.0</v>
      </c>
      <c r="F174" s="14">
        <v>0.0</v>
      </c>
      <c r="G174" s="14">
        <v>0.0</v>
      </c>
      <c r="H174" s="14">
        <v>0.0</v>
      </c>
      <c r="I174" s="14">
        <v>0.0</v>
      </c>
      <c r="J174" s="14">
        <v>0.0</v>
      </c>
    </row>
    <row r="175">
      <c r="A175" s="22" t="s">
        <v>137</v>
      </c>
      <c r="B175" s="21">
        <f t="shared" si="2"/>
        <v>0</v>
      </c>
      <c r="C175" s="21" t="str">
        <f>VLOOKUP(A175, hash!A$2:B$500, 2, 0)</f>
        <v>65020010540ba7cc68909a95</v>
      </c>
      <c r="D175" s="23">
        <f t="shared" si="3"/>
        <v>0</v>
      </c>
      <c r="E175" s="14">
        <v>0.0</v>
      </c>
      <c r="F175" s="14">
        <v>0.0</v>
      </c>
      <c r="G175" s="14">
        <v>0.0</v>
      </c>
      <c r="H175" s="14">
        <v>0.0</v>
      </c>
      <c r="I175" s="14">
        <v>0.0</v>
      </c>
      <c r="J175" s="14">
        <v>0.0</v>
      </c>
    </row>
    <row r="176">
      <c r="A176" s="22" t="s">
        <v>138</v>
      </c>
      <c r="B176" s="21">
        <f t="shared" si="2"/>
        <v>0</v>
      </c>
      <c r="C176" s="21" t="str">
        <f>VLOOKUP(A176, hash!A$2:B$500, 2, 0)</f>
        <v>6502001196a576d9fa03f98c</v>
      </c>
      <c r="D176" s="23">
        <f t="shared" si="3"/>
        <v>0</v>
      </c>
      <c r="E176" s="14">
        <v>0.0</v>
      </c>
      <c r="F176" s="14">
        <v>0.0</v>
      </c>
      <c r="G176" s="14">
        <v>0.0</v>
      </c>
      <c r="H176" s="14">
        <v>0.0</v>
      </c>
      <c r="I176" s="14">
        <v>0.0</v>
      </c>
      <c r="J176" s="14">
        <v>0.0</v>
      </c>
    </row>
    <row r="177">
      <c r="A177" s="22" t="s">
        <v>139</v>
      </c>
      <c r="B177" s="21">
        <f t="shared" si="2"/>
        <v>0</v>
      </c>
      <c r="C177" s="21" t="str">
        <f>VLOOKUP(A177, hash!A$2:B$500, 2, 0)</f>
        <v>6502001196a576d9fa03f98d</v>
      </c>
      <c r="D177" s="23">
        <f t="shared" si="3"/>
        <v>0</v>
      </c>
      <c r="E177" s="14">
        <v>0.0</v>
      </c>
      <c r="F177" s="14">
        <v>0.0</v>
      </c>
      <c r="G177" s="14">
        <v>0.0</v>
      </c>
      <c r="H177" s="14">
        <v>0.0</v>
      </c>
      <c r="I177" s="14">
        <v>0.0</v>
      </c>
      <c r="J177" s="14">
        <v>0.0</v>
      </c>
    </row>
    <row r="178">
      <c r="A178" s="22" t="s">
        <v>140</v>
      </c>
      <c r="B178" s="21">
        <f t="shared" si="2"/>
        <v>0</v>
      </c>
      <c r="C178" s="21" t="str">
        <f>VLOOKUP(A178, hash!A$2:B$500, 2, 0)</f>
        <v>6502001596a576d9fa03f98e</v>
      </c>
      <c r="D178" s="23">
        <f t="shared" si="3"/>
        <v>0</v>
      </c>
      <c r="E178" s="14">
        <v>0.0</v>
      </c>
      <c r="F178" s="14">
        <v>0.0</v>
      </c>
      <c r="G178" s="14">
        <v>0.0</v>
      </c>
      <c r="H178" s="14">
        <v>0.0</v>
      </c>
      <c r="I178" s="14">
        <v>0.0</v>
      </c>
      <c r="J178" s="14">
        <v>0.0</v>
      </c>
    </row>
    <row r="179">
      <c r="A179" s="22" t="s">
        <v>141</v>
      </c>
      <c r="B179" s="21">
        <f t="shared" si="2"/>
        <v>0</v>
      </c>
      <c r="C179" s="21" t="str">
        <f>VLOOKUP(A179, hash!A$2:B$500, 2, 0)</f>
        <v>6502001d540ba7cc68909a96</v>
      </c>
      <c r="D179" s="23">
        <f t="shared" si="3"/>
        <v>0</v>
      </c>
      <c r="E179" s="14">
        <v>0.0</v>
      </c>
      <c r="F179" s="14">
        <v>0.0</v>
      </c>
      <c r="G179" s="14">
        <v>0.0</v>
      </c>
      <c r="H179" s="14">
        <v>0.0</v>
      </c>
      <c r="I179" s="14">
        <v>0.0</v>
      </c>
      <c r="J179" s="14">
        <v>0.0</v>
      </c>
    </row>
    <row r="180">
      <c r="A180" s="22" t="s">
        <v>142</v>
      </c>
      <c r="B180" s="21">
        <f t="shared" si="2"/>
        <v>0</v>
      </c>
      <c r="C180" s="21" t="str">
        <f>VLOOKUP(A180, hash!A$2:B$500, 2, 0)</f>
        <v>6502001f96a576d9fa03f991</v>
      </c>
      <c r="D180" s="23">
        <f t="shared" si="3"/>
        <v>0</v>
      </c>
      <c r="E180" s="14">
        <v>0.0</v>
      </c>
      <c r="F180" s="14">
        <v>0.0</v>
      </c>
      <c r="G180" s="14">
        <v>0.0</v>
      </c>
      <c r="H180" s="14">
        <v>0.0</v>
      </c>
      <c r="I180" s="14">
        <v>0.0</v>
      </c>
      <c r="J180" s="14">
        <v>0.0</v>
      </c>
    </row>
    <row r="181">
      <c r="A181" s="22" t="s">
        <v>143</v>
      </c>
      <c r="B181" s="21">
        <f t="shared" si="2"/>
        <v>0</v>
      </c>
      <c r="C181" s="21" t="str">
        <f>VLOOKUP(A181, hash!A$2:B$500, 2, 0)</f>
        <v>6502002296a576d9fa03f993</v>
      </c>
      <c r="D181" s="23">
        <f t="shared" si="3"/>
        <v>0</v>
      </c>
      <c r="E181" s="14">
        <v>0.0</v>
      </c>
      <c r="F181" s="14">
        <v>0.0</v>
      </c>
      <c r="G181" s="14">
        <v>0.0</v>
      </c>
      <c r="H181" s="14">
        <v>0.0</v>
      </c>
      <c r="I181" s="14">
        <v>0.0</v>
      </c>
      <c r="J181" s="14">
        <v>0.0</v>
      </c>
    </row>
    <row r="182">
      <c r="A182" s="22" t="s">
        <v>144</v>
      </c>
      <c r="B182" s="21">
        <f t="shared" si="2"/>
        <v>0</v>
      </c>
      <c r="C182" s="21" t="str">
        <f>VLOOKUP(A182, hash!A$2:B$500, 2, 0)</f>
        <v>6502002396a576d9fa03f994</v>
      </c>
      <c r="D182" s="23">
        <f t="shared" si="3"/>
        <v>0</v>
      </c>
      <c r="E182" s="14">
        <v>0.0</v>
      </c>
      <c r="F182" s="14">
        <v>0.0</v>
      </c>
      <c r="G182" s="14">
        <v>0.0</v>
      </c>
      <c r="H182" s="14">
        <v>0.0</v>
      </c>
      <c r="I182" s="14">
        <v>0.0</v>
      </c>
      <c r="J182" s="14">
        <v>0.0</v>
      </c>
    </row>
    <row r="183">
      <c r="A183" s="22" t="s">
        <v>94</v>
      </c>
      <c r="B183" s="21">
        <f t="shared" si="2"/>
        <v>0</v>
      </c>
      <c r="C183" s="21" t="str">
        <f>VLOOKUP(A183, hash!A$2:B$500, 2, 0)</f>
        <v>6502002b1d8cbbbd315ad524</v>
      </c>
      <c r="D183" s="23">
        <f t="shared" si="3"/>
        <v>0</v>
      </c>
      <c r="E183" s="14">
        <v>0.0</v>
      </c>
      <c r="F183" s="14">
        <v>0.0</v>
      </c>
      <c r="G183" s="14">
        <v>0.0</v>
      </c>
      <c r="H183" s="14">
        <v>0.0</v>
      </c>
      <c r="I183" s="14">
        <v>0.0</v>
      </c>
      <c r="J183" s="14">
        <v>0.0</v>
      </c>
    </row>
    <row r="184">
      <c r="A184" s="22" t="s">
        <v>95</v>
      </c>
      <c r="B184" s="21">
        <f t="shared" si="2"/>
        <v>0</v>
      </c>
      <c r="C184" s="21" t="str">
        <f>VLOOKUP(A184, hash!A$2:B$500, 2, 0)</f>
        <v>6502002d96a576d9fa03f999</v>
      </c>
      <c r="D184" s="23">
        <f t="shared" si="3"/>
        <v>0</v>
      </c>
      <c r="E184" s="14">
        <v>0.0</v>
      </c>
      <c r="F184" s="14">
        <v>0.0</v>
      </c>
      <c r="G184" s="14">
        <v>0.0</v>
      </c>
      <c r="H184" s="14">
        <v>0.0</v>
      </c>
      <c r="I184" s="14">
        <v>0.0</v>
      </c>
      <c r="J184" s="14">
        <v>0.0</v>
      </c>
    </row>
    <row r="185">
      <c r="A185" s="22" t="s">
        <v>145</v>
      </c>
      <c r="B185" s="21">
        <f t="shared" si="2"/>
        <v>0</v>
      </c>
      <c r="C185" s="21" t="str">
        <f>VLOOKUP(A185, hash!A$2:B$500, 2, 0)</f>
        <v>6502003c96a576d9fa03f99d</v>
      </c>
      <c r="D185" s="23">
        <f t="shared" si="3"/>
        <v>0</v>
      </c>
      <c r="E185" s="14">
        <v>0.0</v>
      </c>
      <c r="F185" s="14">
        <v>0.0</v>
      </c>
      <c r="G185" s="14">
        <v>0.0</v>
      </c>
      <c r="H185" s="14">
        <v>0.0</v>
      </c>
      <c r="I185" s="14">
        <v>0.0</v>
      </c>
      <c r="J185" s="14">
        <v>0.0</v>
      </c>
    </row>
    <row r="186">
      <c r="A186" s="22" t="s">
        <v>146</v>
      </c>
      <c r="B186" s="21">
        <f t="shared" si="2"/>
        <v>0</v>
      </c>
      <c r="C186" s="21" t="str">
        <f>VLOOKUP(A186, hash!A$2:B$500, 2, 0)</f>
        <v>6502003d57ae167867eac21c</v>
      </c>
      <c r="D186" s="23">
        <f t="shared" si="3"/>
        <v>0</v>
      </c>
      <c r="E186" s="14">
        <v>0.0</v>
      </c>
      <c r="F186" s="14">
        <v>0.0</v>
      </c>
      <c r="G186" s="14">
        <v>0.0</v>
      </c>
      <c r="H186" s="14">
        <v>0.0</v>
      </c>
      <c r="I186" s="14">
        <v>0.0</v>
      </c>
      <c r="J186" s="14">
        <v>0.0</v>
      </c>
    </row>
    <row r="187">
      <c r="A187" s="22" t="s">
        <v>147</v>
      </c>
      <c r="B187" s="21">
        <f t="shared" si="2"/>
        <v>0</v>
      </c>
      <c r="C187" s="21" t="str">
        <f>VLOOKUP(A187, hash!A$2:B$500, 2, 0)</f>
        <v>65020041540ba7cc68909aa3</v>
      </c>
      <c r="D187" s="23">
        <f t="shared" si="3"/>
        <v>0</v>
      </c>
      <c r="E187" s="14">
        <v>0.0</v>
      </c>
      <c r="F187" s="14">
        <v>0.0</v>
      </c>
      <c r="G187" s="14">
        <v>0.0</v>
      </c>
      <c r="H187" s="14">
        <v>0.0</v>
      </c>
      <c r="I187" s="14">
        <v>0.0</v>
      </c>
      <c r="J187" s="14">
        <v>0.0</v>
      </c>
    </row>
    <row r="188">
      <c r="A188" s="22" t="s">
        <v>148</v>
      </c>
      <c r="B188" s="21">
        <f t="shared" si="2"/>
        <v>0</v>
      </c>
      <c r="C188" s="21" t="str">
        <f>VLOOKUP(A188, hash!A$2:B$500, 2, 0)</f>
        <v>650200481d8cbbbd315ad528</v>
      </c>
      <c r="D188" s="23">
        <f t="shared" si="3"/>
        <v>0</v>
      </c>
      <c r="E188" s="14">
        <v>0.0</v>
      </c>
      <c r="F188" s="14">
        <v>0.0</v>
      </c>
      <c r="G188" s="14">
        <v>0.0</v>
      </c>
      <c r="H188" s="14">
        <v>0.0</v>
      </c>
      <c r="I188" s="14">
        <v>0.0</v>
      </c>
      <c r="J188" s="14">
        <v>0.0</v>
      </c>
    </row>
    <row r="189">
      <c r="A189" s="22" t="s">
        <v>149</v>
      </c>
      <c r="B189" s="21">
        <f t="shared" si="2"/>
        <v>0</v>
      </c>
      <c r="C189" s="21" t="str">
        <f>VLOOKUP(A189, hash!A$2:B$500, 2, 0)</f>
        <v>6502004f1d8cbbbd315ad52a</v>
      </c>
      <c r="D189" s="23">
        <f t="shared" si="3"/>
        <v>0</v>
      </c>
      <c r="E189" s="14">
        <v>0.0</v>
      </c>
      <c r="F189" s="14">
        <v>0.0</v>
      </c>
      <c r="G189" s="14">
        <v>0.0</v>
      </c>
      <c r="H189" s="14">
        <v>0.0</v>
      </c>
      <c r="I189" s="14">
        <v>0.0</v>
      </c>
      <c r="J189" s="14">
        <v>0.0</v>
      </c>
    </row>
    <row r="190">
      <c r="A190" s="22" t="s">
        <v>150</v>
      </c>
      <c r="B190" s="21">
        <f t="shared" si="2"/>
        <v>0</v>
      </c>
      <c r="C190" s="21" t="str">
        <f>VLOOKUP(A190, hash!A$2:B$500, 2, 0)</f>
        <v>6502005118c31aadb7469b1a</v>
      </c>
      <c r="D190" s="23">
        <f t="shared" si="3"/>
        <v>0</v>
      </c>
      <c r="E190" s="14">
        <v>0.0</v>
      </c>
      <c r="F190" s="14">
        <v>0.0</v>
      </c>
      <c r="G190" s="14">
        <v>0.0</v>
      </c>
      <c r="H190" s="14">
        <v>0.0</v>
      </c>
      <c r="I190" s="14">
        <v>0.0</v>
      </c>
      <c r="J190" s="14">
        <v>0.0</v>
      </c>
    </row>
    <row r="191">
      <c r="A191" s="22" t="s">
        <v>151</v>
      </c>
      <c r="B191" s="21">
        <f t="shared" si="2"/>
        <v>0</v>
      </c>
      <c r="C191" s="21" t="str">
        <f>VLOOKUP(A191, hash!A$2:B$500, 2, 0)</f>
        <v>650200601d8cbbbd315ad52d</v>
      </c>
      <c r="D191" s="23">
        <f t="shared" si="3"/>
        <v>0</v>
      </c>
      <c r="E191" s="14">
        <v>0.0</v>
      </c>
      <c r="F191" s="14">
        <v>0.0</v>
      </c>
      <c r="G191" s="14">
        <v>0.0</v>
      </c>
      <c r="H191" s="14">
        <v>0.0</v>
      </c>
      <c r="I191" s="14">
        <v>0.0</v>
      </c>
      <c r="J191" s="14">
        <v>0.0</v>
      </c>
    </row>
    <row r="192">
      <c r="A192" s="22" t="s">
        <v>152</v>
      </c>
      <c r="B192" s="21">
        <f t="shared" si="2"/>
        <v>0</v>
      </c>
      <c r="C192" s="21" t="str">
        <f>VLOOKUP(A192, hash!A$2:B$500, 2, 0)</f>
        <v>6502007218c31aadb7469b1d</v>
      </c>
      <c r="D192" s="23">
        <f t="shared" si="3"/>
        <v>0</v>
      </c>
      <c r="E192" s="14">
        <v>0.0</v>
      </c>
      <c r="F192" s="14">
        <v>0.0</v>
      </c>
      <c r="G192" s="14">
        <v>0.0</v>
      </c>
      <c r="H192" s="14">
        <v>0.0</v>
      </c>
      <c r="I192" s="14">
        <v>0.0</v>
      </c>
      <c r="J192" s="14">
        <v>0.0</v>
      </c>
    </row>
    <row r="193">
      <c r="A193" s="22" t="s">
        <v>153</v>
      </c>
      <c r="B193" s="21">
        <f t="shared" si="2"/>
        <v>0</v>
      </c>
      <c r="C193" s="21" t="str">
        <f>VLOOKUP(A193, hash!A$2:B$500, 2, 0)</f>
        <v>6502007618c31aadb7469b1f</v>
      </c>
      <c r="D193" s="23">
        <f t="shared" si="3"/>
        <v>0</v>
      </c>
      <c r="E193" s="14">
        <v>0.0</v>
      </c>
      <c r="F193" s="14">
        <v>0.0</v>
      </c>
      <c r="G193" s="14">
        <v>0.0</v>
      </c>
      <c r="H193" s="14">
        <v>0.0</v>
      </c>
      <c r="I193" s="14">
        <v>0.0</v>
      </c>
      <c r="J193" s="14">
        <v>0.0</v>
      </c>
    </row>
    <row r="194">
      <c r="A194" s="22" t="s">
        <v>154</v>
      </c>
      <c r="B194" s="21">
        <f t="shared" si="2"/>
        <v>0</v>
      </c>
      <c r="C194" s="21" t="str">
        <f>VLOOKUP(A194, hash!A$2:B$500, 2, 0)</f>
        <v>6502008357ae167867eac228</v>
      </c>
      <c r="D194" s="23">
        <f t="shared" si="3"/>
        <v>0</v>
      </c>
      <c r="E194" s="14">
        <v>0.0</v>
      </c>
      <c r="F194" s="14">
        <v>0.0</v>
      </c>
      <c r="G194" s="14">
        <v>0.0</v>
      </c>
      <c r="H194" s="14">
        <v>0.0</v>
      </c>
      <c r="I194" s="14">
        <v>0.0</v>
      </c>
      <c r="J194" s="14">
        <v>0.0</v>
      </c>
    </row>
    <row r="195">
      <c r="A195" s="22" t="s">
        <v>155</v>
      </c>
      <c r="B195" s="21">
        <f t="shared" si="2"/>
        <v>0</v>
      </c>
      <c r="C195" s="21" t="str">
        <f>VLOOKUP(A195, hash!A$2:B$500, 2, 0)</f>
        <v>650200931d8cbbbd315ad536</v>
      </c>
      <c r="D195" s="23">
        <f t="shared" si="3"/>
        <v>0</v>
      </c>
      <c r="E195" s="14">
        <v>0.0</v>
      </c>
      <c r="F195" s="14">
        <v>0.0</v>
      </c>
      <c r="G195" s="14">
        <v>0.0</v>
      </c>
      <c r="H195" s="14">
        <v>0.0</v>
      </c>
      <c r="I195" s="14">
        <v>0.0</v>
      </c>
      <c r="J195" s="14">
        <v>0.0</v>
      </c>
    </row>
    <row r="196">
      <c r="A196" s="22" t="s">
        <v>156</v>
      </c>
      <c r="B196" s="21">
        <f t="shared" si="2"/>
        <v>0</v>
      </c>
      <c r="C196" s="21" t="str">
        <f>VLOOKUP(A196, hash!A$2:B$500, 2, 0)</f>
        <v>65020bcc03dd812a55d3a1fd</v>
      </c>
      <c r="D196" s="23">
        <f t="shared" si="3"/>
        <v>0</v>
      </c>
      <c r="E196" s="14">
        <v>0.0</v>
      </c>
      <c r="F196" s="14">
        <v>0.0</v>
      </c>
      <c r="G196" s="14">
        <v>0.0</v>
      </c>
      <c r="H196" s="14">
        <v>0.0</v>
      </c>
      <c r="I196" s="14">
        <v>0.0</v>
      </c>
      <c r="J196" s="14">
        <v>0.0</v>
      </c>
    </row>
    <row r="197">
      <c r="A197" s="22" t="s">
        <v>157</v>
      </c>
      <c r="B197" s="21">
        <f t="shared" si="2"/>
        <v>0</v>
      </c>
      <c r="C197" s="21" t="str">
        <f>VLOOKUP(A197, hash!A$2:B$500, 2, 0)</f>
        <v>65020bcd03dd812a55d3a1fe</v>
      </c>
      <c r="D197" s="23">
        <f t="shared" si="3"/>
        <v>0</v>
      </c>
      <c r="E197" s="14">
        <v>0.0</v>
      </c>
      <c r="F197" s="14">
        <v>0.0</v>
      </c>
      <c r="G197" s="14">
        <v>0.0</v>
      </c>
      <c r="H197" s="14">
        <v>0.0</v>
      </c>
      <c r="I197" s="14">
        <v>0.0</v>
      </c>
      <c r="J197" s="14">
        <v>0.0</v>
      </c>
    </row>
    <row r="198">
      <c r="A198" s="22" t="s">
        <v>158</v>
      </c>
      <c r="B198" s="21">
        <f t="shared" si="2"/>
        <v>0</v>
      </c>
      <c r="C198" s="21" t="str">
        <f>VLOOKUP(A198, hash!A$2:B$500, 2, 0)</f>
        <v>65020bcf8f2b101294bb3da0</v>
      </c>
      <c r="D198" s="23">
        <f t="shared" si="3"/>
        <v>0</v>
      </c>
      <c r="E198" s="14">
        <v>0.0</v>
      </c>
      <c r="F198" s="14">
        <v>0.0</v>
      </c>
      <c r="G198" s="14">
        <v>0.0</v>
      </c>
      <c r="H198" s="14">
        <v>0.0</v>
      </c>
      <c r="I198" s="14">
        <v>0.0</v>
      </c>
      <c r="J198" s="14">
        <v>0.0</v>
      </c>
    </row>
    <row r="199">
      <c r="A199" s="22" t="s">
        <v>159</v>
      </c>
      <c r="B199" s="21">
        <f t="shared" si="2"/>
        <v>0</v>
      </c>
      <c r="C199" s="21" t="str">
        <f>VLOOKUP(A199, hash!A$2:B$500, 2, 0)</f>
        <v>65020bd28f2b101294bb3da1</v>
      </c>
      <c r="D199" s="23">
        <f t="shared" si="3"/>
        <v>0</v>
      </c>
      <c r="E199" s="14">
        <v>0.0</v>
      </c>
      <c r="F199" s="14">
        <v>0.0</v>
      </c>
      <c r="G199" s="14">
        <v>0.0</v>
      </c>
      <c r="H199" s="14">
        <v>0.0</v>
      </c>
      <c r="I199" s="14">
        <v>0.0</v>
      </c>
      <c r="J199" s="14">
        <v>0.0</v>
      </c>
    </row>
    <row r="200">
      <c r="A200" s="22" t="s">
        <v>160</v>
      </c>
      <c r="B200" s="21">
        <f t="shared" si="2"/>
        <v>0</v>
      </c>
      <c r="C200" s="21" t="str">
        <f>VLOOKUP(A200, hash!A$2:B$500, 2, 0)</f>
        <v>65020bd203dd812a55d3a1ff</v>
      </c>
      <c r="D200" s="23">
        <f t="shared" si="3"/>
        <v>0</v>
      </c>
      <c r="E200" s="14">
        <v>0.0</v>
      </c>
      <c r="F200" s="14">
        <v>0.0</v>
      </c>
      <c r="G200" s="14">
        <v>0.0</v>
      </c>
      <c r="H200" s="14">
        <v>0.0</v>
      </c>
      <c r="I200" s="14">
        <v>0.0</v>
      </c>
      <c r="J200" s="14">
        <v>0.0</v>
      </c>
    </row>
    <row r="201">
      <c r="A201" s="22" t="s">
        <v>161</v>
      </c>
      <c r="B201" s="21">
        <f t="shared" si="2"/>
        <v>0</v>
      </c>
      <c r="C201" s="21" t="str">
        <f>VLOOKUP(A201, hash!A$2:B$500, 2, 0)</f>
        <v>65020bd2967e3c86d1681e9e</v>
      </c>
      <c r="D201" s="23">
        <f t="shared" si="3"/>
        <v>0</v>
      </c>
      <c r="E201" s="14">
        <v>0.0</v>
      </c>
      <c r="F201" s="14">
        <v>0.0</v>
      </c>
      <c r="G201" s="14">
        <v>0.0</v>
      </c>
      <c r="H201" s="14">
        <v>0.0</v>
      </c>
      <c r="I201" s="14">
        <v>0.0</v>
      </c>
      <c r="J201" s="14">
        <v>0.0</v>
      </c>
    </row>
    <row r="202">
      <c r="A202" s="22" t="s">
        <v>93</v>
      </c>
      <c r="B202" s="21">
        <f t="shared" si="2"/>
        <v>0</v>
      </c>
      <c r="C202" s="21" t="str">
        <f>VLOOKUP(A202, hash!A$2:B$500, 2, 0)</f>
        <v>65020bd203dd812a55d3a200</v>
      </c>
      <c r="D202" s="23">
        <f t="shared" si="3"/>
        <v>0</v>
      </c>
      <c r="E202" s="14">
        <v>0.0</v>
      </c>
      <c r="F202" s="14">
        <v>0.0</v>
      </c>
      <c r="G202" s="14">
        <v>0.0</v>
      </c>
      <c r="H202" s="14">
        <v>0.0</v>
      </c>
      <c r="I202" s="14">
        <v>0.0</v>
      </c>
      <c r="J202" s="14">
        <v>0.0</v>
      </c>
    </row>
    <row r="203">
      <c r="A203" s="22" t="s">
        <v>162</v>
      </c>
      <c r="B203" s="21">
        <f t="shared" si="2"/>
        <v>0</v>
      </c>
      <c r="C203" s="21" t="str">
        <f>VLOOKUP(A203, hash!A$2:B$500, 2, 0)</f>
        <v>65020bdb03dd812a55d3a202</v>
      </c>
      <c r="D203" s="23">
        <f t="shared" si="3"/>
        <v>0</v>
      </c>
      <c r="E203" s="14">
        <v>0.0</v>
      </c>
      <c r="F203" s="14">
        <v>0.0</v>
      </c>
      <c r="G203" s="14">
        <v>0.0</v>
      </c>
      <c r="H203" s="14">
        <v>0.0</v>
      </c>
      <c r="I203" s="14">
        <v>0.0</v>
      </c>
      <c r="J203" s="14">
        <v>0.0</v>
      </c>
    </row>
    <row r="204">
      <c r="A204" s="22" t="s">
        <v>163</v>
      </c>
      <c r="B204" s="21">
        <f t="shared" si="2"/>
        <v>0</v>
      </c>
      <c r="C204" s="21" t="str">
        <f>VLOOKUP(A204, hash!A$2:B$500, 2, 0)</f>
        <v>65020bde03dd812a55d3a203</v>
      </c>
      <c r="D204" s="23">
        <f t="shared" si="3"/>
        <v>0</v>
      </c>
      <c r="E204" s="14">
        <v>0.0</v>
      </c>
      <c r="F204" s="14">
        <v>0.0</v>
      </c>
      <c r="G204" s="14">
        <v>0.0</v>
      </c>
      <c r="H204" s="14">
        <v>0.0</v>
      </c>
      <c r="I204" s="14">
        <v>0.0</v>
      </c>
      <c r="J204" s="14">
        <v>0.0</v>
      </c>
    </row>
    <row r="205">
      <c r="A205" s="22" t="s">
        <v>96</v>
      </c>
      <c r="B205" s="21">
        <f t="shared" si="2"/>
        <v>0</v>
      </c>
      <c r="C205" s="21" t="str">
        <f>VLOOKUP(A205, hash!A$2:B$500, 2, 0)</f>
        <v>65020be28f2b101294bb3da3</v>
      </c>
      <c r="D205" s="23">
        <f t="shared" si="3"/>
        <v>0</v>
      </c>
      <c r="E205" s="14">
        <v>0.0</v>
      </c>
      <c r="F205" s="14">
        <v>0.0</v>
      </c>
      <c r="G205" s="14">
        <v>0.0</v>
      </c>
      <c r="H205" s="14">
        <v>0.0</v>
      </c>
      <c r="I205" s="14">
        <v>0.0</v>
      </c>
      <c r="J205" s="14">
        <v>0.0</v>
      </c>
    </row>
    <row r="206">
      <c r="A206" s="22" t="s">
        <v>164</v>
      </c>
      <c r="B206" s="21">
        <f t="shared" si="2"/>
        <v>0</v>
      </c>
      <c r="C206" s="21" t="str">
        <f>VLOOKUP(A206, hash!A$2:B$500, 2, 0)</f>
        <v>65020be303dd812a55d3a205</v>
      </c>
      <c r="D206" s="23">
        <f t="shared" si="3"/>
        <v>0</v>
      </c>
      <c r="E206" s="14">
        <v>0.0</v>
      </c>
      <c r="F206" s="14">
        <v>0.0</v>
      </c>
      <c r="G206" s="14">
        <v>0.0</v>
      </c>
      <c r="H206" s="14">
        <v>0.0</v>
      </c>
      <c r="I206" s="14">
        <v>0.0</v>
      </c>
      <c r="J206" s="14">
        <v>0.0</v>
      </c>
    </row>
    <row r="207">
      <c r="A207" s="22" t="s">
        <v>165</v>
      </c>
      <c r="B207" s="21">
        <f t="shared" si="2"/>
        <v>0</v>
      </c>
      <c r="C207" s="21" t="str">
        <f>VLOOKUP(A207, hash!A$2:B$500, 2, 0)</f>
        <v>65020be48f2b101294bb3da4</v>
      </c>
      <c r="D207" s="23">
        <f t="shared" si="3"/>
        <v>0</v>
      </c>
      <c r="E207" s="14">
        <v>0.0</v>
      </c>
      <c r="F207" s="14">
        <v>0.0</v>
      </c>
      <c r="G207" s="14">
        <v>0.0</v>
      </c>
      <c r="H207" s="14">
        <v>0.0</v>
      </c>
      <c r="I207" s="14">
        <v>0.0</v>
      </c>
      <c r="J207" s="14">
        <v>0.0</v>
      </c>
    </row>
    <row r="208">
      <c r="A208" s="22" t="s">
        <v>166</v>
      </c>
      <c r="B208" s="21">
        <f t="shared" si="2"/>
        <v>0</v>
      </c>
      <c r="C208" s="21" t="str">
        <f>VLOOKUP(A208, hash!A$2:B$500, 2, 0)</f>
        <v>65020be58f2b101294bb3da6</v>
      </c>
      <c r="D208" s="23">
        <f t="shared" si="3"/>
        <v>0</v>
      </c>
      <c r="E208" s="14">
        <v>0.0</v>
      </c>
      <c r="F208" s="14">
        <v>0.0</v>
      </c>
      <c r="G208" s="14">
        <v>0.0</v>
      </c>
      <c r="H208" s="14">
        <v>0.0</v>
      </c>
      <c r="I208" s="14">
        <v>0.0</v>
      </c>
      <c r="J208" s="14">
        <v>0.0</v>
      </c>
    </row>
    <row r="209">
      <c r="A209" s="22" t="s">
        <v>167</v>
      </c>
      <c r="B209" s="21">
        <f t="shared" si="2"/>
        <v>0</v>
      </c>
      <c r="C209" s="21" t="str">
        <f>VLOOKUP(A209, hash!A$2:B$500, 2, 0)</f>
        <v>65020be68f2b101294bb3da7</v>
      </c>
      <c r="D209" s="23">
        <f t="shared" si="3"/>
        <v>0</v>
      </c>
      <c r="E209" s="14">
        <v>0.0</v>
      </c>
      <c r="F209" s="14">
        <v>0.0</v>
      </c>
      <c r="G209" s="14">
        <v>0.0</v>
      </c>
      <c r="H209" s="14">
        <v>0.0</v>
      </c>
      <c r="I209" s="14">
        <v>0.0</v>
      </c>
      <c r="J209" s="14">
        <v>0.0</v>
      </c>
    </row>
    <row r="210">
      <c r="A210" s="22" t="s">
        <v>13</v>
      </c>
      <c r="B210" s="21">
        <f t="shared" si="2"/>
        <v>1500</v>
      </c>
      <c r="C210" s="21" t="str">
        <f>VLOOKUP(A210, hash!A$2:B$500, 2, 0)</f>
        <v>65020be78f2b101294bb3da8</v>
      </c>
      <c r="D210" s="23">
        <f t="shared" si="3"/>
        <v>1</v>
      </c>
      <c r="E210" s="14">
        <v>0.0</v>
      </c>
      <c r="F210" s="14">
        <v>1.0</v>
      </c>
      <c r="G210" s="14">
        <v>0.0</v>
      </c>
      <c r="H210" s="14">
        <v>0.0</v>
      </c>
      <c r="I210" s="14">
        <v>0.0</v>
      </c>
      <c r="J210" s="14">
        <v>0.0</v>
      </c>
    </row>
    <row r="211">
      <c r="A211" s="22" t="s">
        <v>168</v>
      </c>
      <c r="B211" s="21">
        <f t="shared" si="2"/>
        <v>0</v>
      </c>
      <c r="C211" s="21" t="str">
        <f>VLOOKUP(A211, hash!A$2:B$500, 2, 0)</f>
        <v>65020bec8f2b101294bb3da9</v>
      </c>
      <c r="D211" s="23">
        <f t="shared" si="3"/>
        <v>0</v>
      </c>
      <c r="E211" s="14">
        <v>0.0</v>
      </c>
      <c r="F211" s="14">
        <v>0.0</v>
      </c>
      <c r="G211" s="14">
        <v>0.0</v>
      </c>
      <c r="H211" s="14">
        <v>0.0</v>
      </c>
      <c r="I211" s="14">
        <v>0.0</v>
      </c>
      <c r="J211" s="14">
        <v>0.0</v>
      </c>
    </row>
    <row r="212">
      <c r="A212" s="22" t="s">
        <v>169</v>
      </c>
      <c r="B212" s="21">
        <f t="shared" si="2"/>
        <v>0</v>
      </c>
      <c r="C212" s="21" t="str">
        <f>VLOOKUP(A212, hash!A$2:B$500, 2, 0)</f>
        <v>65020bf103dd812a55d3a208</v>
      </c>
      <c r="D212" s="23">
        <f t="shared" si="3"/>
        <v>0</v>
      </c>
      <c r="E212" s="14">
        <v>0.0</v>
      </c>
      <c r="F212" s="14">
        <v>0.0</v>
      </c>
      <c r="G212" s="14">
        <v>0.0</v>
      </c>
      <c r="H212" s="14">
        <v>0.0</v>
      </c>
      <c r="I212" s="14">
        <v>0.0</v>
      </c>
      <c r="J212" s="14">
        <v>0.0</v>
      </c>
    </row>
    <row r="213">
      <c r="A213" s="22" t="s">
        <v>170</v>
      </c>
      <c r="B213" s="21">
        <f t="shared" si="2"/>
        <v>0</v>
      </c>
      <c r="C213" s="21" t="str">
        <f>VLOOKUP(A213, hash!A$2:B$500, 2, 0)</f>
        <v>65020bf203dd812a55d3a209</v>
      </c>
      <c r="D213" s="23">
        <f t="shared" si="3"/>
        <v>0</v>
      </c>
      <c r="E213" s="14">
        <v>0.0</v>
      </c>
      <c r="F213" s="14">
        <v>0.0</v>
      </c>
      <c r="G213" s="14">
        <v>0.0</v>
      </c>
      <c r="H213" s="14">
        <v>0.0</v>
      </c>
      <c r="I213" s="14">
        <v>0.0</v>
      </c>
      <c r="J213" s="14">
        <v>0.0</v>
      </c>
    </row>
    <row r="214">
      <c r="A214" s="22" t="s">
        <v>171</v>
      </c>
      <c r="B214" s="21">
        <f t="shared" si="2"/>
        <v>0</v>
      </c>
      <c r="C214" s="21" t="str">
        <f>VLOOKUP(A214, hash!A$2:B$500, 2, 0)</f>
        <v>65020bf603dd812a55d3a20a</v>
      </c>
      <c r="D214" s="23">
        <f t="shared" si="3"/>
        <v>0</v>
      </c>
      <c r="E214" s="14">
        <v>0.0</v>
      </c>
      <c r="F214" s="14">
        <v>0.0</v>
      </c>
      <c r="G214" s="14">
        <v>0.0</v>
      </c>
      <c r="H214" s="14">
        <v>0.0</v>
      </c>
      <c r="I214" s="14">
        <v>0.0</v>
      </c>
      <c r="J214" s="14">
        <v>0.0</v>
      </c>
    </row>
    <row r="215">
      <c r="A215" s="22" t="s">
        <v>172</v>
      </c>
      <c r="B215" s="21">
        <f t="shared" si="2"/>
        <v>0</v>
      </c>
      <c r="C215" s="21" t="str">
        <f>VLOOKUP(A215, hash!A$2:B$500, 2, 0)</f>
        <v>65020bf8097ac3c9d063264a</v>
      </c>
      <c r="D215" s="23">
        <f t="shared" si="3"/>
        <v>0</v>
      </c>
      <c r="E215" s="14">
        <v>0.0</v>
      </c>
      <c r="F215" s="14">
        <v>0.0</v>
      </c>
      <c r="G215" s="14">
        <v>0.0</v>
      </c>
      <c r="H215" s="14">
        <v>0.0</v>
      </c>
      <c r="I215" s="14">
        <v>0.0</v>
      </c>
      <c r="J215" s="14">
        <v>0.0</v>
      </c>
    </row>
    <row r="216">
      <c r="A216" s="22" t="s">
        <v>173</v>
      </c>
      <c r="B216" s="21">
        <f t="shared" si="2"/>
        <v>0</v>
      </c>
      <c r="C216" s="21" t="str">
        <f>VLOOKUP(A216, hash!A$2:B$500, 2, 0)</f>
        <v>65020bfb097ac3c9d063264c</v>
      </c>
      <c r="D216" s="23">
        <f t="shared" si="3"/>
        <v>0</v>
      </c>
      <c r="E216" s="14">
        <v>0.0</v>
      </c>
      <c r="F216" s="14">
        <v>0.0</v>
      </c>
      <c r="G216" s="14">
        <v>0.0</v>
      </c>
      <c r="H216" s="14">
        <v>0.0</v>
      </c>
      <c r="I216" s="14">
        <v>0.0</v>
      </c>
      <c r="J216" s="14">
        <v>0.0</v>
      </c>
    </row>
    <row r="217">
      <c r="A217" s="22" t="s">
        <v>17</v>
      </c>
      <c r="B217" s="21">
        <f t="shared" si="2"/>
        <v>0</v>
      </c>
      <c r="C217" s="21" t="str">
        <f>VLOOKUP(A217, hash!A$2:B$500, 2, 0)</f>
        <v>65020bfc097ac3c9d063264d</v>
      </c>
      <c r="D217" s="23">
        <f t="shared" si="3"/>
        <v>0</v>
      </c>
      <c r="E217" s="14">
        <v>0.0</v>
      </c>
      <c r="F217" s="14">
        <v>0.0</v>
      </c>
      <c r="G217" s="14">
        <v>0.0</v>
      </c>
      <c r="H217" s="14">
        <v>0.0</v>
      </c>
      <c r="I217" s="14">
        <v>0.0</v>
      </c>
      <c r="J217" s="14">
        <v>0.0</v>
      </c>
    </row>
    <row r="218">
      <c r="A218" s="22" t="s">
        <v>174</v>
      </c>
      <c r="B218" s="21">
        <f t="shared" si="2"/>
        <v>0</v>
      </c>
      <c r="C218" s="21" t="str">
        <f>VLOOKUP(A218, hash!A$2:B$500, 2, 0)</f>
        <v>65020bfc097ac3c9d063264e</v>
      </c>
      <c r="D218" s="23">
        <f t="shared" si="3"/>
        <v>0</v>
      </c>
      <c r="E218" s="14">
        <v>0.0</v>
      </c>
      <c r="F218" s="14">
        <v>0.0</v>
      </c>
      <c r="G218" s="14">
        <v>0.0</v>
      </c>
      <c r="H218" s="14">
        <v>0.0</v>
      </c>
      <c r="I218" s="14">
        <v>0.0</v>
      </c>
      <c r="J218" s="14">
        <v>0.0</v>
      </c>
    </row>
    <row r="219">
      <c r="A219" s="22" t="s">
        <v>175</v>
      </c>
      <c r="B219" s="21">
        <f t="shared" si="2"/>
        <v>0</v>
      </c>
      <c r="C219" s="21" t="str">
        <f>VLOOKUP(A219, hash!A$2:B$500, 2, 0)</f>
        <v>65020c00097ac3c9d0632650</v>
      </c>
      <c r="D219" s="23">
        <f t="shared" si="3"/>
        <v>0</v>
      </c>
      <c r="E219" s="14">
        <v>0.0</v>
      </c>
      <c r="F219" s="14">
        <v>0.0</v>
      </c>
      <c r="G219" s="14">
        <v>0.0</v>
      </c>
      <c r="H219" s="14">
        <v>0.0</v>
      </c>
      <c r="I219" s="14">
        <v>0.0</v>
      </c>
      <c r="J219" s="14">
        <v>0.0</v>
      </c>
    </row>
    <row r="220">
      <c r="A220" s="22" t="s">
        <v>86</v>
      </c>
      <c r="B220" s="21">
        <f t="shared" si="2"/>
        <v>0</v>
      </c>
      <c r="C220" s="21" t="str">
        <f>VLOOKUP(A220, hash!A$2:B$500, 2, 0)</f>
        <v>65020c05097ac3c9d0632651</v>
      </c>
      <c r="D220" s="23">
        <f t="shared" si="3"/>
        <v>0</v>
      </c>
      <c r="E220" s="14">
        <v>0.0</v>
      </c>
      <c r="F220" s="14">
        <v>0.0</v>
      </c>
      <c r="G220" s="14">
        <v>0.0</v>
      </c>
      <c r="H220" s="14">
        <v>0.0</v>
      </c>
      <c r="I220" s="14">
        <v>0.0</v>
      </c>
      <c r="J220" s="14">
        <v>0.0</v>
      </c>
    </row>
    <row r="221">
      <c r="A221" s="22" t="s">
        <v>176</v>
      </c>
      <c r="B221" s="21">
        <f t="shared" si="2"/>
        <v>0</v>
      </c>
      <c r="C221" s="21" t="str">
        <f>VLOOKUP(A221, hash!A$2:B$500, 2, 0)</f>
        <v>65020c058f2b101294bb3daa</v>
      </c>
      <c r="D221" s="23">
        <f t="shared" si="3"/>
        <v>0</v>
      </c>
      <c r="E221" s="14">
        <v>0.0</v>
      </c>
      <c r="F221" s="14">
        <v>0.0</v>
      </c>
      <c r="G221" s="14">
        <v>0.0</v>
      </c>
      <c r="H221" s="14">
        <v>0.0</v>
      </c>
      <c r="I221" s="14">
        <v>0.0</v>
      </c>
      <c r="J221" s="14">
        <v>0.0</v>
      </c>
    </row>
    <row r="222">
      <c r="A222" s="22" t="s">
        <v>177</v>
      </c>
      <c r="B222" s="21">
        <f t="shared" si="2"/>
        <v>0</v>
      </c>
      <c r="C222" s="21" t="str">
        <f>VLOOKUP(A222, hash!A$2:B$500, 2, 0)</f>
        <v>65020c068f2b101294bb3dab</v>
      </c>
      <c r="D222" s="23">
        <f t="shared" si="3"/>
        <v>0</v>
      </c>
      <c r="E222" s="14">
        <v>0.0</v>
      </c>
      <c r="F222" s="14">
        <v>0.0</v>
      </c>
      <c r="G222" s="14">
        <v>0.0</v>
      </c>
      <c r="H222" s="14">
        <v>0.0</v>
      </c>
      <c r="I222" s="14">
        <v>0.0</v>
      </c>
      <c r="J222" s="14">
        <v>0.0</v>
      </c>
    </row>
    <row r="223">
      <c r="A223" s="22" t="s">
        <v>178</v>
      </c>
      <c r="B223" s="21">
        <f t="shared" si="2"/>
        <v>0</v>
      </c>
      <c r="C223" s="21" t="str">
        <f>VLOOKUP(A223, hash!A$2:B$500, 2, 0)</f>
        <v>65020c06097ac3c9d0632652</v>
      </c>
      <c r="D223" s="23">
        <f t="shared" si="3"/>
        <v>0</v>
      </c>
      <c r="E223" s="14">
        <v>0.0</v>
      </c>
      <c r="F223" s="14">
        <v>0.0</v>
      </c>
      <c r="G223" s="14">
        <v>0.0</v>
      </c>
      <c r="H223" s="14">
        <v>0.0</v>
      </c>
      <c r="I223" s="14">
        <v>0.0</v>
      </c>
      <c r="J223" s="14">
        <v>0.0</v>
      </c>
    </row>
    <row r="224">
      <c r="A224" s="22" t="s">
        <v>179</v>
      </c>
      <c r="B224" s="21">
        <f t="shared" si="2"/>
        <v>0</v>
      </c>
      <c r="C224" s="21" t="str">
        <f>VLOOKUP(A224, hash!A$2:B$500, 2, 0)</f>
        <v>65020c088f2b101294bb3dad</v>
      </c>
      <c r="D224" s="23">
        <f t="shared" si="3"/>
        <v>0</v>
      </c>
      <c r="E224" s="14">
        <v>0.0</v>
      </c>
      <c r="F224" s="14">
        <v>0.0</v>
      </c>
      <c r="G224" s="14">
        <v>0.0</v>
      </c>
      <c r="H224" s="14">
        <v>0.0</v>
      </c>
      <c r="I224" s="14">
        <v>0.0</v>
      </c>
      <c r="J224" s="14">
        <v>0.0</v>
      </c>
    </row>
    <row r="225">
      <c r="A225" s="22" t="s">
        <v>61</v>
      </c>
      <c r="B225" s="21">
        <f t="shared" si="2"/>
        <v>0</v>
      </c>
      <c r="C225" s="21" t="str">
        <f>VLOOKUP(A225, hash!A$2:B$500, 2, 0)</f>
        <v>65020c0f8f2b101294bb3dae</v>
      </c>
      <c r="D225" s="23">
        <f t="shared" si="3"/>
        <v>0</v>
      </c>
      <c r="E225" s="14">
        <v>0.0</v>
      </c>
      <c r="F225" s="14">
        <v>0.0</v>
      </c>
      <c r="G225" s="14">
        <v>0.0</v>
      </c>
      <c r="H225" s="14">
        <v>0.0</v>
      </c>
      <c r="I225" s="14">
        <v>0.0</v>
      </c>
      <c r="J225" s="14">
        <v>0.0</v>
      </c>
    </row>
    <row r="226">
      <c r="A226" s="22" t="s">
        <v>180</v>
      </c>
      <c r="B226" s="21">
        <f t="shared" si="2"/>
        <v>0</v>
      </c>
      <c r="C226" s="21" t="str">
        <f>VLOOKUP(A226, hash!A$2:B$500, 2, 0)</f>
        <v>65020c0f03dd812a55d3a20d</v>
      </c>
      <c r="D226" s="23">
        <f t="shared" si="3"/>
        <v>0</v>
      </c>
      <c r="E226" s="14">
        <v>0.0</v>
      </c>
      <c r="F226" s="14">
        <v>0.0</v>
      </c>
      <c r="G226" s="14">
        <v>0.0</v>
      </c>
      <c r="H226" s="14">
        <v>0.0</v>
      </c>
      <c r="I226" s="14">
        <v>0.0</v>
      </c>
      <c r="J226" s="14">
        <v>0.0</v>
      </c>
    </row>
    <row r="227">
      <c r="A227" s="22" t="s">
        <v>181</v>
      </c>
      <c r="B227" s="21">
        <f t="shared" si="2"/>
        <v>0</v>
      </c>
      <c r="C227" s="21" t="str">
        <f>VLOOKUP(A227, hash!A$2:B$500, 2, 0)</f>
        <v>65020c158f2b101294bb3daf</v>
      </c>
      <c r="D227" s="23">
        <f t="shared" si="3"/>
        <v>0</v>
      </c>
      <c r="E227" s="14">
        <v>0.0</v>
      </c>
      <c r="F227" s="14">
        <v>0.0</v>
      </c>
      <c r="G227" s="14">
        <v>0.0</v>
      </c>
      <c r="H227" s="14">
        <v>0.0</v>
      </c>
      <c r="I227" s="14">
        <v>0.0</v>
      </c>
      <c r="J227" s="14">
        <v>0.0</v>
      </c>
    </row>
    <row r="228">
      <c r="A228" s="22" t="s">
        <v>182</v>
      </c>
      <c r="B228" s="21">
        <f t="shared" si="2"/>
        <v>0</v>
      </c>
      <c r="C228" s="21" t="str">
        <f>VLOOKUP(A228, hash!A$2:B$500, 2, 0)</f>
        <v>65020c188f2b101294bb3db0</v>
      </c>
      <c r="D228" s="23">
        <f t="shared" si="3"/>
        <v>0</v>
      </c>
      <c r="E228" s="14">
        <v>0.0</v>
      </c>
      <c r="F228" s="14">
        <v>0.0</v>
      </c>
      <c r="G228" s="14">
        <v>0.0</v>
      </c>
      <c r="H228" s="14">
        <v>0.0</v>
      </c>
      <c r="I228" s="14">
        <v>0.0</v>
      </c>
      <c r="J228" s="14">
        <v>0.0</v>
      </c>
    </row>
    <row r="229">
      <c r="A229" s="22" t="s">
        <v>183</v>
      </c>
      <c r="B229" s="21">
        <f t="shared" si="2"/>
        <v>0</v>
      </c>
      <c r="C229" s="21" t="str">
        <f>VLOOKUP(A229, hash!A$2:B$500, 2, 0)</f>
        <v>65020c5b097ac3c9d0632661</v>
      </c>
      <c r="D229" s="23">
        <f t="shared" si="3"/>
        <v>0</v>
      </c>
      <c r="E229" s="14">
        <v>0.0</v>
      </c>
      <c r="F229" s="14">
        <v>0.0</v>
      </c>
      <c r="G229" s="14">
        <v>0.0</v>
      </c>
      <c r="H229" s="14">
        <v>0.0</v>
      </c>
      <c r="I229" s="14">
        <v>0.0</v>
      </c>
      <c r="J229" s="14">
        <v>0.0</v>
      </c>
    </row>
    <row r="230">
      <c r="A230" s="22" t="s">
        <v>184</v>
      </c>
      <c r="B230" s="21">
        <f t="shared" si="2"/>
        <v>0</v>
      </c>
      <c r="C230" s="21" t="str">
        <f>VLOOKUP(A230, hash!A$2:B$500, 2, 0)</f>
        <v>65020cea8f2b101294bb3dbe</v>
      </c>
      <c r="D230" s="23">
        <f t="shared" si="3"/>
        <v>0</v>
      </c>
      <c r="E230" s="14">
        <v>0.0</v>
      </c>
      <c r="F230" s="14">
        <v>0.0</v>
      </c>
      <c r="G230" s="14">
        <v>0.0</v>
      </c>
      <c r="H230" s="14">
        <v>0.0</v>
      </c>
      <c r="I230" s="14">
        <v>0.0</v>
      </c>
      <c r="J230" s="14">
        <v>0.0</v>
      </c>
    </row>
    <row r="231">
      <c r="A231" s="22" t="s">
        <v>185</v>
      </c>
      <c r="B231" s="21">
        <f t="shared" si="2"/>
        <v>0</v>
      </c>
      <c r="C231" s="21" t="str">
        <f>VLOOKUP(A231, hash!A$2:B$500, 2, 0)</f>
        <v>65020d4b097ac3c9d063266a</v>
      </c>
      <c r="D231" s="23">
        <f t="shared" si="3"/>
        <v>0</v>
      </c>
      <c r="E231" s="14">
        <v>0.0</v>
      </c>
      <c r="F231" s="14">
        <v>0.0</v>
      </c>
      <c r="G231" s="14">
        <v>0.0</v>
      </c>
      <c r="H231" s="14">
        <v>0.0</v>
      </c>
      <c r="I231" s="14">
        <v>0.0</v>
      </c>
      <c r="J231" s="14">
        <v>0.0</v>
      </c>
    </row>
    <row r="232">
      <c r="A232" s="22" t="s">
        <v>88</v>
      </c>
      <c r="B232" s="21">
        <f t="shared" si="2"/>
        <v>0</v>
      </c>
      <c r="C232" s="21" t="str">
        <f>VLOOKUP(A232, hash!A$2:B$500, 2, 0)</f>
        <v>65020d65097ac3c9d063266d</v>
      </c>
      <c r="D232" s="23">
        <f t="shared" si="3"/>
        <v>0</v>
      </c>
      <c r="E232" s="14">
        <v>0.0</v>
      </c>
      <c r="F232" s="14">
        <v>0.0</v>
      </c>
      <c r="G232" s="14">
        <v>0.0</v>
      </c>
      <c r="H232" s="14">
        <v>0.0</v>
      </c>
      <c r="I232" s="14">
        <v>0.0</v>
      </c>
      <c r="J232" s="14">
        <v>0.0</v>
      </c>
    </row>
    <row r="233">
      <c r="A233" s="22" t="s">
        <v>186</v>
      </c>
      <c r="B233" s="21">
        <f t="shared" si="2"/>
        <v>0</v>
      </c>
      <c r="C233" s="21" t="str">
        <f>VLOOKUP(A233, hash!A$2:B$500, 2, 0)</f>
        <v>65044a78c61c6a809dc7166a</v>
      </c>
      <c r="D233" s="23">
        <f t="shared" si="3"/>
        <v>0</v>
      </c>
      <c r="E233" s="14">
        <v>0.0</v>
      </c>
      <c r="F233" s="14">
        <v>0.0</v>
      </c>
      <c r="G233" s="14">
        <v>0.0</v>
      </c>
      <c r="H233" s="14">
        <v>0.0</v>
      </c>
      <c r="I233" s="14">
        <v>0.0</v>
      </c>
      <c r="J233" s="14">
        <v>0.0</v>
      </c>
    </row>
    <row r="234">
      <c r="A234" s="22" t="s">
        <v>187</v>
      </c>
      <c r="B234" s="21">
        <f t="shared" si="2"/>
        <v>0</v>
      </c>
      <c r="C234" s="21" t="str">
        <f>VLOOKUP(A234, hash!A$2:B$500, 2, 0)</f>
        <v>650b3a05831593811cfcd7a6</v>
      </c>
      <c r="D234" s="23">
        <f t="shared" si="3"/>
        <v>0</v>
      </c>
      <c r="E234" s="14">
        <v>0.0</v>
      </c>
      <c r="F234" s="14">
        <v>0.0</v>
      </c>
      <c r="G234" s="14">
        <v>0.0</v>
      </c>
      <c r="H234" s="14">
        <v>0.0</v>
      </c>
      <c r="I234" s="14">
        <v>0.0</v>
      </c>
      <c r="J234" s="14">
        <v>0.0</v>
      </c>
    </row>
    <row r="235">
      <c r="A235" s="22" t="s">
        <v>188</v>
      </c>
      <c r="B235" s="21">
        <f t="shared" si="2"/>
        <v>0</v>
      </c>
      <c r="C235" s="21" t="str">
        <f>VLOOKUP(A235, hash!A$2:B$500, 2, 0)</f>
        <v>650b3a079d801acd9fe283a1</v>
      </c>
      <c r="D235" s="23">
        <f t="shared" si="3"/>
        <v>0</v>
      </c>
      <c r="E235" s="14">
        <v>0.0</v>
      </c>
      <c r="F235" s="14">
        <v>0.0</v>
      </c>
      <c r="G235" s="14">
        <v>0.0</v>
      </c>
      <c r="H235" s="14">
        <v>0.0</v>
      </c>
      <c r="I235" s="14">
        <v>0.0</v>
      </c>
      <c r="J235" s="14">
        <v>0.0</v>
      </c>
    </row>
    <row r="236">
      <c r="A236" s="22" t="s">
        <v>189</v>
      </c>
      <c r="B236" s="21">
        <f t="shared" si="2"/>
        <v>0</v>
      </c>
      <c r="C236" s="21" t="str">
        <f>VLOOKUP(A236, hash!A$2:B$500, 2, 0)</f>
        <v>650b3a09ed7955a527757145</v>
      </c>
      <c r="D236" s="23">
        <f t="shared" si="3"/>
        <v>0</v>
      </c>
      <c r="E236" s="14">
        <v>0.0</v>
      </c>
      <c r="F236" s="14">
        <v>0.0</v>
      </c>
      <c r="G236" s="14">
        <v>0.0</v>
      </c>
      <c r="H236" s="14">
        <v>0.0</v>
      </c>
      <c r="I236" s="14">
        <v>0.0</v>
      </c>
      <c r="J236" s="14">
        <v>0.0</v>
      </c>
    </row>
    <row r="237">
      <c r="A237" s="22" t="s">
        <v>190</v>
      </c>
      <c r="B237" s="21">
        <f t="shared" si="2"/>
        <v>0</v>
      </c>
      <c r="C237" s="21" t="str">
        <f>VLOOKUP(A237, hash!A$2:B$500, 2, 0)</f>
        <v>650b3a0ded7955a527757147</v>
      </c>
      <c r="D237" s="23">
        <f t="shared" si="3"/>
        <v>0</v>
      </c>
      <c r="E237" s="14">
        <v>0.0</v>
      </c>
      <c r="F237" s="14">
        <v>0.0</v>
      </c>
      <c r="G237" s="14">
        <v>0.0</v>
      </c>
      <c r="H237" s="14">
        <v>0.0</v>
      </c>
      <c r="I237" s="14">
        <v>0.0</v>
      </c>
      <c r="J237" s="14">
        <v>0.0</v>
      </c>
    </row>
    <row r="238">
      <c r="A238" s="22" t="s">
        <v>191</v>
      </c>
      <c r="B238" s="21">
        <f t="shared" si="2"/>
        <v>0</v>
      </c>
      <c r="C238" s="21" t="str">
        <f>VLOOKUP(A238, hash!A$2:B$500, 2, 0)</f>
        <v>650b3a0eacb6c663527423b7</v>
      </c>
      <c r="D238" s="23">
        <f t="shared" si="3"/>
        <v>0</v>
      </c>
      <c r="E238" s="14">
        <v>0.0</v>
      </c>
      <c r="F238" s="14">
        <v>0.0</v>
      </c>
      <c r="G238" s="14">
        <v>0.0</v>
      </c>
      <c r="H238" s="14">
        <v>0.0</v>
      </c>
      <c r="I238" s="14">
        <v>0.0</v>
      </c>
      <c r="J238" s="14">
        <v>0.0</v>
      </c>
    </row>
    <row r="239">
      <c r="A239" s="22" t="s">
        <v>192</v>
      </c>
      <c r="B239" s="21">
        <f t="shared" si="2"/>
        <v>0</v>
      </c>
      <c r="C239" s="21" t="str">
        <f>VLOOKUP(A239, hash!A$2:B$500, 2, 0)</f>
        <v>650b3a0e9d801acd9fe283a2</v>
      </c>
      <c r="D239" s="23">
        <f t="shared" si="3"/>
        <v>0</v>
      </c>
      <c r="E239" s="14">
        <v>0.0</v>
      </c>
      <c r="F239" s="14">
        <v>0.0</v>
      </c>
      <c r="G239" s="14">
        <v>0.0</v>
      </c>
      <c r="H239" s="14">
        <v>0.0</v>
      </c>
      <c r="I239" s="14">
        <v>0.0</v>
      </c>
      <c r="J239" s="14">
        <v>0.0</v>
      </c>
    </row>
    <row r="240">
      <c r="A240" s="22" t="s">
        <v>193</v>
      </c>
      <c r="B240" s="21">
        <f t="shared" si="2"/>
        <v>0</v>
      </c>
      <c r="C240" s="21" t="str">
        <f>VLOOKUP(A240, hash!A$2:B$500, 2, 0)</f>
        <v>650b3a15ed7955a527757149</v>
      </c>
      <c r="D240" s="23">
        <f t="shared" si="3"/>
        <v>0</v>
      </c>
      <c r="E240" s="14">
        <v>0.0</v>
      </c>
      <c r="F240" s="14">
        <v>0.0</v>
      </c>
      <c r="G240" s="14">
        <v>0.0</v>
      </c>
      <c r="H240" s="14">
        <v>0.0</v>
      </c>
      <c r="I240" s="14">
        <v>0.0</v>
      </c>
      <c r="J240" s="14">
        <v>0.0</v>
      </c>
    </row>
    <row r="241">
      <c r="A241" s="22" t="s">
        <v>194</v>
      </c>
      <c r="B241" s="21">
        <f t="shared" si="2"/>
        <v>0</v>
      </c>
      <c r="C241" s="21" t="str">
        <f>VLOOKUP(A241, hash!A$2:B$500, 2, 0)</f>
        <v>650b3a1ced7955a52775714b</v>
      </c>
      <c r="D241" s="23">
        <f t="shared" si="3"/>
        <v>0</v>
      </c>
      <c r="E241" s="14">
        <v>0.0</v>
      </c>
      <c r="F241" s="14">
        <v>0.0</v>
      </c>
      <c r="G241" s="14">
        <v>0.0</v>
      </c>
      <c r="H241" s="14">
        <v>0.0</v>
      </c>
      <c r="I241" s="14">
        <v>0.0</v>
      </c>
      <c r="J241" s="14">
        <v>0.0</v>
      </c>
    </row>
    <row r="242">
      <c r="A242" s="22" t="s">
        <v>195</v>
      </c>
      <c r="B242" s="21">
        <f t="shared" si="2"/>
        <v>0</v>
      </c>
      <c r="C242" s="21" t="str">
        <f>VLOOKUP(A242, hash!A$2:B$500, 2, 0)</f>
        <v>650b3a9e41c634acd2e8f3d0</v>
      </c>
      <c r="D242" s="23">
        <f t="shared" si="3"/>
        <v>0</v>
      </c>
      <c r="E242" s="14">
        <v>0.0</v>
      </c>
      <c r="F242" s="14">
        <v>0.0</v>
      </c>
      <c r="G242" s="14">
        <v>0.0</v>
      </c>
      <c r="H242" s="14">
        <v>0.0</v>
      </c>
      <c r="I242" s="14">
        <v>0.0</v>
      </c>
      <c r="J242" s="14">
        <v>0.0</v>
      </c>
    </row>
    <row r="243">
      <c r="A243" s="22" t="s">
        <v>196</v>
      </c>
      <c r="B243" s="21">
        <f t="shared" si="2"/>
        <v>0</v>
      </c>
      <c r="C243" s="21" t="str">
        <f>VLOOKUP(A243, hash!A$2:B$500, 2, 0)</f>
        <v>650b40c463d8964b8e363b3b</v>
      </c>
      <c r="D243" s="23">
        <f t="shared" si="3"/>
        <v>0</v>
      </c>
      <c r="E243" s="14">
        <v>0.0</v>
      </c>
      <c r="F243" s="14">
        <v>0.0</v>
      </c>
      <c r="G243" s="14">
        <v>0.0</v>
      </c>
      <c r="H243" s="14">
        <v>0.0</v>
      </c>
      <c r="I243" s="14">
        <v>0.0</v>
      </c>
      <c r="J243" s="14">
        <v>0.0</v>
      </c>
    </row>
    <row r="244">
      <c r="A244" s="22" t="s">
        <v>197</v>
      </c>
      <c r="B244" s="21">
        <f t="shared" si="2"/>
        <v>0</v>
      </c>
      <c r="C244" s="21" t="str">
        <f>VLOOKUP(A244, hash!A$2:B$500, 2, 0)</f>
        <v>650b40ce63d8964b8e363b3d</v>
      </c>
      <c r="D244" s="23">
        <f t="shared" si="3"/>
        <v>0</v>
      </c>
      <c r="E244" s="14">
        <v>0.0</v>
      </c>
      <c r="F244" s="14">
        <v>0.0</v>
      </c>
      <c r="G244" s="14">
        <v>0.0</v>
      </c>
      <c r="H244" s="14">
        <v>0.0</v>
      </c>
      <c r="I244" s="14">
        <v>0.0</v>
      </c>
      <c r="J244" s="14">
        <v>0.0</v>
      </c>
    </row>
    <row r="245">
      <c r="A245" s="22" t="s">
        <v>198</v>
      </c>
      <c r="B245" s="21">
        <f t="shared" si="2"/>
        <v>0</v>
      </c>
      <c r="C245" s="21" t="str">
        <f>VLOOKUP(A245, hash!A$2:B$500, 2, 0)</f>
        <v>650b446c63d8964b8e363b40</v>
      </c>
      <c r="D245" s="23">
        <f t="shared" si="3"/>
        <v>0</v>
      </c>
      <c r="E245" s="14">
        <v>0.0</v>
      </c>
      <c r="F245" s="14">
        <v>0.0</v>
      </c>
      <c r="G245" s="14">
        <v>0.0</v>
      </c>
      <c r="H245" s="14">
        <v>0.0</v>
      </c>
      <c r="I245" s="14">
        <v>0.0</v>
      </c>
      <c r="J245" s="14">
        <v>0.0</v>
      </c>
    </row>
    <row r="246">
      <c r="A246" s="22" t="s">
        <v>199</v>
      </c>
      <c r="B246" s="21">
        <f t="shared" si="2"/>
        <v>0</v>
      </c>
      <c r="C246" s="21" t="str">
        <f>VLOOKUP(A246, hash!A$2:B$500, 2, 0)</f>
        <v>650b44847b17d110a03d7208</v>
      </c>
      <c r="D246" s="23">
        <f t="shared" si="3"/>
        <v>0</v>
      </c>
      <c r="E246" s="14">
        <v>0.0</v>
      </c>
      <c r="F246" s="14">
        <v>0.0</v>
      </c>
      <c r="G246" s="14">
        <v>0.0</v>
      </c>
      <c r="H246" s="14">
        <v>0.0</v>
      </c>
      <c r="I246" s="14">
        <v>0.0</v>
      </c>
      <c r="J246" s="14">
        <v>0.0</v>
      </c>
    </row>
    <row r="247">
      <c r="A247" s="22" t="s">
        <v>200</v>
      </c>
      <c r="B247" s="21">
        <f t="shared" si="2"/>
        <v>0</v>
      </c>
      <c r="C247" s="21" t="str">
        <f>VLOOKUP(A247, hash!A$2:B$500, 2, 0)</f>
        <v>650b44997b17d110a03d7209</v>
      </c>
      <c r="D247" s="23">
        <f t="shared" si="3"/>
        <v>0</v>
      </c>
      <c r="E247" s="14">
        <v>0.0</v>
      </c>
      <c r="F247" s="14">
        <v>0.0</v>
      </c>
      <c r="G247" s="14">
        <v>0.0</v>
      </c>
      <c r="H247" s="14">
        <v>0.0</v>
      </c>
      <c r="I247" s="14">
        <v>0.0</v>
      </c>
      <c r="J247" s="14">
        <v>0.0</v>
      </c>
    </row>
    <row r="248">
      <c r="A248" s="22" t="s">
        <v>201</v>
      </c>
      <c r="B248" s="21">
        <f t="shared" si="2"/>
        <v>0</v>
      </c>
      <c r="C248" s="21" t="str">
        <f>VLOOKUP(A248, hash!A$2:B$500, 2, 0)</f>
        <v>650b45dd0df4236622e51063</v>
      </c>
      <c r="D248" s="23">
        <f t="shared" si="3"/>
        <v>0</v>
      </c>
      <c r="E248" s="14">
        <v>0.0</v>
      </c>
      <c r="F248" s="14">
        <v>0.0</v>
      </c>
      <c r="G248" s="14">
        <v>0.0</v>
      </c>
      <c r="H248" s="14">
        <v>0.0</v>
      </c>
      <c r="I248" s="14">
        <v>0.0</v>
      </c>
      <c r="J248" s="14">
        <v>0.0</v>
      </c>
    </row>
    <row r="249">
      <c r="A249" s="22" t="s">
        <v>202</v>
      </c>
      <c r="B249" s="21">
        <f t="shared" si="2"/>
        <v>0</v>
      </c>
      <c r="C249" s="21" t="str">
        <f>VLOOKUP(A249, hash!A$2:B$500, 2, 0)</f>
        <v>650b461a1798582bd25e6f14</v>
      </c>
      <c r="D249" s="23">
        <f t="shared" si="3"/>
        <v>0</v>
      </c>
      <c r="E249" s="14">
        <v>0.0</v>
      </c>
      <c r="F249" s="14">
        <v>0.0</v>
      </c>
      <c r="G249" s="14">
        <v>0.0</v>
      </c>
      <c r="H249" s="14">
        <v>0.0</v>
      </c>
      <c r="I249" s="14">
        <v>0.0</v>
      </c>
      <c r="J249" s="14">
        <v>0.0</v>
      </c>
    </row>
    <row r="250">
      <c r="A250" s="22" t="s">
        <v>203</v>
      </c>
      <c r="B250" s="21">
        <f t="shared" si="2"/>
        <v>0</v>
      </c>
      <c r="C250" s="21" t="str">
        <f>VLOOKUP(A250, hash!A$2:B$500, 2, 0)</f>
        <v>650b466f0ebdcd576cc45c6f</v>
      </c>
      <c r="D250" s="23">
        <f t="shared" si="3"/>
        <v>0</v>
      </c>
      <c r="E250" s="14">
        <v>0.0</v>
      </c>
      <c r="F250" s="14">
        <v>0.0</v>
      </c>
      <c r="G250" s="14">
        <v>0.0</v>
      </c>
      <c r="H250" s="14">
        <v>0.0</v>
      </c>
      <c r="I250" s="14">
        <v>0.0</v>
      </c>
      <c r="J250" s="14">
        <v>0.0</v>
      </c>
    </row>
    <row r="251">
      <c r="A251" s="22" t="s">
        <v>204</v>
      </c>
      <c r="B251" s="21">
        <f t="shared" si="2"/>
        <v>0</v>
      </c>
      <c r="C251" s="21" t="str">
        <f>VLOOKUP(A251, hash!A$2:B$500, 2, 0)</f>
        <v>650b46820ebdcd576cc45c70</v>
      </c>
      <c r="D251" s="23">
        <f t="shared" si="3"/>
        <v>0</v>
      </c>
      <c r="E251" s="14">
        <v>0.0</v>
      </c>
      <c r="F251" s="14">
        <v>0.0</v>
      </c>
      <c r="G251" s="14">
        <v>0.0</v>
      </c>
      <c r="H251" s="14">
        <v>0.0</v>
      </c>
      <c r="I251" s="14">
        <v>0.0</v>
      </c>
      <c r="J251" s="14">
        <v>0.0</v>
      </c>
    </row>
    <row r="252">
      <c r="A252" s="22" t="s">
        <v>205</v>
      </c>
      <c r="B252" s="21">
        <f t="shared" si="2"/>
        <v>0</v>
      </c>
      <c r="C252" s="21" t="str">
        <f>VLOOKUP(A252, hash!A$2:B$500, 2, 0)</f>
        <v>650b477d7b17d110a03d7221</v>
      </c>
      <c r="D252" s="23">
        <f t="shared" si="3"/>
        <v>0</v>
      </c>
      <c r="E252" s="14">
        <v>0.0</v>
      </c>
      <c r="F252" s="14">
        <v>0.0</v>
      </c>
      <c r="G252" s="14">
        <v>0.0</v>
      </c>
      <c r="H252" s="14">
        <v>0.0</v>
      </c>
      <c r="I252" s="14">
        <v>0.0</v>
      </c>
      <c r="J252" s="14">
        <v>0.0</v>
      </c>
    </row>
    <row r="253">
      <c r="A253" s="22" t="s">
        <v>206</v>
      </c>
      <c r="B253" s="21">
        <f t="shared" si="2"/>
        <v>0</v>
      </c>
      <c r="C253" s="21" t="str">
        <f>VLOOKUP(A253, hash!A$2:B$500, 2, 0)</f>
        <v>651473b073ba37322a56bc86</v>
      </c>
      <c r="D253" s="23">
        <f t="shared" si="3"/>
        <v>0</v>
      </c>
      <c r="E253" s="14">
        <v>0.0</v>
      </c>
      <c r="F253" s="14">
        <v>0.0</v>
      </c>
      <c r="G253" s="14">
        <v>0.0</v>
      </c>
      <c r="H253" s="14">
        <v>0.0</v>
      </c>
      <c r="I253" s="14">
        <v>0.0</v>
      </c>
      <c r="J253" s="14">
        <v>0.0</v>
      </c>
    </row>
    <row r="254">
      <c r="A254" s="22" t="s">
        <v>207</v>
      </c>
      <c r="B254" s="21">
        <f t="shared" si="2"/>
        <v>0</v>
      </c>
      <c r="C254" s="21" t="str">
        <f>VLOOKUP(A254, hash!A$2:B$500, 2, 0)</f>
        <v>6514746bcb3856acbe2e045e</v>
      </c>
      <c r="D254" s="23">
        <f t="shared" si="3"/>
        <v>0</v>
      </c>
      <c r="E254" s="14">
        <v>0.0</v>
      </c>
      <c r="F254" s="14">
        <v>0.0</v>
      </c>
      <c r="G254" s="14">
        <v>0.0</v>
      </c>
      <c r="H254" s="14">
        <v>0.0</v>
      </c>
      <c r="I254" s="14">
        <v>0.0</v>
      </c>
      <c r="J254" s="14">
        <v>0.0</v>
      </c>
    </row>
    <row r="255">
      <c r="A255" s="22" t="s">
        <v>208</v>
      </c>
      <c r="B255" s="21">
        <f t="shared" si="2"/>
        <v>0</v>
      </c>
      <c r="C255" s="21" t="str">
        <f>VLOOKUP(A255, hash!A$2:B$500, 2, 0)</f>
        <v>651474adbad0d569bbd8c620</v>
      </c>
      <c r="D255" s="23">
        <f t="shared" si="3"/>
        <v>0</v>
      </c>
      <c r="E255" s="14">
        <v>0.0</v>
      </c>
      <c r="F255" s="14">
        <v>0.0</v>
      </c>
      <c r="G255" s="14">
        <v>0.0</v>
      </c>
      <c r="H255" s="14">
        <v>0.0</v>
      </c>
      <c r="I255" s="14">
        <v>0.0</v>
      </c>
      <c r="J255" s="14">
        <v>0.0</v>
      </c>
    </row>
    <row r="256">
      <c r="A256" s="22" t="s">
        <v>209</v>
      </c>
      <c r="B256" s="21">
        <f t="shared" si="2"/>
        <v>0</v>
      </c>
      <c r="C256" s="21" t="str">
        <f>VLOOKUP(A256, hash!A$2:B$500, 2, 0)</f>
        <v>651480e5b25a8777756c8277</v>
      </c>
      <c r="D256" s="23">
        <f t="shared" si="3"/>
        <v>0</v>
      </c>
      <c r="E256" s="14">
        <v>0.0</v>
      </c>
      <c r="F256" s="14">
        <v>0.0</v>
      </c>
      <c r="G256" s="14">
        <v>0.0</v>
      </c>
      <c r="H256" s="14">
        <v>0.0</v>
      </c>
      <c r="I256" s="14">
        <v>0.0</v>
      </c>
      <c r="J256" s="14">
        <v>0.0</v>
      </c>
    </row>
    <row r="257">
      <c r="A257" s="22" t="s">
        <v>210</v>
      </c>
      <c r="B257" s="21">
        <f t="shared" si="2"/>
        <v>0</v>
      </c>
      <c r="C257" s="21" t="str">
        <f>VLOOKUP(A257, hash!A$2:B$500, 2, 0)</f>
        <v>651621a7755b5ba7402891b3</v>
      </c>
      <c r="D257" s="23">
        <f t="shared" si="3"/>
        <v>0</v>
      </c>
      <c r="E257" s="14">
        <v>0.0</v>
      </c>
      <c r="F257" s="14">
        <v>0.0</v>
      </c>
      <c r="G257" s="14">
        <v>0.0</v>
      </c>
      <c r="H257" s="14">
        <v>0.0</v>
      </c>
      <c r="I257" s="14">
        <v>0.0</v>
      </c>
      <c r="J257" s="14">
        <v>0.0</v>
      </c>
    </row>
    <row r="258">
      <c r="A258" s="22" t="s">
        <v>211</v>
      </c>
      <c r="B258" s="21">
        <f t="shared" si="2"/>
        <v>0</v>
      </c>
      <c r="C258" s="21" t="str">
        <f>VLOOKUP(A258, hash!A$2:B$500, 2, 0)</f>
        <v>651daf0edc9060f76fe584c7</v>
      </c>
      <c r="D258" s="23">
        <f t="shared" si="3"/>
        <v>0</v>
      </c>
      <c r="E258" s="14">
        <v>0.0</v>
      </c>
      <c r="F258" s="14">
        <v>0.0</v>
      </c>
      <c r="G258" s="14">
        <v>0.0</v>
      </c>
      <c r="H258" s="14">
        <v>0.0</v>
      </c>
      <c r="I258" s="14">
        <v>0.0</v>
      </c>
      <c r="J258" s="14">
        <v>0.0</v>
      </c>
    </row>
    <row r="259">
      <c r="A259" s="22" t="s">
        <v>212</v>
      </c>
      <c r="B259" s="21">
        <f t="shared" si="2"/>
        <v>0</v>
      </c>
      <c r="C259" s="21" t="str">
        <f>VLOOKUP(A259, hash!A$2:B$500, 2, 0)</f>
        <v>651db9af9dea57c7cb020129</v>
      </c>
      <c r="D259" s="23">
        <f t="shared" si="3"/>
        <v>0</v>
      </c>
      <c r="E259" s="14">
        <v>0.0</v>
      </c>
      <c r="F259" s="14">
        <v>0.0</v>
      </c>
      <c r="G259" s="14">
        <v>0.0</v>
      </c>
      <c r="H259" s="14">
        <v>0.0</v>
      </c>
      <c r="I259" s="14">
        <v>0.0</v>
      </c>
      <c r="J259" s="14">
        <v>0.0</v>
      </c>
    </row>
    <row r="260">
      <c r="A260" s="22" t="s">
        <v>213</v>
      </c>
      <c r="B260" s="21">
        <f t="shared" si="2"/>
        <v>0</v>
      </c>
      <c r="C260" s="21" t="str">
        <f>VLOOKUP(A260, hash!A$2:B$500, 2, 0)</f>
        <v>651dbad69dea57c7cb020139</v>
      </c>
      <c r="D260" s="23">
        <f t="shared" si="3"/>
        <v>0</v>
      </c>
      <c r="E260" s="14">
        <v>0.0</v>
      </c>
      <c r="F260" s="14">
        <v>0.0</v>
      </c>
      <c r="G260" s="14">
        <v>0.0</v>
      </c>
      <c r="H260" s="14">
        <v>0.0</v>
      </c>
      <c r="I260" s="14">
        <v>0.0</v>
      </c>
      <c r="J260" s="14">
        <v>0.0</v>
      </c>
    </row>
    <row r="261">
      <c r="A261" s="22" t="s">
        <v>214</v>
      </c>
      <c r="B261" s="21">
        <f t="shared" si="2"/>
        <v>0</v>
      </c>
      <c r="C261" s="21" t="str">
        <f>VLOOKUP(A261, hash!A$2:B$500, 2, 0)</f>
        <v>651dbae7d54b632818878f41</v>
      </c>
      <c r="D261" s="23">
        <f t="shared" si="3"/>
        <v>0</v>
      </c>
      <c r="E261" s="14">
        <v>0.0</v>
      </c>
      <c r="F261" s="14">
        <v>0.0</v>
      </c>
      <c r="G261" s="14">
        <v>0.0</v>
      </c>
      <c r="H261" s="14">
        <v>0.0</v>
      </c>
      <c r="I261" s="14">
        <v>0.0</v>
      </c>
      <c r="J261" s="14">
        <v>0.0</v>
      </c>
    </row>
    <row r="262">
      <c r="A262" s="22" t="s">
        <v>215</v>
      </c>
      <c r="B262" s="21">
        <f t="shared" si="2"/>
        <v>0</v>
      </c>
      <c r="C262" s="21" t="str">
        <f>VLOOKUP(A262, hash!A$2:B$500, 2, 0)</f>
        <v>651dbb15d54b632818878f43</v>
      </c>
      <c r="D262" s="23">
        <f t="shared" si="3"/>
        <v>0</v>
      </c>
      <c r="E262" s="14">
        <v>0.0</v>
      </c>
      <c r="F262" s="14">
        <v>0.0</v>
      </c>
      <c r="G262" s="14">
        <v>0.0</v>
      </c>
      <c r="H262" s="14">
        <v>0.0</v>
      </c>
      <c r="I262" s="14">
        <v>0.0</v>
      </c>
      <c r="J262" s="14">
        <v>0.0</v>
      </c>
    </row>
    <row r="263">
      <c r="A263" s="22" t="s">
        <v>216</v>
      </c>
      <c r="B263" s="21">
        <f t="shared" si="2"/>
        <v>0</v>
      </c>
      <c r="C263" s="21" t="str">
        <f>VLOOKUP(A263, hash!A$2:B$500, 2, 0)</f>
        <v>651dbb299dea57c7cb020142</v>
      </c>
      <c r="D263" s="23">
        <f t="shared" si="3"/>
        <v>0</v>
      </c>
      <c r="E263" s="14">
        <v>0.0</v>
      </c>
      <c r="F263" s="14">
        <v>0.0</v>
      </c>
      <c r="G263" s="14">
        <v>0.0</v>
      </c>
      <c r="H263" s="14">
        <v>0.0</v>
      </c>
      <c r="I263" s="14">
        <v>0.0</v>
      </c>
      <c r="J263" s="14">
        <v>0.0</v>
      </c>
    </row>
    <row r="264">
      <c r="A264" s="22" t="s">
        <v>217</v>
      </c>
      <c r="B264" s="21">
        <f t="shared" si="2"/>
        <v>0</v>
      </c>
      <c r="C264" s="21" t="str">
        <f>VLOOKUP(A264, hash!A$2:B$500, 2, 0)</f>
        <v>651dbb3f9dea57c7cb020143</v>
      </c>
      <c r="D264" s="23">
        <f t="shared" si="3"/>
        <v>0</v>
      </c>
      <c r="E264" s="14">
        <v>0.0</v>
      </c>
      <c r="F264" s="14">
        <v>0.0</v>
      </c>
      <c r="G264" s="14">
        <v>0.0</v>
      </c>
      <c r="H264" s="14">
        <v>0.0</v>
      </c>
      <c r="I264" s="14">
        <v>0.0</v>
      </c>
      <c r="J264" s="14">
        <v>0.0</v>
      </c>
    </row>
    <row r="265">
      <c r="A265" s="22" t="s">
        <v>218</v>
      </c>
      <c r="B265" s="21">
        <f t="shared" si="2"/>
        <v>0</v>
      </c>
      <c r="C265" s="21" t="str">
        <f>VLOOKUP(A265, hash!A$2:B$500, 2, 0)</f>
        <v>651dbc99ca156cc80367f4eb</v>
      </c>
      <c r="D265" s="23">
        <f t="shared" si="3"/>
        <v>0</v>
      </c>
      <c r="E265" s="14">
        <v>0.0</v>
      </c>
      <c r="F265" s="14">
        <v>0.0</v>
      </c>
      <c r="G265" s="14">
        <v>0.0</v>
      </c>
      <c r="H265" s="14">
        <v>0.0</v>
      </c>
      <c r="I265" s="14">
        <v>0.0</v>
      </c>
      <c r="J265" s="14">
        <v>0.0</v>
      </c>
    </row>
    <row r="266">
      <c r="A266" s="22" t="s">
        <v>219</v>
      </c>
      <c r="B266" s="21">
        <f t="shared" si="2"/>
        <v>0</v>
      </c>
      <c r="C266" s="21" t="str">
        <f>VLOOKUP(A266, hash!A$2:B$500, 2, 0)</f>
        <v>652403893fc5d4c9ab851009</v>
      </c>
      <c r="D266" s="23">
        <f t="shared" si="3"/>
        <v>0</v>
      </c>
      <c r="E266" s="14">
        <v>0.0</v>
      </c>
      <c r="F266" s="14">
        <v>0.0</v>
      </c>
      <c r="G266" s="14">
        <v>0.0</v>
      </c>
      <c r="H266" s="14">
        <v>0.0</v>
      </c>
      <c r="I266" s="14">
        <v>0.0</v>
      </c>
      <c r="J266" s="14">
        <v>0.0</v>
      </c>
    </row>
    <row r="267">
      <c r="A267" s="22" t="s">
        <v>220</v>
      </c>
      <c r="B267" s="21">
        <f t="shared" si="2"/>
        <v>0</v>
      </c>
      <c r="C267" s="21" t="str">
        <f>VLOOKUP(A267, hash!A$2:B$500, 2, 0)</f>
        <v>6530232bcf7c5adcfb301ec7</v>
      </c>
      <c r="D267" s="23">
        <f t="shared" si="3"/>
        <v>0</v>
      </c>
      <c r="E267" s="14">
        <v>0.0</v>
      </c>
      <c r="F267" s="14">
        <v>0.0</v>
      </c>
      <c r="G267" s="14">
        <v>0.0</v>
      </c>
      <c r="H267" s="14">
        <v>0.0</v>
      </c>
      <c r="I267" s="14">
        <v>0.0</v>
      </c>
      <c r="J267" s="14">
        <v>0.0</v>
      </c>
    </row>
    <row r="268">
      <c r="A268" s="22" t="s">
        <v>221</v>
      </c>
      <c r="B268" s="21">
        <f t="shared" si="2"/>
        <v>0</v>
      </c>
      <c r="C268" s="21" t="str">
        <f>VLOOKUP(A268, hash!A$2:B$500, 2, 0)</f>
        <v>65302e080e286366617e4629</v>
      </c>
      <c r="D268" s="23">
        <f t="shared" si="3"/>
        <v>0</v>
      </c>
      <c r="E268" s="14">
        <v>0.0</v>
      </c>
      <c r="F268" s="14">
        <v>0.0</v>
      </c>
      <c r="G268" s="14">
        <v>0.0</v>
      </c>
      <c r="H268" s="14">
        <v>0.0</v>
      </c>
      <c r="I268" s="14">
        <v>0.0</v>
      </c>
      <c r="J268" s="14">
        <v>0.0</v>
      </c>
    </row>
    <row r="269">
      <c r="A269" s="22" t="s">
        <v>222</v>
      </c>
      <c r="B269" s="21">
        <f t="shared" si="2"/>
        <v>0</v>
      </c>
      <c r="C269" s="21" t="str">
        <f>VLOOKUP(A269, hash!A$2:B$500, 2, 0)</f>
        <v>65395d6799af0b0f3444fd51</v>
      </c>
      <c r="D269" s="23">
        <f t="shared" si="3"/>
        <v>0</v>
      </c>
      <c r="E269" s="14">
        <v>0.0</v>
      </c>
      <c r="F269" s="14">
        <v>0.0</v>
      </c>
      <c r="G269" s="14">
        <v>0.0</v>
      </c>
      <c r="H269" s="14">
        <v>0.0</v>
      </c>
      <c r="I269" s="14">
        <v>0.0</v>
      </c>
      <c r="J269" s="14">
        <v>0.0</v>
      </c>
    </row>
    <row r="270">
      <c r="A270" s="22" t="s">
        <v>223</v>
      </c>
      <c r="B270" s="21">
        <f t="shared" si="2"/>
        <v>0</v>
      </c>
      <c r="C270" s="21" t="str">
        <f>VLOOKUP(A270, hash!A$2:B$500, 2, 0)</f>
        <v>6539689ac8f6bb22aba878d1</v>
      </c>
      <c r="D270" s="23">
        <f t="shared" si="3"/>
        <v>0</v>
      </c>
      <c r="E270" s="14">
        <v>0.0</v>
      </c>
      <c r="F270" s="14">
        <v>0.0</v>
      </c>
      <c r="G270" s="14">
        <v>0.0</v>
      </c>
      <c r="H270" s="14">
        <v>0.0</v>
      </c>
      <c r="I270" s="14">
        <v>0.0</v>
      </c>
      <c r="J270" s="14">
        <v>0.0</v>
      </c>
    </row>
    <row r="271">
      <c r="A271" s="22" t="s">
        <v>224</v>
      </c>
      <c r="B271" s="21">
        <f t="shared" si="2"/>
        <v>0</v>
      </c>
      <c r="C271" s="21" t="str">
        <f>VLOOKUP(A271, hash!A$2:B$500, 2, 0)</f>
        <v>6542987e2bee7559f37bee8d</v>
      </c>
      <c r="D271" s="23">
        <f t="shared" si="3"/>
        <v>0</v>
      </c>
      <c r="E271" s="14">
        <v>0.0</v>
      </c>
      <c r="F271" s="14">
        <v>0.0</v>
      </c>
      <c r="G271" s="14">
        <v>0.0</v>
      </c>
      <c r="H271" s="14">
        <v>0.0</v>
      </c>
      <c r="I271" s="14">
        <v>0.0</v>
      </c>
      <c r="J271" s="14">
        <v>0.0</v>
      </c>
    </row>
    <row r="272">
      <c r="A272" s="22" t="s">
        <v>225</v>
      </c>
      <c r="B272" s="21">
        <f t="shared" si="2"/>
        <v>0</v>
      </c>
      <c r="C272" s="21" t="str">
        <f>VLOOKUP(A272, hash!A$2:B$500, 2, 0)</f>
        <v>65429927208c9c77b87ab693</v>
      </c>
      <c r="D272" s="23">
        <f t="shared" si="3"/>
        <v>0</v>
      </c>
      <c r="E272" s="14">
        <v>0.0</v>
      </c>
      <c r="F272" s="14">
        <v>0.0</v>
      </c>
      <c r="G272" s="14">
        <v>0.0</v>
      </c>
      <c r="H272" s="14">
        <v>0.0</v>
      </c>
      <c r="I272" s="14">
        <v>0.0</v>
      </c>
      <c r="J272" s="14">
        <v>0.0</v>
      </c>
    </row>
    <row r="273">
      <c r="A273" s="22" t="s">
        <v>226</v>
      </c>
      <c r="B273" s="21">
        <f t="shared" si="2"/>
        <v>0</v>
      </c>
      <c r="C273" s="21" t="str">
        <f>VLOOKUP(A273, hash!A$2:B$500, 2, 0)</f>
        <v>654a6fba5f40f5f7b7c97164</v>
      </c>
      <c r="D273" s="23">
        <f t="shared" si="3"/>
        <v>0</v>
      </c>
      <c r="E273" s="14">
        <v>0.0</v>
      </c>
      <c r="F273" s="14">
        <v>0.0</v>
      </c>
      <c r="G273" s="14">
        <v>0.0</v>
      </c>
      <c r="H273" s="14">
        <v>0.0</v>
      </c>
      <c r="I273" s="14">
        <v>0.0</v>
      </c>
      <c r="J273" s="14">
        <v>0.0</v>
      </c>
    </row>
    <row r="274">
      <c r="A274" s="22" t="s">
        <v>227</v>
      </c>
      <c r="B274" s="21">
        <f t="shared" si="2"/>
        <v>0</v>
      </c>
      <c r="C274" s="21" t="str">
        <f>VLOOKUP(A274, hash!A$2:B$500, 2, 0)</f>
        <v>65551bef3234b9c505dd527e</v>
      </c>
      <c r="D274" s="23">
        <f t="shared" si="3"/>
        <v>0</v>
      </c>
      <c r="E274" s="14">
        <v>0.0</v>
      </c>
      <c r="F274" s="14">
        <v>0.0</v>
      </c>
      <c r="G274" s="14">
        <v>0.0</v>
      </c>
      <c r="H274" s="14">
        <v>0.0</v>
      </c>
      <c r="I274" s="14">
        <v>0.0</v>
      </c>
      <c r="J274" s="14">
        <v>0.0</v>
      </c>
    </row>
    <row r="275">
      <c r="A275" s="22" t="s">
        <v>228</v>
      </c>
      <c r="B275" s="21">
        <f t="shared" si="2"/>
        <v>0</v>
      </c>
      <c r="C275" s="21" t="str">
        <f>VLOOKUP(A275, hash!A$2:B$500, 2, 0)</f>
        <v>655528e7b6dffbe82fb08e97</v>
      </c>
      <c r="D275" s="23">
        <f t="shared" si="3"/>
        <v>0</v>
      </c>
      <c r="E275" s="14">
        <v>0.0</v>
      </c>
      <c r="F275" s="14">
        <v>0.0</v>
      </c>
      <c r="G275" s="14">
        <v>0.0</v>
      </c>
      <c r="H275" s="14">
        <v>0.0</v>
      </c>
      <c r="I275" s="14">
        <v>0.0</v>
      </c>
      <c r="J275" s="14">
        <v>0.0</v>
      </c>
    </row>
    <row r="276">
      <c r="A276" s="22" t="s">
        <v>229</v>
      </c>
      <c r="B276" s="21">
        <f t="shared" si="2"/>
        <v>0</v>
      </c>
      <c r="C276" s="21" t="str">
        <f>VLOOKUP(A276, hash!A$2:B$500, 2, 0)</f>
        <v>655bb33eff8d447e7d019f70</v>
      </c>
      <c r="D276" s="23">
        <f t="shared" si="3"/>
        <v>0</v>
      </c>
      <c r="E276" s="14">
        <v>0.0</v>
      </c>
      <c r="F276" s="14">
        <v>0.0</v>
      </c>
      <c r="G276" s="14">
        <v>0.0</v>
      </c>
      <c r="H276" s="14">
        <v>0.0</v>
      </c>
      <c r="I276" s="14">
        <v>0.0</v>
      </c>
      <c r="J276" s="14">
        <v>0.0</v>
      </c>
    </row>
    <row r="277">
      <c r="A277" s="22" t="s">
        <v>230</v>
      </c>
      <c r="B277" s="21">
        <f t="shared" si="2"/>
        <v>0</v>
      </c>
      <c r="C277" s="21" t="str">
        <f>VLOOKUP(A277, hash!A$2:B$500, 2, 0)</f>
        <v>655bc0057093eb94b1c6cc92</v>
      </c>
      <c r="D277" s="23">
        <f t="shared" si="3"/>
        <v>0</v>
      </c>
      <c r="E277" s="14">
        <v>0.0</v>
      </c>
      <c r="F277" s="14">
        <v>0.0</v>
      </c>
      <c r="G277" s="14">
        <v>0.0</v>
      </c>
      <c r="H277" s="14">
        <v>0.0</v>
      </c>
      <c r="I277" s="14">
        <v>0.0</v>
      </c>
      <c r="J277" s="14">
        <v>0.0</v>
      </c>
    </row>
    <row r="278">
      <c r="A278" s="22" t="s">
        <v>231</v>
      </c>
      <c r="B278" s="21">
        <f t="shared" si="2"/>
        <v>0</v>
      </c>
      <c r="C278" s="21" t="str">
        <f>VLOOKUP(A278, hash!A$2:B$500, 2, 0)</f>
        <v>655bc0097093eb94b1c6cc93</v>
      </c>
      <c r="D278" s="23">
        <f t="shared" si="3"/>
        <v>0</v>
      </c>
      <c r="E278" s="14">
        <v>0.0</v>
      </c>
      <c r="F278" s="14">
        <v>0.0</v>
      </c>
      <c r="G278" s="14">
        <v>0.0</v>
      </c>
      <c r="H278" s="14">
        <v>0.0</v>
      </c>
      <c r="I278" s="14">
        <v>0.0</v>
      </c>
      <c r="J278" s="14">
        <v>0.0</v>
      </c>
    </row>
    <row r="279">
      <c r="A279" s="22" t="s">
        <v>232</v>
      </c>
      <c r="B279" s="21">
        <f t="shared" si="2"/>
        <v>0</v>
      </c>
      <c r="C279" s="21" t="str">
        <f>VLOOKUP(A279, hash!A$2:B$500, 2, 0)</f>
        <v>6595977fb46b00d2f83c52c5</v>
      </c>
      <c r="D279" s="23">
        <f t="shared" si="3"/>
        <v>0</v>
      </c>
      <c r="E279" s="14">
        <v>0.0</v>
      </c>
      <c r="F279" s="14">
        <v>0.0</v>
      </c>
      <c r="G279" s="14">
        <v>0.0</v>
      </c>
      <c r="H279" s="14">
        <v>0.0</v>
      </c>
      <c r="I279" s="14">
        <v>0.0</v>
      </c>
      <c r="J279" s="14">
        <v>0.0</v>
      </c>
    </row>
    <row r="280">
      <c r="A280" s="22" t="s">
        <v>233</v>
      </c>
      <c r="B280" s="21">
        <f t="shared" si="2"/>
        <v>0</v>
      </c>
      <c r="C280" s="21" t="str">
        <f>VLOOKUP(A280, hash!A$2:B$500, 2, 0)</f>
        <v>6595b65ec49a903206004ba0</v>
      </c>
      <c r="D280" s="23">
        <f t="shared" si="3"/>
        <v>0</v>
      </c>
      <c r="E280" s="14">
        <v>0.0</v>
      </c>
      <c r="F280" s="14">
        <v>0.0</v>
      </c>
      <c r="G280" s="14">
        <v>0.0</v>
      </c>
      <c r="H280" s="14">
        <v>0.0</v>
      </c>
      <c r="I280" s="14">
        <v>0.0</v>
      </c>
      <c r="J280" s="14">
        <v>0.0</v>
      </c>
    </row>
    <row r="281">
      <c r="A281" s="22" t="s">
        <v>234</v>
      </c>
      <c r="B281" s="21">
        <f t="shared" si="2"/>
        <v>0</v>
      </c>
      <c r="C281" s="21" t="str">
        <f>VLOOKUP(A281, hash!A$2:B$500, 2, 0)</f>
        <v>6595bf45b775f9fc5a64da54</v>
      </c>
      <c r="D281" s="23">
        <f t="shared" si="3"/>
        <v>0</v>
      </c>
      <c r="E281" s="14">
        <v>0.0</v>
      </c>
      <c r="F281" s="14">
        <v>0.0</v>
      </c>
      <c r="G281" s="14">
        <v>0.0</v>
      </c>
      <c r="H281" s="14">
        <v>0.0</v>
      </c>
      <c r="I281" s="14">
        <v>0.0</v>
      </c>
      <c r="J281" s="14">
        <v>0.0</v>
      </c>
    </row>
    <row r="282">
      <c r="A282" s="22" t="s">
        <v>235</v>
      </c>
      <c r="B282" s="21">
        <f t="shared" si="2"/>
        <v>0</v>
      </c>
      <c r="C282" s="21" t="str">
        <f>VLOOKUP(A282, hash!A$2:B$500, 2, 0)</f>
        <v>6595c208b775f9fc5a64da66</v>
      </c>
      <c r="D282" s="23">
        <f t="shared" si="3"/>
        <v>0</v>
      </c>
      <c r="E282" s="14">
        <v>0.0</v>
      </c>
      <c r="F282" s="14">
        <v>0.0</v>
      </c>
      <c r="G282" s="14">
        <v>0.0</v>
      </c>
      <c r="H282" s="14">
        <v>0.0</v>
      </c>
      <c r="I282" s="14">
        <v>0.0</v>
      </c>
      <c r="J282" s="14">
        <v>0.0</v>
      </c>
    </row>
    <row r="283">
      <c r="A283" s="22" t="s">
        <v>236</v>
      </c>
      <c r="B283" s="21">
        <f t="shared" si="2"/>
        <v>0</v>
      </c>
      <c r="C283" s="21" t="str">
        <f>VLOOKUP(A283, hash!A$2:B$500, 2, 0)</f>
        <v>6595c23e2fa1031babec0ce3</v>
      </c>
      <c r="D283" s="23">
        <f t="shared" si="3"/>
        <v>0</v>
      </c>
      <c r="E283" s="14">
        <v>0.0</v>
      </c>
      <c r="F283" s="14">
        <v>0.0</v>
      </c>
      <c r="G283" s="14">
        <v>0.0</v>
      </c>
      <c r="H283" s="14">
        <v>0.0</v>
      </c>
      <c r="I283" s="14">
        <v>0.0</v>
      </c>
      <c r="J283" s="14">
        <v>0.0</v>
      </c>
    </row>
    <row r="284">
      <c r="A284" s="22" t="s">
        <v>237</v>
      </c>
      <c r="B284" s="21">
        <f t="shared" si="2"/>
        <v>0</v>
      </c>
      <c r="C284" s="21" t="str">
        <f>VLOOKUP(A284, hash!A$2:B$500, 2, 0)</f>
        <v>6595c391cd5b972b6b680d1b</v>
      </c>
      <c r="D284" s="23">
        <f t="shared" si="3"/>
        <v>0</v>
      </c>
      <c r="E284" s="14">
        <v>0.0</v>
      </c>
      <c r="F284" s="14">
        <v>0.0</v>
      </c>
      <c r="G284" s="14">
        <v>0.0</v>
      </c>
      <c r="H284" s="14">
        <v>0.0</v>
      </c>
      <c r="I284" s="14">
        <v>0.0</v>
      </c>
      <c r="J284" s="14">
        <v>0.0</v>
      </c>
    </row>
    <row r="285">
      <c r="A285" s="22" t="s">
        <v>238</v>
      </c>
      <c r="B285" s="21">
        <f t="shared" si="2"/>
        <v>0</v>
      </c>
      <c r="C285" s="21" t="str">
        <f>VLOOKUP(A285, hash!A$2:B$500, 2, 0)</f>
        <v>65ba9f33f33e907d7c81d87a</v>
      </c>
      <c r="D285" s="23">
        <f t="shared" si="3"/>
        <v>0</v>
      </c>
      <c r="E285" s="14">
        <v>0.0</v>
      </c>
      <c r="F285" s="14">
        <v>0.0</v>
      </c>
      <c r="G285" s="14">
        <v>0.0</v>
      </c>
      <c r="H285" s="14">
        <v>0.0</v>
      </c>
      <c r="I285" s="14">
        <v>0.0</v>
      </c>
      <c r="J285" s="14">
        <v>0.0</v>
      </c>
    </row>
    <row r="286">
      <c r="A286" s="22" t="s">
        <v>239</v>
      </c>
      <c r="B286" s="21">
        <f t="shared" si="2"/>
        <v>0</v>
      </c>
      <c r="C286" s="21" t="str">
        <f>VLOOKUP(A286, hash!A$2:B$500, 2, 0)</f>
        <v>65baa01d2b367c7ed72fe8b9</v>
      </c>
      <c r="D286" s="23">
        <f t="shared" si="3"/>
        <v>0</v>
      </c>
      <c r="E286" s="14">
        <v>0.0</v>
      </c>
      <c r="F286" s="14">
        <v>0.0</v>
      </c>
      <c r="G286" s="14">
        <v>0.0</v>
      </c>
      <c r="H286" s="14">
        <v>0.0</v>
      </c>
      <c r="I286" s="14">
        <v>0.0</v>
      </c>
      <c r="J286" s="14">
        <v>0.0</v>
      </c>
    </row>
    <row r="287">
      <c r="A287" s="22" t="s">
        <v>240</v>
      </c>
      <c r="B287" s="21">
        <f t="shared" si="2"/>
        <v>0</v>
      </c>
      <c r="C287" s="21" t="str">
        <f>VLOOKUP(A287, hash!A$2:B$500, 2, 0)</f>
        <v>65baa01e2b367c7ed72fe8bb</v>
      </c>
      <c r="D287" s="23">
        <f t="shared" si="3"/>
        <v>0</v>
      </c>
      <c r="E287" s="14">
        <v>0.0</v>
      </c>
      <c r="F287" s="14">
        <v>0.0</v>
      </c>
      <c r="G287" s="14">
        <v>0.0</v>
      </c>
      <c r="H287" s="14">
        <v>0.0</v>
      </c>
      <c r="I287" s="14">
        <v>0.0</v>
      </c>
      <c r="J287" s="14">
        <v>0.0</v>
      </c>
    </row>
    <row r="288">
      <c r="A288" s="22" t="s">
        <v>241</v>
      </c>
      <c r="B288" s="21">
        <f t="shared" si="2"/>
        <v>0</v>
      </c>
      <c r="C288" s="21" t="str">
        <f>VLOOKUP(A288, hash!A$2:B$500, 2, 0)</f>
        <v>65baa03da330104d5ca80be5</v>
      </c>
      <c r="D288" s="23">
        <f t="shared" si="3"/>
        <v>0</v>
      </c>
      <c r="E288" s="14">
        <v>0.0</v>
      </c>
      <c r="F288" s="14">
        <v>0.0</v>
      </c>
      <c r="G288" s="14">
        <v>0.0</v>
      </c>
      <c r="H288" s="14">
        <v>0.0</v>
      </c>
      <c r="I288" s="14">
        <v>0.0</v>
      </c>
      <c r="J288" s="14">
        <v>0.0</v>
      </c>
    </row>
    <row r="289">
      <c r="A289" s="22" t="s">
        <v>242</v>
      </c>
      <c r="B289" s="21">
        <f t="shared" si="2"/>
        <v>0</v>
      </c>
      <c r="C289" s="21" t="str">
        <f>VLOOKUP(A289, hash!A$2:B$500, 2, 0)</f>
        <v>65baadabac6fa639d08b8070</v>
      </c>
      <c r="D289" s="23">
        <f t="shared" si="3"/>
        <v>0</v>
      </c>
      <c r="E289" s="14">
        <v>0.0</v>
      </c>
      <c r="F289" s="14">
        <v>0.0</v>
      </c>
      <c r="G289" s="14">
        <v>0.0</v>
      </c>
      <c r="H289" s="14">
        <v>0.0</v>
      </c>
      <c r="I289" s="14">
        <v>0.0</v>
      </c>
      <c r="J289" s="14">
        <v>0.0</v>
      </c>
    </row>
    <row r="290">
      <c r="A290" s="22" t="s">
        <v>243</v>
      </c>
      <c r="B290" s="21">
        <f t="shared" si="2"/>
        <v>0</v>
      </c>
      <c r="C290" s="21" t="str">
        <f>VLOOKUP(A290, hash!A$2:B$500, 2, 0)</f>
        <v>65baadd90004ffbc54b03ece</v>
      </c>
      <c r="D290" s="23">
        <f t="shared" si="3"/>
        <v>0</v>
      </c>
      <c r="E290" s="14">
        <v>0.0</v>
      </c>
      <c r="F290" s="14">
        <v>0.0</v>
      </c>
      <c r="G290" s="14">
        <v>0.0</v>
      </c>
      <c r="H290" s="14">
        <v>0.0</v>
      </c>
      <c r="I290" s="14">
        <v>0.0</v>
      </c>
      <c r="J290" s="14">
        <v>0.0</v>
      </c>
    </row>
    <row r="291">
      <c r="A291" s="22" t="s">
        <v>244</v>
      </c>
      <c r="B291" s="21">
        <f t="shared" si="2"/>
        <v>0</v>
      </c>
      <c r="C291" s="21" t="str">
        <f>VLOOKUP(A291, hash!A$2:B$500, 2, 0)</f>
        <v>65baadf10004ffbc54b03ed0</v>
      </c>
      <c r="D291" s="23">
        <f t="shared" si="3"/>
        <v>0</v>
      </c>
      <c r="E291" s="14">
        <v>0.0</v>
      </c>
      <c r="F291" s="14">
        <v>0.0</v>
      </c>
      <c r="G291" s="14">
        <v>0.0</v>
      </c>
      <c r="H291" s="14">
        <v>0.0</v>
      </c>
      <c r="I291" s="14">
        <v>0.0</v>
      </c>
      <c r="J291" s="14">
        <v>0.0</v>
      </c>
    </row>
    <row r="292">
      <c r="A292" s="22" t="s">
        <v>245</v>
      </c>
      <c r="B292" s="21">
        <f t="shared" si="2"/>
        <v>0</v>
      </c>
      <c r="C292" s="21" t="str">
        <f>VLOOKUP(A292, hash!A$2:B$500, 2, 0)</f>
        <v>65bab1380004ffbc54b03ee7</v>
      </c>
      <c r="D292" s="23">
        <f t="shared" si="3"/>
        <v>0</v>
      </c>
      <c r="E292" s="14">
        <v>0.0</v>
      </c>
      <c r="F292" s="14">
        <v>0.0</v>
      </c>
      <c r="G292" s="14">
        <v>0.0</v>
      </c>
      <c r="H292" s="14">
        <v>0.0</v>
      </c>
      <c r="I292" s="14">
        <v>0.0</v>
      </c>
      <c r="J292" s="14">
        <v>0.0</v>
      </c>
    </row>
    <row r="293">
      <c r="A293" s="22" t="s">
        <v>246</v>
      </c>
      <c r="B293" s="21">
        <f t="shared" si="2"/>
        <v>0</v>
      </c>
      <c r="C293" s="21" t="str">
        <f>VLOOKUP(A293, hash!A$2:B$500, 2, 0)</f>
        <v>65bab52de7bd7da7ace0d1c3</v>
      </c>
      <c r="D293" s="23">
        <f t="shared" si="3"/>
        <v>0</v>
      </c>
      <c r="E293" s="14">
        <v>0.0</v>
      </c>
      <c r="F293" s="14">
        <v>0.0</v>
      </c>
      <c r="G293" s="14">
        <v>0.0</v>
      </c>
      <c r="H293" s="14">
        <v>0.0</v>
      </c>
      <c r="I293" s="14">
        <v>0.0</v>
      </c>
      <c r="J293" s="14">
        <v>0.0</v>
      </c>
    </row>
    <row r="294">
      <c r="A294" s="22" t="s">
        <v>247</v>
      </c>
      <c r="B294" s="21">
        <f t="shared" si="2"/>
        <v>0</v>
      </c>
      <c r="C294" s="21" t="str">
        <f>VLOOKUP(A294, hash!A$2:B$500, 2, 0)</f>
        <v>65bb2c752930129875dd966e</v>
      </c>
      <c r="D294" s="23">
        <f t="shared" si="3"/>
        <v>0</v>
      </c>
      <c r="E294" s="14">
        <v>0.0</v>
      </c>
      <c r="F294" s="14">
        <v>0.0</v>
      </c>
      <c r="G294" s="14">
        <v>0.0</v>
      </c>
      <c r="H294" s="14">
        <v>0.0</v>
      </c>
      <c r="I294" s="14">
        <v>0.0</v>
      </c>
      <c r="J294" s="14">
        <v>0.0</v>
      </c>
    </row>
    <row r="295">
      <c r="A295" s="22" t="s">
        <v>248</v>
      </c>
      <c r="B295" s="21">
        <f t="shared" si="2"/>
        <v>0</v>
      </c>
      <c r="C295" s="21" t="str">
        <f>VLOOKUP(A295, hash!A$2:B$500, 2, 0)</f>
        <v>65c3d9c7d68ebf8c5aaf9473</v>
      </c>
      <c r="D295" s="23">
        <f t="shared" si="3"/>
        <v>0</v>
      </c>
      <c r="E295" s="14">
        <v>0.0</v>
      </c>
      <c r="F295" s="14">
        <v>0.0</v>
      </c>
      <c r="G295" s="14">
        <v>0.0</v>
      </c>
      <c r="H295" s="14">
        <v>0.0</v>
      </c>
      <c r="I295" s="14">
        <v>0.0</v>
      </c>
      <c r="J295" s="14">
        <v>0.0</v>
      </c>
    </row>
    <row r="296">
      <c r="A296" s="22" t="s">
        <v>249</v>
      </c>
      <c r="B296" s="21">
        <f t="shared" si="2"/>
        <v>0</v>
      </c>
      <c r="C296" s="21" t="str">
        <f>VLOOKUP(A296, hash!A$2:B$500, 2, 0)</f>
        <v>65c3db43dc2e959b628fb2d3</v>
      </c>
      <c r="D296" s="23">
        <f t="shared" si="3"/>
        <v>0</v>
      </c>
      <c r="E296" s="14">
        <v>0.0</v>
      </c>
      <c r="F296" s="14">
        <v>0.0</v>
      </c>
      <c r="G296" s="14">
        <v>0.0</v>
      </c>
      <c r="H296" s="14">
        <v>0.0</v>
      </c>
      <c r="I296" s="14">
        <v>0.0</v>
      </c>
      <c r="J296" s="14">
        <v>0.0</v>
      </c>
    </row>
    <row r="297">
      <c r="A297" s="22" t="s">
        <v>250</v>
      </c>
      <c r="B297" s="21">
        <f t="shared" si="2"/>
        <v>0</v>
      </c>
      <c r="C297" s="21" t="str">
        <f>VLOOKUP(A297, hash!A$2:B$500, 2, 0)</f>
        <v>65c3e17176cb308ec1a40c91</v>
      </c>
      <c r="D297" s="23">
        <f t="shared" si="3"/>
        <v>0</v>
      </c>
      <c r="E297" s="14">
        <v>0.0</v>
      </c>
      <c r="F297" s="14">
        <v>0.0</v>
      </c>
      <c r="G297" s="14">
        <v>0.0</v>
      </c>
      <c r="H297" s="14">
        <v>0.0</v>
      </c>
      <c r="I297" s="14">
        <v>0.0</v>
      </c>
      <c r="J297" s="14">
        <v>0.0</v>
      </c>
    </row>
    <row r="298">
      <c r="A298" s="22" t="s">
        <v>251</v>
      </c>
      <c r="B298" s="21">
        <f t="shared" si="2"/>
        <v>0</v>
      </c>
      <c r="C298" s="21" t="str">
        <f>VLOOKUP(A298, hash!A$2:B$500, 2, 0)</f>
        <v>65c3e474f24067cac00a6560</v>
      </c>
      <c r="D298" s="23">
        <f t="shared" si="3"/>
        <v>0</v>
      </c>
      <c r="E298" s="14">
        <v>0.0</v>
      </c>
      <c r="F298" s="14">
        <v>0.0</v>
      </c>
      <c r="G298" s="14">
        <v>0.0</v>
      </c>
      <c r="H298" s="14">
        <v>0.0</v>
      </c>
      <c r="I298" s="14">
        <v>0.0</v>
      </c>
      <c r="J298" s="14">
        <v>0.0</v>
      </c>
    </row>
    <row r="299">
      <c r="A299" s="22" t="s">
        <v>252</v>
      </c>
      <c r="B299" s="21">
        <f t="shared" si="2"/>
        <v>0</v>
      </c>
      <c r="C299" s="21" t="str">
        <f>VLOOKUP(A299, hash!A$2:B$500, 2, 0)</f>
        <v>65c3e7519c89c663f1bf9f3a</v>
      </c>
      <c r="D299" s="23">
        <f t="shared" si="3"/>
        <v>0</v>
      </c>
      <c r="E299" s="14">
        <v>0.0</v>
      </c>
      <c r="F299" s="14">
        <v>0.0</v>
      </c>
      <c r="G299" s="14">
        <v>0.0</v>
      </c>
      <c r="H299" s="14">
        <v>0.0</v>
      </c>
      <c r="I299" s="14">
        <v>0.0</v>
      </c>
      <c r="J299" s="14">
        <v>0.0</v>
      </c>
    </row>
    <row r="300">
      <c r="A300" s="22" t="s">
        <v>253</v>
      </c>
      <c r="B300" s="21">
        <f t="shared" si="2"/>
        <v>0</v>
      </c>
      <c r="C300" s="21" t="str">
        <f>VLOOKUP(A300, hash!A$2:B$500, 2, 0)</f>
        <v>65c404d5adbf166dfd681f4c</v>
      </c>
      <c r="D300" s="23">
        <f t="shared" si="3"/>
        <v>0</v>
      </c>
      <c r="E300" s="14">
        <v>0.0</v>
      </c>
      <c r="F300" s="14">
        <v>0.0</v>
      </c>
      <c r="G300" s="14">
        <v>0.0</v>
      </c>
      <c r="H300" s="14">
        <v>0.0</v>
      </c>
      <c r="I300" s="14">
        <v>0.0</v>
      </c>
      <c r="J300" s="14">
        <v>0.0</v>
      </c>
    </row>
    <row r="301">
      <c r="A301" s="22" t="s">
        <v>254</v>
      </c>
      <c r="B301" s="21">
        <f t="shared" si="2"/>
        <v>0</v>
      </c>
      <c r="C301" s="21" t="str">
        <f>VLOOKUP(A301, hash!A$2:B$500, 2, 0)</f>
        <v>65c452c7bdf2b49b06b9f1e8</v>
      </c>
      <c r="D301" s="23">
        <f t="shared" si="3"/>
        <v>0</v>
      </c>
      <c r="E301" s="14">
        <v>0.0</v>
      </c>
      <c r="F301" s="14">
        <v>0.0</v>
      </c>
      <c r="G301" s="14">
        <v>0.0</v>
      </c>
      <c r="H301" s="14">
        <v>0.0</v>
      </c>
      <c r="I301" s="14">
        <v>0.0</v>
      </c>
      <c r="J301" s="14">
        <v>0.0</v>
      </c>
    </row>
    <row r="302">
      <c r="A302" s="22" t="s">
        <v>255</v>
      </c>
      <c r="B302" s="21">
        <f t="shared" si="2"/>
        <v>0</v>
      </c>
      <c r="C302" s="21" t="str">
        <f>VLOOKUP(A302, hash!A$2:B$500, 2, 0)</f>
        <v>65cd13d251407ce2e1c4e690</v>
      </c>
      <c r="D302" s="23">
        <f t="shared" si="3"/>
        <v>0</v>
      </c>
      <c r="E302" s="14">
        <v>0.0</v>
      </c>
      <c r="F302" s="14">
        <v>0.0</v>
      </c>
      <c r="G302" s="14">
        <v>0.0</v>
      </c>
      <c r="H302" s="14">
        <v>0.0</v>
      </c>
      <c r="I302" s="14">
        <v>0.0</v>
      </c>
      <c r="J302" s="14">
        <v>0.0</v>
      </c>
    </row>
    <row r="303">
      <c r="A303" s="22" t="s">
        <v>256</v>
      </c>
      <c r="B303" s="21">
        <f t="shared" si="2"/>
        <v>0</v>
      </c>
      <c r="C303" s="21" t="str">
        <f>VLOOKUP(A303, hash!A$2:B$500, 2, 0)</f>
        <v>65cd13f6adf37a1fed1cd455</v>
      </c>
      <c r="D303" s="23">
        <f t="shared" si="3"/>
        <v>0</v>
      </c>
      <c r="E303" s="14">
        <v>0.0</v>
      </c>
      <c r="F303" s="14">
        <v>0.0</v>
      </c>
      <c r="G303" s="14">
        <v>0.0</v>
      </c>
      <c r="H303" s="14">
        <v>0.0</v>
      </c>
      <c r="I303" s="14">
        <v>0.0</v>
      </c>
      <c r="J303" s="14">
        <v>0.0</v>
      </c>
    </row>
    <row r="304">
      <c r="A304" s="22" t="s">
        <v>257</v>
      </c>
      <c r="B304" s="21">
        <f t="shared" si="2"/>
        <v>0</v>
      </c>
      <c r="C304" s="21" t="str">
        <f>VLOOKUP(A304, hash!A$2:B$500, 2, 0)</f>
        <v>65cd2a48c6e20b3c3d4798b8</v>
      </c>
      <c r="D304" s="23">
        <f t="shared" si="3"/>
        <v>0</v>
      </c>
      <c r="E304" s="14">
        <v>0.0</v>
      </c>
      <c r="F304" s="14">
        <v>0.0</v>
      </c>
      <c r="G304" s="14">
        <v>0.0</v>
      </c>
      <c r="H304" s="14">
        <v>0.0</v>
      </c>
      <c r="I304" s="14">
        <v>0.0</v>
      </c>
      <c r="J304" s="14">
        <v>0.0</v>
      </c>
    </row>
    <row r="305">
      <c r="A305" s="22" t="s">
        <v>258</v>
      </c>
      <c r="B305" s="21">
        <f t="shared" si="2"/>
        <v>0</v>
      </c>
      <c r="C305" s="21" t="str">
        <f>VLOOKUP(A305, hash!A$2:B$500, 2, 0)</f>
        <v>65d65a5fe2aa0ab4944e133f</v>
      </c>
      <c r="D305" s="23">
        <f t="shared" si="3"/>
        <v>0</v>
      </c>
      <c r="E305" s="14">
        <v>0.0</v>
      </c>
      <c r="F305" s="14">
        <v>0.0</v>
      </c>
      <c r="G305" s="14">
        <v>0.0</v>
      </c>
      <c r="H305" s="14">
        <v>0.0</v>
      </c>
      <c r="I305" s="14">
        <v>0.0</v>
      </c>
      <c r="J305" s="14">
        <v>0.0</v>
      </c>
    </row>
    <row r="306">
      <c r="A306" s="22" t="s">
        <v>259</v>
      </c>
      <c r="B306" s="21">
        <f t="shared" si="2"/>
        <v>0</v>
      </c>
      <c r="C306" s="21" t="str">
        <f>VLOOKUP(A306, hash!A$2:B$500, 2, 0)</f>
        <v>65d65b94ec98c933c1065a3c</v>
      </c>
      <c r="D306" s="23">
        <f t="shared" si="3"/>
        <v>0</v>
      </c>
      <c r="E306" s="14">
        <v>0.0</v>
      </c>
      <c r="F306" s="14">
        <v>0.0</v>
      </c>
      <c r="G306" s="14">
        <v>0.0</v>
      </c>
      <c r="H306" s="14">
        <v>0.0</v>
      </c>
      <c r="I306" s="14">
        <v>0.0</v>
      </c>
      <c r="J306" s="14">
        <v>0.0</v>
      </c>
    </row>
    <row r="307">
      <c r="A307" s="22" t="s">
        <v>260</v>
      </c>
      <c r="B307" s="21">
        <f t="shared" si="2"/>
        <v>0</v>
      </c>
      <c r="C307" s="21" t="str">
        <f>VLOOKUP(A307, hash!A$2:B$500, 2, 0)</f>
        <v>65d65bdbec98c933c1065a41</v>
      </c>
      <c r="D307" s="23">
        <f t="shared" si="3"/>
        <v>0</v>
      </c>
      <c r="E307" s="14">
        <v>0.0</v>
      </c>
      <c r="F307" s="14">
        <v>0.0</v>
      </c>
      <c r="G307" s="14">
        <v>0.0</v>
      </c>
      <c r="H307" s="14">
        <v>0.0</v>
      </c>
      <c r="I307" s="14">
        <v>0.0</v>
      </c>
      <c r="J307" s="14">
        <v>0.0</v>
      </c>
    </row>
    <row r="308">
      <c r="A308" s="22" t="s">
        <v>261</v>
      </c>
      <c r="B308" s="21">
        <f t="shared" si="2"/>
        <v>0</v>
      </c>
      <c r="C308" s="21" t="str">
        <f>VLOOKUP(A308, hash!A$2:B$500, 2, 0)</f>
        <v>65d65beaec98c933c1065a42</v>
      </c>
      <c r="D308" s="23">
        <f t="shared" si="3"/>
        <v>0</v>
      </c>
      <c r="E308" s="14">
        <v>0.0</v>
      </c>
      <c r="F308" s="14">
        <v>0.0</v>
      </c>
      <c r="G308" s="14">
        <v>0.0</v>
      </c>
      <c r="H308" s="14">
        <v>0.0</v>
      </c>
      <c r="I308" s="14">
        <v>0.0</v>
      </c>
      <c r="J308" s="14">
        <v>0.0</v>
      </c>
    </row>
    <row r="309">
      <c r="A309" s="22" t="s">
        <v>262</v>
      </c>
      <c r="B309" s="21">
        <f t="shared" si="2"/>
        <v>0</v>
      </c>
      <c r="C309" s="21" t="str">
        <f>VLOOKUP(A309, hash!A$2:B$500, 2, 0)</f>
        <v>65d65befec98c933c1065a43</v>
      </c>
      <c r="D309" s="23">
        <f t="shared" si="3"/>
        <v>0</v>
      </c>
      <c r="E309" s="14">
        <v>0.0</v>
      </c>
      <c r="F309" s="14">
        <v>0.0</v>
      </c>
      <c r="G309" s="14">
        <v>0.0</v>
      </c>
      <c r="H309" s="14">
        <v>0.0</v>
      </c>
      <c r="I309" s="14">
        <v>0.0</v>
      </c>
      <c r="J309" s="14">
        <v>0.0</v>
      </c>
    </row>
    <row r="310">
      <c r="A310" s="22" t="s">
        <v>263</v>
      </c>
      <c r="B310" s="21">
        <f t="shared" si="2"/>
        <v>0</v>
      </c>
      <c r="C310" s="21" t="str">
        <f>VLOOKUP(A310, hash!A$2:B$500, 2, 0)</f>
        <v>65fb2f31f305810d3c392009</v>
      </c>
      <c r="D310" s="23">
        <f t="shared" si="3"/>
        <v>0</v>
      </c>
      <c r="E310" s="14">
        <v>0.0</v>
      </c>
      <c r="F310" s="14">
        <v>0.0</v>
      </c>
      <c r="G310" s="14">
        <v>0.0</v>
      </c>
      <c r="H310" s="14">
        <v>0.0</v>
      </c>
      <c r="I310" s="14">
        <v>0.0</v>
      </c>
      <c r="J310" s="14">
        <v>0.0</v>
      </c>
    </row>
    <row r="311">
      <c r="A311" s="22" t="s">
        <v>264</v>
      </c>
      <c r="B311" s="21">
        <f t="shared" si="2"/>
        <v>0</v>
      </c>
      <c r="C311" s="21" t="str">
        <f>VLOOKUP(A311, hash!A$2:B$500, 2, 0)</f>
        <v>661437cbd0884a240a6505ae</v>
      </c>
      <c r="D311" s="23">
        <f t="shared" si="3"/>
        <v>0</v>
      </c>
      <c r="E311" s="14">
        <v>0.0</v>
      </c>
      <c r="F311" s="14">
        <v>0.0</v>
      </c>
      <c r="G311" s="14">
        <v>0.0</v>
      </c>
      <c r="H311" s="14">
        <v>0.0</v>
      </c>
      <c r="I311" s="14">
        <v>0.0</v>
      </c>
      <c r="J311" s="14">
        <v>0.0</v>
      </c>
    </row>
    <row r="312">
      <c r="A312" s="22" t="s">
        <v>265</v>
      </c>
      <c r="B312" s="21">
        <f t="shared" si="2"/>
        <v>0</v>
      </c>
      <c r="C312" s="21" t="str">
        <f>VLOOKUP(A312, hash!A$2:B$500, 2, 0)</f>
        <v>66144853927e0e420e0cbc96</v>
      </c>
      <c r="D312" s="23">
        <f t="shared" si="3"/>
        <v>0</v>
      </c>
      <c r="E312" s="14">
        <v>0.0</v>
      </c>
      <c r="F312" s="14">
        <v>0.0</v>
      </c>
      <c r="G312" s="14">
        <v>0.0</v>
      </c>
      <c r="H312" s="14">
        <v>0.0</v>
      </c>
      <c r="I312" s="14">
        <v>0.0</v>
      </c>
      <c r="J312" s="14">
        <v>0.0</v>
      </c>
    </row>
    <row r="313">
      <c r="A313" s="22" t="s">
        <v>266</v>
      </c>
      <c r="B313" s="21">
        <f t="shared" si="2"/>
        <v>0</v>
      </c>
      <c r="C313" s="21" t="str">
        <f>VLOOKUP(A313, hash!A$2:B$500, 2, 0)</f>
        <v>6614485b927e0e420e0cbc97</v>
      </c>
      <c r="D313" s="23">
        <f t="shared" si="3"/>
        <v>0</v>
      </c>
      <c r="E313" s="14">
        <v>0.0</v>
      </c>
      <c r="F313" s="14">
        <v>0.0</v>
      </c>
      <c r="G313" s="14">
        <v>0.0</v>
      </c>
      <c r="H313" s="14">
        <v>0.0</v>
      </c>
      <c r="I313" s="14">
        <v>0.0</v>
      </c>
      <c r="J313" s="14">
        <v>0.0</v>
      </c>
    </row>
    <row r="314">
      <c r="A314" s="22" t="s">
        <v>267</v>
      </c>
      <c r="B314" s="21">
        <f t="shared" si="2"/>
        <v>0</v>
      </c>
      <c r="C314" s="21" t="str">
        <f>VLOOKUP(A314, hash!A$2:B$500, 2, 0)</f>
        <v>6614485f927e0e420e0cbc99</v>
      </c>
      <c r="D314" s="23">
        <f t="shared" si="3"/>
        <v>0</v>
      </c>
      <c r="E314" s="14">
        <v>0.0</v>
      </c>
      <c r="F314" s="14">
        <v>0.0</v>
      </c>
      <c r="G314" s="14">
        <v>0.0</v>
      </c>
      <c r="H314" s="14">
        <v>0.0</v>
      </c>
      <c r="I314" s="14">
        <v>0.0</v>
      </c>
      <c r="J314" s="14">
        <v>0.0</v>
      </c>
    </row>
    <row r="315">
      <c r="A315" s="22" t="s">
        <v>268</v>
      </c>
      <c r="B315" s="21">
        <f t="shared" si="2"/>
        <v>0</v>
      </c>
      <c r="C315" s="21" t="str">
        <f>VLOOKUP(A315, hash!A$2:B$500, 2, 0)</f>
        <v>662950e951eb7e9e714289d0</v>
      </c>
      <c r="D315" s="23">
        <f t="shared" si="3"/>
        <v>0</v>
      </c>
      <c r="E315" s="14">
        <v>0.0</v>
      </c>
      <c r="F315" s="14">
        <v>0.0</v>
      </c>
      <c r="G315" s="14">
        <v>0.0</v>
      </c>
      <c r="H315" s="14">
        <v>0.0</v>
      </c>
      <c r="I315" s="14">
        <v>0.0</v>
      </c>
      <c r="J315" s="14">
        <v>0.0</v>
      </c>
    </row>
    <row r="316">
      <c r="A316" s="22" t="s">
        <v>269</v>
      </c>
      <c r="B316" s="21">
        <f t="shared" si="2"/>
        <v>0</v>
      </c>
      <c r="C316" s="21" t="str">
        <f>VLOOKUP(A316, hash!A$2:B$500, 2, 0)</f>
        <v>66328a4fa55f727a8c1b9f8b</v>
      </c>
      <c r="D316" s="23">
        <f t="shared" si="3"/>
        <v>0</v>
      </c>
      <c r="E316" s="14">
        <v>0.0</v>
      </c>
      <c r="F316" s="14">
        <v>0.0</v>
      </c>
      <c r="G316" s="14">
        <v>0.0</v>
      </c>
      <c r="H316" s="14">
        <v>0.0</v>
      </c>
      <c r="I316" s="14">
        <v>0.0</v>
      </c>
      <c r="J316" s="14">
        <v>0.0</v>
      </c>
    </row>
    <row r="317">
      <c r="A317" s="22" t="s">
        <v>270</v>
      </c>
      <c r="B317" s="21">
        <f t="shared" si="2"/>
        <v>0</v>
      </c>
      <c r="C317" s="21" t="str">
        <f>VLOOKUP(A317, hash!A$2:B$500, 2, 0)</f>
        <v>66328a501875b701f3af072f</v>
      </c>
      <c r="D317" s="23">
        <f t="shared" si="3"/>
        <v>0</v>
      </c>
      <c r="E317" s="14">
        <v>0.0</v>
      </c>
      <c r="F317" s="14">
        <v>0.0</v>
      </c>
      <c r="G317" s="14">
        <v>0.0</v>
      </c>
      <c r="H317" s="14">
        <v>0.0</v>
      </c>
      <c r="I317" s="14">
        <v>0.0</v>
      </c>
      <c r="J317" s="14">
        <v>0.0</v>
      </c>
    </row>
    <row r="318">
      <c r="A318" s="22" t="s">
        <v>271</v>
      </c>
      <c r="B318" s="21">
        <f t="shared" si="2"/>
        <v>0</v>
      </c>
      <c r="C318" s="21" t="str">
        <f>VLOOKUP(A318, hash!A$2:B$500, 2, 0)</f>
        <v>663a810cfd55cc6d42fc3373</v>
      </c>
      <c r="D318" s="23">
        <f t="shared" si="3"/>
        <v>0</v>
      </c>
      <c r="E318" s="14">
        <v>0.0</v>
      </c>
      <c r="F318" s="14">
        <v>0.0</v>
      </c>
      <c r="G318" s="14">
        <v>0.0</v>
      </c>
      <c r="H318" s="14">
        <v>0.0</v>
      </c>
      <c r="I318" s="14">
        <v>0.0</v>
      </c>
      <c r="J318" s="14">
        <v>0.0</v>
      </c>
    </row>
    <row r="319">
      <c r="A319" s="22" t="s">
        <v>272</v>
      </c>
      <c r="B319" s="21">
        <f t="shared" si="2"/>
        <v>0</v>
      </c>
      <c r="C319" s="21" t="str">
        <f>VLOOKUP(A319, hash!A$2:B$500, 2, 0)</f>
        <v>66450a83df126c7d8f1e547c</v>
      </c>
      <c r="D319" s="23">
        <f t="shared" si="3"/>
        <v>0</v>
      </c>
      <c r="E319" s="14">
        <v>0.0</v>
      </c>
      <c r="F319" s="14">
        <v>0.0</v>
      </c>
      <c r="G319" s="14">
        <v>0.0</v>
      </c>
      <c r="H319" s="14">
        <v>0.0</v>
      </c>
      <c r="I319" s="14">
        <v>0.0</v>
      </c>
      <c r="J319" s="14">
        <v>0.0</v>
      </c>
    </row>
    <row r="320">
      <c r="A320" s="22" t="s">
        <v>273</v>
      </c>
      <c r="B320" s="21">
        <f t="shared" si="2"/>
        <v>0</v>
      </c>
      <c r="C320" s="21" t="str">
        <f>VLOOKUP(A320, hash!A$2:B$500, 2, 0)</f>
        <v>664e3a49317dec867b3ddb30</v>
      </c>
      <c r="D320" s="23">
        <f t="shared" si="3"/>
        <v>0</v>
      </c>
      <c r="E320" s="14">
        <v>0.0</v>
      </c>
      <c r="F320" s="14">
        <v>0.0</v>
      </c>
      <c r="G320" s="14">
        <v>0.0</v>
      </c>
      <c r="H320" s="14">
        <v>0.0</v>
      </c>
      <c r="I320" s="14">
        <v>0.0</v>
      </c>
      <c r="J320" s="14">
        <v>0.0</v>
      </c>
    </row>
    <row r="321">
      <c r="A321" s="22" t="s">
        <v>274</v>
      </c>
      <c r="B321" s="21">
        <f t="shared" si="2"/>
        <v>0</v>
      </c>
      <c r="C321" s="21" t="str">
        <f>VLOOKUP(A321, hash!A$2:B$500, 2, 0)</f>
        <v>664e45f07cadce18e9e94600</v>
      </c>
      <c r="D321" s="23">
        <f t="shared" si="3"/>
        <v>0</v>
      </c>
      <c r="E321" s="14">
        <v>0.0</v>
      </c>
      <c r="F321" s="14">
        <v>0.0</v>
      </c>
      <c r="G321" s="14">
        <v>0.0</v>
      </c>
      <c r="H321" s="14">
        <v>0.0</v>
      </c>
      <c r="I321" s="14">
        <v>0.0</v>
      </c>
      <c r="J321" s="14">
        <v>0.0</v>
      </c>
    </row>
    <row r="322">
      <c r="A322" s="22" t="s">
        <v>275</v>
      </c>
      <c r="B322" s="21">
        <f t="shared" si="2"/>
        <v>0</v>
      </c>
      <c r="C322" s="21" t="str">
        <f>VLOOKUP(A322, hash!A$2:B$500, 2, 0)</f>
        <v>665773d4af4d86d206115ffb</v>
      </c>
      <c r="D322" s="23">
        <f t="shared" si="3"/>
        <v>0</v>
      </c>
      <c r="E322" s="14">
        <v>0.0</v>
      </c>
      <c r="F322" s="14">
        <v>0.0</v>
      </c>
      <c r="G322" s="14">
        <v>0.0</v>
      </c>
      <c r="H322" s="14">
        <v>0.0</v>
      </c>
      <c r="I322" s="14">
        <v>0.0</v>
      </c>
      <c r="J322" s="14">
        <v>0.0</v>
      </c>
    </row>
    <row r="323">
      <c r="A323" s="22" t="s">
        <v>276</v>
      </c>
      <c r="B323" s="21">
        <f t="shared" si="2"/>
        <v>0</v>
      </c>
      <c r="C323" s="21" t="str">
        <f>VLOOKUP(A323, hash!A$2:B$500, 2, 0)</f>
        <v>66cac517e3728ef7a173d5b4</v>
      </c>
      <c r="D323" s="23">
        <f t="shared" si="3"/>
        <v>0</v>
      </c>
      <c r="E323" s="14">
        <v>0.0</v>
      </c>
      <c r="F323" s="14">
        <v>0.0</v>
      </c>
      <c r="G323" s="14">
        <v>0.0</v>
      </c>
      <c r="H323" s="14">
        <v>0.0</v>
      </c>
      <c r="I323" s="14">
        <v>0.0</v>
      </c>
      <c r="J323" s="14">
        <v>0.0</v>
      </c>
    </row>
    <row r="324">
      <c r="A324" s="22" t="s">
        <v>277</v>
      </c>
      <c r="B324" s="21">
        <f t="shared" si="2"/>
        <v>0</v>
      </c>
      <c r="C324" s="21" t="str">
        <f>VLOOKUP(A324, hash!A$2:B$500, 2, 0)</f>
        <v>66d4dfe22c49b6570be6d76d</v>
      </c>
      <c r="D324" s="23">
        <f t="shared" si="3"/>
        <v>0</v>
      </c>
      <c r="E324" s="14">
        <v>0.0</v>
      </c>
      <c r="F324" s="14">
        <v>0.0</v>
      </c>
      <c r="G324" s="14">
        <v>0.0</v>
      </c>
      <c r="H324" s="14">
        <v>0.0</v>
      </c>
      <c r="I324" s="14">
        <v>0.0</v>
      </c>
      <c r="J324" s="14">
        <v>0.0</v>
      </c>
    </row>
    <row r="325">
      <c r="A325" s="22" t="s">
        <v>278</v>
      </c>
      <c r="B325" s="21">
        <f t="shared" si="2"/>
        <v>0</v>
      </c>
      <c r="C325" s="21" t="str">
        <f>VLOOKUP(A325, hash!A$2:B$500, 2, 0)</f>
        <v>66db0378ada861be3f1186a3</v>
      </c>
      <c r="D325" s="23">
        <f t="shared" si="3"/>
        <v>0</v>
      </c>
      <c r="E325" s="14">
        <v>0.0</v>
      </c>
      <c r="F325" s="14">
        <v>0.0</v>
      </c>
      <c r="G325" s="14">
        <v>0.0</v>
      </c>
      <c r="H325" s="14">
        <v>0.0</v>
      </c>
      <c r="I325" s="14">
        <v>0.0</v>
      </c>
      <c r="J325" s="14">
        <v>0.0</v>
      </c>
    </row>
    <row r="326">
      <c r="A326" s="22" t="s">
        <v>279</v>
      </c>
      <c r="B326" s="21">
        <f t="shared" si="2"/>
        <v>0</v>
      </c>
      <c r="C326" s="21" t="str">
        <f>VLOOKUP(A326, hash!A$2:B$500, 2, 0)</f>
        <v>66dfaa6ed25069720af3c493</v>
      </c>
      <c r="D326" s="23">
        <f t="shared" si="3"/>
        <v>0</v>
      </c>
      <c r="E326" s="14">
        <v>0.0</v>
      </c>
      <c r="F326" s="14">
        <v>0.0</v>
      </c>
      <c r="G326" s="14">
        <v>0.0</v>
      </c>
      <c r="H326" s="14">
        <v>0.0</v>
      </c>
      <c r="I326" s="14">
        <v>0.0</v>
      </c>
      <c r="J326" s="14">
        <v>0.0</v>
      </c>
    </row>
    <row r="327">
      <c r="A327" s="22" t="s">
        <v>280</v>
      </c>
      <c r="B327" s="21">
        <f t="shared" si="2"/>
        <v>0</v>
      </c>
      <c r="C327" s="21" t="str">
        <f>VLOOKUP(A327, hash!A$2:B$500, 2, 0)</f>
        <v>66e1e0ef855f2a7e8fb837e2</v>
      </c>
      <c r="D327" s="23">
        <f t="shared" si="3"/>
        <v>0</v>
      </c>
      <c r="E327" s="14">
        <v>0.0</v>
      </c>
      <c r="F327" s="14">
        <v>0.0</v>
      </c>
      <c r="G327" s="14">
        <v>0.0</v>
      </c>
      <c r="H327" s="14">
        <v>0.0</v>
      </c>
      <c r="I327" s="14">
        <v>0.0</v>
      </c>
      <c r="J327" s="14">
        <v>0.0</v>
      </c>
    </row>
    <row r="328">
      <c r="A328" s="22" t="s">
        <v>281</v>
      </c>
      <c r="B328" s="21">
        <f t="shared" si="2"/>
        <v>0</v>
      </c>
      <c r="C328" s="21" t="str">
        <f>VLOOKUP(A328, hash!A$2:B$500, 2, 0)</f>
        <v>66e1e0fe855f2a7e8fb837e3</v>
      </c>
      <c r="D328" s="23">
        <f t="shared" si="3"/>
        <v>0</v>
      </c>
      <c r="E328" s="14">
        <v>0.0</v>
      </c>
      <c r="F328" s="14">
        <v>0.0</v>
      </c>
      <c r="G328" s="14">
        <v>0.0</v>
      </c>
      <c r="H328" s="14">
        <v>0.0</v>
      </c>
      <c r="I328" s="14">
        <v>0.0</v>
      </c>
      <c r="J328" s="14">
        <v>0.0</v>
      </c>
    </row>
    <row r="329">
      <c r="A329" s="22" t="s">
        <v>282</v>
      </c>
      <c r="B329" s="21">
        <f t="shared" si="2"/>
        <v>0</v>
      </c>
      <c r="C329" s="21" t="str">
        <f>VLOOKUP(A329, hash!A$2:B$500, 2, 0)</f>
        <v>66e1e105a61e89c7c68f6e30</v>
      </c>
      <c r="D329" s="23">
        <f t="shared" si="3"/>
        <v>0</v>
      </c>
      <c r="E329" s="14">
        <v>0.0</v>
      </c>
      <c r="F329" s="14">
        <v>0.0</v>
      </c>
      <c r="G329" s="14">
        <v>0.0</v>
      </c>
      <c r="H329" s="14">
        <v>0.0</v>
      </c>
      <c r="I329" s="14">
        <v>0.0</v>
      </c>
      <c r="J329" s="14">
        <v>0.0</v>
      </c>
    </row>
    <row r="330">
      <c r="A330" s="22" t="s">
        <v>60</v>
      </c>
      <c r="B330" s="21">
        <f t="shared" si="2"/>
        <v>0</v>
      </c>
      <c r="C330" s="21" t="str">
        <f>VLOOKUP(A330, hash!A$2:B$500, 2, 0)</f>
        <v>66e1e105db315cbd40043fc1</v>
      </c>
      <c r="D330" s="23">
        <f t="shared" si="3"/>
        <v>0</v>
      </c>
      <c r="E330" s="14">
        <v>0.0</v>
      </c>
      <c r="F330" s="14">
        <v>0.0</v>
      </c>
      <c r="G330" s="14">
        <v>0.0</v>
      </c>
      <c r="H330" s="14">
        <v>0.0</v>
      </c>
      <c r="I330" s="14">
        <v>0.0</v>
      </c>
      <c r="J330" s="14">
        <v>0.0</v>
      </c>
    </row>
    <row r="331">
      <c r="A331" s="22" t="s">
        <v>283</v>
      </c>
      <c r="B331" s="21">
        <f t="shared" si="2"/>
        <v>0</v>
      </c>
      <c r="C331" s="21" t="str">
        <f>VLOOKUP(A331, hash!A$2:B$500, 2, 0)</f>
        <v>66e1e10bdb315cbd40043fc3</v>
      </c>
      <c r="D331" s="23">
        <f t="shared" si="3"/>
        <v>0</v>
      </c>
      <c r="E331" s="14">
        <v>0.0</v>
      </c>
      <c r="F331" s="14">
        <v>0.0</v>
      </c>
      <c r="G331" s="14">
        <v>0.0</v>
      </c>
      <c r="H331" s="14">
        <v>0.0</v>
      </c>
      <c r="I331" s="14">
        <v>0.0</v>
      </c>
      <c r="J331" s="14">
        <v>0.0</v>
      </c>
    </row>
    <row r="332">
      <c r="A332" s="22" t="s">
        <v>89</v>
      </c>
      <c r="B332" s="21">
        <f t="shared" si="2"/>
        <v>0</v>
      </c>
      <c r="C332" s="21" t="str">
        <f>VLOOKUP(A332, hash!A$2:B$500, 2, 0)</f>
        <v>66e1e10cdb315cbd40043fc4</v>
      </c>
      <c r="D332" s="23">
        <f t="shared" si="3"/>
        <v>0</v>
      </c>
      <c r="E332" s="14">
        <v>0.0</v>
      </c>
      <c r="F332" s="14">
        <v>0.0</v>
      </c>
      <c r="G332" s="14">
        <v>0.0</v>
      </c>
      <c r="H332" s="14">
        <v>0.0</v>
      </c>
      <c r="I332" s="14">
        <v>0.0</v>
      </c>
      <c r="J332" s="14">
        <v>0.0</v>
      </c>
    </row>
    <row r="333">
      <c r="A333" s="22" t="s">
        <v>99</v>
      </c>
      <c r="B333" s="21">
        <f t="shared" si="2"/>
        <v>0</v>
      </c>
      <c r="C333" s="21" t="str">
        <f>VLOOKUP(A333, hash!A$2:B$500, 2, 0)</f>
        <v>66e1e1107315471e09f2b5b1</v>
      </c>
      <c r="D333" s="23">
        <f t="shared" si="3"/>
        <v>0</v>
      </c>
      <c r="E333" s="14">
        <v>0.0</v>
      </c>
      <c r="F333" s="14">
        <v>0.0</v>
      </c>
      <c r="G333" s="14">
        <v>0.0</v>
      </c>
      <c r="H333" s="14">
        <v>0.0</v>
      </c>
      <c r="I333" s="14">
        <v>0.0</v>
      </c>
      <c r="J333" s="14">
        <v>0.0</v>
      </c>
    </row>
    <row r="334">
      <c r="A334" s="22" t="s">
        <v>284</v>
      </c>
      <c r="B334" s="21">
        <f t="shared" si="2"/>
        <v>0</v>
      </c>
      <c r="C334" s="21" t="str">
        <f>VLOOKUP(A334, hash!A$2:B$500, 2, 0)</f>
        <v>66e1e111f0db8f5922c91d81</v>
      </c>
      <c r="D334" s="23">
        <f t="shared" si="3"/>
        <v>0</v>
      </c>
      <c r="E334" s="14">
        <v>0.0</v>
      </c>
      <c r="F334" s="14">
        <v>0.0</v>
      </c>
      <c r="G334" s="14">
        <v>0.0</v>
      </c>
      <c r="H334" s="14">
        <v>0.0</v>
      </c>
      <c r="I334" s="14">
        <v>0.0</v>
      </c>
      <c r="J334" s="14">
        <v>0.0</v>
      </c>
    </row>
    <row r="335">
      <c r="A335" s="22" t="s">
        <v>285</v>
      </c>
      <c r="B335" s="21">
        <f t="shared" si="2"/>
        <v>0</v>
      </c>
      <c r="C335" s="21" t="str">
        <f>VLOOKUP(A335, hash!A$2:B$500, 2, 0)</f>
        <v>66e1e116f0db8f5922c91d82</v>
      </c>
      <c r="D335" s="23">
        <f t="shared" si="3"/>
        <v>0</v>
      </c>
      <c r="E335" s="14">
        <v>0.0</v>
      </c>
      <c r="F335" s="14">
        <v>0.0</v>
      </c>
      <c r="G335" s="14">
        <v>0.0</v>
      </c>
      <c r="H335" s="14">
        <v>0.0</v>
      </c>
      <c r="I335" s="14">
        <v>0.0</v>
      </c>
      <c r="J335" s="14">
        <v>0.0</v>
      </c>
    </row>
    <row r="336">
      <c r="A336" s="22" t="s">
        <v>286</v>
      </c>
      <c r="B336" s="21">
        <f t="shared" si="2"/>
        <v>0</v>
      </c>
      <c r="C336" s="21" t="str">
        <f>VLOOKUP(A336, hash!A$2:B$500, 2, 0)</f>
        <v>66e1e1187a8e6dc2aed3a63d</v>
      </c>
      <c r="D336" s="23">
        <f t="shared" si="3"/>
        <v>0</v>
      </c>
      <c r="E336" s="14">
        <v>0.0</v>
      </c>
      <c r="F336" s="14">
        <v>0.0</v>
      </c>
      <c r="G336" s="14">
        <v>0.0</v>
      </c>
      <c r="H336" s="14">
        <v>0.0</v>
      </c>
      <c r="I336" s="14">
        <v>0.0</v>
      </c>
      <c r="J336" s="14">
        <v>0.0</v>
      </c>
    </row>
    <row r="337">
      <c r="A337" s="22" t="s">
        <v>287</v>
      </c>
      <c r="B337" s="21">
        <f t="shared" si="2"/>
        <v>0</v>
      </c>
      <c r="C337" s="21" t="str">
        <f>VLOOKUP(A337, hash!A$2:B$500, 2, 0)</f>
        <v>66e1e119f0db8f5922c91d83</v>
      </c>
      <c r="D337" s="23">
        <f t="shared" si="3"/>
        <v>0</v>
      </c>
      <c r="E337" s="14">
        <v>0.0</v>
      </c>
      <c r="F337" s="14">
        <v>0.0</v>
      </c>
      <c r="G337" s="14">
        <v>0.0</v>
      </c>
      <c r="H337" s="14">
        <v>0.0</v>
      </c>
      <c r="I337" s="14">
        <v>0.0</v>
      </c>
      <c r="J337" s="14">
        <v>0.0</v>
      </c>
    </row>
    <row r="338">
      <c r="A338" s="22" t="s">
        <v>288</v>
      </c>
      <c r="B338" s="21">
        <f t="shared" si="2"/>
        <v>0</v>
      </c>
      <c r="C338" s="21" t="str">
        <f>VLOOKUP(A338, hash!A$2:B$500, 2, 0)</f>
        <v>66e1e11f45950d34f313912f</v>
      </c>
      <c r="D338" s="23">
        <f t="shared" si="3"/>
        <v>0</v>
      </c>
      <c r="E338" s="14">
        <v>0.0</v>
      </c>
      <c r="F338" s="14">
        <v>0.0</v>
      </c>
      <c r="G338" s="14">
        <v>0.0</v>
      </c>
      <c r="H338" s="14">
        <v>0.0</v>
      </c>
      <c r="I338" s="14">
        <v>0.0</v>
      </c>
      <c r="J338" s="14">
        <v>0.0</v>
      </c>
    </row>
    <row r="339">
      <c r="A339" s="22" t="s">
        <v>100</v>
      </c>
      <c r="B339" s="21">
        <f t="shared" si="2"/>
        <v>0</v>
      </c>
      <c r="C339" s="21" t="str">
        <f>VLOOKUP(A339, hash!A$2:B$500, 2, 0)</f>
        <v>66e1e1207a8e6dc2aed3a63e</v>
      </c>
      <c r="D339" s="23">
        <f t="shared" si="3"/>
        <v>0</v>
      </c>
      <c r="E339" s="14">
        <v>0.0</v>
      </c>
      <c r="F339" s="14">
        <v>0.0</v>
      </c>
      <c r="G339" s="14">
        <v>0.0</v>
      </c>
      <c r="H339" s="14">
        <v>0.0</v>
      </c>
      <c r="I339" s="14">
        <v>0.0</v>
      </c>
      <c r="J339" s="14">
        <v>0.0</v>
      </c>
    </row>
    <row r="340">
      <c r="A340" s="22" t="s">
        <v>289</v>
      </c>
      <c r="B340" s="21">
        <f t="shared" si="2"/>
        <v>0</v>
      </c>
      <c r="C340" s="21" t="str">
        <f>VLOOKUP(A340, hash!A$2:B$500, 2, 0)</f>
        <v>66e1e1217a8e6dc2aed3a63f</v>
      </c>
      <c r="D340" s="23">
        <f t="shared" si="3"/>
        <v>0</v>
      </c>
      <c r="E340" s="14">
        <v>0.0</v>
      </c>
      <c r="F340" s="14">
        <v>0.0</v>
      </c>
      <c r="G340" s="14">
        <v>0.0</v>
      </c>
      <c r="H340" s="14">
        <v>0.0</v>
      </c>
      <c r="I340" s="14">
        <v>0.0</v>
      </c>
      <c r="J340" s="14">
        <v>0.0</v>
      </c>
    </row>
    <row r="341">
      <c r="A341" s="22" t="s">
        <v>290</v>
      </c>
      <c r="B341" s="21">
        <f t="shared" si="2"/>
        <v>0</v>
      </c>
      <c r="C341" s="21" t="str">
        <f>VLOOKUP(A341, hash!A$2:B$500, 2, 0)</f>
        <v>66e1e1227a8e6dc2aed3a640</v>
      </c>
      <c r="D341" s="23">
        <f t="shared" si="3"/>
        <v>0</v>
      </c>
      <c r="E341" s="14">
        <v>0.0</v>
      </c>
      <c r="F341" s="14">
        <v>0.0</v>
      </c>
      <c r="G341" s="14">
        <v>0.0</v>
      </c>
      <c r="H341" s="14">
        <v>0.0</v>
      </c>
      <c r="I341" s="14">
        <v>0.0</v>
      </c>
      <c r="J341" s="14">
        <v>0.0</v>
      </c>
    </row>
    <row r="342">
      <c r="A342" s="22" t="s">
        <v>291</v>
      </c>
      <c r="B342" s="21">
        <f t="shared" si="2"/>
        <v>0</v>
      </c>
      <c r="C342" s="21" t="str">
        <f>VLOOKUP(A342, hash!A$2:B$500, 2, 0)</f>
        <v>66e1e122e2fbdff8a0c35634</v>
      </c>
      <c r="D342" s="23">
        <f t="shared" si="3"/>
        <v>0</v>
      </c>
      <c r="E342" s="14">
        <v>0.0</v>
      </c>
      <c r="F342" s="14">
        <v>0.0</v>
      </c>
      <c r="G342" s="14">
        <v>0.0</v>
      </c>
      <c r="H342" s="14">
        <v>0.0</v>
      </c>
      <c r="I342" s="14">
        <v>0.0</v>
      </c>
      <c r="J342" s="14">
        <v>0.0</v>
      </c>
    </row>
    <row r="343">
      <c r="A343" s="22" t="s">
        <v>292</v>
      </c>
      <c r="B343" s="21">
        <f t="shared" si="2"/>
        <v>0</v>
      </c>
      <c r="C343" s="21" t="str">
        <f>VLOOKUP(A343, hash!A$2:B$500, 2, 0)</f>
        <v>66e1e1257a8e6dc2aed3a643</v>
      </c>
      <c r="D343" s="23">
        <f t="shared" si="3"/>
        <v>0</v>
      </c>
      <c r="E343" s="14">
        <v>0.0</v>
      </c>
      <c r="F343" s="14">
        <v>0.0</v>
      </c>
      <c r="G343" s="14">
        <v>0.0</v>
      </c>
      <c r="H343" s="14">
        <v>0.0</v>
      </c>
      <c r="I343" s="14">
        <v>0.0</v>
      </c>
      <c r="J343" s="14">
        <v>0.0</v>
      </c>
    </row>
    <row r="344">
      <c r="A344" s="22" t="s">
        <v>293</v>
      </c>
      <c r="B344" s="21">
        <f t="shared" si="2"/>
        <v>0</v>
      </c>
      <c r="C344" s="21" t="str">
        <f>VLOOKUP(A344, hash!A$2:B$500, 2, 0)</f>
        <v>66e1e125e2fbdff8a0c35635</v>
      </c>
      <c r="D344" s="23">
        <f t="shared" si="3"/>
        <v>0</v>
      </c>
      <c r="E344" s="14">
        <v>0.0</v>
      </c>
      <c r="F344" s="14">
        <v>0.0</v>
      </c>
      <c r="G344" s="14">
        <v>0.0</v>
      </c>
      <c r="H344" s="14">
        <v>0.0</v>
      </c>
      <c r="I344" s="14">
        <v>0.0</v>
      </c>
      <c r="J344" s="14">
        <v>0.0</v>
      </c>
    </row>
    <row r="345">
      <c r="A345" s="22" t="s">
        <v>33</v>
      </c>
      <c r="B345" s="21">
        <f t="shared" si="2"/>
        <v>1500</v>
      </c>
      <c r="C345" s="21" t="str">
        <f>VLOOKUP(A345, hash!A$2:B$500, 2, 0)</f>
        <v>66e1e126f0db8f5922c91d85</v>
      </c>
      <c r="D345" s="23">
        <f t="shared" si="3"/>
        <v>1</v>
      </c>
      <c r="E345" s="14">
        <v>0.0</v>
      </c>
      <c r="F345" s="14">
        <v>0.0</v>
      </c>
      <c r="G345" s="14">
        <v>0.0</v>
      </c>
      <c r="H345" s="14">
        <v>0.0</v>
      </c>
      <c r="I345" s="14">
        <v>0.0</v>
      </c>
      <c r="J345" s="14">
        <v>1.0</v>
      </c>
    </row>
    <row r="346">
      <c r="A346" s="22" t="s">
        <v>294</v>
      </c>
      <c r="B346" s="21">
        <f t="shared" si="2"/>
        <v>0</v>
      </c>
      <c r="C346" s="21" t="str">
        <f>VLOOKUP(A346, hash!A$2:B$500, 2, 0)</f>
        <v>66e1e127e2fbdff8a0c35636</v>
      </c>
      <c r="D346" s="23">
        <f t="shared" si="3"/>
        <v>0</v>
      </c>
      <c r="E346" s="14">
        <v>0.0</v>
      </c>
      <c r="F346" s="14">
        <v>0.0</v>
      </c>
      <c r="G346" s="14">
        <v>0.0</v>
      </c>
      <c r="H346" s="14">
        <v>0.0</v>
      </c>
      <c r="I346" s="14">
        <v>0.0</v>
      </c>
      <c r="J346" s="14">
        <v>0.0</v>
      </c>
    </row>
    <row r="347">
      <c r="A347" s="22" t="s">
        <v>295</v>
      </c>
      <c r="B347" s="21">
        <f t="shared" si="2"/>
        <v>0</v>
      </c>
      <c r="C347" s="21" t="str">
        <f>VLOOKUP(A347, hash!A$2:B$500, 2, 0)</f>
        <v>66e1e128f0db8f5922c91d86</v>
      </c>
      <c r="D347" s="23">
        <f t="shared" si="3"/>
        <v>0</v>
      </c>
      <c r="E347" s="14">
        <v>0.0</v>
      </c>
      <c r="F347" s="14">
        <v>0.0</v>
      </c>
      <c r="G347" s="14">
        <v>0.0</v>
      </c>
      <c r="H347" s="14">
        <v>0.0</v>
      </c>
      <c r="I347" s="14">
        <v>0.0</v>
      </c>
      <c r="J347" s="14">
        <v>0.0</v>
      </c>
    </row>
    <row r="348">
      <c r="A348" s="22" t="s">
        <v>296</v>
      </c>
      <c r="B348" s="21">
        <f t="shared" si="2"/>
        <v>0</v>
      </c>
      <c r="C348" s="21" t="str">
        <f>VLOOKUP(A348, hash!A$2:B$500, 2, 0)</f>
        <v>66e1e129f0db8f5922c91d87</v>
      </c>
      <c r="D348" s="23">
        <f t="shared" si="3"/>
        <v>0</v>
      </c>
      <c r="E348" s="14">
        <v>0.0</v>
      </c>
      <c r="F348" s="14">
        <v>0.0</v>
      </c>
      <c r="G348" s="14">
        <v>0.0</v>
      </c>
      <c r="H348" s="14">
        <v>0.0</v>
      </c>
      <c r="I348" s="14">
        <v>0.0</v>
      </c>
      <c r="J348" s="14">
        <v>0.0</v>
      </c>
    </row>
    <row r="349">
      <c r="A349" s="22" t="s">
        <v>92</v>
      </c>
      <c r="B349" s="21">
        <f t="shared" si="2"/>
        <v>0</v>
      </c>
      <c r="C349" s="21" t="str">
        <f>VLOOKUP(A349, hash!A$2:B$500, 2, 0)</f>
        <v>66e1e12ae2fbdff8a0c35638</v>
      </c>
      <c r="D349" s="23">
        <f t="shared" si="3"/>
        <v>0</v>
      </c>
      <c r="E349" s="14">
        <v>0.0</v>
      </c>
      <c r="F349" s="14">
        <v>0.0</v>
      </c>
      <c r="G349" s="14">
        <v>0.0</v>
      </c>
      <c r="H349" s="14">
        <v>0.0</v>
      </c>
      <c r="I349" s="14">
        <v>0.0</v>
      </c>
      <c r="J349" s="14">
        <v>0.0</v>
      </c>
    </row>
    <row r="350">
      <c r="A350" s="22" t="s">
        <v>297</v>
      </c>
      <c r="B350" s="21">
        <f t="shared" si="2"/>
        <v>0</v>
      </c>
      <c r="C350" s="21" t="str">
        <f>VLOOKUP(A350, hash!A$2:B$500, 2, 0)</f>
        <v>66e1e12bf0db8f5922c91d88</v>
      </c>
      <c r="D350" s="23">
        <f t="shared" si="3"/>
        <v>0</v>
      </c>
      <c r="E350" s="14">
        <v>0.0</v>
      </c>
      <c r="F350" s="14">
        <v>0.0</v>
      </c>
      <c r="G350" s="14">
        <v>0.0</v>
      </c>
      <c r="H350" s="14">
        <v>0.0</v>
      </c>
      <c r="I350" s="14">
        <v>0.0</v>
      </c>
      <c r="J350" s="14">
        <v>0.0</v>
      </c>
    </row>
    <row r="351">
      <c r="A351" s="22" t="s">
        <v>298</v>
      </c>
      <c r="B351" s="21">
        <f t="shared" si="2"/>
        <v>0</v>
      </c>
      <c r="C351" s="21" t="str">
        <f>VLOOKUP(A351, hash!A$2:B$500, 2, 0)</f>
        <v>66e1e12be2fbdff8a0c35639</v>
      </c>
      <c r="D351" s="23">
        <f t="shared" si="3"/>
        <v>0</v>
      </c>
      <c r="E351" s="14">
        <v>0.0</v>
      </c>
      <c r="F351" s="14">
        <v>0.0</v>
      </c>
      <c r="G351" s="14">
        <v>0.0</v>
      </c>
      <c r="H351" s="14">
        <v>0.0</v>
      </c>
      <c r="I351" s="14">
        <v>0.0</v>
      </c>
      <c r="J351" s="14">
        <v>0.0</v>
      </c>
    </row>
    <row r="352">
      <c r="A352" s="22" t="s">
        <v>299</v>
      </c>
      <c r="B352" s="21">
        <f t="shared" si="2"/>
        <v>0</v>
      </c>
      <c r="C352" s="21" t="str">
        <f>VLOOKUP(A352, hash!A$2:B$500, 2, 0)</f>
        <v>66e1e12c68fa766abf5d11d7</v>
      </c>
      <c r="D352" s="23">
        <f t="shared" si="3"/>
        <v>0</v>
      </c>
      <c r="E352" s="14">
        <v>0.0</v>
      </c>
      <c r="F352" s="14">
        <v>0.0</v>
      </c>
      <c r="G352" s="14">
        <v>0.0</v>
      </c>
      <c r="H352" s="14">
        <v>0.0</v>
      </c>
      <c r="I352" s="14">
        <v>0.0</v>
      </c>
      <c r="J352" s="14">
        <v>0.0</v>
      </c>
    </row>
    <row r="353">
      <c r="A353" s="22" t="s">
        <v>300</v>
      </c>
      <c r="B353" s="21">
        <f t="shared" si="2"/>
        <v>0</v>
      </c>
      <c r="C353" s="21" t="str">
        <f>VLOOKUP(A353, hash!A$2:B$500, 2, 0)</f>
        <v>66e1e12df0db8f5922c91d8a</v>
      </c>
      <c r="D353" s="23">
        <f t="shared" si="3"/>
        <v>0</v>
      </c>
      <c r="E353" s="14">
        <v>0.0</v>
      </c>
      <c r="F353" s="14">
        <v>0.0</v>
      </c>
      <c r="G353" s="14">
        <v>0.0</v>
      </c>
      <c r="H353" s="14">
        <v>0.0</v>
      </c>
      <c r="I353" s="14">
        <v>0.0</v>
      </c>
      <c r="J353" s="14">
        <v>0.0</v>
      </c>
    </row>
    <row r="354">
      <c r="A354" s="22" t="s">
        <v>301</v>
      </c>
      <c r="B354" s="21">
        <f t="shared" si="2"/>
        <v>0</v>
      </c>
      <c r="C354" s="21" t="str">
        <f>VLOOKUP(A354, hash!A$2:B$500, 2, 0)</f>
        <v>66e1e12ee2fbdff8a0c3563a</v>
      </c>
      <c r="D354" s="23">
        <f t="shared" si="3"/>
        <v>0</v>
      </c>
      <c r="E354" s="14">
        <v>0.0</v>
      </c>
      <c r="F354" s="14">
        <v>0.0</v>
      </c>
      <c r="G354" s="14">
        <v>0.0</v>
      </c>
      <c r="H354" s="14">
        <v>0.0</v>
      </c>
      <c r="I354" s="14">
        <v>0.0</v>
      </c>
      <c r="J354" s="14">
        <v>0.0</v>
      </c>
    </row>
    <row r="355">
      <c r="A355" s="22" t="s">
        <v>302</v>
      </c>
      <c r="B355" s="21">
        <f t="shared" si="2"/>
        <v>0</v>
      </c>
      <c r="C355" s="21" t="str">
        <f>VLOOKUP(A355, hash!A$2:B$500, 2, 0)</f>
        <v>66e1e12f7a8e6dc2aed3a646</v>
      </c>
      <c r="D355" s="23">
        <f t="shared" si="3"/>
        <v>0</v>
      </c>
      <c r="E355" s="14">
        <v>0.0</v>
      </c>
      <c r="F355" s="14">
        <v>0.0</v>
      </c>
      <c r="G355" s="14">
        <v>0.0</v>
      </c>
      <c r="H355" s="14">
        <v>0.0</v>
      </c>
      <c r="I355" s="14">
        <v>0.0</v>
      </c>
      <c r="J355" s="14">
        <v>0.0</v>
      </c>
    </row>
    <row r="356">
      <c r="A356" s="22" t="s">
        <v>303</v>
      </c>
      <c r="B356" s="21">
        <f t="shared" si="2"/>
        <v>0</v>
      </c>
      <c r="C356" s="21" t="str">
        <f>VLOOKUP(A356, hash!A$2:B$500, 2, 0)</f>
        <v>66e1e137db315cbd40043fc5</v>
      </c>
      <c r="D356" s="23">
        <f t="shared" si="3"/>
        <v>0</v>
      </c>
      <c r="E356" s="14">
        <v>0.0</v>
      </c>
      <c r="F356" s="14">
        <v>0.0</v>
      </c>
      <c r="G356" s="14">
        <v>0.0</v>
      </c>
      <c r="H356" s="14">
        <v>0.0</v>
      </c>
      <c r="I356" s="14">
        <v>0.0</v>
      </c>
      <c r="J356" s="14">
        <v>0.0</v>
      </c>
    </row>
    <row r="357">
      <c r="A357" s="22" t="s">
        <v>304</v>
      </c>
      <c r="B357" s="21">
        <f t="shared" si="2"/>
        <v>0</v>
      </c>
      <c r="C357" s="21" t="str">
        <f>VLOOKUP(A357, hash!A$2:B$500, 2, 0)</f>
        <v>66e1e139f0db8f5922c91d8d</v>
      </c>
      <c r="D357" s="23">
        <f t="shared" si="3"/>
        <v>0</v>
      </c>
      <c r="E357" s="14">
        <v>0.0</v>
      </c>
      <c r="F357" s="14">
        <v>0.0</v>
      </c>
      <c r="G357" s="14">
        <v>0.0</v>
      </c>
      <c r="H357" s="14">
        <v>0.0</v>
      </c>
      <c r="I357" s="14">
        <v>0.0</v>
      </c>
      <c r="J357" s="14">
        <v>0.0</v>
      </c>
    </row>
    <row r="358">
      <c r="A358" s="22" t="s">
        <v>305</v>
      </c>
      <c r="B358" s="21">
        <f t="shared" si="2"/>
        <v>0</v>
      </c>
      <c r="C358" s="21" t="str">
        <f>VLOOKUP(A358, hash!A$2:B$500, 2, 0)</f>
        <v>66e1e141f0db8f5922c91d90</v>
      </c>
      <c r="D358" s="23">
        <f t="shared" si="3"/>
        <v>0</v>
      </c>
      <c r="E358" s="14">
        <v>0.0</v>
      </c>
      <c r="F358" s="14">
        <v>0.0</v>
      </c>
      <c r="G358" s="14">
        <v>0.0</v>
      </c>
      <c r="H358" s="14">
        <v>0.0</v>
      </c>
      <c r="I358" s="14">
        <v>0.0</v>
      </c>
      <c r="J358" s="14">
        <v>0.0</v>
      </c>
    </row>
    <row r="359">
      <c r="A359" s="22" t="s">
        <v>306</v>
      </c>
      <c r="B359" s="21">
        <f t="shared" si="2"/>
        <v>0</v>
      </c>
      <c r="C359" s="21" t="str">
        <f>VLOOKUP(A359, hash!A$2:B$500, 2, 0)</f>
        <v>66e1e143db315cbd40043fcb</v>
      </c>
      <c r="D359" s="23">
        <f t="shared" si="3"/>
        <v>0</v>
      </c>
      <c r="E359" s="14">
        <v>0.0</v>
      </c>
      <c r="F359" s="14">
        <v>0.0</v>
      </c>
      <c r="G359" s="14">
        <v>0.0</v>
      </c>
      <c r="H359" s="14">
        <v>0.0</v>
      </c>
      <c r="I359" s="14">
        <v>0.0</v>
      </c>
      <c r="J359" s="14">
        <v>0.0</v>
      </c>
    </row>
    <row r="360">
      <c r="A360" s="22" t="s">
        <v>307</v>
      </c>
      <c r="B360" s="21">
        <f t="shared" si="2"/>
        <v>0</v>
      </c>
      <c r="C360" s="21" t="str">
        <f>VLOOKUP(A360, hash!A$2:B$500, 2, 0)</f>
        <v>66e1e14b7a8e6dc2aed3a649</v>
      </c>
      <c r="D360" s="23">
        <f t="shared" si="3"/>
        <v>0</v>
      </c>
      <c r="E360" s="14">
        <v>0.0</v>
      </c>
      <c r="F360" s="14">
        <v>0.0</v>
      </c>
      <c r="G360" s="14">
        <v>0.0</v>
      </c>
      <c r="H360" s="14">
        <v>0.0</v>
      </c>
      <c r="I360" s="14">
        <v>0.0</v>
      </c>
      <c r="J360" s="14">
        <v>0.0</v>
      </c>
    </row>
    <row r="361">
      <c r="A361" s="22" t="s">
        <v>308</v>
      </c>
      <c r="B361" s="21">
        <f t="shared" si="2"/>
        <v>0</v>
      </c>
      <c r="C361" s="21" t="str">
        <f>VLOOKUP(A361, hash!A$2:B$500, 2, 0)</f>
        <v>66e1e14cf0db8f5922c91d94</v>
      </c>
      <c r="D361" s="23">
        <f t="shared" si="3"/>
        <v>0</v>
      </c>
      <c r="E361" s="14">
        <v>0.0</v>
      </c>
      <c r="F361" s="14">
        <v>0.0</v>
      </c>
      <c r="G361" s="14">
        <v>0.0</v>
      </c>
      <c r="H361" s="14">
        <v>0.0</v>
      </c>
      <c r="I361" s="14">
        <v>0.0</v>
      </c>
      <c r="J361" s="14">
        <v>0.0</v>
      </c>
    </row>
    <row r="362">
      <c r="A362" s="22" t="s">
        <v>309</v>
      </c>
      <c r="B362" s="21">
        <f t="shared" si="2"/>
        <v>0</v>
      </c>
      <c r="C362" s="21" t="str">
        <f>VLOOKUP(A362, hash!A$2:B$500, 2, 0)</f>
        <v>66e1e200bbd279710a4f25a0</v>
      </c>
      <c r="D362" s="23">
        <f t="shared" si="3"/>
        <v>0</v>
      </c>
      <c r="E362" s="14">
        <v>0.0</v>
      </c>
      <c r="F362" s="14">
        <v>0.0</v>
      </c>
      <c r="G362" s="14">
        <v>0.0</v>
      </c>
      <c r="H362" s="14">
        <v>0.0</v>
      </c>
      <c r="I362" s="14">
        <v>0.0</v>
      </c>
      <c r="J362" s="14">
        <v>0.0</v>
      </c>
    </row>
    <row r="363">
      <c r="A363" s="22" t="s">
        <v>310</v>
      </c>
      <c r="B363" s="21">
        <f t="shared" si="2"/>
        <v>0</v>
      </c>
      <c r="C363" s="21" t="str">
        <f>VLOOKUP(A363, hash!A$2:B$500, 2, 0)</f>
        <v>66e1ed7ce62f650d943808d3</v>
      </c>
      <c r="D363" s="23">
        <f t="shared" si="3"/>
        <v>0</v>
      </c>
      <c r="E363" s="14">
        <v>0.0</v>
      </c>
      <c r="F363" s="14">
        <v>0.0</v>
      </c>
      <c r="G363" s="14">
        <v>0.0</v>
      </c>
      <c r="H363" s="14">
        <v>0.0</v>
      </c>
      <c r="I363" s="14">
        <v>0.0</v>
      </c>
      <c r="J363" s="14">
        <v>0.0</v>
      </c>
    </row>
    <row r="364">
      <c r="A364" s="22" t="s">
        <v>311</v>
      </c>
      <c r="B364" s="21">
        <f t="shared" si="2"/>
        <v>0</v>
      </c>
      <c r="C364" s="21" t="str">
        <f>VLOOKUP(A364, hash!A$2:B$500, 2, 0)</f>
        <v>66e1ed80e62f650d943808d4</v>
      </c>
      <c r="D364" s="23">
        <f t="shared" si="3"/>
        <v>0</v>
      </c>
      <c r="E364" s="14">
        <v>0.0</v>
      </c>
      <c r="F364" s="14">
        <v>0.0</v>
      </c>
      <c r="G364" s="14">
        <v>0.0</v>
      </c>
      <c r="H364" s="14">
        <v>0.0</v>
      </c>
      <c r="I364" s="14">
        <v>0.0</v>
      </c>
      <c r="J364" s="14">
        <v>0.0</v>
      </c>
    </row>
    <row r="365">
      <c r="A365" s="22" t="s">
        <v>312</v>
      </c>
      <c r="B365" s="21">
        <f t="shared" si="2"/>
        <v>0</v>
      </c>
      <c r="C365" s="21" t="str">
        <f>VLOOKUP(A365, hash!A$2:B$500, 2, 0)</f>
        <v>66e1ed841129889a3e2c24a8</v>
      </c>
      <c r="D365" s="23">
        <f t="shared" si="3"/>
        <v>0</v>
      </c>
      <c r="E365" s="14">
        <v>0.0</v>
      </c>
      <c r="F365" s="14">
        <v>0.0</v>
      </c>
      <c r="G365" s="14">
        <v>0.0</v>
      </c>
      <c r="H365" s="14">
        <v>0.0</v>
      </c>
      <c r="I365" s="14">
        <v>0.0</v>
      </c>
      <c r="J365" s="14">
        <v>0.0</v>
      </c>
    </row>
    <row r="366">
      <c r="A366" s="22" t="s">
        <v>313</v>
      </c>
      <c r="B366" s="21">
        <f t="shared" si="2"/>
        <v>0</v>
      </c>
      <c r="C366" s="21" t="str">
        <f>VLOOKUP(A366, hash!A$2:B$500, 2, 0)</f>
        <v>66e1ed8677e929b3df889a0a</v>
      </c>
      <c r="D366" s="23">
        <f t="shared" si="3"/>
        <v>0</v>
      </c>
      <c r="E366" s="14">
        <v>0.0</v>
      </c>
      <c r="F366" s="14">
        <v>0.0</v>
      </c>
      <c r="G366" s="14">
        <v>0.0</v>
      </c>
      <c r="H366" s="14">
        <v>0.0</v>
      </c>
      <c r="I366" s="14">
        <v>0.0</v>
      </c>
      <c r="J366" s="14">
        <v>0.0</v>
      </c>
    </row>
    <row r="367">
      <c r="A367" s="22" t="s">
        <v>314</v>
      </c>
      <c r="B367" s="21">
        <f t="shared" si="2"/>
        <v>0</v>
      </c>
      <c r="C367" s="21" t="str">
        <f>VLOOKUP(A367, hash!A$2:B$500, 2, 0)</f>
        <v>66e1ed871129889a3e2c24a9</v>
      </c>
      <c r="D367" s="23">
        <f t="shared" si="3"/>
        <v>0</v>
      </c>
      <c r="E367" s="14">
        <v>0.0</v>
      </c>
      <c r="F367" s="14">
        <v>0.0</v>
      </c>
      <c r="G367" s="14">
        <v>0.0</v>
      </c>
      <c r="H367" s="14">
        <v>0.0</v>
      </c>
      <c r="I367" s="14">
        <v>0.0</v>
      </c>
      <c r="J367" s="14">
        <v>0.0</v>
      </c>
    </row>
    <row r="368">
      <c r="A368" s="22" t="s">
        <v>315</v>
      </c>
      <c r="B368" s="21">
        <f t="shared" si="2"/>
        <v>0</v>
      </c>
      <c r="C368" s="21" t="str">
        <f>VLOOKUP(A368, hash!A$2:B$500, 2, 0)</f>
        <v>66e1ed901129889a3e2c24ac</v>
      </c>
      <c r="D368" s="23">
        <f t="shared" si="3"/>
        <v>0</v>
      </c>
      <c r="E368" s="14">
        <v>0.0</v>
      </c>
      <c r="F368" s="14">
        <v>0.0</v>
      </c>
      <c r="G368" s="14">
        <v>0.0</v>
      </c>
      <c r="H368" s="14">
        <v>0.0</v>
      </c>
      <c r="I368" s="14">
        <v>0.0</v>
      </c>
      <c r="J368" s="14">
        <v>0.0</v>
      </c>
    </row>
    <row r="369">
      <c r="A369" s="22" t="s">
        <v>316</v>
      </c>
      <c r="B369" s="21">
        <f t="shared" si="2"/>
        <v>0</v>
      </c>
      <c r="C369" s="21" t="str">
        <f>VLOOKUP(A369, hash!A$2:B$500, 2, 0)</f>
        <v>66e1ed9207067318cc1e18cb</v>
      </c>
      <c r="D369" s="23">
        <f t="shared" si="3"/>
        <v>0</v>
      </c>
      <c r="E369" s="14">
        <v>0.0</v>
      </c>
      <c r="F369" s="14">
        <v>0.0</v>
      </c>
      <c r="G369" s="14">
        <v>0.0</v>
      </c>
      <c r="H369" s="14">
        <v>0.0</v>
      </c>
      <c r="I369" s="14">
        <v>0.0</v>
      </c>
      <c r="J369" s="14">
        <v>0.0</v>
      </c>
    </row>
    <row r="370">
      <c r="A370" s="22" t="s">
        <v>317</v>
      </c>
      <c r="B370" s="21">
        <f t="shared" si="2"/>
        <v>0</v>
      </c>
      <c r="C370" s="21" t="str">
        <f>VLOOKUP(A370, hash!A$2:B$500, 2, 0)</f>
        <v>66e1ed9207067318cc1e18cc</v>
      </c>
      <c r="D370" s="23">
        <f t="shared" si="3"/>
        <v>0</v>
      </c>
      <c r="E370" s="14">
        <v>0.0</v>
      </c>
      <c r="F370" s="14">
        <v>0.0</v>
      </c>
      <c r="G370" s="14">
        <v>0.0</v>
      </c>
      <c r="H370" s="14">
        <v>0.0</v>
      </c>
      <c r="I370" s="14">
        <v>0.0</v>
      </c>
      <c r="J370" s="14">
        <v>0.0</v>
      </c>
    </row>
    <row r="371">
      <c r="A371" s="22" t="s">
        <v>318</v>
      </c>
      <c r="B371" s="21">
        <f t="shared" si="2"/>
        <v>0</v>
      </c>
      <c r="C371" s="21" t="str">
        <f>VLOOKUP(A371, hash!A$2:B$500, 2, 0)</f>
        <v>66e1ed9407067318cc1e18cd</v>
      </c>
      <c r="D371" s="23">
        <f t="shared" si="3"/>
        <v>0</v>
      </c>
      <c r="E371" s="14">
        <v>0.0</v>
      </c>
      <c r="F371" s="14">
        <v>0.0</v>
      </c>
      <c r="G371" s="14">
        <v>0.0</v>
      </c>
      <c r="H371" s="14">
        <v>0.0</v>
      </c>
      <c r="I371" s="14">
        <v>0.0</v>
      </c>
      <c r="J371" s="14">
        <v>0.0</v>
      </c>
    </row>
    <row r="372">
      <c r="A372" s="22" t="s">
        <v>319</v>
      </c>
      <c r="B372" s="21">
        <f t="shared" si="2"/>
        <v>0</v>
      </c>
      <c r="C372" s="21" t="str">
        <f>VLOOKUP(A372, hash!A$2:B$500, 2, 0)</f>
        <v>66e1ed96e62f650d943808d5</v>
      </c>
      <c r="D372" s="23">
        <f t="shared" si="3"/>
        <v>0</v>
      </c>
      <c r="E372" s="14">
        <v>0.0</v>
      </c>
      <c r="F372" s="14">
        <v>0.0</v>
      </c>
      <c r="G372" s="14">
        <v>0.0</v>
      </c>
      <c r="H372" s="14">
        <v>0.0</v>
      </c>
      <c r="I372" s="14">
        <v>0.0</v>
      </c>
      <c r="J372" s="14">
        <v>0.0</v>
      </c>
    </row>
    <row r="373">
      <c r="A373" s="22" t="s">
        <v>320</v>
      </c>
      <c r="B373" s="21">
        <f t="shared" si="2"/>
        <v>0</v>
      </c>
      <c r="C373" s="21" t="str">
        <f>VLOOKUP(A373, hash!A$2:B$500, 2, 0)</f>
        <v>66e1ed97e62f650d943808d6</v>
      </c>
      <c r="D373" s="23">
        <f t="shared" si="3"/>
        <v>0</v>
      </c>
      <c r="E373" s="14">
        <v>0.0</v>
      </c>
      <c r="F373" s="14">
        <v>0.0</v>
      </c>
      <c r="G373" s="14">
        <v>0.0</v>
      </c>
      <c r="H373" s="14">
        <v>0.0</v>
      </c>
      <c r="I373" s="14">
        <v>0.0</v>
      </c>
      <c r="J373" s="14">
        <v>0.0</v>
      </c>
    </row>
    <row r="374">
      <c r="A374" s="22" t="s">
        <v>321</v>
      </c>
      <c r="B374" s="21">
        <f t="shared" si="2"/>
        <v>0</v>
      </c>
      <c r="C374" s="21" t="str">
        <f>VLOOKUP(A374, hash!A$2:B$500, 2, 0)</f>
        <v>66e1ed9877e929b3df889a0b</v>
      </c>
      <c r="D374" s="23">
        <f t="shared" si="3"/>
        <v>0</v>
      </c>
      <c r="E374" s="14">
        <v>0.0</v>
      </c>
      <c r="F374" s="14">
        <v>0.0</v>
      </c>
      <c r="G374" s="14">
        <v>0.0</v>
      </c>
      <c r="H374" s="14">
        <v>0.0</v>
      </c>
      <c r="I374" s="14">
        <v>0.0</v>
      </c>
      <c r="J374" s="14">
        <v>0.0</v>
      </c>
    </row>
    <row r="375">
      <c r="A375" s="22" t="s">
        <v>322</v>
      </c>
      <c r="B375" s="21">
        <f t="shared" si="2"/>
        <v>0</v>
      </c>
      <c r="C375" s="21" t="str">
        <f>VLOOKUP(A375, hash!A$2:B$500, 2, 0)</f>
        <v>66e1ed9877e929b3df889a0c</v>
      </c>
      <c r="D375" s="23">
        <f t="shared" si="3"/>
        <v>0</v>
      </c>
      <c r="E375" s="14">
        <v>0.0</v>
      </c>
      <c r="F375" s="14">
        <v>0.0</v>
      </c>
      <c r="G375" s="14">
        <v>0.0</v>
      </c>
      <c r="H375" s="14">
        <v>0.0</v>
      </c>
      <c r="I375" s="14">
        <v>0.0</v>
      </c>
      <c r="J375" s="14">
        <v>0.0</v>
      </c>
    </row>
    <row r="376">
      <c r="A376" s="22" t="s">
        <v>323</v>
      </c>
      <c r="B376" s="21">
        <f t="shared" si="2"/>
        <v>0</v>
      </c>
      <c r="C376" s="21" t="str">
        <f>VLOOKUP(A376, hash!A$2:B$500, 2, 0)</f>
        <v>66e1ed98e62f650d943808d7</v>
      </c>
      <c r="D376" s="23">
        <f t="shared" si="3"/>
        <v>0</v>
      </c>
      <c r="E376" s="14">
        <v>0.0</v>
      </c>
      <c r="F376" s="14">
        <v>0.0</v>
      </c>
      <c r="G376" s="14">
        <v>0.0</v>
      </c>
      <c r="H376" s="14">
        <v>0.0</v>
      </c>
      <c r="I376" s="14">
        <v>0.0</v>
      </c>
      <c r="J376" s="14">
        <v>0.0</v>
      </c>
    </row>
    <row r="377">
      <c r="A377" s="22" t="s">
        <v>324</v>
      </c>
      <c r="B377" s="21">
        <f t="shared" si="2"/>
        <v>0</v>
      </c>
      <c r="C377" s="21" t="str">
        <f>VLOOKUP(A377, hash!A$2:B$500, 2, 0)</f>
        <v>66e1ed9b535f0d0c02349bed</v>
      </c>
      <c r="D377" s="23">
        <f t="shared" si="3"/>
        <v>0</v>
      </c>
      <c r="E377" s="14">
        <v>0.0</v>
      </c>
      <c r="F377" s="14">
        <v>0.0</v>
      </c>
      <c r="G377" s="14">
        <v>0.0</v>
      </c>
      <c r="H377" s="14">
        <v>0.0</v>
      </c>
      <c r="I377" s="14">
        <v>0.0</v>
      </c>
      <c r="J377" s="14">
        <v>0.0</v>
      </c>
    </row>
    <row r="378">
      <c r="A378" s="22" t="s">
        <v>325</v>
      </c>
      <c r="B378" s="21">
        <f t="shared" si="2"/>
        <v>0</v>
      </c>
      <c r="C378" s="21" t="str">
        <f>VLOOKUP(A378, hash!A$2:B$500, 2, 0)</f>
        <v>66e1ed9c07067318cc1e18ce</v>
      </c>
      <c r="D378" s="23">
        <f t="shared" si="3"/>
        <v>0</v>
      </c>
      <c r="E378" s="14">
        <v>0.0</v>
      </c>
      <c r="F378" s="14">
        <v>0.0</v>
      </c>
      <c r="G378" s="14">
        <v>0.0</v>
      </c>
      <c r="H378" s="14">
        <v>0.0</v>
      </c>
      <c r="I378" s="14">
        <v>0.0</v>
      </c>
      <c r="J378" s="14">
        <v>0.0</v>
      </c>
    </row>
    <row r="379">
      <c r="A379" s="22" t="s">
        <v>326</v>
      </c>
      <c r="B379" s="21">
        <f t="shared" si="2"/>
        <v>0</v>
      </c>
      <c r="C379" s="21" t="str">
        <f>VLOOKUP(A379, hash!A$2:B$500, 2, 0)</f>
        <v>66e1ed9e07067318cc1e18cf</v>
      </c>
      <c r="D379" s="23">
        <f t="shared" si="3"/>
        <v>0</v>
      </c>
      <c r="E379" s="14">
        <v>0.0</v>
      </c>
      <c r="F379" s="14">
        <v>0.0</v>
      </c>
      <c r="G379" s="14">
        <v>0.0</v>
      </c>
      <c r="H379" s="14">
        <v>0.0</v>
      </c>
      <c r="I379" s="14">
        <v>0.0</v>
      </c>
      <c r="J379" s="14">
        <v>0.0</v>
      </c>
    </row>
    <row r="380">
      <c r="A380" s="22" t="s">
        <v>327</v>
      </c>
      <c r="B380" s="21">
        <f t="shared" si="2"/>
        <v>0</v>
      </c>
      <c r="C380" s="21" t="str">
        <f>VLOOKUP(A380, hash!A$2:B$500, 2, 0)</f>
        <v>66e1ed9f07067318cc1e18d0</v>
      </c>
      <c r="D380" s="23">
        <f t="shared" si="3"/>
        <v>0</v>
      </c>
      <c r="E380" s="14">
        <v>0.0</v>
      </c>
      <c r="F380" s="14">
        <v>0.0</v>
      </c>
      <c r="G380" s="14">
        <v>0.0</v>
      </c>
      <c r="H380" s="14">
        <v>0.0</v>
      </c>
      <c r="I380" s="14">
        <v>0.0</v>
      </c>
      <c r="J380" s="14">
        <v>0.0</v>
      </c>
    </row>
    <row r="381">
      <c r="A381" s="22" t="s">
        <v>328</v>
      </c>
      <c r="B381" s="21">
        <f t="shared" si="2"/>
        <v>0</v>
      </c>
      <c r="C381" s="21" t="str">
        <f>VLOOKUP(A381, hash!A$2:B$500, 2, 0)</f>
        <v>66e1eda007067318cc1e18d1</v>
      </c>
      <c r="D381" s="23">
        <f t="shared" si="3"/>
        <v>0</v>
      </c>
      <c r="E381" s="14">
        <v>0.0</v>
      </c>
      <c r="F381" s="14">
        <v>0.0</v>
      </c>
      <c r="G381" s="14">
        <v>0.0</v>
      </c>
      <c r="H381" s="14">
        <v>0.0</v>
      </c>
      <c r="I381" s="14">
        <v>0.0</v>
      </c>
      <c r="J381" s="14">
        <v>0.0</v>
      </c>
    </row>
    <row r="382">
      <c r="A382" s="22" t="s">
        <v>329</v>
      </c>
      <c r="B382" s="21">
        <f t="shared" si="2"/>
        <v>0</v>
      </c>
      <c r="C382" s="21" t="str">
        <f>VLOOKUP(A382, hash!A$2:B$500, 2, 0)</f>
        <v>66e1eda1535f0d0c02349bee</v>
      </c>
      <c r="D382" s="23">
        <f t="shared" si="3"/>
        <v>0</v>
      </c>
      <c r="E382" s="14">
        <v>0.0</v>
      </c>
      <c r="F382" s="14">
        <v>0.0</v>
      </c>
      <c r="G382" s="14">
        <v>0.0</v>
      </c>
      <c r="H382" s="14">
        <v>0.0</v>
      </c>
      <c r="I382" s="14">
        <v>0.0</v>
      </c>
      <c r="J382" s="14">
        <v>0.0</v>
      </c>
    </row>
    <row r="383">
      <c r="A383" s="22" t="s">
        <v>330</v>
      </c>
      <c r="B383" s="21">
        <f t="shared" si="2"/>
        <v>0</v>
      </c>
      <c r="C383" s="21" t="str">
        <f>VLOOKUP(A383, hash!A$2:B$500, 2, 0)</f>
        <v>66e1eda5535f0d0c02349bef</v>
      </c>
      <c r="D383" s="23">
        <f t="shared" si="3"/>
        <v>0</v>
      </c>
      <c r="E383" s="14">
        <v>0.0</v>
      </c>
      <c r="F383" s="14">
        <v>0.0</v>
      </c>
      <c r="G383" s="14">
        <v>0.0</v>
      </c>
      <c r="H383" s="14">
        <v>0.0</v>
      </c>
      <c r="I383" s="14">
        <v>0.0</v>
      </c>
      <c r="J383" s="14">
        <v>0.0</v>
      </c>
    </row>
    <row r="384">
      <c r="A384" s="22" t="s">
        <v>331</v>
      </c>
      <c r="B384" s="21">
        <f t="shared" si="2"/>
        <v>0</v>
      </c>
      <c r="C384" s="21" t="str">
        <f>VLOOKUP(A384, hash!A$2:B$500, 2, 0)</f>
        <v>66e1eda6535f0d0c02349bf0</v>
      </c>
      <c r="D384" s="23">
        <f t="shared" si="3"/>
        <v>0</v>
      </c>
      <c r="E384" s="14">
        <v>0.0</v>
      </c>
      <c r="F384" s="14">
        <v>0.0</v>
      </c>
      <c r="G384" s="14">
        <v>0.0</v>
      </c>
      <c r="H384" s="14">
        <v>0.0</v>
      </c>
      <c r="I384" s="14">
        <v>0.0</v>
      </c>
      <c r="J384" s="14">
        <v>0.0</v>
      </c>
    </row>
    <row r="385">
      <c r="A385" s="22" t="s">
        <v>97</v>
      </c>
      <c r="B385" s="21">
        <f t="shared" si="2"/>
        <v>0</v>
      </c>
      <c r="C385" s="21" t="str">
        <f>VLOOKUP(A385, hash!A$2:B$500, 2, 0)</f>
        <v>66e1eda71129889a3e2c24ae</v>
      </c>
      <c r="D385" s="23">
        <f t="shared" si="3"/>
        <v>0</v>
      </c>
      <c r="E385" s="14">
        <v>0.0</v>
      </c>
      <c r="F385" s="14">
        <v>0.0</v>
      </c>
      <c r="G385" s="14">
        <v>0.0</v>
      </c>
      <c r="H385" s="14">
        <v>0.0</v>
      </c>
      <c r="I385" s="14">
        <v>0.0</v>
      </c>
      <c r="J385" s="14">
        <v>0.0</v>
      </c>
    </row>
    <row r="386">
      <c r="A386" s="22" t="s">
        <v>332</v>
      </c>
      <c r="B386" s="21">
        <f t="shared" si="2"/>
        <v>0</v>
      </c>
      <c r="C386" s="21" t="str">
        <f>VLOOKUP(A386, hash!A$2:B$500, 2, 0)</f>
        <v>66e1eda81129889a3e2c24af</v>
      </c>
      <c r="D386" s="23">
        <f t="shared" si="3"/>
        <v>0</v>
      </c>
      <c r="E386" s="14">
        <v>0.0</v>
      </c>
      <c r="F386" s="14">
        <v>0.0</v>
      </c>
      <c r="G386" s="14">
        <v>0.0</v>
      </c>
      <c r="H386" s="14">
        <v>0.0</v>
      </c>
      <c r="I386" s="14">
        <v>0.0</v>
      </c>
      <c r="J386" s="14">
        <v>0.0</v>
      </c>
    </row>
    <row r="387">
      <c r="A387" s="22" t="s">
        <v>333</v>
      </c>
      <c r="B387" s="21">
        <f t="shared" si="2"/>
        <v>0</v>
      </c>
      <c r="C387" s="21" t="str">
        <f>VLOOKUP(A387, hash!A$2:B$500, 2, 0)</f>
        <v>66e1eda807067318cc1e18d2</v>
      </c>
      <c r="D387" s="23">
        <f t="shared" si="3"/>
        <v>0</v>
      </c>
      <c r="E387" s="14">
        <v>0.0</v>
      </c>
      <c r="F387" s="14">
        <v>0.0</v>
      </c>
      <c r="G387" s="14">
        <v>0.0</v>
      </c>
      <c r="H387" s="14">
        <v>0.0</v>
      </c>
      <c r="I387" s="14">
        <v>0.0</v>
      </c>
      <c r="J387" s="14">
        <v>0.0</v>
      </c>
    </row>
    <row r="388">
      <c r="A388" s="22" t="s">
        <v>90</v>
      </c>
      <c r="B388" s="21">
        <f t="shared" si="2"/>
        <v>0</v>
      </c>
      <c r="C388" s="21" t="str">
        <f>VLOOKUP(A388, hash!A$2:B$500, 2, 0)</f>
        <v>66e1edab07067318cc1e18d3</v>
      </c>
      <c r="D388" s="23">
        <f t="shared" si="3"/>
        <v>0</v>
      </c>
      <c r="E388" s="14">
        <v>0.0</v>
      </c>
      <c r="F388" s="14">
        <v>0.0</v>
      </c>
      <c r="G388" s="14">
        <v>0.0</v>
      </c>
      <c r="H388" s="14">
        <v>0.0</v>
      </c>
      <c r="I388" s="14">
        <v>0.0</v>
      </c>
      <c r="J388" s="14">
        <v>0.0</v>
      </c>
    </row>
    <row r="389">
      <c r="A389" s="22" t="s">
        <v>334</v>
      </c>
      <c r="B389" s="21">
        <f t="shared" si="2"/>
        <v>0</v>
      </c>
      <c r="C389" s="21" t="str">
        <f>VLOOKUP(A389, hash!A$2:B$500, 2, 0)</f>
        <v>66e1edbc07067318cc1e18d8</v>
      </c>
      <c r="D389" s="23">
        <f t="shared" si="3"/>
        <v>0</v>
      </c>
      <c r="E389" s="14">
        <v>0.0</v>
      </c>
      <c r="F389" s="14">
        <v>0.0</v>
      </c>
      <c r="G389" s="14">
        <v>0.0</v>
      </c>
      <c r="H389" s="14">
        <v>0.0</v>
      </c>
      <c r="I389" s="14">
        <v>0.0</v>
      </c>
      <c r="J389" s="14">
        <v>0.0</v>
      </c>
    </row>
    <row r="390">
      <c r="A390" s="22" t="s">
        <v>335</v>
      </c>
      <c r="B390" s="21">
        <f t="shared" si="2"/>
        <v>0</v>
      </c>
      <c r="C390" s="21" t="str">
        <f>VLOOKUP(A390, hash!A$2:B$500, 2, 0)</f>
        <v>66e1edd11129889a3e2c24ba</v>
      </c>
      <c r="D390" s="23">
        <f t="shared" si="3"/>
        <v>0</v>
      </c>
      <c r="E390" s="14">
        <v>0.0</v>
      </c>
      <c r="F390" s="14">
        <v>0.0</v>
      </c>
      <c r="G390" s="14">
        <v>0.0</v>
      </c>
      <c r="H390" s="14">
        <v>0.0</v>
      </c>
      <c r="I390" s="14">
        <v>0.0</v>
      </c>
      <c r="J390" s="14">
        <v>0.0</v>
      </c>
    </row>
    <row r="391">
      <c r="A391" s="22" t="s">
        <v>336</v>
      </c>
      <c r="B391" s="21">
        <f t="shared" si="2"/>
        <v>0</v>
      </c>
      <c r="C391" s="21" t="str">
        <f>VLOOKUP(A391, hash!A$2:B$500, 2, 0)</f>
        <v>66e1ee9d77e929b3df889a14</v>
      </c>
      <c r="D391" s="23">
        <f t="shared" si="3"/>
        <v>0</v>
      </c>
      <c r="E391" s="14">
        <v>0.0</v>
      </c>
      <c r="F391" s="14">
        <v>0.0</v>
      </c>
      <c r="G391" s="14">
        <v>0.0</v>
      </c>
      <c r="H391" s="14">
        <v>0.0</v>
      </c>
      <c r="I391" s="14">
        <v>0.0</v>
      </c>
      <c r="J391" s="14">
        <v>0.0</v>
      </c>
    </row>
    <row r="392">
      <c r="A392" s="22" t="s">
        <v>337</v>
      </c>
      <c r="B392" s="21">
        <f t="shared" si="2"/>
        <v>0</v>
      </c>
      <c r="C392" s="21" t="str">
        <f>VLOOKUP(A392, hash!A$2:B$500, 2, 0)</f>
        <v>66e1f36e97e3bb4b1a02d659</v>
      </c>
      <c r="D392" s="23">
        <f t="shared" si="3"/>
        <v>0</v>
      </c>
      <c r="E392" s="14">
        <v>0.0</v>
      </c>
      <c r="F392" s="14">
        <v>0.0</v>
      </c>
      <c r="G392" s="14">
        <v>0.0</v>
      </c>
      <c r="H392" s="14">
        <v>0.0</v>
      </c>
      <c r="I392" s="14">
        <v>0.0</v>
      </c>
      <c r="J392" s="14">
        <v>0.0</v>
      </c>
    </row>
    <row r="393">
      <c r="A393" s="22" t="s">
        <v>37</v>
      </c>
      <c r="B393" s="21">
        <f t="shared" si="2"/>
        <v>1500</v>
      </c>
      <c r="C393" s="21" t="str">
        <f>VLOOKUP(A393, hash!A$2:B$500, 2, 0)</f>
        <v>66e21e0e9dc93e7d858c34ab</v>
      </c>
      <c r="D393" s="23">
        <f t="shared" si="3"/>
        <v>1</v>
      </c>
      <c r="E393" s="14">
        <v>0.0</v>
      </c>
      <c r="F393" s="14">
        <v>0.0</v>
      </c>
      <c r="G393" s="14">
        <v>0.0</v>
      </c>
      <c r="H393" s="14">
        <v>0.0</v>
      </c>
      <c r="I393" s="14">
        <v>0.0</v>
      </c>
      <c r="J393" s="14">
        <v>1.0</v>
      </c>
    </row>
    <row r="394">
      <c r="A394" s="22" t="s">
        <v>98</v>
      </c>
      <c r="B394" s="21">
        <f t="shared" si="2"/>
        <v>0</v>
      </c>
      <c r="C394" s="21" t="str">
        <f>VLOOKUP(A394, hash!A$2:B$500, 2, 0)</f>
        <v>66e4659d317cf70a1c31109e</v>
      </c>
      <c r="D394" s="23">
        <f t="shared" si="3"/>
        <v>0</v>
      </c>
      <c r="E394" s="14">
        <v>0.0</v>
      </c>
      <c r="F394" s="14">
        <v>0.0</v>
      </c>
      <c r="G394" s="14">
        <v>0.0</v>
      </c>
      <c r="H394" s="14">
        <v>0.0</v>
      </c>
      <c r="I394" s="14">
        <v>0.0</v>
      </c>
      <c r="J394" s="14">
        <v>0.0</v>
      </c>
    </row>
    <row r="395">
      <c r="A395" s="22" t="s">
        <v>338</v>
      </c>
      <c r="B395" s="21">
        <f t="shared" si="2"/>
        <v>0</v>
      </c>
      <c r="C395" s="21" t="str">
        <f>VLOOKUP(A395, hash!A$2:B$500, 2, 0)</f>
        <v>66ea1f306b0b246c2372bbac</v>
      </c>
      <c r="D395" s="23">
        <f t="shared" si="3"/>
        <v>0</v>
      </c>
      <c r="E395" s="14">
        <v>0.0</v>
      </c>
      <c r="F395" s="14">
        <v>0.0</v>
      </c>
      <c r="G395" s="14">
        <v>0.0</v>
      </c>
      <c r="H395" s="14">
        <v>0.0</v>
      </c>
      <c r="I395" s="14">
        <v>0.0</v>
      </c>
      <c r="J395" s="14">
        <v>0.0</v>
      </c>
    </row>
    <row r="396">
      <c r="A396" s="22" t="s">
        <v>339</v>
      </c>
      <c r="B396" s="21">
        <f t="shared" si="2"/>
        <v>0</v>
      </c>
      <c r="C396" s="21" t="str">
        <f>VLOOKUP(A396, hash!A$2:B$500, 2, 0)</f>
        <v>66eb1bdf61b31c87a7ea090e</v>
      </c>
      <c r="D396" s="23">
        <f t="shared" si="3"/>
        <v>0</v>
      </c>
      <c r="E396" s="14">
        <v>0.0</v>
      </c>
      <c r="F396" s="14">
        <v>0.0</v>
      </c>
      <c r="G396" s="14">
        <v>0.0</v>
      </c>
      <c r="H396" s="14">
        <v>0.0</v>
      </c>
      <c r="I396" s="14">
        <v>0.0</v>
      </c>
      <c r="J396" s="14">
        <v>0.0</v>
      </c>
    </row>
    <row r="397">
      <c r="A397" s="22" t="s">
        <v>340</v>
      </c>
      <c r="B397" s="21">
        <f t="shared" si="2"/>
        <v>0</v>
      </c>
      <c r="C397" s="21" t="str">
        <f>VLOOKUP(A397, hash!A$2:B$500, 2, 0)</f>
        <v>66eb1bedcb6c430d242f37c4</v>
      </c>
      <c r="D397" s="23">
        <f t="shared" si="3"/>
        <v>0</v>
      </c>
      <c r="E397" s="14">
        <v>0.0</v>
      </c>
      <c r="F397" s="14">
        <v>0.0</v>
      </c>
      <c r="G397" s="14">
        <v>0.0</v>
      </c>
      <c r="H397" s="14">
        <v>0.0</v>
      </c>
      <c r="I397" s="14">
        <v>0.0</v>
      </c>
      <c r="J397" s="14">
        <v>0.0</v>
      </c>
    </row>
    <row r="398">
      <c r="A398" s="22" t="s">
        <v>341</v>
      </c>
      <c r="B398" s="21">
        <f t="shared" si="2"/>
        <v>0</v>
      </c>
      <c r="C398" s="21" t="str">
        <f>VLOOKUP(A398, hash!A$2:B$500, 2, 0)</f>
        <v>66eb1bf21132636931fb1927</v>
      </c>
      <c r="D398" s="23">
        <f t="shared" si="3"/>
        <v>0</v>
      </c>
      <c r="E398" s="14">
        <v>0.0</v>
      </c>
      <c r="F398" s="14">
        <v>0.0</v>
      </c>
      <c r="G398" s="14">
        <v>0.0</v>
      </c>
      <c r="H398" s="14">
        <v>0.0</v>
      </c>
      <c r="I398" s="14">
        <v>0.0</v>
      </c>
      <c r="J398" s="14">
        <v>0.0</v>
      </c>
    </row>
    <row r="399">
      <c r="A399" s="22" t="s">
        <v>342</v>
      </c>
      <c r="B399" s="21">
        <f t="shared" si="2"/>
        <v>0</v>
      </c>
      <c r="C399" s="21" t="str">
        <f>VLOOKUP(A399, hash!A$2:B$500, 2, 0)</f>
        <v>66eb1bf5cb6c430d242f37c7</v>
      </c>
      <c r="D399" s="23">
        <f t="shared" si="3"/>
        <v>0</v>
      </c>
      <c r="E399" s="14">
        <v>0.0</v>
      </c>
      <c r="F399" s="14">
        <v>0.0</v>
      </c>
      <c r="G399" s="14">
        <v>0.0</v>
      </c>
      <c r="H399" s="14">
        <v>0.0</v>
      </c>
      <c r="I399" s="14">
        <v>0.0</v>
      </c>
      <c r="J399" s="14">
        <v>0.0</v>
      </c>
    </row>
    <row r="400">
      <c r="A400" s="22" t="s">
        <v>343</v>
      </c>
      <c r="B400" s="21">
        <f t="shared" si="2"/>
        <v>0</v>
      </c>
      <c r="C400" s="21" t="str">
        <f>VLOOKUP(A400, hash!A$2:B$500, 2, 0)</f>
        <v>66eb1bf91132636931fb1929</v>
      </c>
      <c r="D400" s="23">
        <f t="shared" si="3"/>
        <v>0</v>
      </c>
      <c r="E400" s="14">
        <v>0.0</v>
      </c>
      <c r="F400" s="14">
        <v>0.0</v>
      </c>
      <c r="G400" s="14">
        <v>0.0</v>
      </c>
      <c r="H400" s="14">
        <v>0.0</v>
      </c>
      <c r="I400" s="14">
        <v>0.0</v>
      </c>
      <c r="J400" s="14">
        <v>0.0</v>
      </c>
    </row>
    <row r="401">
      <c r="A401" s="22" t="s">
        <v>344</v>
      </c>
      <c r="B401" s="21">
        <f t="shared" si="2"/>
        <v>0</v>
      </c>
      <c r="C401" s="21" t="str">
        <f>VLOOKUP(A401, hash!A$2:B$500, 2, 0)</f>
        <v>66eb1bff8647681e6a2afbde</v>
      </c>
      <c r="D401" s="23">
        <f t="shared" si="3"/>
        <v>0</v>
      </c>
      <c r="E401" s="14">
        <v>0.0</v>
      </c>
      <c r="F401" s="14">
        <v>0.0</v>
      </c>
      <c r="G401" s="14">
        <v>0.0</v>
      </c>
      <c r="H401" s="14">
        <v>0.0</v>
      </c>
      <c r="I401" s="14">
        <v>0.0</v>
      </c>
      <c r="J401" s="14">
        <v>0.0</v>
      </c>
    </row>
    <row r="402">
      <c r="A402" s="22" t="s">
        <v>345</v>
      </c>
      <c r="B402" s="21">
        <f t="shared" si="2"/>
        <v>0</v>
      </c>
      <c r="C402" s="21" t="str">
        <f>VLOOKUP(A402, hash!A$2:B$500, 2, 0)</f>
        <v>66eb1c00a52629221738126a</v>
      </c>
      <c r="D402" s="23">
        <f t="shared" si="3"/>
        <v>0</v>
      </c>
      <c r="E402" s="14">
        <v>0.0</v>
      </c>
      <c r="F402" s="14">
        <v>0.0</v>
      </c>
      <c r="G402" s="14">
        <v>0.0</v>
      </c>
      <c r="H402" s="14">
        <v>0.0</v>
      </c>
      <c r="I402" s="14">
        <v>0.0</v>
      </c>
      <c r="J402" s="14">
        <v>0.0</v>
      </c>
    </row>
    <row r="403">
      <c r="A403" s="22" t="s">
        <v>346</v>
      </c>
      <c r="B403" s="21">
        <f t="shared" si="2"/>
        <v>0</v>
      </c>
      <c r="C403" s="21" t="str">
        <f>VLOOKUP(A403, hash!A$2:B$500, 2, 0)</f>
        <v>66eb1c19a526292217381272</v>
      </c>
      <c r="D403" s="23">
        <f t="shared" si="3"/>
        <v>0</v>
      </c>
      <c r="E403" s="14">
        <v>0.0</v>
      </c>
      <c r="F403" s="14">
        <v>0.0</v>
      </c>
      <c r="G403" s="14">
        <v>0.0</v>
      </c>
      <c r="H403" s="14">
        <v>0.0</v>
      </c>
      <c r="I403" s="14">
        <v>0.0</v>
      </c>
      <c r="J403" s="14">
        <v>0.0</v>
      </c>
    </row>
    <row r="404">
      <c r="A404" s="22" t="s">
        <v>347</v>
      </c>
      <c r="B404" s="21">
        <f t="shared" si="2"/>
        <v>0</v>
      </c>
      <c r="C404" s="21" t="str">
        <f>VLOOKUP(A404, hash!A$2:B$500, 2, 0)</f>
        <v>66eb1c248647681e6a2afbe7</v>
      </c>
      <c r="D404" s="23">
        <f t="shared" si="3"/>
        <v>0</v>
      </c>
      <c r="E404" s="14">
        <v>0.0</v>
      </c>
      <c r="F404" s="14">
        <v>0.0</v>
      </c>
      <c r="G404" s="14">
        <v>0.0</v>
      </c>
      <c r="H404" s="14">
        <v>0.0</v>
      </c>
      <c r="I404" s="14">
        <v>0.0</v>
      </c>
      <c r="J404" s="14">
        <v>0.0</v>
      </c>
    </row>
    <row r="405">
      <c r="A405" s="22" t="s">
        <v>348</v>
      </c>
      <c r="B405" s="21">
        <f t="shared" si="2"/>
        <v>0</v>
      </c>
      <c r="C405" s="21" t="str">
        <f>VLOOKUP(A405, hash!A$2:B$500, 2, 0)</f>
        <v>66eb1c2ba526292217381274</v>
      </c>
      <c r="D405" s="23">
        <f t="shared" si="3"/>
        <v>0</v>
      </c>
      <c r="E405" s="14">
        <v>0.0</v>
      </c>
      <c r="F405" s="14">
        <v>0.0</v>
      </c>
      <c r="G405" s="14">
        <v>0.0</v>
      </c>
      <c r="H405" s="14">
        <v>0.0</v>
      </c>
      <c r="I405" s="14">
        <v>0.0</v>
      </c>
      <c r="J405" s="14">
        <v>0.0</v>
      </c>
    </row>
    <row r="406">
      <c r="A406" s="22" t="s">
        <v>349</v>
      </c>
      <c r="B406" s="21">
        <f t="shared" si="2"/>
        <v>0</v>
      </c>
      <c r="C406" s="21" t="str">
        <f>VLOOKUP(A406, hash!A$2:B$500, 2, 0)</f>
        <v>66eb1c2b8647681e6a2afbe8</v>
      </c>
      <c r="D406" s="23">
        <f t="shared" si="3"/>
        <v>0</v>
      </c>
      <c r="E406" s="14">
        <v>0.0</v>
      </c>
      <c r="F406" s="14">
        <v>0.0</v>
      </c>
      <c r="G406" s="14">
        <v>0.0</v>
      </c>
      <c r="H406" s="14">
        <v>0.0</v>
      </c>
      <c r="I406" s="14">
        <v>0.0</v>
      </c>
      <c r="J406" s="14">
        <v>0.0</v>
      </c>
    </row>
    <row r="407">
      <c r="A407" s="22" t="s">
        <v>350</v>
      </c>
      <c r="B407" s="21">
        <f t="shared" si="2"/>
        <v>0</v>
      </c>
      <c r="C407" s="21" t="str">
        <f>VLOOKUP(A407, hash!A$2:B$500, 2, 0)</f>
        <v>66eb1c33cb6c430d242f37d2</v>
      </c>
      <c r="D407" s="23">
        <f t="shared" si="3"/>
        <v>0</v>
      </c>
      <c r="E407" s="14">
        <v>0.0</v>
      </c>
      <c r="F407" s="14">
        <v>0.0</v>
      </c>
      <c r="G407" s="14">
        <v>0.0</v>
      </c>
      <c r="H407" s="14">
        <v>0.0</v>
      </c>
      <c r="I407" s="14">
        <v>0.0</v>
      </c>
      <c r="J407" s="14">
        <v>0.0</v>
      </c>
    </row>
    <row r="408">
      <c r="A408" s="22" t="s">
        <v>351</v>
      </c>
      <c r="B408" s="21">
        <f t="shared" si="2"/>
        <v>0</v>
      </c>
      <c r="C408" s="21" t="str">
        <f>VLOOKUP(A408, hash!A$2:B$500, 2, 0)</f>
        <v>66eb1c341132636931fb192f</v>
      </c>
      <c r="D408" s="23">
        <f t="shared" si="3"/>
        <v>0</v>
      </c>
      <c r="E408" s="14">
        <v>0.0</v>
      </c>
      <c r="F408" s="14">
        <v>0.0</v>
      </c>
      <c r="G408" s="14">
        <v>0.0</v>
      </c>
      <c r="H408" s="14">
        <v>0.0</v>
      </c>
      <c r="I408" s="14">
        <v>0.0</v>
      </c>
      <c r="J408" s="14">
        <v>0.0</v>
      </c>
    </row>
    <row r="409">
      <c r="A409" s="22" t="s">
        <v>352</v>
      </c>
      <c r="B409" s="21">
        <f t="shared" si="2"/>
        <v>0</v>
      </c>
      <c r="C409" s="21" t="str">
        <f>VLOOKUP(A409, hash!A$2:B$500, 2, 0)</f>
        <v>66eb1c681132636931fb1934</v>
      </c>
      <c r="D409" s="23">
        <f t="shared" si="3"/>
        <v>0</v>
      </c>
      <c r="E409" s="14">
        <v>0.0</v>
      </c>
      <c r="F409" s="14">
        <v>0.0</v>
      </c>
      <c r="G409" s="14">
        <v>0.0</v>
      </c>
      <c r="H409" s="14">
        <v>0.0</v>
      </c>
      <c r="I409" s="14">
        <v>0.0</v>
      </c>
      <c r="J409" s="14">
        <v>0.0</v>
      </c>
    </row>
    <row r="410">
      <c r="A410" s="22" t="s">
        <v>353</v>
      </c>
      <c r="B410" s="21">
        <f t="shared" si="2"/>
        <v>0</v>
      </c>
      <c r="C410" s="21" t="str">
        <f>VLOOKUP(A410, hash!A$2:B$500, 2, 0)</f>
        <v>66eb1c6ecb6c430d242f37d9</v>
      </c>
      <c r="D410" s="23">
        <f t="shared" si="3"/>
        <v>0</v>
      </c>
      <c r="E410" s="14">
        <v>0.0</v>
      </c>
      <c r="F410" s="14">
        <v>0.0</v>
      </c>
      <c r="G410" s="14">
        <v>0.0</v>
      </c>
      <c r="H410" s="14">
        <v>0.0</v>
      </c>
      <c r="I410" s="14">
        <v>0.0</v>
      </c>
      <c r="J410" s="14">
        <v>0.0</v>
      </c>
    </row>
    <row r="411">
      <c r="A411" s="22" t="s">
        <v>354</v>
      </c>
      <c r="B411" s="21">
        <f t="shared" si="2"/>
        <v>0</v>
      </c>
      <c r="C411" s="21" t="str">
        <f>VLOOKUP(A411, hash!A$2:B$500, 2, 0)</f>
        <v>66eb1c79cb6c430d242f37da</v>
      </c>
      <c r="D411" s="23">
        <f t="shared" si="3"/>
        <v>0</v>
      </c>
      <c r="E411" s="14">
        <v>0.0</v>
      </c>
      <c r="F411" s="14">
        <v>0.0</v>
      </c>
      <c r="G411" s="14">
        <v>0.0</v>
      </c>
      <c r="H411" s="14">
        <v>0.0</v>
      </c>
      <c r="I411" s="14">
        <v>0.0</v>
      </c>
      <c r="J411" s="14">
        <v>0.0</v>
      </c>
    </row>
    <row r="412">
      <c r="A412" s="22" t="s">
        <v>355</v>
      </c>
      <c r="B412" s="21">
        <f t="shared" si="2"/>
        <v>0</v>
      </c>
      <c r="C412" s="21" t="str">
        <f>VLOOKUP(A412, hash!A$2:B$500, 2, 0)</f>
        <v>66eb1c7e1132636931fb1938</v>
      </c>
      <c r="D412" s="23">
        <f t="shared" si="3"/>
        <v>0</v>
      </c>
      <c r="E412" s="14">
        <v>0.0</v>
      </c>
      <c r="F412" s="14">
        <v>0.0</v>
      </c>
      <c r="G412" s="14">
        <v>0.0</v>
      </c>
      <c r="H412" s="14">
        <v>0.0</v>
      </c>
      <c r="I412" s="14">
        <v>0.0</v>
      </c>
      <c r="J412" s="14">
        <v>0.0</v>
      </c>
    </row>
    <row r="413">
      <c r="A413" s="22" t="s">
        <v>356</v>
      </c>
      <c r="B413" s="21">
        <f t="shared" si="2"/>
        <v>0</v>
      </c>
      <c r="C413" s="21" t="str">
        <f>VLOOKUP(A413, hash!A$2:B$500, 2, 0)</f>
        <v>66eb1cb28647681e6a2afbec</v>
      </c>
      <c r="D413" s="23">
        <f t="shared" si="3"/>
        <v>0</v>
      </c>
      <c r="E413" s="14">
        <v>0.0</v>
      </c>
      <c r="F413" s="14">
        <v>0.0</v>
      </c>
      <c r="G413" s="14">
        <v>0.0</v>
      </c>
      <c r="H413" s="14">
        <v>0.0</v>
      </c>
      <c r="I413" s="14">
        <v>0.0</v>
      </c>
      <c r="J413" s="14">
        <v>0.0</v>
      </c>
    </row>
    <row r="414">
      <c r="A414" s="22" t="s">
        <v>357</v>
      </c>
      <c r="B414" s="21">
        <f t="shared" si="2"/>
        <v>0</v>
      </c>
      <c r="C414" s="21" t="str">
        <f>VLOOKUP(A414, hash!A$2:B$500, 2, 0)</f>
        <v>66eb1ce18647681e6a2afbed</v>
      </c>
      <c r="D414" s="23">
        <f t="shared" si="3"/>
        <v>0</v>
      </c>
      <c r="E414" s="14">
        <v>0.0</v>
      </c>
      <c r="F414" s="14">
        <v>0.0</v>
      </c>
      <c r="G414" s="14">
        <v>0.0</v>
      </c>
      <c r="H414" s="14">
        <v>0.0</v>
      </c>
      <c r="I414" s="14">
        <v>0.0</v>
      </c>
      <c r="J414" s="14">
        <v>0.0</v>
      </c>
    </row>
    <row r="415">
      <c r="A415" s="22" t="s">
        <v>358</v>
      </c>
      <c r="B415" s="21">
        <f t="shared" si="2"/>
        <v>0</v>
      </c>
      <c r="C415" s="21" t="str">
        <f>VLOOKUP(A415, hash!A$2:B$500, 2, 0)</f>
        <v>66eb26e01132636931fb1948</v>
      </c>
      <c r="D415" s="23">
        <f t="shared" si="3"/>
        <v>0</v>
      </c>
      <c r="E415" s="14">
        <v>0.0</v>
      </c>
      <c r="F415" s="14">
        <v>0.0</v>
      </c>
      <c r="G415" s="14">
        <v>0.0</v>
      </c>
      <c r="H415" s="14">
        <v>0.0</v>
      </c>
      <c r="I415" s="14">
        <v>0.0</v>
      </c>
      <c r="J415" s="14">
        <v>0.0</v>
      </c>
    </row>
    <row r="416">
      <c r="A416" s="22" t="s">
        <v>359</v>
      </c>
      <c r="B416" s="21">
        <f t="shared" si="2"/>
        <v>0</v>
      </c>
      <c r="C416" s="21" t="str">
        <f>VLOOKUP(A416, hash!A$2:B$500, 2, 0)</f>
        <v>66eb2791f5cf341f2cef5f68</v>
      </c>
      <c r="D416" s="23">
        <f t="shared" si="3"/>
        <v>0</v>
      </c>
      <c r="E416" s="14">
        <v>0.0</v>
      </c>
      <c r="F416" s="14">
        <v>0.0</v>
      </c>
      <c r="G416" s="14">
        <v>0.0</v>
      </c>
      <c r="H416" s="14">
        <v>0.0</v>
      </c>
      <c r="I416" s="14">
        <v>0.0</v>
      </c>
      <c r="J416" s="14">
        <v>0.0</v>
      </c>
    </row>
    <row r="417">
      <c r="A417" s="22" t="s">
        <v>360</v>
      </c>
      <c r="B417" s="21">
        <f t="shared" si="2"/>
        <v>0</v>
      </c>
      <c r="C417" s="21" t="str">
        <f>VLOOKUP(A417, hash!A$2:B$500, 2, 0)</f>
        <v>66eb283093ca556f981967dc</v>
      </c>
      <c r="D417" s="23">
        <f t="shared" si="3"/>
        <v>0</v>
      </c>
      <c r="E417" s="14">
        <v>0.0</v>
      </c>
      <c r="F417" s="14">
        <v>0.0</v>
      </c>
      <c r="G417" s="14">
        <v>0.0</v>
      </c>
      <c r="H417" s="14">
        <v>0.0</v>
      </c>
      <c r="I417" s="14">
        <v>0.0</v>
      </c>
      <c r="J417" s="14">
        <v>0.0</v>
      </c>
    </row>
    <row r="418">
      <c r="A418" s="22" t="s">
        <v>361</v>
      </c>
      <c r="B418" s="21">
        <f t="shared" si="2"/>
        <v>0</v>
      </c>
      <c r="C418" s="21" t="str">
        <f>VLOOKUP(A418, hash!A$2:B$500, 2, 0)</f>
        <v>66eb283593ca556f981967de</v>
      </c>
      <c r="D418" s="23">
        <f t="shared" si="3"/>
        <v>0</v>
      </c>
      <c r="E418" s="14">
        <v>0.0</v>
      </c>
      <c r="F418" s="14">
        <v>0.0</v>
      </c>
      <c r="G418" s="14">
        <v>0.0</v>
      </c>
      <c r="H418" s="14">
        <v>0.0</v>
      </c>
      <c r="I418" s="14">
        <v>0.0</v>
      </c>
      <c r="J418" s="14">
        <v>0.0</v>
      </c>
    </row>
    <row r="419">
      <c r="A419" s="22" t="s">
        <v>362</v>
      </c>
      <c r="B419" s="21">
        <f t="shared" si="2"/>
        <v>0</v>
      </c>
      <c r="C419" s="21" t="str">
        <f>VLOOKUP(A419, hash!A$2:B$500, 2, 0)</f>
        <v>66eb28586bd7ab0d5c9d8c1c</v>
      </c>
      <c r="D419" s="23">
        <f t="shared" si="3"/>
        <v>0</v>
      </c>
      <c r="E419" s="14">
        <v>0.0</v>
      </c>
      <c r="F419" s="14">
        <v>0.0</v>
      </c>
      <c r="G419" s="14">
        <v>0.0</v>
      </c>
      <c r="H419" s="14">
        <v>0.0</v>
      </c>
      <c r="I419" s="14">
        <v>0.0</v>
      </c>
      <c r="J419" s="14">
        <v>0.0</v>
      </c>
    </row>
    <row r="420">
      <c r="A420" s="22" t="s">
        <v>363</v>
      </c>
      <c r="B420" s="21">
        <f t="shared" si="2"/>
        <v>0</v>
      </c>
      <c r="C420" s="21" t="str">
        <f>VLOOKUP(A420, hash!A$2:B$500, 2, 0)</f>
        <v>66eb28b493ca556f981967e8</v>
      </c>
      <c r="D420" s="23">
        <f t="shared" si="3"/>
        <v>0</v>
      </c>
      <c r="E420" s="14">
        <v>0.0</v>
      </c>
      <c r="F420" s="14">
        <v>0.0</v>
      </c>
      <c r="G420" s="14">
        <v>0.0</v>
      </c>
      <c r="H420" s="14">
        <v>0.0</v>
      </c>
      <c r="I420" s="14">
        <v>0.0</v>
      </c>
      <c r="J420" s="14">
        <v>0.0</v>
      </c>
    </row>
    <row r="421">
      <c r="A421" s="22" t="s">
        <v>364</v>
      </c>
      <c r="B421" s="21">
        <f t="shared" si="2"/>
        <v>0</v>
      </c>
      <c r="C421" s="21" t="str">
        <f>VLOOKUP(A421, hash!A$2:B$500, 2, 0)</f>
        <v>66eb293393ca556f981967ec</v>
      </c>
      <c r="D421" s="23">
        <f t="shared" si="3"/>
        <v>0</v>
      </c>
      <c r="E421" s="14">
        <v>0.0</v>
      </c>
      <c r="F421" s="14">
        <v>0.0</v>
      </c>
      <c r="G421" s="14">
        <v>0.0</v>
      </c>
      <c r="H421" s="14">
        <v>0.0</v>
      </c>
      <c r="I421" s="14">
        <v>0.0</v>
      </c>
      <c r="J421" s="14">
        <v>0.0</v>
      </c>
    </row>
    <row r="422">
      <c r="A422" s="22" t="s">
        <v>365</v>
      </c>
      <c r="B422" s="21">
        <f t="shared" si="2"/>
        <v>0</v>
      </c>
      <c r="C422" s="21" t="str">
        <f>VLOOKUP(A422, hash!A$2:B$500, 2, 0)</f>
        <v>66eb295cf5cf341f2cef5f6e</v>
      </c>
      <c r="D422" s="23">
        <f t="shared" si="3"/>
        <v>0</v>
      </c>
      <c r="E422" s="14">
        <v>0.0</v>
      </c>
      <c r="F422" s="14">
        <v>0.0</v>
      </c>
      <c r="G422" s="14">
        <v>0.0</v>
      </c>
      <c r="H422" s="14">
        <v>0.0</v>
      </c>
      <c r="I422" s="14">
        <v>0.0</v>
      </c>
      <c r="J422" s="14">
        <v>0.0</v>
      </c>
    </row>
    <row r="423">
      <c r="A423" s="22" t="s">
        <v>366</v>
      </c>
      <c r="B423" s="21">
        <f t="shared" si="2"/>
        <v>0</v>
      </c>
      <c r="C423" s="21" t="str">
        <f>VLOOKUP(A423, hash!A$2:B$500, 2, 0)</f>
        <v>66ec5f65155b01592e9cc06d</v>
      </c>
      <c r="D423" s="23">
        <f t="shared" si="3"/>
        <v>0</v>
      </c>
      <c r="E423" s="14">
        <v>0.0</v>
      </c>
      <c r="F423" s="14">
        <v>0.0</v>
      </c>
      <c r="G423" s="14">
        <v>0.0</v>
      </c>
      <c r="H423" s="14">
        <v>0.0</v>
      </c>
      <c r="I423" s="14">
        <v>0.0</v>
      </c>
      <c r="J423" s="14">
        <v>0.0</v>
      </c>
    </row>
    <row r="424">
      <c r="A424" s="22" t="s">
        <v>367</v>
      </c>
      <c r="B424" s="21">
        <f t="shared" si="2"/>
        <v>0</v>
      </c>
      <c r="C424" s="21" t="str">
        <f>VLOOKUP(A424, hash!A$2:B$500, 2, 0)</f>
        <v>66f45959c3b67adef372b277</v>
      </c>
      <c r="D424" s="23">
        <f t="shared" si="3"/>
        <v>0</v>
      </c>
      <c r="E424" s="14">
        <v>0.0</v>
      </c>
      <c r="F424" s="14">
        <v>0.0</v>
      </c>
      <c r="G424" s="14">
        <v>0.0</v>
      </c>
      <c r="H424" s="14">
        <v>0.0</v>
      </c>
      <c r="I424" s="14">
        <v>0.0</v>
      </c>
      <c r="J424" s="14">
        <v>0.0</v>
      </c>
    </row>
    <row r="425">
      <c r="A425" s="22" t="s">
        <v>368</v>
      </c>
      <c r="B425" s="21">
        <f t="shared" si="2"/>
        <v>0</v>
      </c>
      <c r="C425" s="21" t="str">
        <f>VLOOKUP(A425, hash!A$2:B$500, 2, 0)</f>
        <v>66f45d5a1b907c8f0ec96c71</v>
      </c>
      <c r="D425" s="23">
        <f t="shared" si="3"/>
        <v>0</v>
      </c>
      <c r="E425" s="14">
        <v>0.0</v>
      </c>
      <c r="F425" s="14">
        <v>0.0</v>
      </c>
      <c r="G425" s="14">
        <v>0.0</v>
      </c>
      <c r="H425" s="14">
        <v>0.0</v>
      </c>
      <c r="I425" s="14">
        <v>0.0</v>
      </c>
      <c r="J425" s="14">
        <v>0.0</v>
      </c>
    </row>
    <row r="426">
      <c r="A426" s="22" t="s">
        <v>369</v>
      </c>
      <c r="B426" s="21">
        <f t="shared" si="2"/>
        <v>0</v>
      </c>
      <c r="C426" s="21" t="str">
        <f>VLOOKUP(A426, hash!A$2:B$500, 2, 0)</f>
        <v>66f45d631b907c8f0ec96c72</v>
      </c>
      <c r="D426" s="23">
        <f t="shared" si="3"/>
        <v>0</v>
      </c>
      <c r="E426" s="14">
        <v>0.0</v>
      </c>
      <c r="F426" s="14">
        <v>0.0</v>
      </c>
      <c r="G426" s="14">
        <v>0.0</v>
      </c>
      <c r="H426" s="14">
        <v>0.0</v>
      </c>
      <c r="I426" s="14">
        <v>0.0</v>
      </c>
      <c r="J426" s="14">
        <v>0.0</v>
      </c>
    </row>
    <row r="427">
      <c r="A427" s="22" t="s">
        <v>370</v>
      </c>
      <c r="B427" s="21">
        <f t="shared" si="2"/>
        <v>0</v>
      </c>
      <c r="C427" s="21" t="str">
        <f>VLOOKUP(A427, hash!A$2:B$500, 2, 0)</f>
        <v>66f46153afd5bb224b388dd3</v>
      </c>
      <c r="D427" s="23">
        <f t="shared" si="3"/>
        <v>0</v>
      </c>
      <c r="E427" s="14">
        <v>0.0</v>
      </c>
      <c r="F427" s="14">
        <v>0.0</v>
      </c>
      <c r="G427" s="14">
        <v>0.0</v>
      </c>
      <c r="H427" s="14">
        <v>0.0</v>
      </c>
      <c r="I427" s="14">
        <v>0.0</v>
      </c>
      <c r="J427" s="14">
        <v>0.0</v>
      </c>
    </row>
    <row r="428">
      <c r="A428" s="22" t="s">
        <v>371</v>
      </c>
      <c r="B428" s="21">
        <f t="shared" si="2"/>
        <v>0</v>
      </c>
      <c r="C428" s="21" t="str">
        <f>VLOOKUP(A428, hash!A$2:B$500, 2, 0)</f>
        <v>66faf7403d0298e8c9725401</v>
      </c>
      <c r="D428" s="23">
        <f t="shared" si="3"/>
        <v>0</v>
      </c>
      <c r="E428" s="14">
        <v>0.0</v>
      </c>
      <c r="F428" s="14">
        <v>0.0</v>
      </c>
      <c r="G428" s="14">
        <v>0.0</v>
      </c>
      <c r="H428" s="14">
        <v>0.0</v>
      </c>
      <c r="I428" s="14">
        <v>0.0</v>
      </c>
      <c r="J428" s="14">
        <v>0.0</v>
      </c>
    </row>
    <row r="429">
      <c r="A429" s="22" t="s">
        <v>372</v>
      </c>
      <c r="B429" s="21">
        <f t="shared" si="2"/>
        <v>0</v>
      </c>
      <c r="C429" s="21" t="str">
        <f>VLOOKUP(A429, hash!A$2:B$500, 2, 0)</f>
        <v>66fd9ea883a05cb41c36e324</v>
      </c>
      <c r="D429" s="23">
        <f t="shared" si="3"/>
        <v>0</v>
      </c>
      <c r="E429" s="14">
        <v>0.0</v>
      </c>
      <c r="F429" s="14">
        <v>0.0</v>
      </c>
      <c r="G429" s="14">
        <v>0.0</v>
      </c>
      <c r="H429" s="14">
        <v>0.0</v>
      </c>
      <c r="I429" s="14">
        <v>0.0</v>
      </c>
      <c r="J429" s="14">
        <v>0.0</v>
      </c>
    </row>
    <row r="430">
      <c r="A430" s="22" t="s">
        <v>373</v>
      </c>
      <c r="B430" s="21">
        <f t="shared" si="2"/>
        <v>0</v>
      </c>
      <c r="C430" s="21" t="str">
        <f>VLOOKUP(A430, hash!A$2:B$500, 2, 0)</f>
        <v>670433a06db2b04a6e31a055</v>
      </c>
      <c r="D430" s="23">
        <f t="shared" si="3"/>
        <v>0</v>
      </c>
      <c r="E430" s="14">
        <v>0.0</v>
      </c>
      <c r="F430" s="14">
        <v>0.0</v>
      </c>
      <c r="G430" s="14">
        <v>0.0</v>
      </c>
      <c r="H430" s="14">
        <v>0.0</v>
      </c>
      <c r="I430" s="14">
        <v>0.0</v>
      </c>
      <c r="J430" s="14">
        <v>0.0</v>
      </c>
    </row>
    <row r="431">
      <c r="A431" s="22" t="s">
        <v>374</v>
      </c>
      <c r="B431" s="21">
        <f t="shared" si="2"/>
        <v>0</v>
      </c>
      <c r="C431" s="21" t="str">
        <f>VLOOKUP(A431, hash!A$2:B$500, 2, 0)</f>
        <v>670434d9ca50ac710634e166</v>
      </c>
      <c r="D431" s="23">
        <f t="shared" si="3"/>
        <v>0</v>
      </c>
      <c r="E431" s="14">
        <v>0.0</v>
      </c>
      <c r="F431" s="14">
        <v>0.0</v>
      </c>
      <c r="G431" s="14">
        <v>0.0</v>
      </c>
      <c r="H431" s="14">
        <v>0.0</v>
      </c>
      <c r="I431" s="14">
        <v>0.0</v>
      </c>
      <c r="J431" s="14">
        <v>0.0</v>
      </c>
    </row>
    <row r="432">
      <c r="A432" s="22" t="s">
        <v>375</v>
      </c>
      <c r="B432" s="21">
        <f t="shared" si="2"/>
        <v>0</v>
      </c>
      <c r="C432" s="21" t="str">
        <f>VLOOKUP(A432, hash!A$2:B$500, 2, 0)</f>
        <v>670435036c4ee83067f36d8e</v>
      </c>
      <c r="D432" s="23">
        <f t="shared" si="3"/>
        <v>0</v>
      </c>
      <c r="E432" s="14">
        <v>0.0</v>
      </c>
      <c r="F432" s="14">
        <v>0.0</v>
      </c>
      <c r="G432" s="14">
        <v>0.0</v>
      </c>
      <c r="H432" s="14">
        <v>0.0</v>
      </c>
      <c r="I432" s="14">
        <v>0.0</v>
      </c>
      <c r="J432" s="14">
        <v>0.0</v>
      </c>
    </row>
    <row r="433">
      <c r="A433" s="22" t="s">
        <v>376</v>
      </c>
      <c r="B433" s="21">
        <f t="shared" si="2"/>
        <v>0</v>
      </c>
      <c r="C433" s="21" t="str">
        <f>VLOOKUP(A433, hash!A$2:B$500, 2, 0)</f>
        <v>670435056c4ee83067f36d90</v>
      </c>
      <c r="D433" s="23">
        <f t="shared" si="3"/>
        <v>0</v>
      </c>
      <c r="E433" s="14">
        <v>0.0</v>
      </c>
      <c r="F433" s="14">
        <v>0.0</v>
      </c>
      <c r="G433" s="14">
        <v>0.0</v>
      </c>
      <c r="H433" s="14">
        <v>0.0</v>
      </c>
      <c r="I433" s="14">
        <v>0.0</v>
      </c>
      <c r="J433" s="14">
        <v>0.0</v>
      </c>
    </row>
    <row r="434">
      <c r="A434" s="22" t="s">
        <v>377</v>
      </c>
      <c r="B434" s="21">
        <f t="shared" si="2"/>
        <v>0</v>
      </c>
      <c r="C434" s="21" t="str">
        <f>VLOOKUP(A434, hash!A$2:B$500, 2, 0)</f>
        <v>67227ab1bfe0d0d8e499df41</v>
      </c>
      <c r="D434" s="23">
        <f t="shared" si="3"/>
        <v>0</v>
      </c>
      <c r="E434" s="14">
        <v>0.0</v>
      </c>
      <c r="F434" s="14">
        <v>0.0</v>
      </c>
      <c r="G434" s="14">
        <v>0.0</v>
      </c>
      <c r="H434" s="14">
        <v>0.0</v>
      </c>
      <c r="I434" s="14">
        <v>0.0</v>
      </c>
      <c r="J434" s="14">
        <v>0.0</v>
      </c>
    </row>
    <row r="435">
      <c r="A435" s="22" t="s">
        <v>378</v>
      </c>
      <c r="B435" s="21">
        <f t="shared" si="2"/>
        <v>0</v>
      </c>
      <c r="C435" s="21" t="str">
        <f>VLOOKUP(A435, hash!A$2:B$500, 2, 0)</f>
        <v>67227ae83b978dfc87a11d7c</v>
      </c>
      <c r="D435" s="23">
        <f t="shared" si="3"/>
        <v>0</v>
      </c>
      <c r="E435" s="14">
        <v>0.0</v>
      </c>
      <c r="F435" s="14">
        <v>0.0</v>
      </c>
      <c r="G435" s="14">
        <v>0.0</v>
      </c>
      <c r="H435" s="14">
        <v>0.0</v>
      </c>
      <c r="I435" s="14">
        <v>0.0</v>
      </c>
      <c r="J435" s="14">
        <v>0.0</v>
      </c>
    </row>
    <row r="436">
      <c r="A436" s="22" t="s">
        <v>379</v>
      </c>
      <c r="B436" s="21">
        <f t="shared" si="2"/>
        <v>0</v>
      </c>
      <c r="C436" s="21" t="str">
        <f>VLOOKUP(A436, hash!A$2:B$500, 2, 0)</f>
        <v>67227ae9bfe0d0d8e499df4a</v>
      </c>
      <c r="D436" s="23">
        <f t="shared" si="3"/>
        <v>0</v>
      </c>
      <c r="E436" s="14">
        <v>0.0</v>
      </c>
      <c r="F436" s="14">
        <v>0.0</v>
      </c>
      <c r="G436" s="14">
        <v>0.0</v>
      </c>
      <c r="H436" s="14">
        <v>0.0</v>
      </c>
      <c r="I436" s="14">
        <v>0.0</v>
      </c>
      <c r="J436" s="14">
        <v>0.0</v>
      </c>
    </row>
    <row r="437">
      <c r="A437" s="22" t="s">
        <v>380</v>
      </c>
      <c r="B437" s="21">
        <f t="shared" si="2"/>
        <v>0</v>
      </c>
      <c r="C437" s="21" t="str">
        <f>VLOOKUP(A437, hash!A$2:B$500, 2, 0)</f>
        <v>6722880615f26c44c01432fc</v>
      </c>
      <c r="D437" s="23">
        <f t="shared" si="3"/>
        <v>0</v>
      </c>
      <c r="E437" s="14">
        <v>0.0</v>
      </c>
      <c r="F437" s="14">
        <v>0.0</v>
      </c>
      <c r="G437" s="14">
        <v>0.0</v>
      </c>
      <c r="H437" s="14">
        <v>0.0</v>
      </c>
      <c r="I437" s="14">
        <v>0.0</v>
      </c>
      <c r="J437" s="14">
        <v>0.0</v>
      </c>
    </row>
    <row r="438">
      <c r="A438" s="22" t="s">
        <v>381</v>
      </c>
      <c r="B438" s="21">
        <f t="shared" si="2"/>
        <v>0</v>
      </c>
      <c r="C438" s="21" t="str">
        <f>VLOOKUP(A438, hash!A$2:B$500, 2, 0)</f>
        <v>673394857b0fd6243000d5bb</v>
      </c>
      <c r="D438" s="23">
        <f t="shared" si="3"/>
        <v>0</v>
      </c>
      <c r="E438" s="14">
        <v>0.0</v>
      </c>
      <c r="F438" s="14">
        <v>0.0</v>
      </c>
      <c r="G438" s="14">
        <v>0.0</v>
      </c>
      <c r="H438" s="14">
        <v>0.0</v>
      </c>
      <c r="I438" s="14">
        <v>0.0</v>
      </c>
      <c r="J438" s="14">
        <v>0.0</v>
      </c>
    </row>
    <row r="439">
      <c r="A439" s="22" t="s">
        <v>382</v>
      </c>
      <c r="B439" s="21">
        <f t="shared" si="2"/>
        <v>0</v>
      </c>
      <c r="C439" s="21" t="str">
        <f>VLOOKUP(A439, hash!A$2:B$500, 2, 0)</f>
        <v>6734fd83edd14dcb5dfd83a5</v>
      </c>
      <c r="D439" s="23">
        <f t="shared" si="3"/>
        <v>0</v>
      </c>
      <c r="E439" s="14">
        <v>0.0</v>
      </c>
      <c r="F439" s="14">
        <v>0.0</v>
      </c>
      <c r="G439" s="14">
        <v>0.0</v>
      </c>
      <c r="H439" s="14">
        <v>0.0</v>
      </c>
      <c r="I439" s="14">
        <v>0.0</v>
      </c>
      <c r="J439" s="14">
        <v>0.0</v>
      </c>
    </row>
    <row r="440">
      <c r="A440" s="22" t="s">
        <v>383</v>
      </c>
      <c r="B440" s="21">
        <f t="shared" si="2"/>
        <v>0</v>
      </c>
      <c r="C440" s="21" t="str">
        <f>VLOOKUP(A440, hash!A$2:B$500, 2, 0)</f>
        <v>6734fe83a65040fdf22fe094</v>
      </c>
      <c r="D440" s="23">
        <f t="shared" si="3"/>
        <v>0</v>
      </c>
      <c r="E440" s="14">
        <v>0.0</v>
      </c>
      <c r="F440" s="14">
        <v>0.0</v>
      </c>
      <c r="G440" s="14">
        <v>0.0</v>
      </c>
      <c r="H440" s="14">
        <v>0.0</v>
      </c>
      <c r="I440" s="14">
        <v>0.0</v>
      </c>
      <c r="J440" s="14">
        <v>0.0</v>
      </c>
    </row>
    <row r="441">
      <c r="A441" s="22" t="s">
        <v>384</v>
      </c>
      <c r="B441" s="21">
        <f t="shared" si="2"/>
        <v>0</v>
      </c>
      <c r="C441" s="21" t="str">
        <f>VLOOKUP(A441, hash!A$2:B$500, 2, 0)</f>
        <v>673667916389ccbc905f7087</v>
      </c>
      <c r="D441" s="23">
        <f t="shared" si="3"/>
        <v>0</v>
      </c>
      <c r="E441" s="14">
        <v>0.0</v>
      </c>
      <c r="F441" s="14">
        <v>0.0</v>
      </c>
      <c r="G441" s="14">
        <v>0.0</v>
      </c>
      <c r="H441" s="14">
        <v>0.0</v>
      </c>
      <c r="I441" s="14">
        <v>0.0</v>
      </c>
      <c r="J441" s="14">
        <v>0.0</v>
      </c>
    </row>
    <row r="442">
      <c r="A442" s="22" t="s">
        <v>385</v>
      </c>
      <c r="B442" s="21">
        <f t="shared" si="2"/>
        <v>0</v>
      </c>
      <c r="C442" s="21" t="str">
        <f>VLOOKUP(A442, hash!A$2:B$500, 2, 0)</f>
        <v>673a8158f6d86c8cb2c070a7</v>
      </c>
      <c r="D442" s="23">
        <f t="shared" si="3"/>
        <v>0</v>
      </c>
      <c r="E442" s="14">
        <v>0.0</v>
      </c>
      <c r="F442" s="14">
        <v>0.0</v>
      </c>
      <c r="G442" s="14">
        <v>0.0</v>
      </c>
      <c r="H442" s="14">
        <v>0.0</v>
      </c>
      <c r="I442" s="14">
        <v>0.0</v>
      </c>
      <c r="J442" s="14">
        <v>0.0</v>
      </c>
    </row>
    <row r="443">
      <c r="A443" s="22" t="s">
        <v>386</v>
      </c>
      <c r="B443" s="21">
        <f t="shared" si="2"/>
        <v>0</v>
      </c>
      <c r="C443" s="21" t="str">
        <f>VLOOKUP(A443, hash!A$2:B$500, 2, 0)</f>
        <v>6744d0a1156a1bc963bd8fbf</v>
      </c>
      <c r="D443" s="23">
        <f t="shared" si="3"/>
        <v>0</v>
      </c>
      <c r="E443" s="14">
        <v>0.0</v>
      </c>
      <c r="F443" s="14">
        <v>0.0</v>
      </c>
      <c r="G443" s="14">
        <v>0.0</v>
      </c>
      <c r="H443" s="14">
        <v>0.0</v>
      </c>
      <c r="I443" s="14">
        <v>0.0</v>
      </c>
      <c r="J443" s="14">
        <v>0.0</v>
      </c>
    </row>
    <row r="444">
      <c r="A444" s="22" t="s">
        <v>387</v>
      </c>
      <c r="B444" s="21">
        <f t="shared" si="2"/>
        <v>0</v>
      </c>
      <c r="C444" s="21" t="str">
        <f>VLOOKUP(A444, hash!A$2:B$500, 2, 0)</f>
        <v>6744d31b156a1bc963bd8fc2</v>
      </c>
      <c r="D444" s="23">
        <f t="shared" si="3"/>
        <v>0</v>
      </c>
      <c r="E444" s="14">
        <v>0.0</v>
      </c>
      <c r="F444" s="14">
        <v>0.0</v>
      </c>
      <c r="G444" s="14">
        <v>0.0</v>
      </c>
      <c r="H444" s="14">
        <v>0.0</v>
      </c>
      <c r="I444" s="14">
        <v>0.0</v>
      </c>
      <c r="J444" s="14">
        <v>0.0</v>
      </c>
    </row>
    <row r="445">
      <c r="A445" s="22" t="s">
        <v>388</v>
      </c>
      <c r="B445" s="21">
        <f t="shared" si="2"/>
        <v>0</v>
      </c>
      <c r="C445" s="21" t="str">
        <f>VLOOKUP(A445, hash!A$2:B$500, 2, 0)</f>
        <v>6744d360ee471117faf92ec6</v>
      </c>
      <c r="D445" s="23">
        <f t="shared" si="3"/>
        <v>0</v>
      </c>
      <c r="E445" s="14">
        <v>0.0</v>
      </c>
      <c r="F445" s="14">
        <v>0.0</v>
      </c>
      <c r="G445" s="14">
        <v>0.0</v>
      </c>
      <c r="H445" s="14">
        <v>0.0</v>
      </c>
      <c r="I445" s="14">
        <v>0.0</v>
      </c>
      <c r="J445" s="14">
        <v>0.0</v>
      </c>
    </row>
    <row r="446">
      <c r="A446" s="22" t="s">
        <v>389</v>
      </c>
      <c r="B446" s="21">
        <f t="shared" si="2"/>
        <v>0</v>
      </c>
      <c r="C446" s="21" t="str">
        <f>VLOOKUP(A446, hash!A$2:B$500, 2, 0)</f>
        <v>6759eec606231a741ef188c3</v>
      </c>
      <c r="D446" s="23">
        <f t="shared" si="3"/>
        <v>0</v>
      </c>
      <c r="E446" s="14">
        <v>0.0</v>
      </c>
      <c r="F446" s="14">
        <v>0.0</v>
      </c>
      <c r="G446" s="14">
        <v>0.0</v>
      </c>
      <c r="H446" s="14">
        <v>0.0</v>
      </c>
      <c r="I446" s="14">
        <v>0.0</v>
      </c>
      <c r="J446" s="14">
        <v>0.0</v>
      </c>
    </row>
    <row r="447">
      <c r="A447" s="22" t="s">
        <v>390</v>
      </c>
      <c r="B447" s="21">
        <f t="shared" si="2"/>
        <v>0</v>
      </c>
      <c r="C447" s="21" t="str">
        <f>VLOOKUP(A447, hash!A$2:B$500, 2, 0)</f>
        <v>6759f5db64fc5028fafe3a1c</v>
      </c>
      <c r="D447" s="23">
        <f t="shared" si="3"/>
        <v>0</v>
      </c>
      <c r="E447" s="14">
        <v>0.0</v>
      </c>
      <c r="F447" s="14">
        <v>0.0</v>
      </c>
      <c r="G447" s="14">
        <v>0.0</v>
      </c>
      <c r="H447" s="14">
        <v>0.0</v>
      </c>
      <c r="I447" s="14">
        <v>0.0</v>
      </c>
      <c r="J447" s="14">
        <v>0.0</v>
      </c>
    </row>
    <row r="448">
      <c r="A448" s="22" t="s">
        <v>391</v>
      </c>
      <c r="B448" s="21">
        <f t="shared" si="2"/>
        <v>0</v>
      </c>
      <c r="C448" s="21" t="str">
        <f>VLOOKUP(A448, hash!A$2:B$500, 2, 0)</f>
        <v>6759f6a464fc5028fafe3a1e</v>
      </c>
      <c r="D448" s="23">
        <f t="shared" si="3"/>
        <v>0</v>
      </c>
      <c r="E448" s="14">
        <v>0.0</v>
      </c>
      <c r="F448" s="14">
        <v>0.0</v>
      </c>
      <c r="G448" s="14">
        <v>0.0</v>
      </c>
      <c r="H448" s="14">
        <v>0.0</v>
      </c>
      <c r="I448" s="14">
        <v>0.0</v>
      </c>
      <c r="J448" s="14">
        <v>0.0</v>
      </c>
    </row>
    <row r="449">
      <c r="A449" s="22" t="s">
        <v>392</v>
      </c>
      <c r="B449" s="21">
        <f t="shared" si="2"/>
        <v>0</v>
      </c>
      <c r="C449" s="21" t="str">
        <f>VLOOKUP(A449, hash!A$2:B$500, 2, 0)</f>
        <v>6763225e39597b344266c9a6</v>
      </c>
      <c r="D449" s="23">
        <f t="shared" si="3"/>
        <v>0</v>
      </c>
      <c r="E449" s="14">
        <v>0.0</v>
      </c>
      <c r="F449" s="14">
        <v>0.0</v>
      </c>
      <c r="G449" s="14">
        <v>0.0</v>
      </c>
      <c r="H449" s="14">
        <v>0.0</v>
      </c>
      <c r="I449" s="14">
        <v>0.0</v>
      </c>
      <c r="J449" s="14">
        <v>0.0</v>
      </c>
    </row>
    <row r="450">
      <c r="A450" s="22" t="s">
        <v>393</v>
      </c>
      <c r="B450" s="21">
        <f t="shared" si="2"/>
        <v>0</v>
      </c>
      <c r="C450" s="21" t="str">
        <f>VLOOKUP(A450, hash!A$2:B$500, 2, 0)</f>
        <v>676322fe39597b344266c9b1</v>
      </c>
      <c r="D450" s="23">
        <f t="shared" si="3"/>
        <v>0</v>
      </c>
      <c r="E450" s="14">
        <v>0.0</v>
      </c>
      <c r="F450" s="14">
        <v>0.0</v>
      </c>
      <c r="G450" s="14">
        <v>0.0</v>
      </c>
      <c r="H450" s="14">
        <v>0.0</v>
      </c>
      <c r="I450" s="14">
        <v>0.0</v>
      </c>
      <c r="J450" s="14">
        <v>0.0</v>
      </c>
    </row>
    <row r="451">
      <c r="A451" s="22" t="s">
        <v>394</v>
      </c>
      <c r="B451" s="21">
        <f t="shared" si="2"/>
        <v>0</v>
      </c>
      <c r="C451" s="21" t="str">
        <f>VLOOKUP(A451, hash!A$2:B$500, 2, 0)</f>
        <v>67632d170ffd754202dfbc19</v>
      </c>
      <c r="D451" s="23">
        <f t="shared" si="3"/>
        <v>0</v>
      </c>
      <c r="E451" s="14">
        <v>0.0</v>
      </c>
      <c r="F451" s="14">
        <v>0.0</v>
      </c>
      <c r="G451" s="14">
        <v>0.0</v>
      </c>
      <c r="H451" s="14">
        <v>0.0</v>
      </c>
      <c r="I451" s="14">
        <v>0.0</v>
      </c>
      <c r="J451" s="14">
        <v>0.0</v>
      </c>
    </row>
    <row r="452">
      <c r="A452" s="22" t="s">
        <v>395</v>
      </c>
      <c r="B452" s="21">
        <f t="shared" si="2"/>
        <v>0</v>
      </c>
      <c r="C452" s="21" t="str">
        <f>VLOOKUP(A452, hash!A$2:B$500, 2, 0)</f>
        <v>67a3c527ca020323b7eff1a5</v>
      </c>
      <c r="D452" s="23">
        <f t="shared" si="3"/>
        <v>0</v>
      </c>
      <c r="E452" s="14">
        <v>0.0</v>
      </c>
      <c r="F452" s="14">
        <v>0.0</v>
      </c>
      <c r="G452" s="14">
        <v>0.0</v>
      </c>
      <c r="H452" s="14">
        <v>0.0</v>
      </c>
      <c r="I452" s="14">
        <v>0.0</v>
      </c>
      <c r="J452" s="14">
        <v>0.0</v>
      </c>
    </row>
    <row r="453">
      <c r="A453" s="22" t="s">
        <v>396</v>
      </c>
      <c r="B453" s="21">
        <f t="shared" si="2"/>
        <v>0</v>
      </c>
      <c r="C453" s="21" t="str">
        <f>VLOOKUP(A453, hash!A$2:B$500, 2, 0)</f>
        <v>67a3c8cda63a4a485ba406b5</v>
      </c>
      <c r="D453" s="23">
        <f t="shared" si="3"/>
        <v>0</v>
      </c>
      <c r="E453" s="14">
        <v>0.0</v>
      </c>
      <c r="F453" s="14">
        <v>0.0</v>
      </c>
      <c r="G453" s="14">
        <v>0.0</v>
      </c>
      <c r="H453" s="14">
        <v>0.0</v>
      </c>
      <c r="I453" s="14">
        <v>0.0</v>
      </c>
      <c r="J453" s="14">
        <v>0.0</v>
      </c>
    </row>
    <row r="454">
      <c r="A454" s="22" t="s">
        <v>397</v>
      </c>
      <c r="B454" s="21">
        <f t="shared" si="2"/>
        <v>0</v>
      </c>
      <c r="C454" s="21" t="str">
        <f>VLOOKUP(A454, hash!A$2:B$500, 2, 0)</f>
        <v>67a535b149fa0381555ced38</v>
      </c>
      <c r="D454" s="23">
        <f t="shared" si="3"/>
        <v>0</v>
      </c>
      <c r="E454" s="14">
        <v>0.0</v>
      </c>
      <c r="F454" s="14">
        <v>0.0</v>
      </c>
      <c r="G454" s="14">
        <v>0.0</v>
      </c>
      <c r="H454" s="14">
        <v>0.0</v>
      </c>
      <c r="I454" s="14">
        <v>0.0</v>
      </c>
      <c r="J454" s="14">
        <v>0.0</v>
      </c>
    </row>
    <row r="455">
      <c r="A455" s="22" t="s">
        <v>398</v>
      </c>
      <c r="B455" s="21">
        <f t="shared" si="2"/>
        <v>0</v>
      </c>
      <c r="C455" s="21" t="str">
        <f>VLOOKUP(A455, hash!A$2:B$500, 2, 0)</f>
        <v>67a544d43e0559808a8d2e8f</v>
      </c>
      <c r="D455" s="23">
        <f t="shared" si="3"/>
        <v>0</v>
      </c>
      <c r="E455" s="14">
        <v>0.0</v>
      </c>
      <c r="F455" s="14">
        <v>0.0</v>
      </c>
      <c r="G455" s="14">
        <v>0.0</v>
      </c>
      <c r="H455" s="14">
        <v>0.0</v>
      </c>
      <c r="I455" s="14">
        <v>0.0</v>
      </c>
      <c r="J455" s="14">
        <v>0.0</v>
      </c>
    </row>
    <row r="456">
      <c r="A456" s="22" t="s">
        <v>399</v>
      </c>
      <c r="B456" s="21">
        <f t="shared" si="2"/>
        <v>0</v>
      </c>
      <c r="C456" s="21" t="str">
        <f>VLOOKUP(A456, hash!A$2:B$500, 2, 0)</f>
        <v>67b5120d9d5405d24c72cb81</v>
      </c>
      <c r="D456" s="23">
        <f t="shared" si="3"/>
        <v>0</v>
      </c>
      <c r="E456" s="14">
        <v>0.0</v>
      </c>
      <c r="F456" s="14">
        <v>0.0</v>
      </c>
      <c r="G456" s="14">
        <v>0.0</v>
      </c>
      <c r="H456" s="14">
        <v>0.0</v>
      </c>
      <c r="I456" s="14">
        <v>0.0</v>
      </c>
      <c r="J456" s="14">
        <v>0.0</v>
      </c>
    </row>
    <row r="457">
      <c r="A457" s="22" t="s">
        <v>400</v>
      </c>
      <c r="B457" s="21">
        <f t="shared" si="2"/>
        <v>0</v>
      </c>
      <c r="C457" s="21" t="str">
        <f>VLOOKUP(A457, hash!A$2:B$500, 2, 0)</f>
        <v>67b63dd5c78692f30b983f14</v>
      </c>
      <c r="D457" s="23">
        <f t="shared" si="3"/>
        <v>0</v>
      </c>
      <c r="E457" s="14">
        <v>0.0</v>
      </c>
      <c r="F457" s="14">
        <v>0.0</v>
      </c>
      <c r="G457" s="14">
        <v>0.0</v>
      </c>
      <c r="H457" s="14">
        <v>0.0</v>
      </c>
      <c r="I457" s="14">
        <v>0.0</v>
      </c>
      <c r="J457" s="14">
        <v>0.0</v>
      </c>
    </row>
    <row r="458">
      <c r="A458" s="22" t="s">
        <v>401</v>
      </c>
      <c r="B458" s="21">
        <f t="shared" si="2"/>
        <v>0</v>
      </c>
      <c r="C458" s="21" t="str">
        <f>VLOOKUP(A458, hash!A$2:B$500, 2, 0)</f>
        <v>67c8a74821bbd6a835232a2a</v>
      </c>
      <c r="D458" s="23">
        <f t="shared" si="3"/>
        <v>0</v>
      </c>
      <c r="E458" s="14">
        <v>0.0</v>
      </c>
      <c r="F458" s="14">
        <v>0.0</v>
      </c>
      <c r="G458" s="14">
        <v>0.0</v>
      </c>
      <c r="H458" s="14">
        <v>0.0</v>
      </c>
      <c r="I458" s="14">
        <v>0.0</v>
      </c>
      <c r="J458" s="14">
        <v>0.0</v>
      </c>
    </row>
    <row r="459">
      <c r="A459" s="22" t="s">
        <v>402</v>
      </c>
      <c r="B459" s="21">
        <f t="shared" si="2"/>
        <v>0</v>
      </c>
      <c r="C459" s="21" t="str">
        <f>VLOOKUP(A459, hash!A$2:B$500, 2, 0)</f>
        <v>67c8bc075390554ca7b324ed</v>
      </c>
      <c r="D459" s="23">
        <f t="shared" si="3"/>
        <v>0</v>
      </c>
      <c r="E459" s="14">
        <v>0.0</v>
      </c>
      <c r="F459" s="14">
        <v>0.0</v>
      </c>
      <c r="G459" s="14">
        <v>0.0</v>
      </c>
      <c r="H459" s="14">
        <v>0.0</v>
      </c>
      <c r="I459" s="14">
        <v>0.0</v>
      </c>
      <c r="J459" s="14">
        <v>0.0</v>
      </c>
    </row>
    <row r="460">
      <c r="A460" s="22" t="s">
        <v>403</v>
      </c>
      <c r="B460" s="21">
        <f t="shared" si="2"/>
        <v>0</v>
      </c>
      <c r="C460" s="21" t="str">
        <f>VLOOKUP(A460, hash!A$2:B$500, 2, 0)</f>
        <v>67ca21935616e12832b4ca23</v>
      </c>
      <c r="D460" s="23">
        <f t="shared" si="3"/>
        <v>0</v>
      </c>
      <c r="E460" s="14">
        <v>0.0</v>
      </c>
      <c r="F460" s="14">
        <v>0.0</v>
      </c>
      <c r="G460" s="14">
        <v>0.0</v>
      </c>
      <c r="H460" s="14">
        <v>0.0</v>
      </c>
      <c r="I460" s="14">
        <v>0.0</v>
      </c>
      <c r="J460" s="14">
        <v>0.0</v>
      </c>
    </row>
    <row r="461">
      <c r="A461" s="22" t="s">
        <v>404</v>
      </c>
      <c r="B461" s="21">
        <f t="shared" si="2"/>
        <v>0</v>
      </c>
      <c r="C461" s="21" t="str">
        <f>VLOOKUP(A461, hash!A$2:B$500, 2, 0)</f>
        <v>67d4f44d1b9fd6a7478d3ebf</v>
      </c>
      <c r="D461" s="23">
        <f t="shared" si="3"/>
        <v>0</v>
      </c>
      <c r="E461" s="14">
        <v>0.0</v>
      </c>
      <c r="F461" s="14">
        <v>0.0</v>
      </c>
      <c r="G461" s="14">
        <v>0.0</v>
      </c>
      <c r="H461" s="14">
        <v>0.0</v>
      </c>
      <c r="I461" s="14">
        <v>0.0</v>
      </c>
      <c r="J461" s="14">
        <v>0.0</v>
      </c>
    </row>
    <row r="462">
      <c r="A462" s="22" t="s">
        <v>405</v>
      </c>
      <c r="B462" s="21">
        <f t="shared" si="2"/>
        <v>0</v>
      </c>
      <c r="C462" s="21" t="str">
        <f>VLOOKUP(A462, hash!A$2:B$500, 2, 0)</f>
        <v>67e446b16f327753e60fd3d5</v>
      </c>
      <c r="D462" s="23">
        <f t="shared" si="3"/>
        <v>0</v>
      </c>
      <c r="E462" s="14">
        <v>0.0</v>
      </c>
      <c r="F462" s="14">
        <v>0.0</v>
      </c>
      <c r="G462" s="14">
        <v>0.0</v>
      </c>
      <c r="H462" s="14">
        <v>0.0</v>
      </c>
      <c r="I462" s="14">
        <v>0.0</v>
      </c>
      <c r="J462" s="14">
        <v>0.0</v>
      </c>
    </row>
    <row r="463">
      <c r="A463" s="22" t="s">
        <v>406</v>
      </c>
      <c r="B463" s="21">
        <f t="shared" si="2"/>
        <v>0</v>
      </c>
      <c r="C463" s="21" t="str">
        <f>VLOOKUP(A463, hash!A$2:B$500, 2, 0)</f>
        <v>680945d630ab9e556d334a50</v>
      </c>
      <c r="D463" s="23">
        <f t="shared" si="3"/>
        <v>0</v>
      </c>
      <c r="E463" s="14">
        <v>0.0</v>
      </c>
      <c r="F463" s="14">
        <v>0.0</v>
      </c>
      <c r="G463" s="14">
        <v>0.0</v>
      </c>
      <c r="H463" s="14">
        <v>0.0</v>
      </c>
      <c r="I463" s="14">
        <v>0.0</v>
      </c>
      <c r="J463" s="14">
        <v>0.0</v>
      </c>
    </row>
    <row r="464">
      <c r="A464" s="22" t="s">
        <v>407</v>
      </c>
      <c r="B464" s="21">
        <f t="shared" si="2"/>
        <v>0</v>
      </c>
      <c r="C464" s="21" t="str">
        <f>VLOOKUP(A464, hash!A$2:B$500, 2, 0)</f>
        <v>681268b431ed13ac59023ca5</v>
      </c>
      <c r="D464" s="23">
        <f t="shared" si="3"/>
        <v>0</v>
      </c>
      <c r="E464" s="14">
        <v>0.0</v>
      </c>
      <c r="F464" s="14">
        <v>0.0</v>
      </c>
      <c r="G464" s="14">
        <v>0.0</v>
      </c>
      <c r="H464" s="14">
        <v>0.0</v>
      </c>
      <c r="I464" s="14">
        <v>0.0</v>
      </c>
      <c r="J464" s="14">
        <v>0.0</v>
      </c>
    </row>
    <row r="465">
      <c r="A465" s="22" t="s">
        <v>408</v>
      </c>
      <c r="B465" s="21">
        <f t="shared" si="2"/>
        <v>0</v>
      </c>
      <c r="C465" s="21" t="str">
        <f>VLOOKUP(A465, hash!A$2:B$500, 2, 0)</f>
        <v>6812794d47c727e021e117d9</v>
      </c>
      <c r="D465" s="23">
        <f t="shared" si="3"/>
        <v>0</v>
      </c>
      <c r="E465" s="14">
        <v>0.0</v>
      </c>
      <c r="F465" s="14">
        <v>0.0</v>
      </c>
      <c r="G465" s="14">
        <v>0.0</v>
      </c>
      <c r="H465" s="14">
        <v>0.0</v>
      </c>
      <c r="I465" s="14">
        <v>0.0</v>
      </c>
      <c r="J465" s="14">
        <v>0.0</v>
      </c>
    </row>
    <row r="466">
      <c r="A466" s="22" t="s">
        <v>409</v>
      </c>
      <c r="B466" s="21">
        <f t="shared" si="2"/>
        <v>0</v>
      </c>
      <c r="C466" s="21" t="str">
        <f>VLOOKUP(A466, hash!A$2:B$500, 2, 0)</f>
        <v>68127a8c47c727e021e117dd</v>
      </c>
      <c r="D466" s="23">
        <f t="shared" si="3"/>
        <v>0</v>
      </c>
      <c r="E466" s="14">
        <v>0.0</v>
      </c>
      <c r="F466" s="14">
        <v>0.0</v>
      </c>
      <c r="G466" s="14">
        <v>0.0</v>
      </c>
      <c r="H466" s="14">
        <v>0.0</v>
      </c>
      <c r="I466" s="14">
        <v>0.0</v>
      </c>
      <c r="J466" s="14">
        <v>0.0</v>
      </c>
    </row>
    <row r="467">
      <c r="A467" s="22" t="s">
        <v>410</v>
      </c>
      <c r="B467" s="21">
        <f t="shared" si="2"/>
        <v>0</v>
      </c>
      <c r="C467" s="21" t="str">
        <f>VLOOKUP(A467, hash!A$2:B$500, 2, 0)</f>
        <v>681a62136696c0991ce29b1e</v>
      </c>
      <c r="D467" s="23">
        <f t="shared" si="3"/>
        <v>0</v>
      </c>
      <c r="E467" s="14">
        <v>0.0</v>
      </c>
      <c r="F467" s="14">
        <v>0.0</v>
      </c>
      <c r="G467" s="14">
        <v>0.0</v>
      </c>
      <c r="H467" s="14">
        <v>0.0</v>
      </c>
      <c r="I467" s="14">
        <v>0.0</v>
      </c>
      <c r="J467" s="14">
        <v>0.0</v>
      </c>
    </row>
    <row r="468">
      <c r="A468" s="22" t="s">
        <v>411</v>
      </c>
      <c r="B468" s="21">
        <f t="shared" si="2"/>
        <v>0</v>
      </c>
      <c r="C468" s="21" t="str">
        <f>VLOOKUP(A468, hash!A$2:B$500, 2, 0)</f>
        <v>681a622d7ac5b0a8d92b1050</v>
      </c>
      <c r="D468" s="23">
        <f t="shared" si="3"/>
        <v>0</v>
      </c>
      <c r="E468" s="14">
        <v>0.0</v>
      </c>
      <c r="F468" s="14">
        <v>0.0</v>
      </c>
      <c r="G468" s="14">
        <v>0.0</v>
      </c>
      <c r="H468" s="14">
        <v>0.0</v>
      </c>
      <c r="I468" s="14">
        <v>0.0</v>
      </c>
      <c r="J468" s="14">
        <v>0.0</v>
      </c>
    </row>
    <row r="469">
      <c r="A469" s="22" t="s">
        <v>412</v>
      </c>
      <c r="B469" s="21">
        <f t="shared" si="2"/>
        <v>0</v>
      </c>
      <c r="C469" s="21" t="str">
        <f>VLOOKUP(A469, hash!A$2:B$500, 2, 0)</f>
        <v>68ad13846a530bc7872559c3</v>
      </c>
      <c r="D469" s="23">
        <f t="shared" si="3"/>
        <v>0</v>
      </c>
      <c r="E469" s="14">
        <v>0.0</v>
      </c>
      <c r="F469" s="14">
        <v>0.0</v>
      </c>
      <c r="G469" s="14">
        <v>0.0</v>
      </c>
      <c r="H469" s="14">
        <v>0.0</v>
      </c>
      <c r="I469" s="14">
        <v>0.0</v>
      </c>
      <c r="J469" s="14">
        <v>0.0</v>
      </c>
    </row>
    <row r="470">
      <c r="A470" s="22" t="s">
        <v>413</v>
      </c>
      <c r="B470" s="21">
        <f t="shared" si="2"/>
        <v>0</v>
      </c>
      <c r="C470" s="21" t="str">
        <f>VLOOKUP(A470, hash!A$2:B$500, 2, 0)</f>
        <v>68add8275be272b1f30d5393</v>
      </c>
      <c r="D470" s="23">
        <f t="shared" si="3"/>
        <v>0</v>
      </c>
      <c r="E470" s="14">
        <v>0.0</v>
      </c>
      <c r="F470" s="14">
        <v>0.0</v>
      </c>
      <c r="G470" s="14">
        <v>0.0</v>
      </c>
      <c r="H470" s="14">
        <v>0.0</v>
      </c>
      <c r="I470" s="14">
        <v>0.0</v>
      </c>
      <c r="J470" s="14">
        <v>0.0</v>
      </c>
    </row>
    <row r="471">
      <c r="A471" s="22" t="s">
        <v>67</v>
      </c>
      <c r="B471" s="21">
        <f t="shared" si="2"/>
        <v>1500</v>
      </c>
      <c r="C471" s="21" t="str">
        <f>VLOOKUP(A471, hash!A$2:B$500, 2, 0)</f>
        <v>68ae776645784f0c9b674d14</v>
      </c>
      <c r="D471" s="23">
        <f t="shared" si="3"/>
        <v>1</v>
      </c>
      <c r="E471" s="14">
        <v>0.0</v>
      </c>
      <c r="F471" s="14">
        <v>0.0</v>
      </c>
      <c r="G471" s="14">
        <v>0.0</v>
      </c>
      <c r="H471" s="14">
        <v>0.0</v>
      </c>
      <c r="I471" s="14">
        <v>0.0</v>
      </c>
      <c r="J471" s="14">
        <v>1.0</v>
      </c>
    </row>
    <row r="472">
      <c r="A472" s="22" t="s">
        <v>414</v>
      </c>
      <c r="B472" s="21">
        <f t="shared" si="2"/>
        <v>0</v>
      </c>
      <c r="C472" s="21" t="str">
        <f>VLOOKUP(A472, hash!A$2:B$500, 2, 0)</f>
        <v>68c07b79e21962bf35ccd974</v>
      </c>
      <c r="D472" s="23">
        <f t="shared" si="3"/>
        <v>0</v>
      </c>
      <c r="E472" s="14">
        <v>0.0</v>
      </c>
      <c r="F472" s="14">
        <v>0.0</v>
      </c>
      <c r="G472" s="14">
        <v>0.0</v>
      </c>
      <c r="H472" s="14">
        <v>0.0</v>
      </c>
      <c r="I472" s="14">
        <v>0.0</v>
      </c>
      <c r="J472" s="14">
        <v>0.0</v>
      </c>
    </row>
    <row r="473">
      <c r="A473" s="22" t="s">
        <v>415</v>
      </c>
      <c r="B473" s="21">
        <f t="shared" si="2"/>
        <v>0</v>
      </c>
      <c r="C473" s="21" t="str">
        <f>VLOOKUP(A473, hash!A$2:B$500, 2, 0)</f>
        <v>68c0939001844b8a4aaa0de7</v>
      </c>
      <c r="D473" s="23">
        <f t="shared" si="3"/>
        <v>0</v>
      </c>
      <c r="E473" s="14">
        <v>0.0</v>
      </c>
      <c r="F473" s="14">
        <v>0.0</v>
      </c>
      <c r="G473" s="14">
        <v>0.0</v>
      </c>
      <c r="H473" s="14">
        <v>0.0</v>
      </c>
      <c r="I473" s="14">
        <v>0.0</v>
      </c>
      <c r="J473" s="14">
        <v>0.0</v>
      </c>
    </row>
    <row r="474">
      <c r="A474" s="22" t="s">
        <v>416</v>
      </c>
      <c r="B474" s="21">
        <f t="shared" si="2"/>
        <v>0</v>
      </c>
      <c r="C474" s="21" t="str">
        <f>VLOOKUP(A474, hash!A$2:B$500, 2, 0)</f>
        <v>68c1c24b9900186967b6932f</v>
      </c>
      <c r="D474" s="23">
        <f t="shared" si="3"/>
        <v>0</v>
      </c>
      <c r="E474" s="14">
        <v>0.0</v>
      </c>
      <c r="F474" s="14">
        <v>0.0</v>
      </c>
      <c r="G474" s="14">
        <v>0.0</v>
      </c>
      <c r="H474" s="14">
        <v>0.0</v>
      </c>
      <c r="I474" s="14">
        <v>0.0</v>
      </c>
      <c r="J474" s="14">
        <v>0.0</v>
      </c>
    </row>
    <row r="475">
      <c r="A475" s="22" t="s">
        <v>417</v>
      </c>
      <c r="B475" s="21">
        <f t="shared" si="2"/>
        <v>0</v>
      </c>
      <c r="C475" s="21" t="str">
        <f>VLOOKUP(A475, hash!A$2:B$500, 2, 0)</f>
        <v>68c1c26c6d9fc0b28257c5e8</v>
      </c>
      <c r="D475" s="23">
        <f t="shared" si="3"/>
        <v>0</v>
      </c>
      <c r="E475" s="14">
        <v>0.0</v>
      </c>
      <c r="F475" s="14">
        <v>0.0</v>
      </c>
      <c r="G475" s="14">
        <v>0.0</v>
      </c>
      <c r="H475" s="14">
        <v>0.0</v>
      </c>
      <c r="I475" s="14">
        <v>0.0</v>
      </c>
      <c r="J475" s="14">
        <v>0.0</v>
      </c>
    </row>
    <row r="476">
      <c r="A476" s="22" t="s">
        <v>418</v>
      </c>
      <c r="B476" s="21">
        <f t="shared" si="2"/>
        <v>0</v>
      </c>
      <c r="C476" s="21" t="str">
        <f>VLOOKUP(A476, hash!A$2:B$500, 2, 0)</f>
        <v>68c1c2cd6d9fc0b28257c5eb</v>
      </c>
      <c r="D476" s="23">
        <f t="shared" si="3"/>
        <v>0</v>
      </c>
      <c r="E476" s="14">
        <v>0.0</v>
      </c>
      <c r="F476" s="14">
        <v>0.0</v>
      </c>
      <c r="G476" s="14">
        <v>0.0</v>
      </c>
      <c r="H476" s="14">
        <v>0.0</v>
      </c>
      <c r="I476" s="14">
        <v>0.0</v>
      </c>
      <c r="J476" s="14">
        <v>0.0</v>
      </c>
    </row>
    <row r="477">
      <c r="A477" s="22" t="s">
        <v>419</v>
      </c>
      <c r="B477" s="21">
        <f t="shared" si="2"/>
        <v>0</v>
      </c>
      <c r="C477" s="21" t="str">
        <f>VLOOKUP(A477, hash!A$2:B$500, 2, 0)</f>
        <v>68c1c2f29900186967b69331</v>
      </c>
      <c r="D477" s="23">
        <f t="shared" si="3"/>
        <v>0</v>
      </c>
      <c r="E477" s="14">
        <v>0.0</v>
      </c>
      <c r="F477" s="14">
        <v>0.0</v>
      </c>
      <c r="G477" s="14">
        <v>0.0</v>
      </c>
      <c r="H477" s="14">
        <v>0.0</v>
      </c>
      <c r="I477" s="14">
        <v>0.0</v>
      </c>
      <c r="J477" s="14">
        <v>0.0</v>
      </c>
    </row>
    <row r="478">
      <c r="A478" s="22" t="s">
        <v>420</v>
      </c>
      <c r="B478" s="21">
        <f t="shared" si="2"/>
        <v>0</v>
      </c>
      <c r="C478" s="21" t="str">
        <f>VLOOKUP(A478, hash!A$2:B$500, 2, 0)</f>
        <v>68c1c2fb9900186967b69333</v>
      </c>
      <c r="D478" s="23">
        <f t="shared" si="3"/>
        <v>0</v>
      </c>
      <c r="E478" s="14">
        <v>0.0</v>
      </c>
      <c r="F478" s="14">
        <v>0.0</v>
      </c>
      <c r="G478" s="14">
        <v>0.0</v>
      </c>
      <c r="H478" s="14">
        <v>0.0</v>
      </c>
      <c r="I478" s="14">
        <v>0.0</v>
      </c>
      <c r="J478" s="14">
        <v>0.0</v>
      </c>
    </row>
    <row r="479">
      <c r="A479" s="22" t="s">
        <v>421</v>
      </c>
      <c r="B479" s="21">
        <f t="shared" si="2"/>
        <v>0</v>
      </c>
      <c r="C479" s="21" t="str">
        <f>VLOOKUP(A479, hash!A$2:B$500, 2, 0)</f>
        <v>68c1c3056d9fc0b28257c5ee</v>
      </c>
      <c r="D479" s="23">
        <f t="shared" si="3"/>
        <v>0</v>
      </c>
      <c r="E479" s="14">
        <v>0.0</v>
      </c>
      <c r="F479" s="14">
        <v>0.0</v>
      </c>
      <c r="G479" s="14">
        <v>0.0</v>
      </c>
      <c r="H479" s="14">
        <v>0.0</v>
      </c>
      <c r="I479" s="14">
        <v>0.0</v>
      </c>
      <c r="J479" s="14">
        <v>0.0</v>
      </c>
    </row>
    <row r="480">
      <c r="A480" s="22" t="s">
        <v>422</v>
      </c>
      <c r="B480" s="21">
        <f t="shared" si="2"/>
        <v>0</v>
      </c>
      <c r="C480" s="21" t="str">
        <f>VLOOKUP(A480, hash!A$2:B$500, 2, 0)</f>
        <v>68c1c30a6d9fc0b28257c5ef</v>
      </c>
      <c r="D480" s="23">
        <f t="shared" si="3"/>
        <v>0</v>
      </c>
      <c r="E480" s="14">
        <v>0.0</v>
      </c>
      <c r="F480" s="14">
        <v>0.0</v>
      </c>
      <c r="G480" s="14">
        <v>0.0</v>
      </c>
      <c r="H480" s="14">
        <v>0.0</v>
      </c>
      <c r="I480" s="14">
        <v>0.0</v>
      </c>
      <c r="J480" s="14">
        <v>0.0</v>
      </c>
    </row>
    <row r="481">
      <c r="A481" s="22" t="s">
        <v>87</v>
      </c>
      <c r="B481" s="21">
        <f t="shared" si="2"/>
        <v>0</v>
      </c>
      <c r="C481" s="21" t="str">
        <f>VLOOKUP(A481, hash!A$2:B$500, 2, 0)</f>
        <v>68c1c3226d9fc0b28257c5f3</v>
      </c>
      <c r="D481" s="23">
        <f t="shared" si="3"/>
        <v>0</v>
      </c>
      <c r="E481" s="14">
        <v>0.0</v>
      </c>
      <c r="F481" s="14">
        <v>0.0</v>
      </c>
      <c r="G481" s="14">
        <v>0.0</v>
      </c>
      <c r="H481" s="14">
        <v>0.0</v>
      </c>
      <c r="I481" s="14">
        <v>0.0</v>
      </c>
      <c r="J481" s="14">
        <v>0.0</v>
      </c>
    </row>
    <row r="482">
      <c r="A482" s="22" t="s">
        <v>55</v>
      </c>
      <c r="B482" s="21">
        <f t="shared" si="2"/>
        <v>0</v>
      </c>
      <c r="C482" s="21" t="str">
        <f>VLOOKUP(A482, hash!A$2:B$500, 2, 0)</f>
        <v>68c1c33d6d9fc0b28257c5f7</v>
      </c>
      <c r="D482" s="23">
        <f t="shared" si="3"/>
        <v>0</v>
      </c>
      <c r="E482" s="14">
        <v>0.0</v>
      </c>
      <c r="F482" s="14">
        <v>0.0</v>
      </c>
      <c r="G482" s="14">
        <v>0.0</v>
      </c>
      <c r="H482" s="14">
        <v>0.0</v>
      </c>
      <c r="I482" s="14">
        <v>0.0</v>
      </c>
      <c r="J482" s="14">
        <v>0.0</v>
      </c>
    </row>
    <row r="483">
      <c r="A483" s="22" t="s">
        <v>423</v>
      </c>
      <c r="B483" s="21">
        <f t="shared" si="2"/>
        <v>0</v>
      </c>
      <c r="C483" s="21" t="str">
        <f>VLOOKUP(A483, hash!A$2:B$500, 2, 0)</f>
        <v>68c1c389a70b0954910985bf</v>
      </c>
      <c r="D483" s="23">
        <f t="shared" si="3"/>
        <v>0</v>
      </c>
      <c r="E483" s="14">
        <v>0.0</v>
      </c>
      <c r="F483" s="14">
        <v>0.0</v>
      </c>
      <c r="G483" s="14">
        <v>0.0</v>
      </c>
      <c r="H483" s="14">
        <v>0.0</v>
      </c>
      <c r="I483" s="14">
        <v>0.0</v>
      </c>
      <c r="J483" s="14">
        <v>0.0</v>
      </c>
    </row>
    <row r="484">
      <c r="A484" s="22" t="s">
        <v>424</v>
      </c>
      <c r="B484" s="21">
        <f t="shared" si="2"/>
        <v>0</v>
      </c>
      <c r="C484" s="21" t="str">
        <f>VLOOKUP(A484, hash!A$2:B$500, 2, 0)</f>
        <v>68c1c463a70b0954910985c1</v>
      </c>
      <c r="D484" s="23">
        <f t="shared" si="3"/>
        <v>0</v>
      </c>
      <c r="E484" s="14">
        <v>0.0</v>
      </c>
      <c r="F484" s="14">
        <v>0.0</v>
      </c>
      <c r="G484" s="14">
        <v>0.0</v>
      </c>
      <c r="H484" s="14">
        <v>0.0</v>
      </c>
      <c r="I484" s="14">
        <v>0.0</v>
      </c>
      <c r="J484" s="14">
        <v>0.0</v>
      </c>
    </row>
    <row r="485">
      <c r="A485" s="22" t="s">
        <v>425</v>
      </c>
      <c r="B485" s="21">
        <f t="shared" si="2"/>
        <v>0</v>
      </c>
      <c r="C485" s="21" t="str">
        <f>VLOOKUP(A485, hash!A$2:B$500, 2, 0)</f>
        <v>68c1c4a8a70b0954910985c3</v>
      </c>
      <c r="D485" s="23">
        <f t="shared" si="3"/>
        <v>0</v>
      </c>
      <c r="E485" s="14">
        <v>0.0</v>
      </c>
      <c r="F485" s="14">
        <v>0.0</v>
      </c>
      <c r="G485" s="14">
        <v>0.0</v>
      </c>
      <c r="H485" s="14">
        <v>0.0</v>
      </c>
      <c r="I485" s="14">
        <v>0.0</v>
      </c>
      <c r="J485" s="14">
        <v>0.0</v>
      </c>
    </row>
    <row r="486">
      <c r="A486" s="22" t="s">
        <v>426</v>
      </c>
      <c r="B486" s="21">
        <f t="shared" si="2"/>
        <v>0</v>
      </c>
      <c r="C486" s="21" t="str">
        <f>VLOOKUP(A486, hash!A$2:B$500, 2, 0)</f>
        <v>68c1c4ad8d697869a6c944da</v>
      </c>
      <c r="D486" s="23">
        <f t="shared" si="3"/>
        <v>0</v>
      </c>
      <c r="E486" s="14">
        <v>0.0</v>
      </c>
      <c r="F486" s="14">
        <v>0.0</v>
      </c>
      <c r="G486" s="14">
        <v>0.0</v>
      </c>
      <c r="H486" s="14">
        <v>0.0</v>
      </c>
      <c r="I486" s="14">
        <v>0.0</v>
      </c>
      <c r="J486" s="14">
        <v>0.0</v>
      </c>
    </row>
    <row r="487">
      <c r="A487" s="22" t="s">
        <v>427</v>
      </c>
      <c r="B487" s="21">
        <f t="shared" si="2"/>
        <v>0</v>
      </c>
      <c r="C487" s="21" t="str">
        <f>VLOOKUP(A487, hash!A$2:B$500, 2, 0)</f>
        <v>68c1c4b38d697869a6c944db</v>
      </c>
      <c r="D487" s="23">
        <f t="shared" si="3"/>
        <v>0</v>
      </c>
      <c r="E487" s="14">
        <v>0.0</v>
      </c>
      <c r="F487" s="14">
        <v>0.0</v>
      </c>
      <c r="G487" s="14">
        <v>0.0</v>
      </c>
      <c r="H487" s="14">
        <v>0.0</v>
      </c>
      <c r="I487" s="14">
        <v>0.0</v>
      </c>
      <c r="J487" s="14">
        <v>0.0</v>
      </c>
    </row>
    <row r="488">
      <c r="A488" s="22" t="s">
        <v>428</v>
      </c>
      <c r="B488" s="21">
        <f t="shared" si="2"/>
        <v>0</v>
      </c>
      <c r="C488" s="21" t="str">
        <f>VLOOKUP(A488, hash!A$2:B$500, 2, 0)</f>
        <v>68c1c4b38d697869a6c944dc</v>
      </c>
      <c r="D488" s="23">
        <f t="shared" si="3"/>
        <v>0</v>
      </c>
      <c r="E488" s="14">
        <v>0.0</v>
      </c>
      <c r="F488" s="14">
        <v>0.0</v>
      </c>
      <c r="G488" s="14">
        <v>0.0</v>
      </c>
      <c r="H488" s="14">
        <v>0.0</v>
      </c>
      <c r="I488" s="14">
        <v>0.0</v>
      </c>
      <c r="J488" s="14">
        <v>0.0</v>
      </c>
    </row>
    <row r="489">
      <c r="A489" s="22" t="s">
        <v>429</v>
      </c>
      <c r="B489" s="21">
        <f t="shared" si="2"/>
        <v>0</v>
      </c>
      <c r="C489" s="21" t="str">
        <f>VLOOKUP(A489, hash!A$2:B$500, 2, 0)</f>
        <v>68c1c4b68d697869a6c944dd</v>
      </c>
      <c r="D489" s="23">
        <f t="shared" si="3"/>
        <v>0</v>
      </c>
      <c r="E489" s="14">
        <v>0.0</v>
      </c>
      <c r="F489" s="14">
        <v>0.0</v>
      </c>
      <c r="G489" s="14">
        <v>0.0</v>
      </c>
      <c r="H489" s="14">
        <v>0.0</v>
      </c>
      <c r="I489" s="14">
        <v>0.0</v>
      </c>
      <c r="J489" s="14">
        <v>0.0</v>
      </c>
    </row>
    <row r="490">
      <c r="A490" s="14" t="s">
        <v>513</v>
      </c>
      <c r="B490" s="21">
        <f t="shared" si="2"/>
        <v>0</v>
      </c>
      <c r="C490" s="21" t="str">
        <f>VLOOKUP(A490, hash!A$2:B$500, 2, 0)</f>
        <v>68c1c4be8d697869a6c944e0</v>
      </c>
      <c r="D490" s="23">
        <f t="shared" si="3"/>
        <v>0</v>
      </c>
      <c r="E490" s="21">
        <f>SUM(E23:E489)</f>
        <v>0</v>
      </c>
      <c r="F490" s="14">
        <v>0.0</v>
      </c>
      <c r="G490" s="14">
        <v>0.0</v>
      </c>
      <c r="H490" s="14">
        <v>0.0</v>
      </c>
      <c r="I490" s="14">
        <v>0.0</v>
      </c>
      <c r="J490" s="14">
        <v>0.0</v>
      </c>
    </row>
    <row r="491">
      <c r="A491" s="14" t="s">
        <v>514</v>
      </c>
      <c r="B491" s="21">
        <f t="shared" si="2"/>
        <v>0</v>
      </c>
      <c r="C491" s="21" t="str">
        <f>VLOOKUP(A491, hash!A$2:B$500, 2, 0)</f>
        <v>68c1cdeef8ef417ee79a4d67</v>
      </c>
      <c r="D491" s="23">
        <f t="shared" si="3"/>
        <v>0</v>
      </c>
      <c r="E491" s="14">
        <v>0.0</v>
      </c>
      <c r="F491" s="14">
        <v>0.0</v>
      </c>
      <c r="G491" s="14">
        <v>0.0</v>
      </c>
      <c r="H491" s="14">
        <v>0.0</v>
      </c>
      <c r="I491" s="14">
        <v>0.0</v>
      </c>
      <c r="J491" s="14">
        <v>0.0</v>
      </c>
    </row>
    <row r="492">
      <c r="A492" s="14" t="s">
        <v>515</v>
      </c>
      <c r="B492" s="21">
        <f t="shared" si="2"/>
        <v>0</v>
      </c>
      <c r="C492" s="21" t="str">
        <f>VLOOKUP(A492, hash!A$2:B$500, 2, 0)</f>
        <v>68c1ce28f8ef417ee79a4d6d</v>
      </c>
      <c r="D492" s="23">
        <f t="shared" si="3"/>
        <v>0</v>
      </c>
      <c r="E492" s="14">
        <v>0.0</v>
      </c>
      <c r="F492" s="14">
        <v>0.0</v>
      </c>
      <c r="G492" s="14">
        <v>0.0</v>
      </c>
      <c r="H492" s="14">
        <v>0.0</v>
      </c>
      <c r="I492" s="14">
        <v>0.0</v>
      </c>
      <c r="J492" s="14">
        <v>0.0</v>
      </c>
    </row>
    <row r="493">
      <c r="A493" s="14" t="s">
        <v>516</v>
      </c>
      <c r="B493" s="21">
        <f t="shared" si="2"/>
        <v>0</v>
      </c>
      <c r="C493" s="21" t="str">
        <f>VLOOKUP(A493, hash!A$2:B$500, 2, 0)</f>
        <v>68c1ce44f8ef417ee79a4d6e</v>
      </c>
      <c r="D493" s="23">
        <f t="shared" si="3"/>
        <v>0</v>
      </c>
      <c r="E493" s="14">
        <v>0.0</v>
      </c>
      <c r="F493" s="14">
        <v>0.0</v>
      </c>
      <c r="G493" s="14">
        <v>0.0</v>
      </c>
      <c r="H493" s="14">
        <v>0.0</v>
      </c>
      <c r="I493" s="14">
        <v>0.0</v>
      </c>
      <c r="J493" s="14">
        <v>0.0</v>
      </c>
    </row>
    <row r="494">
      <c r="A494" s="14" t="s">
        <v>517</v>
      </c>
      <c r="B494" s="21">
        <f t="shared" si="2"/>
        <v>0</v>
      </c>
      <c r="C494" s="21" t="str">
        <f>VLOOKUP(A494, hash!A$2:B$500, 2, 0)</f>
        <v>68c1cf45d4e889598e7f6130</v>
      </c>
      <c r="D494" s="23">
        <f t="shared" si="3"/>
        <v>0</v>
      </c>
      <c r="E494" s="14">
        <v>0.0</v>
      </c>
      <c r="F494" s="14">
        <v>0.0</v>
      </c>
      <c r="G494" s="14">
        <v>0.0</v>
      </c>
      <c r="H494" s="14">
        <v>0.0</v>
      </c>
      <c r="I494" s="14">
        <v>0.0</v>
      </c>
      <c r="J494" s="14">
        <v>0.0</v>
      </c>
    </row>
    <row r="495">
      <c r="A495" s="14" t="s">
        <v>518</v>
      </c>
      <c r="B495" s="21">
        <f t="shared" si="2"/>
        <v>0</v>
      </c>
      <c r="C495" s="21" t="str">
        <f>VLOOKUP(A495, hash!A$2:B$500, 2, 0)</f>
        <v>68c1cf466c36cb3b60206bc2</v>
      </c>
      <c r="D495" s="23">
        <f t="shared" si="3"/>
        <v>0</v>
      </c>
      <c r="E495" s="14">
        <v>0.0</v>
      </c>
      <c r="F495" s="14">
        <v>0.0</v>
      </c>
      <c r="G495" s="14">
        <v>0.0</v>
      </c>
      <c r="H495" s="14">
        <v>0.0</v>
      </c>
      <c r="I495" s="14">
        <v>0.0</v>
      </c>
      <c r="J495" s="14">
        <v>0.0</v>
      </c>
    </row>
    <row r="496">
      <c r="A496" s="14" t="s">
        <v>519</v>
      </c>
      <c r="B496" s="21">
        <f t="shared" si="2"/>
        <v>0</v>
      </c>
      <c r="C496" s="21" t="str">
        <f>VLOOKUP(A496, hash!A$2:B$500, 2, 0)</f>
        <v>68c1cf4cd4e889598e7f6132</v>
      </c>
      <c r="D496" s="23">
        <f t="shared" si="3"/>
        <v>0</v>
      </c>
      <c r="E496" s="14">
        <v>0.0</v>
      </c>
      <c r="F496" s="14">
        <v>0.0</v>
      </c>
      <c r="G496" s="14">
        <v>0.0</v>
      </c>
      <c r="H496" s="14">
        <v>0.0</v>
      </c>
      <c r="I496" s="14">
        <v>0.0</v>
      </c>
      <c r="J496" s="14">
        <v>0.0</v>
      </c>
    </row>
    <row r="497">
      <c r="A497" s="14" t="s">
        <v>520</v>
      </c>
      <c r="B497" s="21">
        <f t="shared" si="2"/>
        <v>0</v>
      </c>
      <c r="C497" s="21" t="str">
        <f>VLOOKUP(A497, hash!A$2:B$500, 2, 0)</f>
        <v>68c1cf50d4e889598e7f6133</v>
      </c>
      <c r="D497" s="23">
        <f t="shared" si="3"/>
        <v>0</v>
      </c>
      <c r="E497" s="14">
        <v>0.0</v>
      </c>
      <c r="F497" s="14">
        <v>0.0</v>
      </c>
      <c r="G497" s="14">
        <v>0.0</v>
      </c>
      <c r="H497" s="14">
        <v>0.0</v>
      </c>
      <c r="I497" s="14">
        <v>0.0</v>
      </c>
      <c r="J497" s="14">
        <v>0.0</v>
      </c>
    </row>
    <row r="498">
      <c r="A498" s="14" t="s">
        <v>521</v>
      </c>
      <c r="B498" s="21">
        <f t="shared" si="2"/>
        <v>0</v>
      </c>
      <c r="C498" s="21" t="str">
        <f>VLOOKUP(A498, hash!A$2:B$500, 2, 0)</f>
        <v>68c1cf75d4e889598e7f613a</v>
      </c>
      <c r="D498" s="23">
        <f t="shared" si="3"/>
        <v>0</v>
      </c>
      <c r="E498" s="14">
        <v>0.0</v>
      </c>
      <c r="F498" s="14">
        <v>0.0</v>
      </c>
      <c r="G498" s="14">
        <v>0.0</v>
      </c>
      <c r="H498" s="14">
        <v>0.0</v>
      </c>
      <c r="I498" s="14">
        <v>0.0</v>
      </c>
      <c r="J498" s="14">
        <v>0.0</v>
      </c>
    </row>
    <row r="499">
      <c r="A499" s="14" t="s">
        <v>522</v>
      </c>
      <c r="B499" s="21">
        <f t="shared" si="2"/>
        <v>0</v>
      </c>
      <c r="C499" s="21" t="str">
        <f>VLOOKUP(A499, hash!A$2:B$500, 2, 0)</f>
        <v>68c1cf95d4e889598e7f613d</v>
      </c>
      <c r="D499" s="23">
        <f t="shared" si="3"/>
        <v>0</v>
      </c>
      <c r="E499" s="14">
        <v>0.0</v>
      </c>
      <c r="F499" s="14">
        <v>0.0</v>
      </c>
      <c r="G499" s="14">
        <v>0.0</v>
      </c>
      <c r="H499" s="14">
        <v>0.0</v>
      </c>
      <c r="I499" s="14">
        <v>0.0</v>
      </c>
      <c r="J499" s="14">
        <v>0.0</v>
      </c>
    </row>
    <row r="500">
      <c r="A500" s="14" t="s">
        <v>77</v>
      </c>
      <c r="B500" s="21">
        <f t="shared" si="2"/>
        <v>1500</v>
      </c>
      <c r="C500" s="21" t="str">
        <f>VLOOKUP(A500, hash!A$2:B$500, 2, 0)</f>
        <v>68c1cfcf6c36cb3b60206bc4</v>
      </c>
      <c r="D500" s="23">
        <f t="shared" si="3"/>
        <v>1</v>
      </c>
      <c r="E500" s="14">
        <v>0.0</v>
      </c>
      <c r="F500" s="14">
        <v>0.0</v>
      </c>
      <c r="G500" s="14">
        <v>0.0</v>
      </c>
      <c r="H500" s="14">
        <v>0.0</v>
      </c>
      <c r="I500" s="14">
        <v>0.0</v>
      </c>
      <c r="J500" s="14">
        <v>1.0</v>
      </c>
    </row>
    <row r="501">
      <c r="A501" s="14" t="s">
        <v>523</v>
      </c>
      <c r="B501" s="21">
        <f t="shared" si="2"/>
        <v>0</v>
      </c>
      <c r="C501" s="21" t="str">
        <f>VLOOKUP(A501, hash!A$2:B$500, 2, 0)</f>
        <v>68c1cfdb6c36cb3b60206bc5</v>
      </c>
      <c r="D501" s="23">
        <f t="shared" si="3"/>
        <v>0</v>
      </c>
      <c r="E501" s="14">
        <v>0.0</v>
      </c>
      <c r="F501" s="14">
        <v>0.0</v>
      </c>
      <c r="G501" s="14">
        <v>0.0</v>
      </c>
      <c r="H501" s="14">
        <v>0.0</v>
      </c>
      <c r="I501" s="14">
        <v>0.0</v>
      </c>
      <c r="J501" s="14">
        <v>0.0</v>
      </c>
    </row>
    <row r="502">
      <c r="A502" s="14" t="s">
        <v>49</v>
      </c>
      <c r="B502" s="21">
        <f t="shared" si="2"/>
        <v>1500</v>
      </c>
      <c r="C502" s="21" t="str">
        <f>VLOOKUP(A502, hash!A$2:B$500, 2, 0)</f>
        <v>68c1d003f29fd291859a49b7</v>
      </c>
      <c r="D502" s="23">
        <f t="shared" si="3"/>
        <v>1</v>
      </c>
      <c r="E502" s="14">
        <v>0.0</v>
      </c>
      <c r="F502" s="14">
        <v>0.0</v>
      </c>
      <c r="G502" s="14">
        <v>0.0</v>
      </c>
      <c r="H502" s="14">
        <v>0.0</v>
      </c>
      <c r="I502" s="14">
        <v>0.0</v>
      </c>
      <c r="J502" s="14">
        <v>1.0</v>
      </c>
    </row>
    <row r="503">
      <c r="A503" s="14" t="s">
        <v>524</v>
      </c>
      <c r="B503" s="21">
        <f t="shared" si="2"/>
        <v>0</v>
      </c>
      <c r="C503" s="21" t="str">
        <f>VLOOKUP(A503, hash!A$2:B$500, 2, 0)</f>
        <v>68c1d0129147fa44206d10b8</v>
      </c>
      <c r="D503" s="23">
        <f t="shared" si="3"/>
        <v>0</v>
      </c>
      <c r="E503" s="14">
        <v>0.0</v>
      </c>
      <c r="F503" s="14">
        <v>0.0</v>
      </c>
      <c r="G503" s="14">
        <v>0.0</v>
      </c>
      <c r="H503" s="14">
        <v>0.0</v>
      </c>
      <c r="I503" s="14">
        <v>0.0</v>
      </c>
      <c r="J503" s="14">
        <v>0.0</v>
      </c>
    </row>
    <row r="504">
      <c r="A504" s="14" t="s">
        <v>525</v>
      </c>
      <c r="B504" s="21">
        <f t="shared" si="2"/>
        <v>0</v>
      </c>
      <c r="C504" s="21" t="str">
        <f>VLOOKUP(A504, hash!A$2:B$500, 2, 0)</f>
        <v>68c1d0149147fa44206d10b9</v>
      </c>
      <c r="D504" s="23">
        <f t="shared" si="3"/>
        <v>0</v>
      </c>
      <c r="E504" s="14">
        <v>0.0</v>
      </c>
      <c r="F504" s="14">
        <v>0.0</v>
      </c>
      <c r="G504" s="14">
        <v>0.0</v>
      </c>
      <c r="H504" s="14">
        <v>0.0</v>
      </c>
      <c r="I504" s="14">
        <v>0.0</v>
      </c>
      <c r="J504" s="14">
        <v>0.0</v>
      </c>
    </row>
    <row r="505">
      <c r="A505" s="14" t="s">
        <v>526</v>
      </c>
      <c r="B505" s="21">
        <f t="shared" si="2"/>
        <v>0</v>
      </c>
      <c r="C505" s="21" t="str">
        <f>VLOOKUP(A505, hash!A$2:B$500, 2, 0)</f>
        <v>68c1d016f29fd291859a49b8</v>
      </c>
      <c r="D505" s="23">
        <f t="shared" si="3"/>
        <v>0</v>
      </c>
      <c r="E505" s="14">
        <v>0.0</v>
      </c>
      <c r="F505" s="14">
        <v>0.0</v>
      </c>
      <c r="G505" s="14">
        <v>0.0</v>
      </c>
      <c r="H505" s="14">
        <v>0.0</v>
      </c>
      <c r="I505" s="14">
        <v>0.0</v>
      </c>
      <c r="J505" s="14">
        <v>0.0</v>
      </c>
    </row>
    <row r="506">
      <c r="A506" s="14" t="s">
        <v>527</v>
      </c>
      <c r="B506" s="21">
        <f t="shared" si="2"/>
        <v>0</v>
      </c>
      <c r="C506" s="21" t="str">
        <f>VLOOKUP(A506, hash!A$2:B$500, 2, 0)</f>
        <v>68c1d0289147fa44206d10bc</v>
      </c>
      <c r="D506" s="23">
        <f t="shared" si="3"/>
        <v>0</v>
      </c>
      <c r="E506" s="14">
        <v>0.0</v>
      </c>
      <c r="F506" s="14">
        <v>0.0</v>
      </c>
      <c r="G506" s="14">
        <v>0.0</v>
      </c>
      <c r="H506" s="14">
        <v>0.0</v>
      </c>
      <c r="I506" s="14">
        <v>0.0</v>
      </c>
      <c r="J506" s="14">
        <v>0.0</v>
      </c>
    </row>
    <row r="507">
      <c r="A507" s="14" t="s">
        <v>528</v>
      </c>
      <c r="B507" s="21">
        <f t="shared" si="2"/>
        <v>0</v>
      </c>
      <c r="C507" s="21" t="str">
        <f>VLOOKUP(A507, hash!A$2:B$500, 2, 0)</f>
        <v>68c1d02b9147fa44206d10bf</v>
      </c>
      <c r="D507" s="23">
        <f t="shared" si="3"/>
        <v>0</v>
      </c>
      <c r="E507" s="14">
        <v>0.0</v>
      </c>
      <c r="F507" s="14">
        <v>0.0</v>
      </c>
      <c r="G507" s="14">
        <v>0.0</v>
      </c>
      <c r="H507" s="14">
        <v>0.0</v>
      </c>
      <c r="I507" s="14">
        <v>0.0</v>
      </c>
      <c r="J507" s="14">
        <v>0.0</v>
      </c>
    </row>
    <row r="508">
      <c r="A508" s="14" t="s">
        <v>529</v>
      </c>
      <c r="B508" s="21">
        <f t="shared" si="2"/>
        <v>0</v>
      </c>
      <c r="C508" s="21" t="str">
        <f>VLOOKUP(A508, hash!A$2:B$500, 2, 0)</f>
        <v>68c1d02cf29fd291859a49bb</v>
      </c>
      <c r="D508" s="23">
        <f t="shared" si="3"/>
        <v>0</v>
      </c>
      <c r="E508" s="14">
        <v>0.0</v>
      </c>
      <c r="F508" s="14">
        <v>0.0</v>
      </c>
      <c r="G508" s="14">
        <v>0.0</v>
      </c>
      <c r="H508" s="14">
        <v>0.0</v>
      </c>
      <c r="I508" s="14">
        <v>0.0</v>
      </c>
      <c r="J508" s="14">
        <v>0.0</v>
      </c>
    </row>
    <row r="509">
      <c r="A509" s="14" t="s">
        <v>530</v>
      </c>
      <c r="B509" s="21">
        <f t="shared" si="2"/>
        <v>0</v>
      </c>
      <c r="C509" s="21" t="str">
        <f>VLOOKUP(A509, hash!A$2:B$500, 2, 0)</f>
        <v>68c1d02ef29fd291859a49bc</v>
      </c>
      <c r="D509" s="23">
        <f t="shared" si="3"/>
        <v>0</v>
      </c>
      <c r="E509" s="14">
        <v>0.0</v>
      </c>
      <c r="F509" s="14">
        <v>0.0</v>
      </c>
      <c r="G509" s="14">
        <v>0.0</v>
      </c>
      <c r="H509" s="14">
        <v>0.0</v>
      </c>
      <c r="I509" s="14">
        <v>0.0</v>
      </c>
      <c r="J509" s="14">
        <v>0.0</v>
      </c>
    </row>
    <row r="510">
      <c r="A510" s="14" t="s">
        <v>531</v>
      </c>
      <c r="B510" s="21">
        <f t="shared" si="2"/>
        <v>0</v>
      </c>
      <c r="C510" s="21" t="str">
        <f>VLOOKUP(A510, hash!A$2:B$500, 2, 0)</f>
        <v>68c1d031f29fd291859a49c0</v>
      </c>
      <c r="D510" s="23">
        <f t="shared" si="3"/>
        <v>0</v>
      </c>
      <c r="E510" s="14">
        <v>0.0</v>
      </c>
      <c r="F510" s="14">
        <v>0.0</v>
      </c>
      <c r="G510" s="14">
        <v>0.0</v>
      </c>
      <c r="H510" s="14">
        <v>0.0</v>
      </c>
      <c r="I510" s="14">
        <v>0.0</v>
      </c>
      <c r="J510" s="14">
        <v>0.0</v>
      </c>
    </row>
    <row r="511">
      <c r="A511" s="14" t="s">
        <v>532</v>
      </c>
      <c r="B511" s="21">
        <f t="shared" si="2"/>
        <v>0</v>
      </c>
      <c r="C511" s="21" t="str">
        <f>VLOOKUP(A511, hash!A$2:B$500, 2, 0)</f>
        <v>68c1d0369147fa44206d10c0</v>
      </c>
      <c r="D511" s="23">
        <f t="shared" si="3"/>
        <v>0</v>
      </c>
      <c r="E511" s="14">
        <v>0.0</v>
      </c>
      <c r="F511" s="14">
        <v>0.0</v>
      </c>
      <c r="G511" s="14">
        <v>0.0</v>
      </c>
      <c r="H511" s="14">
        <v>0.0</v>
      </c>
      <c r="I511" s="14">
        <v>0.0</v>
      </c>
      <c r="J511" s="14">
        <v>0.0</v>
      </c>
    </row>
    <row r="512">
      <c r="A512" s="14" t="s">
        <v>533</v>
      </c>
      <c r="B512" s="21">
        <f t="shared" si="2"/>
        <v>0</v>
      </c>
      <c r="C512" s="21" t="str">
        <f>VLOOKUP(A512, hash!A$2:B$500, 2, 0)</f>
        <v>#N/A</v>
      </c>
      <c r="D512" s="23">
        <f t="shared" si="3"/>
        <v>0</v>
      </c>
      <c r="E512" s="14">
        <v>0.0</v>
      </c>
      <c r="F512" s="14">
        <v>0.0</v>
      </c>
      <c r="G512" s="14">
        <v>0.0</v>
      </c>
      <c r="H512" s="14">
        <v>0.0</v>
      </c>
      <c r="I512" s="14">
        <v>0.0</v>
      </c>
      <c r="J512" s="14">
        <v>0.0</v>
      </c>
    </row>
    <row r="513">
      <c r="A513" s="14" t="s">
        <v>534</v>
      </c>
      <c r="B513" s="21">
        <f t="shared" si="2"/>
        <v>0</v>
      </c>
      <c r="C513" s="21" t="str">
        <f>VLOOKUP(A513, hash!A$2:B$500, 2, 0)</f>
        <v>#N/A</v>
      </c>
      <c r="D513" s="23">
        <f t="shared" si="3"/>
        <v>0</v>
      </c>
      <c r="E513" s="14">
        <v>0.0</v>
      </c>
      <c r="F513" s="14">
        <v>0.0</v>
      </c>
      <c r="G513" s="14">
        <v>0.0</v>
      </c>
      <c r="H513" s="14">
        <v>0.0</v>
      </c>
      <c r="I513" s="14">
        <v>0.0</v>
      </c>
      <c r="J513" s="14">
        <v>0.0</v>
      </c>
    </row>
    <row r="514">
      <c r="A514" s="14" t="s">
        <v>535</v>
      </c>
      <c r="B514" s="21">
        <f t="shared" si="2"/>
        <v>0</v>
      </c>
      <c r="C514" s="21" t="str">
        <f>VLOOKUP(A514, hash!A$2:B$500, 2, 0)</f>
        <v>#N/A</v>
      </c>
      <c r="D514" s="23">
        <f t="shared" si="3"/>
        <v>0</v>
      </c>
      <c r="E514" s="14">
        <v>0.0</v>
      </c>
      <c r="F514" s="14">
        <v>0.0</v>
      </c>
      <c r="G514" s="14">
        <v>0.0</v>
      </c>
      <c r="H514" s="14">
        <v>0.0</v>
      </c>
      <c r="I514" s="14">
        <v>0.0</v>
      </c>
      <c r="J514" s="14">
        <v>0.0</v>
      </c>
    </row>
    <row r="515">
      <c r="A515" s="14" t="s">
        <v>536</v>
      </c>
      <c r="B515" s="21">
        <f t="shared" si="2"/>
        <v>0</v>
      </c>
      <c r="C515" s="21" t="str">
        <f>VLOOKUP(A515, hash!A$2:B$500, 2, 0)</f>
        <v>#N/A</v>
      </c>
      <c r="D515" s="23">
        <f t="shared" si="3"/>
        <v>0</v>
      </c>
      <c r="E515" s="14">
        <v>0.0</v>
      </c>
      <c r="F515" s="14">
        <v>0.0</v>
      </c>
      <c r="G515" s="14">
        <v>0.0</v>
      </c>
      <c r="H515" s="14">
        <v>0.0</v>
      </c>
      <c r="I515" s="14">
        <v>0.0</v>
      </c>
      <c r="J515" s="14">
        <v>0.0</v>
      </c>
    </row>
    <row r="516">
      <c r="A516" s="14" t="s">
        <v>537</v>
      </c>
      <c r="B516" s="21">
        <f t="shared" si="2"/>
        <v>0</v>
      </c>
      <c r="C516" s="21" t="str">
        <f>VLOOKUP(A516, hash!A$2:B$500, 2, 0)</f>
        <v>#N/A</v>
      </c>
      <c r="D516" s="23">
        <f t="shared" si="3"/>
        <v>0</v>
      </c>
      <c r="E516" s="14">
        <v>0.0</v>
      </c>
      <c r="F516" s="14">
        <v>0.0</v>
      </c>
      <c r="G516" s="14">
        <v>0.0</v>
      </c>
      <c r="H516" s="14">
        <v>0.0</v>
      </c>
      <c r="I516" s="14">
        <v>0.0</v>
      </c>
      <c r="J516" s="14">
        <v>0.0</v>
      </c>
    </row>
    <row r="517">
      <c r="A517" s="14" t="s">
        <v>538</v>
      </c>
      <c r="B517" s="21">
        <f t="shared" si="2"/>
        <v>0</v>
      </c>
      <c r="C517" s="21" t="str">
        <f>VLOOKUP(A517, hash!A$2:B$500, 2, 0)</f>
        <v>#N/A</v>
      </c>
      <c r="D517" s="23">
        <f t="shared" si="3"/>
        <v>0</v>
      </c>
      <c r="E517" s="14">
        <v>0.0</v>
      </c>
      <c r="F517" s="14">
        <v>0.0</v>
      </c>
      <c r="G517" s="14">
        <v>0.0</v>
      </c>
      <c r="H517" s="14">
        <v>0.0</v>
      </c>
      <c r="I517" s="14">
        <v>0.0</v>
      </c>
      <c r="J517" s="14">
        <v>0.0</v>
      </c>
    </row>
    <row r="518">
      <c r="A518" s="14" t="s">
        <v>539</v>
      </c>
      <c r="B518" s="21">
        <f t="shared" si="2"/>
        <v>0</v>
      </c>
      <c r="C518" s="21" t="str">
        <f>VLOOKUP(A518, hash!A$2:B$500, 2, 0)</f>
        <v>#N/A</v>
      </c>
      <c r="D518" s="23">
        <f t="shared" si="3"/>
        <v>0</v>
      </c>
      <c r="E518" s="14">
        <v>0.0</v>
      </c>
      <c r="F518" s="14">
        <v>0.0</v>
      </c>
      <c r="G518" s="14">
        <v>0.0</v>
      </c>
      <c r="H518" s="14">
        <v>0.0</v>
      </c>
      <c r="I518" s="14">
        <v>0.0</v>
      </c>
      <c r="J518" s="14">
        <v>0.0</v>
      </c>
    </row>
    <row r="519">
      <c r="A519" s="14" t="s">
        <v>540</v>
      </c>
      <c r="B519" s="21">
        <f t="shared" si="2"/>
        <v>0</v>
      </c>
      <c r="C519" s="21" t="str">
        <f>VLOOKUP(A519, hash!A$2:B$500, 2, 0)</f>
        <v>#N/A</v>
      </c>
      <c r="D519" s="23">
        <f t="shared" si="3"/>
        <v>0</v>
      </c>
      <c r="E519" s="14">
        <v>0.0</v>
      </c>
      <c r="F519" s="14">
        <v>0.0</v>
      </c>
      <c r="G519" s="14">
        <v>0.0</v>
      </c>
      <c r="H519" s="14">
        <v>0.0</v>
      </c>
      <c r="I519" s="14">
        <v>0.0</v>
      </c>
      <c r="J519" s="14">
        <v>0.0</v>
      </c>
    </row>
    <row r="520">
      <c r="A520" s="14" t="s">
        <v>541</v>
      </c>
      <c r="B520" s="21">
        <f t="shared" si="2"/>
        <v>0</v>
      </c>
      <c r="C520" s="21" t="str">
        <f>VLOOKUP(A520, hash!A$2:B$500, 2, 0)</f>
        <v>#N/A</v>
      </c>
      <c r="D520" s="23">
        <f t="shared" si="3"/>
        <v>0</v>
      </c>
      <c r="E520" s="14">
        <v>0.0</v>
      </c>
      <c r="F520" s="14">
        <v>0.0</v>
      </c>
      <c r="G520" s="14">
        <v>0.0</v>
      </c>
      <c r="H520" s="14">
        <v>0.0</v>
      </c>
      <c r="I520" s="14">
        <v>0.0</v>
      </c>
      <c r="J520" s="14">
        <v>0.0</v>
      </c>
    </row>
    <row r="521">
      <c r="A521" s="14" t="s">
        <v>542</v>
      </c>
      <c r="B521" s="21">
        <f t="shared" si="2"/>
        <v>0</v>
      </c>
      <c r="C521" s="21" t="str">
        <f>VLOOKUP(A521, hash!A$2:B$500, 2, 0)</f>
        <v>#N/A</v>
      </c>
      <c r="D521" s="23">
        <f t="shared" si="3"/>
        <v>0</v>
      </c>
      <c r="E521" s="14">
        <v>0.0</v>
      </c>
      <c r="F521" s="14">
        <v>0.0</v>
      </c>
      <c r="G521" s="14">
        <v>0.0</v>
      </c>
      <c r="H521" s="14">
        <v>0.0</v>
      </c>
      <c r="I521" s="14">
        <v>0.0</v>
      </c>
      <c r="J521" s="14">
        <v>0.0</v>
      </c>
    </row>
    <row r="522">
      <c r="A522" s="14" t="s">
        <v>543</v>
      </c>
      <c r="B522" s="21">
        <f t="shared" si="2"/>
        <v>0</v>
      </c>
      <c r="C522" s="21" t="str">
        <f>VLOOKUP(A522, hash!A$2:B$500, 2, 0)</f>
        <v>#N/A</v>
      </c>
      <c r="D522" s="23">
        <f t="shared" si="3"/>
        <v>0</v>
      </c>
      <c r="E522" s="14">
        <v>0.0</v>
      </c>
      <c r="F522" s="14">
        <v>0.0</v>
      </c>
      <c r="G522" s="14">
        <v>0.0</v>
      </c>
      <c r="H522" s="14">
        <v>0.0</v>
      </c>
      <c r="I522" s="14">
        <v>0.0</v>
      </c>
      <c r="J522" s="14">
        <v>0.0</v>
      </c>
    </row>
    <row r="523">
      <c r="B523" s="21">
        <f t="shared" si="2"/>
        <v>0</v>
      </c>
      <c r="C523" s="21" t="str">
        <f>VLOOKUP(A523, hash!A$2:B$500, 2, 0)</f>
        <v>#N/A</v>
      </c>
      <c r="D523" s="23">
        <f t="shared" si="3"/>
        <v>0</v>
      </c>
      <c r="E523" s="14">
        <v>0.0</v>
      </c>
      <c r="F523" s="14">
        <v>0.0</v>
      </c>
      <c r="G523" s="14">
        <v>0.0</v>
      </c>
    </row>
    <row r="524">
      <c r="B524" s="21">
        <f t="shared" si="2"/>
        <v>0</v>
      </c>
      <c r="C524" s="21" t="str">
        <f>VLOOKUP(A524, hash!A$2:B$500, 2, 0)</f>
        <v>#N/A</v>
      </c>
      <c r="D524" s="23">
        <f t="shared" si="3"/>
        <v>0</v>
      </c>
      <c r="E524" s="14">
        <v>0.0</v>
      </c>
      <c r="F524" s="14">
        <v>0.0</v>
      </c>
      <c r="G524" s="14">
        <v>0.0</v>
      </c>
    </row>
    <row r="525">
      <c r="B525" s="21">
        <f t="shared" si="2"/>
        <v>0</v>
      </c>
      <c r="C525" s="21" t="str">
        <f>VLOOKUP(A525, hash!A$2:B$500, 2, 0)</f>
        <v>#N/A</v>
      </c>
      <c r="D525" s="23">
        <f t="shared" si="3"/>
        <v>0</v>
      </c>
      <c r="E525" s="14">
        <v>0.0</v>
      </c>
      <c r="F525" s="14">
        <v>0.0</v>
      </c>
    </row>
    <row r="526">
      <c r="B526" s="21">
        <f t="shared" si="2"/>
        <v>0</v>
      </c>
      <c r="C526" s="21" t="str">
        <f>VLOOKUP(A526, hash!A$2:B$500, 2, 0)</f>
        <v>#N/A</v>
      </c>
      <c r="D526" s="23">
        <f t="shared" si="3"/>
        <v>0</v>
      </c>
      <c r="E526" s="14">
        <v>0.0</v>
      </c>
      <c r="F526" s="14">
        <v>0.0</v>
      </c>
    </row>
    <row r="527">
      <c r="B527" s="21">
        <f t="shared" si="2"/>
        <v>0</v>
      </c>
      <c r="C527" s="21" t="str">
        <f>VLOOKUP(A527, hash!A$2:B$500, 2, 0)</f>
        <v>#N/A</v>
      </c>
      <c r="D527" s="23">
        <f t="shared" si="3"/>
        <v>0</v>
      </c>
      <c r="E527" s="14">
        <v>0.0</v>
      </c>
      <c r="F527" s="14">
        <v>0.0</v>
      </c>
    </row>
    <row r="528">
      <c r="B528" s="21">
        <f t="shared" si="2"/>
        <v>0</v>
      </c>
      <c r="C528" s="21" t="str">
        <f>VLOOKUP(A528, hash!A$2:B$500, 2, 0)</f>
        <v>#N/A</v>
      </c>
      <c r="D528" s="23">
        <f t="shared" si="3"/>
        <v>0</v>
      </c>
      <c r="E528" s="14">
        <v>0.0</v>
      </c>
      <c r="F528" s="14">
        <v>0.0</v>
      </c>
    </row>
    <row r="529">
      <c r="B529" s="21">
        <f t="shared" si="2"/>
        <v>0</v>
      </c>
      <c r="C529" s="21" t="str">
        <f>VLOOKUP(A529, hash!A$2:B$500, 2, 0)</f>
        <v>#N/A</v>
      </c>
      <c r="D529" s="23">
        <f t="shared" si="3"/>
        <v>0</v>
      </c>
      <c r="E529" s="14">
        <v>0.0</v>
      </c>
      <c r="F529" s="14">
        <v>0.0</v>
      </c>
    </row>
    <row r="530">
      <c r="B530" s="21">
        <f t="shared" si="2"/>
        <v>0</v>
      </c>
      <c r="C530" s="21" t="str">
        <f>VLOOKUP(A530, hash!A$2:B$500, 2, 0)</f>
        <v>#N/A</v>
      </c>
      <c r="D530" s="23">
        <f t="shared" si="3"/>
        <v>0</v>
      </c>
      <c r="E530" s="14">
        <v>0.0</v>
      </c>
      <c r="F530" s="14">
        <v>0.0</v>
      </c>
    </row>
    <row r="531">
      <c r="B531" s="21">
        <f t="shared" si="2"/>
        <v>0</v>
      </c>
      <c r="C531" s="21" t="str">
        <f>VLOOKUP(A531, hash!A$2:B$500, 2, 0)</f>
        <v>#N/A</v>
      </c>
      <c r="D531" s="23">
        <f t="shared" si="3"/>
        <v>0</v>
      </c>
      <c r="E531" s="14">
        <v>0.0</v>
      </c>
      <c r="F531" s="14">
        <v>0.0</v>
      </c>
    </row>
    <row r="532">
      <c r="B532" s="21">
        <f t="shared" si="2"/>
        <v>0</v>
      </c>
      <c r="C532" s="21" t="str">
        <f>VLOOKUP(A532, hash!A$2:B$500, 2, 0)</f>
        <v>#N/A</v>
      </c>
      <c r="D532" s="23">
        <f t="shared" si="3"/>
        <v>0</v>
      </c>
      <c r="E532" s="14">
        <v>0.0</v>
      </c>
      <c r="F532" s="14">
        <v>0.0</v>
      </c>
    </row>
    <row r="533">
      <c r="B533" s="21">
        <f t="shared" si="2"/>
        <v>0</v>
      </c>
      <c r="C533" s="21" t="str">
        <f>VLOOKUP(A533, hash!A$2:B$500, 2, 0)</f>
        <v>#N/A</v>
      </c>
      <c r="D533" s="23">
        <f t="shared" si="3"/>
        <v>0</v>
      </c>
      <c r="E533" s="14">
        <v>0.0</v>
      </c>
      <c r="F533" s="14">
        <v>0.0</v>
      </c>
    </row>
    <row r="534">
      <c r="B534" s="21">
        <f t="shared" si="2"/>
        <v>0</v>
      </c>
      <c r="C534" s="21" t="str">
        <f>VLOOKUP(A534, hash!A$2:B$500, 2, 0)</f>
        <v>#N/A</v>
      </c>
      <c r="D534" s="23">
        <f t="shared" si="3"/>
        <v>0</v>
      </c>
      <c r="E534" s="14">
        <v>0.0</v>
      </c>
      <c r="F534" s="14">
        <v>0.0</v>
      </c>
    </row>
    <row r="535">
      <c r="B535" s="21">
        <f t="shared" si="2"/>
        <v>0</v>
      </c>
      <c r="C535" s="21" t="str">
        <f>VLOOKUP(A535, hash!A$2:B$500, 2, 0)</f>
        <v>#N/A</v>
      </c>
      <c r="D535" s="23">
        <f t="shared" si="3"/>
        <v>0</v>
      </c>
      <c r="E535" s="14">
        <v>0.0</v>
      </c>
      <c r="F535" s="14">
        <v>0.0</v>
      </c>
    </row>
    <row r="536">
      <c r="B536" s="21">
        <f t="shared" si="2"/>
        <v>0</v>
      </c>
      <c r="C536" s="21" t="str">
        <f>VLOOKUP(A536, hash!A$2:B$500, 2, 0)</f>
        <v>#N/A</v>
      </c>
      <c r="D536" s="23">
        <f t="shared" si="3"/>
        <v>0</v>
      </c>
      <c r="E536" s="14">
        <v>0.0</v>
      </c>
      <c r="F536" s="14">
        <v>0.0</v>
      </c>
    </row>
    <row r="537">
      <c r="B537" s="21">
        <f t="shared" si="2"/>
        <v>0</v>
      </c>
      <c r="C537" s="21" t="str">
        <f>VLOOKUP(A537, hash!A$2:B$500, 2, 0)</f>
        <v>#N/A</v>
      </c>
      <c r="D537" s="23">
        <f t="shared" si="3"/>
        <v>0</v>
      </c>
      <c r="E537" s="14">
        <v>0.0</v>
      </c>
      <c r="F537" s="14">
        <v>0.0</v>
      </c>
    </row>
    <row r="538">
      <c r="B538" s="21">
        <f t="shared" si="2"/>
        <v>0</v>
      </c>
      <c r="C538" s="21" t="str">
        <f>VLOOKUP(A538, hash!A$2:B$500, 2, 0)</f>
        <v>#N/A</v>
      </c>
      <c r="D538" s="23">
        <f t="shared" si="3"/>
        <v>0</v>
      </c>
      <c r="E538" s="14">
        <v>0.0</v>
      </c>
      <c r="F538" s="14">
        <v>0.0</v>
      </c>
    </row>
    <row r="539">
      <c r="B539" s="21">
        <f t="shared" si="2"/>
        <v>0</v>
      </c>
      <c r="C539" s="21" t="str">
        <f>VLOOKUP(A539, hash!A$2:B$500, 2, 0)</f>
        <v>#N/A</v>
      </c>
      <c r="D539" s="23">
        <f t="shared" si="3"/>
        <v>0</v>
      </c>
      <c r="E539" s="14">
        <v>0.0</v>
      </c>
      <c r="F539" s="14">
        <v>0.0</v>
      </c>
    </row>
    <row r="540">
      <c r="B540" s="21">
        <f t="shared" si="2"/>
        <v>0</v>
      </c>
      <c r="C540" s="21" t="str">
        <f>VLOOKUP(A540, hash!A$2:B$500, 2, 0)</f>
        <v>#N/A</v>
      </c>
      <c r="D540" s="23">
        <f t="shared" si="3"/>
        <v>0</v>
      </c>
      <c r="E540" s="14">
        <v>0.0</v>
      </c>
      <c r="F540" s="14">
        <v>0.0</v>
      </c>
    </row>
    <row r="541">
      <c r="B541" s="21">
        <f t="shared" si="2"/>
        <v>0</v>
      </c>
      <c r="C541" s="21" t="str">
        <f>VLOOKUP(A541, hash!A$2:B$500, 2, 0)</f>
        <v>#N/A</v>
      </c>
      <c r="D541" s="23">
        <f t="shared" si="3"/>
        <v>0</v>
      </c>
      <c r="E541" s="14">
        <v>0.0</v>
      </c>
      <c r="F541" s="14">
        <v>0.0</v>
      </c>
    </row>
    <row r="542">
      <c r="B542" s="21">
        <f t="shared" si="2"/>
        <v>0</v>
      </c>
      <c r="C542" s="21" t="str">
        <f>VLOOKUP(A542, hash!A$2:B$500, 2, 0)</f>
        <v>#N/A</v>
      </c>
      <c r="D542" s="23">
        <f t="shared" si="3"/>
        <v>0</v>
      </c>
      <c r="E542" s="14">
        <v>0.0</v>
      </c>
      <c r="F542" s="14">
        <v>0.0</v>
      </c>
    </row>
    <row r="543">
      <c r="B543" s="21">
        <f t="shared" si="2"/>
        <v>0</v>
      </c>
      <c r="C543" s="21" t="str">
        <f>VLOOKUP(A543, hash!A$2:B$500, 2, 0)</f>
        <v>#N/A</v>
      </c>
      <c r="D543" s="23">
        <f t="shared" si="3"/>
        <v>0</v>
      </c>
      <c r="E543" s="14">
        <v>0.0</v>
      </c>
      <c r="F543" s="14">
        <v>0.0</v>
      </c>
    </row>
    <row r="544">
      <c r="B544" s="21">
        <f t="shared" si="2"/>
        <v>0</v>
      </c>
      <c r="C544" s="21" t="str">
        <f>VLOOKUP(A544, hash!A$2:B$500, 2, 0)</f>
        <v>#N/A</v>
      </c>
      <c r="D544" s="23">
        <f t="shared" si="3"/>
        <v>0</v>
      </c>
      <c r="E544" s="14">
        <v>0.0</v>
      </c>
      <c r="F544" s="14">
        <v>0.0</v>
      </c>
    </row>
    <row r="545">
      <c r="B545" s="21">
        <f t="shared" si="2"/>
        <v>0</v>
      </c>
      <c r="C545" s="21" t="str">
        <f>VLOOKUP(A545, hash!A$2:B$500, 2, 0)</f>
        <v>#N/A</v>
      </c>
      <c r="D545" s="23">
        <f t="shared" si="3"/>
        <v>0</v>
      </c>
      <c r="E545" s="14">
        <v>0.0</v>
      </c>
      <c r="F545" s="14">
        <v>0.0</v>
      </c>
    </row>
    <row r="546">
      <c r="B546" s="21">
        <f t="shared" si="2"/>
        <v>0</v>
      </c>
      <c r="C546" s="21" t="str">
        <f>VLOOKUP(A546, hash!A$2:B$500, 2, 0)</f>
        <v>#N/A</v>
      </c>
      <c r="D546" s="23">
        <f t="shared" si="3"/>
        <v>0</v>
      </c>
      <c r="E546" s="14">
        <v>0.0</v>
      </c>
      <c r="F546" s="14">
        <v>0.0</v>
      </c>
    </row>
    <row r="547">
      <c r="B547" s="21">
        <f t="shared" si="2"/>
        <v>0</v>
      </c>
      <c r="C547" s="21" t="str">
        <f>VLOOKUP(A547, hash!A$2:B$500, 2, 0)</f>
        <v>#N/A</v>
      </c>
      <c r="D547" s="23">
        <f t="shared" si="3"/>
        <v>0</v>
      </c>
      <c r="E547" s="14">
        <v>0.0</v>
      </c>
      <c r="F547" s="14">
        <v>0.0</v>
      </c>
    </row>
    <row r="548">
      <c r="D548" s="23"/>
    </row>
    <row r="549">
      <c r="D549" s="23"/>
    </row>
    <row r="550">
      <c r="D550" s="23"/>
    </row>
    <row r="551">
      <c r="D551" s="23"/>
    </row>
    <row r="552">
      <c r="D552" s="23"/>
    </row>
    <row r="553">
      <c r="D553" s="23"/>
    </row>
    <row r="554">
      <c r="D554" s="23"/>
    </row>
    <row r="555">
      <c r="D555" s="23"/>
    </row>
    <row r="556">
      <c r="D556" s="23"/>
    </row>
    <row r="557">
      <c r="D557" s="23"/>
    </row>
    <row r="558">
      <c r="D558" s="23"/>
    </row>
    <row r="559">
      <c r="D559" s="23"/>
    </row>
    <row r="560">
      <c r="D560" s="23"/>
    </row>
    <row r="561">
      <c r="D561" s="23"/>
    </row>
    <row r="562">
      <c r="D562" s="23"/>
    </row>
    <row r="563">
      <c r="D563" s="23"/>
    </row>
    <row r="564">
      <c r="D564" s="23"/>
    </row>
    <row r="565">
      <c r="D565" s="23"/>
    </row>
    <row r="566">
      <c r="D566" s="23"/>
    </row>
    <row r="567">
      <c r="D567" s="23"/>
    </row>
    <row r="568">
      <c r="D568" s="23"/>
    </row>
    <row r="569">
      <c r="D569" s="23"/>
    </row>
    <row r="570">
      <c r="D570" s="23"/>
    </row>
    <row r="571">
      <c r="D571" s="23"/>
    </row>
    <row r="572">
      <c r="D572" s="23"/>
    </row>
    <row r="573">
      <c r="D573" s="23"/>
    </row>
    <row r="574">
      <c r="D574" s="23"/>
    </row>
    <row r="575">
      <c r="D575" s="23"/>
    </row>
    <row r="576">
      <c r="D576" s="23"/>
    </row>
    <row r="577">
      <c r="D577" s="23"/>
    </row>
    <row r="578">
      <c r="D578" s="23"/>
    </row>
    <row r="579">
      <c r="D579" s="23"/>
    </row>
    <row r="580">
      <c r="D580" s="23"/>
    </row>
    <row r="581">
      <c r="D581" s="23"/>
    </row>
    <row r="582">
      <c r="D582" s="23"/>
    </row>
    <row r="583">
      <c r="D583" s="23"/>
    </row>
    <row r="584">
      <c r="D584" s="23"/>
    </row>
    <row r="585">
      <c r="D585" s="23"/>
    </row>
    <row r="586">
      <c r="D586" s="23"/>
    </row>
    <row r="587">
      <c r="D587" s="23"/>
    </row>
    <row r="588">
      <c r="D588" s="23"/>
    </row>
    <row r="589">
      <c r="D589" s="23"/>
    </row>
    <row r="590">
      <c r="D590" s="23"/>
    </row>
    <row r="591">
      <c r="D591" s="23"/>
    </row>
    <row r="592">
      <c r="D592" s="23"/>
    </row>
    <row r="593">
      <c r="D593" s="23"/>
    </row>
    <row r="594">
      <c r="D594" s="23"/>
    </row>
    <row r="595">
      <c r="D595" s="23"/>
    </row>
    <row r="596">
      <c r="D596" s="23"/>
    </row>
    <row r="597">
      <c r="D597" s="23"/>
    </row>
    <row r="598">
      <c r="D598" s="23"/>
    </row>
    <row r="599">
      <c r="D599" s="23"/>
    </row>
    <row r="600">
      <c r="D600" s="23"/>
    </row>
    <row r="601">
      <c r="D601" s="23"/>
    </row>
    <row r="602">
      <c r="D602" s="23"/>
    </row>
    <row r="603">
      <c r="D603" s="23"/>
    </row>
    <row r="604">
      <c r="D604" s="23"/>
    </row>
    <row r="605">
      <c r="D605" s="23"/>
    </row>
    <row r="606">
      <c r="D606" s="23"/>
    </row>
    <row r="607">
      <c r="D607" s="23"/>
    </row>
    <row r="608">
      <c r="D608" s="23"/>
    </row>
    <row r="609">
      <c r="D609" s="23"/>
    </row>
    <row r="610">
      <c r="D610" s="23"/>
    </row>
    <row r="611">
      <c r="D611" s="23"/>
    </row>
    <row r="612">
      <c r="D612" s="23"/>
    </row>
    <row r="613">
      <c r="D613" s="23"/>
    </row>
    <row r="614">
      <c r="D614" s="23"/>
    </row>
    <row r="615">
      <c r="D615" s="23"/>
    </row>
    <row r="616">
      <c r="D616" s="23"/>
    </row>
    <row r="617">
      <c r="D617" s="23"/>
    </row>
    <row r="618">
      <c r="D618" s="23"/>
    </row>
    <row r="619">
      <c r="D619" s="23"/>
    </row>
    <row r="620">
      <c r="D620" s="23"/>
    </row>
    <row r="621">
      <c r="D621" s="23"/>
    </row>
    <row r="622">
      <c r="D622" s="23"/>
    </row>
    <row r="623">
      <c r="D623" s="23"/>
    </row>
    <row r="624">
      <c r="D624" s="23"/>
    </row>
    <row r="625">
      <c r="D625" s="23"/>
    </row>
    <row r="626">
      <c r="D626" s="23"/>
    </row>
    <row r="627">
      <c r="D627" s="23"/>
    </row>
    <row r="628">
      <c r="D628" s="23"/>
    </row>
    <row r="629">
      <c r="D629" s="23"/>
    </row>
    <row r="630">
      <c r="D630" s="23"/>
    </row>
    <row r="631">
      <c r="D631" s="23"/>
    </row>
    <row r="632">
      <c r="D632" s="23"/>
    </row>
    <row r="633">
      <c r="D633" s="23"/>
    </row>
    <row r="634">
      <c r="D634" s="23"/>
    </row>
    <row r="635">
      <c r="D635" s="23"/>
    </row>
    <row r="636">
      <c r="D636" s="23"/>
    </row>
    <row r="637">
      <c r="D637" s="23"/>
    </row>
    <row r="638">
      <c r="D638" s="23"/>
    </row>
    <row r="639">
      <c r="D639" s="23"/>
    </row>
    <row r="640">
      <c r="D640" s="23"/>
    </row>
    <row r="641">
      <c r="D641" s="23"/>
    </row>
    <row r="642">
      <c r="D642" s="23"/>
    </row>
    <row r="643">
      <c r="D643" s="23"/>
    </row>
    <row r="644">
      <c r="D644" s="23"/>
    </row>
    <row r="645">
      <c r="D645" s="23"/>
    </row>
    <row r="646">
      <c r="D646" s="23"/>
    </row>
    <row r="647">
      <c r="D647" s="23"/>
    </row>
    <row r="648">
      <c r="D648" s="23"/>
    </row>
    <row r="649">
      <c r="D649" s="23"/>
    </row>
    <row r="650">
      <c r="D650" s="23"/>
    </row>
    <row r="651">
      <c r="D651" s="23"/>
    </row>
    <row r="652">
      <c r="D652" s="23"/>
    </row>
    <row r="653">
      <c r="D653" s="23"/>
    </row>
    <row r="654">
      <c r="D654" s="23"/>
    </row>
    <row r="655">
      <c r="D655" s="23"/>
    </row>
    <row r="656">
      <c r="D656" s="23"/>
    </row>
    <row r="657">
      <c r="D657" s="23"/>
    </row>
    <row r="658">
      <c r="D658" s="23"/>
    </row>
    <row r="659">
      <c r="D659" s="23"/>
    </row>
    <row r="660">
      <c r="D660" s="23"/>
    </row>
    <row r="661">
      <c r="D661" s="23"/>
    </row>
    <row r="662">
      <c r="D662" s="23"/>
    </row>
    <row r="663">
      <c r="D663" s="23"/>
    </row>
    <row r="664">
      <c r="D664" s="23"/>
    </row>
    <row r="665">
      <c r="D665" s="23"/>
    </row>
    <row r="666">
      <c r="D666" s="23"/>
    </row>
    <row r="667">
      <c r="D667" s="23"/>
    </row>
    <row r="668">
      <c r="D668" s="23"/>
    </row>
    <row r="669">
      <c r="D669" s="23"/>
    </row>
    <row r="670">
      <c r="D670" s="23"/>
    </row>
    <row r="671">
      <c r="D671" s="23"/>
    </row>
    <row r="672">
      <c r="D672" s="23"/>
    </row>
    <row r="673">
      <c r="D673" s="23"/>
    </row>
    <row r="674">
      <c r="D674" s="23"/>
    </row>
    <row r="675">
      <c r="D675" s="23"/>
    </row>
    <row r="676">
      <c r="D676" s="23"/>
    </row>
    <row r="677">
      <c r="D677" s="23"/>
    </row>
    <row r="678">
      <c r="D678" s="23"/>
    </row>
    <row r="679">
      <c r="D679" s="23"/>
    </row>
    <row r="680">
      <c r="D680" s="23"/>
    </row>
    <row r="681">
      <c r="D681" s="23"/>
    </row>
    <row r="682">
      <c r="D682" s="23"/>
    </row>
    <row r="683">
      <c r="D683" s="23"/>
    </row>
    <row r="684">
      <c r="D684" s="23"/>
    </row>
    <row r="685">
      <c r="D685" s="23"/>
    </row>
    <row r="686">
      <c r="D686" s="23"/>
    </row>
    <row r="687">
      <c r="D687" s="23"/>
    </row>
    <row r="688">
      <c r="D688" s="23"/>
    </row>
    <row r="689">
      <c r="D689" s="23"/>
    </row>
    <row r="690">
      <c r="D690" s="23"/>
    </row>
    <row r="691">
      <c r="D691" s="23"/>
    </row>
    <row r="692">
      <c r="D692" s="23"/>
    </row>
    <row r="693">
      <c r="D693" s="23"/>
    </row>
    <row r="694">
      <c r="D694" s="23"/>
    </row>
    <row r="695">
      <c r="D695" s="23"/>
    </row>
    <row r="696">
      <c r="D696" s="23"/>
    </row>
    <row r="697">
      <c r="D697" s="23"/>
    </row>
    <row r="698">
      <c r="D698" s="23"/>
    </row>
    <row r="699">
      <c r="D699" s="23"/>
    </row>
    <row r="700">
      <c r="D700" s="23"/>
    </row>
    <row r="701">
      <c r="D701" s="23"/>
    </row>
    <row r="702">
      <c r="D702" s="23"/>
    </row>
    <row r="703">
      <c r="D703" s="23"/>
    </row>
    <row r="704">
      <c r="D704" s="23"/>
    </row>
    <row r="705">
      <c r="D705" s="23"/>
    </row>
    <row r="706">
      <c r="D706" s="23"/>
    </row>
    <row r="707">
      <c r="D707" s="23"/>
    </row>
    <row r="708">
      <c r="D708" s="23"/>
    </row>
    <row r="709">
      <c r="D709" s="23"/>
    </row>
    <row r="710">
      <c r="D710" s="23"/>
    </row>
    <row r="711">
      <c r="D711" s="23"/>
    </row>
    <row r="712">
      <c r="D712" s="23"/>
    </row>
    <row r="713">
      <c r="D713" s="23"/>
    </row>
    <row r="714">
      <c r="D714" s="23"/>
    </row>
    <row r="715">
      <c r="D715" s="23"/>
    </row>
    <row r="716">
      <c r="D716" s="23"/>
    </row>
    <row r="717">
      <c r="D717" s="23"/>
    </row>
    <row r="718">
      <c r="D718" s="23"/>
    </row>
    <row r="719">
      <c r="D719" s="23"/>
    </row>
    <row r="720">
      <c r="D720" s="23"/>
    </row>
    <row r="721">
      <c r="D721" s="23"/>
    </row>
    <row r="722">
      <c r="D722" s="23"/>
    </row>
    <row r="723">
      <c r="D723" s="23"/>
    </row>
    <row r="724">
      <c r="D724" s="23"/>
    </row>
    <row r="725">
      <c r="D725" s="23"/>
    </row>
    <row r="726">
      <c r="D726" s="23"/>
    </row>
    <row r="727">
      <c r="D727" s="23"/>
    </row>
    <row r="728">
      <c r="D728" s="23"/>
    </row>
    <row r="729">
      <c r="D729" s="23"/>
    </row>
    <row r="730">
      <c r="D730" s="23"/>
    </row>
    <row r="731">
      <c r="D731" s="23"/>
    </row>
    <row r="732">
      <c r="D732" s="23"/>
    </row>
    <row r="733">
      <c r="D733" s="23"/>
    </row>
    <row r="734">
      <c r="D734" s="23"/>
    </row>
    <row r="735">
      <c r="D735" s="23"/>
    </row>
    <row r="736">
      <c r="D736" s="23"/>
    </row>
    <row r="737">
      <c r="D737" s="23"/>
    </row>
    <row r="738">
      <c r="D738" s="23"/>
    </row>
    <row r="739">
      <c r="D739" s="23"/>
    </row>
    <row r="740">
      <c r="D740" s="23"/>
    </row>
    <row r="741">
      <c r="D741" s="23"/>
    </row>
    <row r="742">
      <c r="D742" s="23"/>
    </row>
    <row r="743">
      <c r="D743" s="23"/>
    </row>
    <row r="744">
      <c r="D744" s="23"/>
    </row>
    <row r="745">
      <c r="D745" s="23"/>
    </row>
    <row r="746">
      <c r="D746" s="23"/>
    </row>
    <row r="747">
      <c r="D747" s="23"/>
    </row>
    <row r="748">
      <c r="D748" s="23"/>
    </row>
    <row r="749">
      <c r="D749" s="23"/>
    </row>
    <row r="750">
      <c r="D750" s="23"/>
    </row>
    <row r="751">
      <c r="D751" s="23"/>
    </row>
    <row r="752">
      <c r="D752" s="23"/>
    </row>
    <row r="753">
      <c r="D753" s="23"/>
    </row>
    <row r="754">
      <c r="D754" s="23"/>
    </row>
    <row r="755">
      <c r="D755" s="23"/>
    </row>
    <row r="756">
      <c r="D756" s="23"/>
    </row>
    <row r="757">
      <c r="D757" s="23"/>
    </row>
    <row r="758">
      <c r="D758" s="23"/>
    </row>
    <row r="759">
      <c r="D759" s="23"/>
    </row>
    <row r="760">
      <c r="D760" s="23"/>
    </row>
    <row r="761">
      <c r="D761" s="23"/>
    </row>
    <row r="762">
      <c r="D762" s="23"/>
    </row>
    <row r="763">
      <c r="D763" s="23"/>
    </row>
    <row r="764">
      <c r="D764" s="23"/>
    </row>
    <row r="765">
      <c r="D765" s="23"/>
    </row>
    <row r="766">
      <c r="D766" s="23"/>
    </row>
    <row r="767">
      <c r="D767" s="23"/>
    </row>
    <row r="768">
      <c r="D768" s="23"/>
    </row>
    <row r="769">
      <c r="D769" s="23"/>
    </row>
    <row r="770">
      <c r="D770" s="23"/>
    </row>
    <row r="771">
      <c r="D771" s="23"/>
    </row>
    <row r="772">
      <c r="D772" s="23"/>
    </row>
    <row r="773">
      <c r="D773" s="23"/>
    </row>
    <row r="774">
      <c r="D774" s="23"/>
    </row>
    <row r="775">
      <c r="D775" s="23"/>
    </row>
    <row r="776">
      <c r="D776" s="23"/>
    </row>
    <row r="777">
      <c r="D777" s="23"/>
    </row>
    <row r="778">
      <c r="D778" s="23"/>
    </row>
    <row r="779">
      <c r="D779" s="23"/>
    </row>
    <row r="780">
      <c r="D780" s="23"/>
    </row>
    <row r="781">
      <c r="D781" s="23"/>
    </row>
    <row r="782">
      <c r="D782" s="23"/>
    </row>
    <row r="783">
      <c r="D783" s="23"/>
    </row>
    <row r="784">
      <c r="D784" s="23"/>
    </row>
    <row r="785">
      <c r="D785" s="23"/>
    </row>
    <row r="786">
      <c r="D786" s="23"/>
    </row>
    <row r="787">
      <c r="D787" s="23"/>
    </row>
    <row r="788">
      <c r="D788" s="23"/>
    </row>
    <row r="789">
      <c r="D789" s="23"/>
    </row>
    <row r="790">
      <c r="D790" s="23"/>
    </row>
    <row r="791">
      <c r="D791" s="23"/>
    </row>
    <row r="792">
      <c r="D792" s="23"/>
    </row>
    <row r="793">
      <c r="D793" s="23"/>
    </row>
    <row r="794">
      <c r="D794" s="23"/>
    </row>
    <row r="795">
      <c r="D795" s="23"/>
    </row>
    <row r="796">
      <c r="D796" s="23"/>
    </row>
    <row r="797">
      <c r="D797" s="23"/>
    </row>
    <row r="798">
      <c r="D798" s="23"/>
    </row>
    <row r="799">
      <c r="D799" s="23"/>
    </row>
    <row r="800">
      <c r="D800" s="23"/>
    </row>
    <row r="801">
      <c r="D801" s="23"/>
    </row>
    <row r="802">
      <c r="D802" s="23"/>
    </row>
    <row r="803">
      <c r="D803" s="23"/>
    </row>
    <row r="804">
      <c r="D804" s="23"/>
    </row>
    <row r="805">
      <c r="D805" s="23"/>
    </row>
    <row r="806">
      <c r="D806" s="23"/>
    </row>
    <row r="807">
      <c r="D807" s="23"/>
    </row>
    <row r="808">
      <c r="D808" s="23"/>
    </row>
    <row r="809">
      <c r="D809" s="23"/>
    </row>
    <row r="810">
      <c r="D810" s="23"/>
    </row>
    <row r="811">
      <c r="D811" s="23"/>
    </row>
    <row r="812">
      <c r="D812" s="23"/>
    </row>
    <row r="813">
      <c r="D813" s="23"/>
    </row>
    <row r="814">
      <c r="D814" s="23"/>
    </row>
    <row r="815">
      <c r="D815" s="23"/>
    </row>
    <row r="816">
      <c r="D816" s="23"/>
    </row>
    <row r="817">
      <c r="D817" s="23"/>
    </row>
    <row r="818">
      <c r="D818" s="23"/>
    </row>
    <row r="819">
      <c r="D819" s="23"/>
    </row>
    <row r="820">
      <c r="D820" s="23"/>
    </row>
    <row r="821">
      <c r="D821" s="23"/>
    </row>
    <row r="822">
      <c r="D822" s="23"/>
    </row>
    <row r="823">
      <c r="D823" s="23"/>
    </row>
    <row r="824">
      <c r="D824" s="23"/>
    </row>
    <row r="825">
      <c r="D825" s="23"/>
    </row>
    <row r="826">
      <c r="D826" s="23"/>
    </row>
    <row r="827">
      <c r="D827" s="23"/>
    </row>
    <row r="828">
      <c r="D828" s="23"/>
    </row>
    <row r="829">
      <c r="D829" s="23"/>
    </row>
    <row r="830">
      <c r="D830" s="23"/>
    </row>
    <row r="831">
      <c r="D831" s="23"/>
    </row>
    <row r="832">
      <c r="D832" s="23"/>
    </row>
    <row r="833">
      <c r="D833" s="23"/>
    </row>
    <row r="834">
      <c r="D834" s="23"/>
    </row>
    <row r="835">
      <c r="D835" s="23"/>
    </row>
    <row r="836">
      <c r="D836" s="23"/>
    </row>
    <row r="837">
      <c r="D837" s="23"/>
    </row>
    <row r="838">
      <c r="D838" s="23"/>
    </row>
    <row r="839">
      <c r="D839" s="23"/>
    </row>
    <row r="840">
      <c r="D840" s="23"/>
    </row>
    <row r="841">
      <c r="D841" s="23"/>
    </row>
    <row r="842">
      <c r="D842" s="23"/>
    </row>
    <row r="843">
      <c r="D843" s="23"/>
    </row>
    <row r="844">
      <c r="D844" s="23"/>
    </row>
    <row r="845">
      <c r="D845" s="23"/>
    </row>
    <row r="846">
      <c r="D846" s="23"/>
    </row>
    <row r="847">
      <c r="D847" s="23"/>
    </row>
    <row r="848">
      <c r="D848" s="23"/>
    </row>
    <row r="849">
      <c r="D849" s="23"/>
    </row>
    <row r="850">
      <c r="D850" s="23"/>
    </row>
    <row r="851">
      <c r="D851" s="23"/>
    </row>
    <row r="852">
      <c r="D852" s="23"/>
    </row>
    <row r="853">
      <c r="D853" s="23"/>
    </row>
    <row r="854">
      <c r="D854" s="23"/>
    </row>
    <row r="855">
      <c r="D855" s="23"/>
    </row>
    <row r="856">
      <c r="D856" s="23"/>
    </row>
    <row r="857">
      <c r="D857" s="23"/>
    </row>
    <row r="858">
      <c r="D858" s="23"/>
    </row>
    <row r="859">
      <c r="D859" s="23"/>
    </row>
    <row r="860">
      <c r="D860" s="23"/>
    </row>
    <row r="861">
      <c r="D861" s="23"/>
    </row>
    <row r="862">
      <c r="D862" s="23"/>
    </row>
    <row r="863">
      <c r="D863" s="23"/>
    </row>
    <row r="864">
      <c r="D864" s="23"/>
    </row>
    <row r="865">
      <c r="D865" s="23"/>
    </row>
    <row r="866">
      <c r="D866" s="23"/>
    </row>
    <row r="867">
      <c r="D867" s="23"/>
    </row>
    <row r="868">
      <c r="D868" s="23"/>
    </row>
    <row r="869">
      <c r="D869" s="23"/>
    </row>
    <row r="870">
      <c r="D870" s="23"/>
    </row>
    <row r="871">
      <c r="D871" s="23"/>
    </row>
    <row r="872">
      <c r="D872" s="23"/>
    </row>
    <row r="873">
      <c r="D873" s="23"/>
    </row>
    <row r="874">
      <c r="D874" s="23"/>
    </row>
    <row r="875">
      <c r="D875" s="23"/>
    </row>
    <row r="876">
      <c r="D876" s="23"/>
    </row>
    <row r="877">
      <c r="D877" s="23"/>
    </row>
    <row r="878">
      <c r="D878" s="23"/>
    </row>
    <row r="879">
      <c r="D879" s="23"/>
    </row>
    <row r="880">
      <c r="D880" s="23"/>
    </row>
    <row r="881">
      <c r="D881" s="23"/>
    </row>
    <row r="882">
      <c r="D882" s="23"/>
    </row>
    <row r="883">
      <c r="D883" s="23"/>
    </row>
    <row r="884">
      <c r="D884" s="23"/>
    </row>
    <row r="885">
      <c r="D885" s="23"/>
    </row>
    <row r="886">
      <c r="D886" s="23"/>
    </row>
    <row r="887">
      <c r="D887" s="23"/>
    </row>
    <row r="888">
      <c r="D888" s="23"/>
    </row>
    <row r="889">
      <c r="D889" s="23"/>
    </row>
    <row r="890">
      <c r="D890" s="23"/>
    </row>
    <row r="891">
      <c r="D891" s="23"/>
    </row>
    <row r="892">
      <c r="D892" s="23"/>
    </row>
    <row r="893">
      <c r="D893" s="23"/>
    </row>
    <row r="894">
      <c r="D894" s="23"/>
    </row>
    <row r="895">
      <c r="D895" s="23"/>
    </row>
    <row r="896">
      <c r="D896" s="23"/>
    </row>
    <row r="897">
      <c r="D897" s="23"/>
    </row>
    <row r="898">
      <c r="D898" s="23"/>
    </row>
    <row r="899">
      <c r="D899" s="23"/>
    </row>
    <row r="900">
      <c r="D900" s="23"/>
    </row>
    <row r="901">
      <c r="D901" s="23"/>
    </row>
    <row r="902">
      <c r="D902" s="23"/>
    </row>
    <row r="903">
      <c r="D903" s="23"/>
    </row>
    <row r="904">
      <c r="D904" s="23"/>
    </row>
    <row r="905">
      <c r="D905" s="23"/>
    </row>
    <row r="906">
      <c r="D906" s="23"/>
    </row>
    <row r="907">
      <c r="D907" s="23"/>
    </row>
    <row r="908">
      <c r="D908" s="23"/>
    </row>
    <row r="909">
      <c r="D909" s="23"/>
    </row>
    <row r="910">
      <c r="D910" s="23"/>
    </row>
    <row r="911">
      <c r="D911" s="23"/>
    </row>
    <row r="912">
      <c r="D912" s="23"/>
    </row>
    <row r="913">
      <c r="D913" s="23"/>
    </row>
    <row r="914">
      <c r="D914" s="23"/>
    </row>
    <row r="915">
      <c r="D915" s="23"/>
    </row>
    <row r="916">
      <c r="D916" s="23"/>
    </row>
    <row r="917">
      <c r="D917" s="23"/>
    </row>
    <row r="918">
      <c r="D918" s="23"/>
    </row>
    <row r="919">
      <c r="D919" s="23"/>
    </row>
    <row r="920">
      <c r="D920" s="23"/>
    </row>
    <row r="921">
      <c r="D921" s="23"/>
    </row>
    <row r="922">
      <c r="D922" s="23"/>
    </row>
    <row r="923">
      <c r="D923" s="23"/>
    </row>
    <row r="924">
      <c r="D924" s="23"/>
    </row>
    <row r="925">
      <c r="D925" s="23"/>
    </row>
    <row r="926">
      <c r="D926" s="23"/>
    </row>
    <row r="927">
      <c r="D927" s="23"/>
    </row>
    <row r="928">
      <c r="D928" s="23"/>
    </row>
    <row r="929">
      <c r="D929" s="23"/>
    </row>
    <row r="930">
      <c r="D930" s="23"/>
    </row>
    <row r="931">
      <c r="D931" s="23"/>
    </row>
    <row r="932">
      <c r="D932" s="23"/>
    </row>
    <row r="933">
      <c r="D933" s="23"/>
    </row>
    <row r="934">
      <c r="D934" s="23"/>
    </row>
    <row r="935">
      <c r="D935" s="23"/>
    </row>
    <row r="936">
      <c r="D936" s="23"/>
    </row>
    <row r="937">
      <c r="D937" s="23"/>
    </row>
    <row r="938">
      <c r="D938" s="23"/>
    </row>
    <row r="939">
      <c r="D939" s="23"/>
    </row>
    <row r="940">
      <c r="D940" s="23"/>
    </row>
    <row r="941">
      <c r="D941" s="23"/>
    </row>
    <row r="942">
      <c r="D942" s="23"/>
    </row>
    <row r="943">
      <c r="D943" s="23"/>
    </row>
    <row r="944">
      <c r="D944" s="23"/>
    </row>
    <row r="945">
      <c r="D945" s="23"/>
    </row>
    <row r="946">
      <c r="D946" s="23"/>
    </row>
    <row r="947">
      <c r="D947" s="23"/>
    </row>
    <row r="948">
      <c r="D948" s="23"/>
    </row>
    <row r="949">
      <c r="D949" s="23"/>
    </row>
    <row r="950">
      <c r="D950" s="23"/>
    </row>
    <row r="951">
      <c r="D951" s="23"/>
    </row>
    <row r="952">
      <c r="D952" s="23"/>
    </row>
    <row r="953">
      <c r="D953" s="23"/>
    </row>
    <row r="954">
      <c r="D954" s="23"/>
    </row>
    <row r="955">
      <c r="D955" s="23"/>
    </row>
    <row r="956">
      <c r="D956" s="23"/>
    </row>
    <row r="957">
      <c r="D957" s="23"/>
    </row>
    <row r="958">
      <c r="D958" s="23"/>
    </row>
    <row r="959">
      <c r="D959" s="23"/>
    </row>
    <row r="960">
      <c r="D960" s="23"/>
    </row>
    <row r="961">
      <c r="D961" s="23"/>
    </row>
    <row r="962">
      <c r="D962" s="23"/>
    </row>
    <row r="963">
      <c r="D963" s="23"/>
    </row>
    <row r="964">
      <c r="D964" s="23"/>
    </row>
    <row r="965">
      <c r="D965" s="23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sheetData>
    <row r="1" ht="15.75" customHeight="1">
      <c r="A1" s="14" t="s">
        <v>1</v>
      </c>
      <c r="B1" s="14" t="s">
        <v>499</v>
      </c>
      <c r="C1" s="14" t="s">
        <v>500</v>
      </c>
      <c r="D1" s="20" t="s">
        <v>501</v>
      </c>
      <c r="E1" s="14" t="s">
        <v>502</v>
      </c>
      <c r="F1" s="14" t="s">
        <v>503</v>
      </c>
      <c r="G1" s="14" t="s">
        <v>504</v>
      </c>
      <c r="H1" s="14" t="s">
        <v>505</v>
      </c>
      <c r="I1" s="14" t="s">
        <v>506</v>
      </c>
      <c r="J1" s="14" t="s">
        <v>507</v>
      </c>
      <c r="L1" s="14" t="s">
        <v>508</v>
      </c>
      <c r="M1" s="21">
        <f t="array" ref="M1">sum(large(D3:D870,column(indirect("$A$1:" &amp;ADDRESS( 1, 12)))))/12</f>
        <v>2.25</v>
      </c>
    </row>
    <row r="2">
      <c r="A2" s="22"/>
      <c r="D2" s="23"/>
      <c r="E2" s="14">
        <f t="shared" ref="E2:J2" si="1">SUM(E3:E102)</f>
        <v>28</v>
      </c>
      <c r="F2" s="14">
        <f t="shared" si="1"/>
        <v>21</v>
      </c>
      <c r="G2" s="14">
        <f t="shared" si="1"/>
        <v>2</v>
      </c>
      <c r="H2" s="14">
        <f t="shared" si="1"/>
        <v>0</v>
      </c>
      <c r="I2" s="14">
        <f t="shared" si="1"/>
        <v>0</v>
      </c>
      <c r="J2" s="14">
        <f t="shared" si="1"/>
        <v>3</v>
      </c>
    </row>
    <row r="3">
      <c r="A3" s="22" t="s">
        <v>8</v>
      </c>
      <c r="B3" s="21">
        <f t="shared" ref="B3:B102" si="2">D3/M$1*2000</f>
        <v>3555.555556</v>
      </c>
      <c r="C3" s="21" t="str">
        <f>VLOOKUP(A3, hash!A$2:B$500, 2, 0)</f>
        <v>6322202c0aa8ba2dbc57c0a6</v>
      </c>
      <c r="D3" s="23">
        <f t="shared" ref="D3:D102" si="3">SUM(E3:J3)</f>
        <v>4</v>
      </c>
      <c r="E3" s="14">
        <v>1.0</v>
      </c>
      <c r="F3" s="14">
        <v>1.0</v>
      </c>
      <c r="G3" s="14">
        <v>1.0</v>
      </c>
      <c r="H3" s="14">
        <v>0.0</v>
      </c>
      <c r="I3" s="14">
        <v>0.0</v>
      </c>
      <c r="J3" s="14">
        <v>1.0</v>
      </c>
    </row>
    <row r="4">
      <c r="A4" s="24" t="s">
        <v>12</v>
      </c>
      <c r="B4" s="21">
        <f t="shared" si="2"/>
        <v>2666.666667</v>
      </c>
      <c r="C4" s="21" t="str">
        <f>VLOOKUP(A4, hash!A$2:B$500, 2, 0)</f>
        <v>651dadf4a69631c34bde617f</v>
      </c>
      <c r="D4" s="23">
        <f t="shared" si="3"/>
        <v>3</v>
      </c>
      <c r="E4" s="14">
        <v>1.0</v>
      </c>
      <c r="F4" s="14">
        <v>1.0</v>
      </c>
      <c r="G4" s="14">
        <v>0.0</v>
      </c>
      <c r="H4" s="14">
        <v>0.0</v>
      </c>
      <c r="I4" s="14">
        <v>0.0</v>
      </c>
      <c r="J4" s="14">
        <v>1.0</v>
      </c>
    </row>
    <row r="5">
      <c r="A5" s="22" t="s">
        <v>11</v>
      </c>
      <c r="B5" s="21">
        <f t="shared" si="2"/>
        <v>1777.777778</v>
      </c>
      <c r="C5" s="21" t="str">
        <f>VLOOKUP(A5, hash!A$2:B$500, 2, 0)</f>
        <v>6502005e1d8cbbbd315ad52c</v>
      </c>
      <c r="D5" s="23">
        <f t="shared" si="3"/>
        <v>2</v>
      </c>
      <c r="E5" s="14">
        <v>1.0</v>
      </c>
      <c r="F5" s="14">
        <v>1.0</v>
      </c>
      <c r="G5" s="14">
        <v>0.0</v>
      </c>
      <c r="H5" s="14">
        <v>0.0</v>
      </c>
      <c r="I5" s="14">
        <v>0.0</v>
      </c>
      <c r="J5" s="14">
        <v>0.0</v>
      </c>
    </row>
    <row r="6">
      <c r="A6" s="22" t="s">
        <v>17</v>
      </c>
      <c r="B6" s="21">
        <f t="shared" si="2"/>
        <v>1777.777778</v>
      </c>
      <c r="C6" s="21" t="str">
        <f>VLOOKUP(A6, hash!A$2:B$500, 2, 0)</f>
        <v>65020bfc097ac3c9d063264d</v>
      </c>
      <c r="D6" s="23">
        <f t="shared" si="3"/>
        <v>2</v>
      </c>
      <c r="E6" s="14">
        <v>1.0</v>
      </c>
      <c r="F6" s="14">
        <v>1.0</v>
      </c>
      <c r="G6" s="14">
        <v>0.0</v>
      </c>
      <c r="H6" s="14">
        <v>0.0</v>
      </c>
      <c r="I6" s="14">
        <v>0.0</v>
      </c>
      <c r="J6" s="14">
        <v>0.0</v>
      </c>
    </row>
    <row r="7">
      <c r="A7" s="22" t="s">
        <v>9</v>
      </c>
      <c r="B7" s="21">
        <f t="shared" si="2"/>
        <v>1777.777778</v>
      </c>
      <c r="C7" s="21" t="str">
        <f>VLOOKUP(A7, hash!A$2:B$500, 2, 0)</f>
        <v>66e1e1237a8e6dc2aed3a642</v>
      </c>
      <c r="D7" s="23">
        <f t="shared" si="3"/>
        <v>2</v>
      </c>
      <c r="E7" s="14">
        <v>1.0</v>
      </c>
      <c r="F7" s="14">
        <v>1.0</v>
      </c>
      <c r="G7" s="14">
        <v>0.0</v>
      </c>
      <c r="H7" s="14">
        <v>0.0</v>
      </c>
      <c r="I7" s="14">
        <v>0.0</v>
      </c>
      <c r="J7" s="14">
        <v>0.0</v>
      </c>
    </row>
    <row r="8">
      <c r="A8" s="22" t="s">
        <v>24</v>
      </c>
      <c r="B8" s="21">
        <f t="shared" si="2"/>
        <v>1777.777778</v>
      </c>
      <c r="C8" s="21" t="str">
        <f>VLOOKUP(A8, hash!A$2:B$500, 2, 0)</f>
        <v>66e1e1277a8e6dc2aed3a645</v>
      </c>
      <c r="D8" s="23">
        <f t="shared" si="3"/>
        <v>2</v>
      </c>
      <c r="E8" s="14">
        <v>1.0</v>
      </c>
      <c r="F8" s="14">
        <v>1.0</v>
      </c>
      <c r="G8" s="14">
        <v>0.0</v>
      </c>
      <c r="H8" s="14">
        <v>0.0</v>
      </c>
      <c r="I8" s="14">
        <v>0.0</v>
      </c>
      <c r="J8" s="14">
        <v>0.0</v>
      </c>
    </row>
    <row r="9">
      <c r="A9" s="22" t="s">
        <v>10</v>
      </c>
      <c r="B9" s="21">
        <f t="shared" si="2"/>
        <v>1777.777778</v>
      </c>
      <c r="C9" s="21" t="str">
        <f>VLOOKUP(A9, hash!A$2:B$500, 2, 0)</f>
        <v>632220270aa8ba2dbc57c0a4</v>
      </c>
      <c r="D9" s="23">
        <f t="shared" si="3"/>
        <v>2</v>
      </c>
      <c r="E9" s="14">
        <v>1.0</v>
      </c>
      <c r="F9" s="14">
        <v>1.0</v>
      </c>
      <c r="G9" s="14">
        <v>0.0</v>
      </c>
      <c r="H9" s="14">
        <v>0.0</v>
      </c>
      <c r="I9" s="14">
        <v>0.0</v>
      </c>
      <c r="J9" s="14">
        <v>0.0</v>
      </c>
    </row>
    <row r="10">
      <c r="A10" s="22" t="s">
        <v>21</v>
      </c>
      <c r="B10" s="21">
        <f t="shared" si="2"/>
        <v>1777.777778</v>
      </c>
      <c r="C10" s="21" t="str">
        <f>VLOOKUP(A10, hash!A$2:B$500, 2, 0)</f>
        <v>63222da0116f680d68804fa7</v>
      </c>
      <c r="D10" s="23">
        <f t="shared" si="3"/>
        <v>2</v>
      </c>
      <c r="E10" s="14">
        <v>1.0</v>
      </c>
      <c r="F10" s="14">
        <v>1.0</v>
      </c>
      <c r="G10" s="14">
        <v>0.0</v>
      </c>
      <c r="H10" s="14">
        <v>0.0</v>
      </c>
      <c r="I10" s="14">
        <v>0.0</v>
      </c>
      <c r="J10" s="14">
        <v>0.0</v>
      </c>
    </row>
    <row r="11">
      <c r="A11" s="22" t="s">
        <v>18</v>
      </c>
      <c r="B11" s="21">
        <f t="shared" si="2"/>
        <v>1777.777778</v>
      </c>
      <c r="C11" s="21" t="str">
        <f>VLOOKUP(A11, hash!A$2:B$500, 2, 0)</f>
        <v>6502003d1d8cbbbd315ad525</v>
      </c>
      <c r="D11" s="23">
        <f t="shared" si="3"/>
        <v>2</v>
      </c>
      <c r="E11" s="14">
        <v>1.0</v>
      </c>
      <c r="F11" s="14">
        <v>1.0</v>
      </c>
      <c r="G11" s="14">
        <v>0.0</v>
      </c>
      <c r="H11" s="14">
        <v>0.0</v>
      </c>
      <c r="I11" s="14">
        <v>0.0</v>
      </c>
      <c r="J11" s="14">
        <v>0.0</v>
      </c>
    </row>
    <row r="12">
      <c r="A12" s="22" t="s">
        <v>19</v>
      </c>
      <c r="B12" s="21">
        <f t="shared" si="2"/>
        <v>1777.777778</v>
      </c>
      <c r="C12" s="21" t="str">
        <f>VLOOKUP(A12, hash!A$2:B$500, 2, 0)</f>
        <v>6502007357ae167867eac223</v>
      </c>
      <c r="D12" s="23">
        <f t="shared" si="3"/>
        <v>2</v>
      </c>
      <c r="E12" s="14">
        <v>1.0</v>
      </c>
      <c r="F12" s="14">
        <v>1.0</v>
      </c>
      <c r="G12" s="14">
        <v>0.0</v>
      </c>
      <c r="H12" s="14">
        <v>0.0</v>
      </c>
      <c r="I12" s="14">
        <v>0.0</v>
      </c>
      <c r="J12" s="14">
        <v>0.0</v>
      </c>
    </row>
    <row r="13">
      <c r="A13" s="22" t="s">
        <v>13</v>
      </c>
      <c r="B13" s="21">
        <f t="shared" si="2"/>
        <v>1777.777778</v>
      </c>
      <c r="C13" s="21" t="str">
        <f>VLOOKUP(A13, hash!A$2:B$500, 2, 0)</f>
        <v>65020be78f2b101294bb3da8</v>
      </c>
      <c r="D13" s="23">
        <f t="shared" si="3"/>
        <v>2</v>
      </c>
      <c r="E13" s="14">
        <v>1.0</v>
      </c>
      <c r="F13" s="14">
        <v>1.0</v>
      </c>
      <c r="G13" s="14">
        <v>0.0</v>
      </c>
      <c r="H13" s="14">
        <v>0.0</v>
      </c>
      <c r="I13" s="14">
        <v>0.0</v>
      </c>
      <c r="J13" s="14">
        <v>0.0</v>
      </c>
    </row>
    <row r="14">
      <c r="A14" s="22" t="s">
        <v>28</v>
      </c>
      <c r="B14" s="21">
        <f t="shared" si="2"/>
        <v>1777.777778</v>
      </c>
      <c r="C14" s="21" t="str">
        <f>VLOOKUP(A14, hash!A$2:B$500, 2, 0)</f>
        <v>672a75c30d4b802ed589275d</v>
      </c>
      <c r="D14" s="23">
        <f t="shared" si="3"/>
        <v>2</v>
      </c>
      <c r="E14" s="14">
        <v>1.0</v>
      </c>
      <c r="F14" s="14">
        <v>1.0</v>
      </c>
      <c r="G14" s="14">
        <v>0.0</v>
      </c>
      <c r="H14" s="14">
        <v>0.0</v>
      </c>
      <c r="I14" s="14">
        <v>0.0</v>
      </c>
      <c r="J14" s="14">
        <v>0.0</v>
      </c>
    </row>
    <row r="15">
      <c r="A15" s="22" t="s">
        <v>20</v>
      </c>
      <c r="B15" s="21">
        <f t="shared" si="2"/>
        <v>1777.777778</v>
      </c>
      <c r="C15" s="21" t="str">
        <f>VLOOKUP(A15, hash!A$2:B$500, 2, 0)</f>
        <v>68c1c4ad8d697869a6c944d9</v>
      </c>
      <c r="D15" s="23">
        <f t="shared" si="3"/>
        <v>2</v>
      </c>
      <c r="E15" s="14">
        <v>1.0</v>
      </c>
      <c r="F15" s="14">
        <v>1.0</v>
      </c>
      <c r="G15" s="14">
        <v>0.0</v>
      </c>
      <c r="H15" s="14">
        <v>0.0</v>
      </c>
      <c r="I15" s="14">
        <v>0.0</v>
      </c>
      <c r="J15" s="14">
        <v>0.0</v>
      </c>
    </row>
    <row r="16">
      <c r="A16" s="14" t="s">
        <v>22</v>
      </c>
      <c r="B16" s="21">
        <f t="shared" si="2"/>
        <v>1777.777778</v>
      </c>
      <c r="C16" s="21" t="str">
        <f>VLOOKUP(A16, hash!A$2:B$500, 2, 0)</f>
        <v>#N/A</v>
      </c>
      <c r="D16" s="23">
        <f t="shared" si="3"/>
        <v>2</v>
      </c>
      <c r="E16" s="14">
        <v>1.0</v>
      </c>
      <c r="F16" s="14">
        <v>1.0</v>
      </c>
      <c r="G16" s="14">
        <v>0.0</v>
      </c>
      <c r="H16" s="14">
        <v>0.0</v>
      </c>
      <c r="I16" s="14">
        <v>0.0</v>
      </c>
      <c r="J16" s="14">
        <v>0.0</v>
      </c>
    </row>
    <row r="17">
      <c r="A17" s="22" t="s">
        <v>16</v>
      </c>
      <c r="B17" s="21">
        <f t="shared" si="2"/>
        <v>1777.777778</v>
      </c>
      <c r="C17" s="21" t="str">
        <f>VLOOKUP(A17, hash!A$2:B$500, 2, 0)</f>
        <v>66e1e1267a8e6dc2aed3a644</v>
      </c>
      <c r="D17" s="23">
        <f t="shared" si="3"/>
        <v>2</v>
      </c>
      <c r="E17" s="14">
        <v>1.0</v>
      </c>
      <c r="F17" s="14">
        <v>0.0</v>
      </c>
      <c r="G17" s="14">
        <v>0.0</v>
      </c>
      <c r="H17" s="14">
        <v>0.0</v>
      </c>
      <c r="I17" s="14">
        <v>0.0</v>
      </c>
      <c r="J17" s="14">
        <v>1.0</v>
      </c>
    </row>
    <row r="18">
      <c r="A18" s="22" t="s">
        <v>30</v>
      </c>
      <c r="B18" s="21">
        <f t="shared" si="2"/>
        <v>888.8888889</v>
      </c>
      <c r="C18" s="21" t="str">
        <f>VLOOKUP(A18, hash!A$2:B$500, 2, 0)</f>
        <v>6322236ef382c17890e6a3e1</v>
      </c>
      <c r="D18" s="23">
        <f t="shared" si="3"/>
        <v>1</v>
      </c>
      <c r="E18" s="14">
        <v>1.0</v>
      </c>
      <c r="F18" s="14">
        <v>0.0</v>
      </c>
      <c r="G18" s="14">
        <v>0.0</v>
      </c>
      <c r="H18" s="14">
        <v>0.0</v>
      </c>
      <c r="I18" s="14">
        <v>0.0</v>
      </c>
      <c r="J18" s="14">
        <v>0.0</v>
      </c>
    </row>
    <row r="19">
      <c r="A19" s="22" t="s">
        <v>34</v>
      </c>
      <c r="B19" s="21">
        <f t="shared" si="2"/>
        <v>888.8888889</v>
      </c>
      <c r="C19" s="21" t="str">
        <f>VLOOKUP(A19, hash!A$2:B$500, 2, 0)</f>
        <v>63222c2fed58d92b843f7cbf</v>
      </c>
      <c r="D19" s="23">
        <f t="shared" si="3"/>
        <v>1</v>
      </c>
      <c r="E19" s="14">
        <v>1.0</v>
      </c>
      <c r="F19" s="14">
        <v>0.0</v>
      </c>
      <c r="G19" s="14">
        <v>0.0</v>
      </c>
      <c r="H19" s="14">
        <v>0.0</v>
      </c>
      <c r="I19" s="14">
        <v>0.0</v>
      </c>
      <c r="J19" s="14">
        <v>0.0</v>
      </c>
    </row>
    <row r="20">
      <c r="A20" s="22" t="s">
        <v>15</v>
      </c>
      <c r="B20" s="21">
        <f t="shared" si="2"/>
        <v>888.8888889</v>
      </c>
      <c r="C20" s="21" t="str">
        <f>VLOOKUP(A20, hash!A$2:B$500, 2, 0)</f>
        <v>65020037540ba7cc68909a9b</v>
      </c>
      <c r="D20" s="23">
        <f t="shared" si="3"/>
        <v>1</v>
      </c>
      <c r="E20" s="14">
        <v>0.0</v>
      </c>
      <c r="F20" s="14">
        <v>1.0</v>
      </c>
      <c r="G20" s="14">
        <v>0.0</v>
      </c>
      <c r="H20" s="14">
        <v>0.0</v>
      </c>
      <c r="I20" s="14">
        <v>0.0</v>
      </c>
      <c r="J20" s="14">
        <v>0.0</v>
      </c>
    </row>
    <row r="21">
      <c r="A21" s="22" t="s">
        <v>60</v>
      </c>
      <c r="B21" s="21">
        <f t="shared" si="2"/>
        <v>888.8888889</v>
      </c>
      <c r="C21" s="21" t="str">
        <f>VLOOKUP(A21, hash!A$2:B$500, 2, 0)</f>
        <v>66e1e105db315cbd40043fc1</v>
      </c>
      <c r="D21" s="23">
        <f t="shared" si="3"/>
        <v>1</v>
      </c>
      <c r="E21" s="14">
        <v>0.0</v>
      </c>
      <c r="F21" s="14">
        <v>0.0</v>
      </c>
      <c r="G21" s="14">
        <v>1.0</v>
      </c>
      <c r="H21" s="14">
        <v>0.0</v>
      </c>
      <c r="I21" s="14">
        <v>0.0</v>
      </c>
      <c r="J21" s="14">
        <v>0.0</v>
      </c>
    </row>
    <row r="22">
      <c r="A22" s="22" t="s">
        <v>14</v>
      </c>
      <c r="B22" s="21">
        <f t="shared" si="2"/>
        <v>888.8888889</v>
      </c>
      <c r="C22" s="21" t="str">
        <f>VLOOKUP(A22, hash!A$2:B$500, 2, 0)</f>
        <v>66e1e10f7a8e6dc2aed3a63c</v>
      </c>
      <c r="D22" s="23">
        <f t="shared" si="3"/>
        <v>1</v>
      </c>
      <c r="E22" s="14">
        <v>0.0</v>
      </c>
      <c r="F22" s="14">
        <v>1.0</v>
      </c>
      <c r="G22" s="14">
        <v>0.0</v>
      </c>
      <c r="H22" s="14">
        <v>0.0</v>
      </c>
      <c r="I22" s="14">
        <v>0.0</v>
      </c>
      <c r="J22" s="14">
        <v>0.0</v>
      </c>
    </row>
    <row r="23">
      <c r="A23" s="22" t="s">
        <v>50</v>
      </c>
      <c r="B23" s="21">
        <f t="shared" si="2"/>
        <v>888.8888889</v>
      </c>
      <c r="C23" s="21" t="str">
        <f>VLOOKUP(A23, hash!A$2:B$500, 2, 0)</f>
        <v>66e1e1227a8e6dc2aed3a641</v>
      </c>
      <c r="D23" s="23">
        <f t="shared" si="3"/>
        <v>1</v>
      </c>
      <c r="E23" s="14">
        <v>0.0</v>
      </c>
      <c r="F23" s="14">
        <v>1.0</v>
      </c>
      <c r="G23" s="14">
        <v>0.0</v>
      </c>
      <c r="H23" s="14">
        <v>0.0</v>
      </c>
      <c r="I23" s="14">
        <v>0.0</v>
      </c>
      <c r="J23" s="14">
        <v>0.0</v>
      </c>
    </row>
    <row r="24">
      <c r="A24" s="22" t="s">
        <v>33</v>
      </c>
      <c r="B24" s="21">
        <f t="shared" si="2"/>
        <v>888.8888889</v>
      </c>
      <c r="C24" s="21" t="str">
        <f>VLOOKUP(A24, hash!A$2:B$500, 2, 0)</f>
        <v>66e1e126f0db8f5922c91d85</v>
      </c>
      <c r="D24" s="23">
        <f t="shared" si="3"/>
        <v>1</v>
      </c>
      <c r="E24" s="14">
        <v>1.0</v>
      </c>
      <c r="F24" s="14">
        <v>0.0</v>
      </c>
      <c r="G24" s="14">
        <v>0.0</v>
      </c>
      <c r="H24" s="14">
        <v>0.0</v>
      </c>
      <c r="I24" s="14">
        <v>0.0</v>
      </c>
      <c r="J24" s="14">
        <v>0.0</v>
      </c>
    </row>
    <row r="25">
      <c r="A25" s="22" t="s">
        <v>41</v>
      </c>
      <c r="B25" s="21">
        <f t="shared" si="2"/>
        <v>888.8888889</v>
      </c>
      <c r="C25" s="21" t="str">
        <f>VLOOKUP(A25, hash!A$2:B$500, 2, 0)</f>
        <v>66e1e12ef0db8f5922c91d8b</v>
      </c>
      <c r="D25" s="23">
        <f t="shared" si="3"/>
        <v>1</v>
      </c>
      <c r="E25" s="14">
        <v>0.0</v>
      </c>
      <c r="F25" s="14">
        <v>1.0</v>
      </c>
      <c r="G25" s="14">
        <v>0.0</v>
      </c>
      <c r="H25" s="14">
        <v>0.0</v>
      </c>
      <c r="I25" s="14">
        <v>0.0</v>
      </c>
      <c r="J25" s="14">
        <v>0.0</v>
      </c>
    </row>
    <row r="26">
      <c r="A26" s="22" t="s">
        <v>31</v>
      </c>
      <c r="B26" s="21">
        <f t="shared" si="2"/>
        <v>888.8888889</v>
      </c>
      <c r="C26" s="21" t="str">
        <f>VLOOKUP(A26, hash!A$2:B$500, 2, 0)</f>
        <v>66e1e13fdb315cbd40043fca</v>
      </c>
      <c r="D26" s="23">
        <f t="shared" si="3"/>
        <v>1</v>
      </c>
      <c r="E26" s="14">
        <v>1.0</v>
      </c>
      <c r="F26" s="14">
        <v>0.0</v>
      </c>
      <c r="G26" s="14">
        <v>0.0</v>
      </c>
      <c r="H26" s="14">
        <v>0.0</v>
      </c>
      <c r="I26" s="14">
        <v>0.0</v>
      </c>
      <c r="J26" s="14">
        <v>0.0</v>
      </c>
    </row>
    <row r="27">
      <c r="A27" s="22" t="s">
        <v>29</v>
      </c>
      <c r="B27" s="21">
        <f t="shared" si="2"/>
        <v>888.8888889</v>
      </c>
      <c r="C27" s="21" t="str">
        <f>VLOOKUP(A27, hash!A$2:B$500, 2, 0)</f>
        <v>66e1e1659bdd593ffcd624e6</v>
      </c>
      <c r="D27" s="23">
        <f t="shared" si="3"/>
        <v>1</v>
      </c>
      <c r="E27" s="14">
        <v>1.0</v>
      </c>
      <c r="F27" s="14">
        <v>0.0</v>
      </c>
      <c r="G27" s="14">
        <v>0.0</v>
      </c>
      <c r="H27" s="14">
        <v>0.0</v>
      </c>
      <c r="I27" s="14">
        <v>0.0</v>
      </c>
      <c r="J27" s="14">
        <v>0.0</v>
      </c>
    </row>
    <row r="28">
      <c r="A28" s="22" t="s">
        <v>38</v>
      </c>
      <c r="B28" s="21">
        <f t="shared" si="2"/>
        <v>888.8888889</v>
      </c>
      <c r="C28" s="21" t="str">
        <f>VLOOKUP(A28, hash!A$2:B$500, 2, 0)</f>
        <v>66e1e295c67d6a88d4309dde</v>
      </c>
      <c r="D28" s="23">
        <f t="shared" si="3"/>
        <v>1</v>
      </c>
      <c r="E28" s="14">
        <v>1.0</v>
      </c>
      <c r="F28" s="14">
        <v>0.0</v>
      </c>
      <c r="G28" s="14">
        <v>0.0</v>
      </c>
      <c r="H28" s="14">
        <v>0.0</v>
      </c>
      <c r="I28" s="14">
        <v>0.0</v>
      </c>
      <c r="J28" s="14">
        <v>0.0</v>
      </c>
    </row>
    <row r="29">
      <c r="A29" s="22" t="s">
        <v>37</v>
      </c>
      <c r="B29" s="21">
        <f t="shared" si="2"/>
        <v>888.8888889</v>
      </c>
      <c r="C29" s="21" t="str">
        <f>VLOOKUP(A29, hash!A$2:B$500, 2, 0)</f>
        <v>66e21e0e9dc93e7d858c34ab</v>
      </c>
      <c r="D29" s="23">
        <f t="shared" si="3"/>
        <v>1</v>
      </c>
      <c r="E29" s="14">
        <v>0.0</v>
      </c>
      <c r="F29" s="14">
        <v>1.0</v>
      </c>
      <c r="G29" s="14">
        <v>0.0</v>
      </c>
      <c r="H29" s="14">
        <v>0.0</v>
      </c>
      <c r="I29" s="14">
        <v>0.0</v>
      </c>
      <c r="J29" s="14">
        <v>0.0</v>
      </c>
    </row>
    <row r="30">
      <c r="A30" s="22" t="s">
        <v>35</v>
      </c>
      <c r="B30" s="21">
        <f t="shared" si="2"/>
        <v>888.8888889</v>
      </c>
      <c r="C30" s="21" t="str">
        <f>VLOOKUP(A30, hash!A$2:B$500, 2, 0)</f>
        <v>66eb1b4237edf2b32f9fc2ec</v>
      </c>
      <c r="D30" s="23">
        <f t="shared" si="3"/>
        <v>1</v>
      </c>
      <c r="E30" s="14">
        <v>1.0</v>
      </c>
      <c r="F30" s="14">
        <v>0.0</v>
      </c>
      <c r="G30" s="14">
        <v>0.0</v>
      </c>
      <c r="H30" s="14">
        <v>0.0</v>
      </c>
      <c r="I30" s="14">
        <v>0.0</v>
      </c>
      <c r="J30" s="14">
        <v>0.0</v>
      </c>
    </row>
    <row r="31">
      <c r="A31" s="22" t="s">
        <v>36</v>
      </c>
      <c r="B31" s="21">
        <f t="shared" si="2"/>
        <v>888.8888889</v>
      </c>
      <c r="C31" s="21" t="str">
        <f>VLOOKUP(A31, hash!A$2:B$500, 2, 0)</f>
        <v>68c1c3056d9fc0b28257c5ed</v>
      </c>
      <c r="D31" s="23">
        <f t="shared" si="3"/>
        <v>1</v>
      </c>
      <c r="E31" s="14">
        <v>1.0</v>
      </c>
      <c r="F31" s="14">
        <v>0.0</v>
      </c>
      <c r="G31" s="14">
        <v>0.0</v>
      </c>
      <c r="H31" s="14">
        <v>0.0</v>
      </c>
      <c r="I31" s="14">
        <v>0.0</v>
      </c>
      <c r="J31" s="14">
        <v>0.0</v>
      </c>
    </row>
    <row r="32">
      <c r="A32" s="22" t="s">
        <v>51</v>
      </c>
      <c r="B32" s="21">
        <f t="shared" si="2"/>
        <v>888.8888889</v>
      </c>
      <c r="C32" s="21" t="str">
        <f>VLOOKUP(A32, hash!A$2:B$500, 2, 0)</f>
        <v>68c1c30f6d9fc0b28257c5f0</v>
      </c>
      <c r="D32" s="23">
        <f t="shared" si="3"/>
        <v>1</v>
      </c>
      <c r="E32" s="14">
        <v>1.0</v>
      </c>
      <c r="F32" s="14">
        <v>0.0</v>
      </c>
      <c r="G32" s="14">
        <v>0.0</v>
      </c>
      <c r="H32" s="14">
        <v>0.0</v>
      </c>
      <c r="I32" s="14">
        <v>0.0</v>
      </c>
      <c r="J32" s="14">
        <v>0.0</v>
      </c>
    </row>
    <row r="33">
      <c r="A33" s="22" t="s">
        <v>55</v>
      </c>
      <c r="B33" s="21">
        <f t="shared" si="2"/>
        <v>888.8888889</v>
      </c>
      <c r="C33" s="21" t="str">
        <f>VLOOKUP(A33, hash!A$2:B$500, 2, 0)</f>
        <v>68c1c33d6d9fc0b28257c5f7</v>
      </c>
      <c r="D33" s="23">
        <f t="shared" si="3"/>
        <v>1</v>
      </c>
      <c r="E33" s="14">
        <v>1.0</v>
      </c>
      <c r="F33" s="14">
        <v>0.0</v>
      </c>
      <c r="G33" s="14">
        <v>0.0</v>
      </c>
      <c r="H33" s="14">
        <v>0.0</v>
      </c>
      <c r="I33" s="14">
        <v>0.0</v>
      </c>
      <c r="J33" s="14">
        <v>0.0</v>
      </c>
    </row>
    <row r="34">
      <c r="A34" s="22" t="s">
        <v>52</v>
      </c>
      <c r="B34" s="21">
        <f t="shared" si="2"/>
        <v>888.8888889</v>
      </c>
      <c r="C34" s="21" t="str">
        <f>VLOOKUP(A34, hash!A$2:B$500, 2, 0)</f>
        <v>68c1c42919cae884bc3ecddf</v>
      </c>
      <c r="D34" s="23">
        <f t="shared" si="3"/>
        <v>1</v>
      </c>
      <c r="E34" s="14">
        <v>1.0</v>
      </c>
      <c r="F34" s="14">
        <v>0.0</v>
      </c>
      <c r="G34" s="14">
        <v>0.0</v>
      </c>
      <c r="H34" s="14">
        <v>0.0</v>
      </c>
      <c r="I34" s="14">
        <v>0.0</v>
      </c>
      <c r="J34" s="14">
        <v>0.0</v>
      </c>
    </row>
    <row r="35">
      <c r="A35" s="14" t="s">
        <v>26</v>
      </c>
      <c r="B35" s="21">
        <f t="shared" si="2"/>
        <v>888.8888889</v>
      </c>
      <c r="C35" s="21" t="str">
        <f>VLOOKUP(A35, hash!A$2:B$500, 2, 0)</f>
        <v>68c1d00f9147fa44206d10b5</v>
      </c>
      <c r="D35" s="23">
        <f t="shared" si="3"/>
        <v>1</v>
      </c>
      <c r="E35" s="14">
        <v>0.0</v>
      </c>
      <c r="F35" s="14">
        <v>1.0</v>
      </c>
      <c r="G35" s="14">
        <v>0.0</v>
      </c>
      <c r="H35" s="14">
        <v>0.0</v>
      </c>
      <c r="I35" s="14">
        <v>0.0</v>
      </c>
      <c r="J35" s="14">
        <v>0.0</v>
      </c>
    </row>
    <row r="36">
      <c r="A36" s="14" t="s">
        <v>53</v>
      </c>
      <c r="B36" s="21">
        <f t="shared" si="2"/>
        <v>888.8888889</v>
      </c>
      <c r="C36" s="21" t="str">
        <f>VLOOKUP(A36, hash!A$2:B$500, 2, 0)</f>
        <v>68c1d018f29fd291859a49b9</v>
      </c>
      <c r="D36" s="23">
        <f t="shared" si="3"/>
        <v>1</v>
      </c>
      <c r="E36" s="14">
        <v>0.0</v>
      </c>
      <c r="F36" s="14">
        <v>1.0</v>
      </c>
      <c r="G36" s="14">
        <v>0.0</v>
      </c>
      <c r="H36" s="14">
        <v>0.0</v>
      </c>
      <c r="I36" s="14">
        <v>0.0</v>
      </c>
      <c r="J36" s="14">
        <v>0.0</v>
      </c>
    </row>
    <row r="37">
      <c r="A37" s="14" t="s">
        <v>54</v>
      </c>
      <c r="B37" s="21">
        <f t="shared" si="2"/>
        <v>888.8888889</v>
      </c>
      <c r="C37" s="21" t="str">
        <f>VLOOKUP(A37, hash!A$2:B$500, 2, 0)</f>
        <v>#N/A</v>
      </c>
      <c r="D37" s="23">
        <f t="shared" si="3"/>
        <v>1</v>
      </c>
      <c r="E37" s="14">
        <v>1.0</v>
      </c>
      <c r="F37" s="14">
        <v>0.0</v>
      </c>
      <c r="G37" s="14">
        <v>0.0</v>
      </c>
      <c r="H37" s="14">
        <v>0.0</v>
      </c>
      <c r="I37" s="14">
        <v>0.0</v>
      </c>
      <c r="J37" s="14">
        <v>0.0</v>
      </c>
    </row>
    <row r="38">
      <c r="A38" s="14" t="s">
        <v>32</v>
      </c>
      <c r="B38" s="21">
        <f t="shared" si="2"/>
        <v>888.8888889</v>
      </c>
      <c r="C38" s="21" t="str">
        <f>VLOOKUP(A38, hash!A$2:B$500, 2, 0)</f>
        <v>#N/A</v>
      </c>
      <c r="D38" s="23">
        <f t="shared" si="3"/>
        <v>1</v>
      </c>
      <c r="E38" s="14">
        <v>1.0</v>
      </c>
      <c r="F38" s="14">
        <v>0.0</v>
      </c>
      <c r="G38" s="14">
        <v>0.0</v>
      </c>
      <c r="H38" s="14">
        <v>0.0</v>
      </c>
      <c r="I38" s="14">
        <v>0.0</v>
      </c>
      <c r="J38" s="14">
        <v>0.0</v>
      </c>
    </row>
    <row r="39">
      <c r="A39" s="22" t="s">
        <v>56</v>
      </c>
      <c r="B39" s="21">
        <f t="shared" si="2"/>
        <v>0</v>
      </c>
      <c r="C39" s="21" t="str">
        <f>VLOOKUP(A39, hash!A$2:B$500, 2, 0)</f>
        <v>64515f804c53122bd367c958</v>
      </c>
      <c r="D39" s="23">
        <f t="shared" si="3"/>
        <v>0</v>
      </c>
      <c r="E39" s="14">
        <v>0.0</v>
      </c>
      <c r="F39" s="14">
        <v>0.0</v>
      </c>
      <c r="G39" s="14">
        <v>0.0</v>
      </c>
      <c r="H39" s="14">
        <v>0.0</v>
      </c>
      <c r="I39" s="14">
        <v>0.0</v>
      </c>
      <c r="J39" s="14">
        <v>0.0</v>
      </c>
    </row>
    <row r="40">
      <c r="A40" s="22" t="s">
        <v>40</v>
      </c>
      <c r="B40" s="21">
        <f t="shared" si="2"/>
        <v>0</v>
      </c>
      <c r="C40" s="21" t="str">
        <f>VLOOKUP(A40, hash!A$2:B$500, 2, 0)</f>
        <v>65020bed03dd812a55d3a207</v>
      </c>
      <c r="D40" s="23">
        <f t="shared" si="3"/>
        <v>0</v>
      </c>
      <c r="E40" s="14">
        <v>0.0</v>
      </c>
      <c r="F40" s="14">
        <v>0.0</v>
      </c>
      <c r="G40" s="14">
        <v>0.0</v>
      </c>
      <c r="H40" s="14">
        <v>0.0</v>
      </c>
      <c r="I40" s="14">
        <v>0.0</v>
      </c>
      <c r="J40" s="14">
        <v>0.0</v>
      </c>
    </row>
    <row r="41">
      <c r="A41" s="22" t="s">
        <v>23</v>
      </c>
      <c r="B41" s="21">
        <f t="shared" si="2"/>
        <v>0</v>
      </c>
      <c r="C41" s="21" t="str">
        <f>VLOOKUP(A41, hash!A$2:B$500, 2, 0)</f>
        <v>65020bfe097ac3c9d063264f</v>
      </c>
      <c r="D41" s="23">
        <f t="shared" si="3"/>
        <v>0</v>
      </c>
      <c r="E41" s="14">
        <v>0.0</v>
      </c>
      <c r="F41" s="14">
        <v>0.0</v>
      </c>
      <c r="G41" s="14">
        <v>0.0</v>
      </c>
      <c r="H41" s="14">
        <v>0.0</v>
      </c>
      <c r="I41" s="14">
        <v>0.0</v>
      </c>
      <c r="J41" s="14">
        <v>0.0</v>
      </c>
    </row>
    <row r="42">
      <c r="A42" s="22" t="s">
        <v>86</v>
      </c>
      <c r="B42" s="21">
        <f t="shared" si="2"/>
        <v>0</v>
      </c>
      <c r="C42" s="21" t="str">
        <f>VLOOKUP(A42, hash!A$2:B$500, 2, 0)</f>
        <v>65020c05097ac3c9d0632651</v>
      </c>
      <c r="D42" s="23">
        <f t="shared" si="3"/>
        <v>0</v>
      </c>
      <c r="E42" s="14">
        <v>0.0</v>
      </c>
      <c r="F42" s="14">
        <v>0.0</v>
      </c>
      <c r="G42" s="14">
        <v>0.0</v>
      </c>
      <c r="H42" s="14">
        <v>0.0</v>
      </c>
      <c r="I42" s="14">
        <v>0.0</v>
      </c>
      <c r="J42" s="14">
        <v>0.0</v>
      </c>
    </row>
    <row r="43">
      <c r="A43" s="22" t="s">
        <v>61</v>
      </c>
      <c r="B43" s="21">
        <f t="shared" si="2"/>
        <v>0</v>
      </c>
      <c r="C43" s="21" t="str">
        <f>VLOOKUP(A43, hash!A$2:B$500, 2, 0)</f>
        <v>65020c0f8f2b101294bb3dae</v>
      </c>
      <c r="D43" s="23">
        <f t="shared" si="3"/>
        <v>0</v>
      </c>
      <c r="E43" s="14">
        <v>0.0</v>
      </c>
      <c r="F43" s="14">
        <v>0.0</v>
      </c>
      <c r="G43" s="14">
        <v>0.0</v>
      </c>
      <c r="H43" s="14">
        <v>0.0</v>
      </c>
      <c r="I43" s="14">
        <v>0.0</v>
      </c>
      <c r="J43" s="14">
        <v>0.0</v>
      </c>
    </row>
    <row r="44">
      <c r="A44" s="22" t="s">
        <v>88</v>
      </c>
      <c r="B44" s="21">
        <f t="shared" si="2"/>
        <v>0</v>
      </c>
      <c r="C44" s="21" t="str">
        <f>VLOOKUP(A44, hash!A$2:B$500, 2, 0)</f>
        <v>65020d65097ac3c9d063266d</v>
      </c>
      <c r="D44" s="23">
        <f t="shared" si="3"/>
        <v>0</v>
      </c>
      <c r="E44" s="14">
        <v>0.0</v>
      </c>
      <c r="F44" s="14">
        <v>0.0</v>
      </c>
      <c r="G44" s="14">
        <v>0.0</v>
      </c>
      <c r="H44" s="14">
        <v>0.0</v>
      </c>
      <c r="I44" s="14">
        <v>0.0</v>
      </c>
      <c r="J44" s="14">
        <v>0.0</v>
      </c>
    </row>
    <row r="45">
      <c r="A45" s="22" t="s">
        <v>39</v>
      </c>
      <c r="B45" s="21">
        <f t="shared" si="2"/>
        <v>0</v>
      </c>
      <c r="C45" s="21" t="str">
        <f>VLOOKUP(A45, hash!A$2:B$500, 2, 0)</f>
        <v>6594377be0f4f63927a8ce26</v>
      </c>
      <c r="D45" s="23">
        <f t="shared" si="3"/>
        <v>0</v>
      </c>
      <c r="E45" s="14">
        <v>0.0</v>
      </c>
      <c r="F45" s="14">
        <v>0.0</v>
      </c>
      <c r="G45" s="14">
        <v>0.0</v>
      </c>
      <c r="H45" s="14">
        <v>0.0</v>
      </c>
      <c r="I45" s="14">
        <v>0.0</v>
      </c>
      <c r="J45" s="14">
        <v>0.0</v>
      </c>
    </row>
    <row r="46">
      <c r="A46" s="22" t="s">
        <v>42</v>
      </c>
      <c r="B46" s="21">
        <f t="shared" si="2"/>
        <v>0</v>
      </c>
      <c r="C46" s="21" t="str">
        <f>VLOOKUP(A46, hash!A$2:B$500, 2, 0)</f>
        <v>66e1e102a61e89c7c68f6e2f</v>
      </c>
      <c r="D46" s="23">
        <f t="shared" si="3"/>
        <v>0</v>
      </c>
      <c r="E46" s="14">
        <v>0.0</v>
      </c>
      <c r="F46" s="14">
        <v>0.0</v>
      </c>
      <c r="G46" s="14">
        <v>0.0</v>
      </c>
      <c r="H46" s="14">
        <v>0.0</v>
      </c>
      <c r="I46" s="14">
        <v>0.0</v>
      </c>
      <c r="J46" s="14">
        <v>0.0</v>
      </c>
    </row>
    <row r="47">
      <c r="A47" s="22" t="s">
        <v>43</v>
      </c>
      <c r="B47" s="21">
        <f t="shared" si="2"/>
        <v>0</v>
      </c>
      <c r="C47" s="21" t="str">
        <f>VLOOKUP(A47, hash!A$2:B$500, 2, 0)</f>
        <v>66e1e108a61e89c7c68f6e31</v>
      </c>
      <c r="D47" s="23">
        <f t="shared" si="3"/>
        <v>0</v>
      </c>
      <c r="E47" s="14">
        <v>0.0</v>
      </c>
      <c r="F47" s="14">
        <v>0.0</v>
      </c>
      <c r="G47" s="14">
        <v>0.0</v>
      </c>
      <c r="H47" s="14">
        <v>0.0</v>
      </c>
      <c r="I47" s="14">
        <v>0.0</v>
      </c>
      <c r="J47" s="14">
        <v>0.0</v>
      </c>
    </row>
    <row r="48">
      <c r="A48" s="22" t="s">
        <v>89</v>
      </c>
      <c r="B48" s="21">
        <f t="shared" si="2"/>
        <v>0</v>
      </c>
      <c r="C48" s="21" t="str">
        <f>VLOOKUP(A48, hash!A$2:B$500, 2, 0)</f>
        <v>66e1e10cdb315cbd40043fc4</v>
      </c>
      <c r="D48" s="23">
        <f t="shared" si="3"/>
        <v>0</v>
      </c>
      <c r="E48" s="14">
        <v>0.0</v>
      </c>
      <c r="F48" s="14">
        <v>0.0</v>
      </c>
      <c r="G48" s="14">
        <v>0.0</v>
      </c>
      <c r="H48" s="14">
        <v>0.0</v>
      </c>
      <c r="I48" s="14">
        <v>0.0</v>
      </c>
      <c r="J48" s="14">
        <v>0.0</v>
      </c>
    </row>
    <row r="49">
      <c r="A49" s="22" t="s">
        <v>44</v>
      </c>
      <c r="B49" s="21">
        <f t="shared" si="2"/>
        <v>0</v>
      </c>
      <c r="C49" s="21" t="str">
        <f>VLOOKUP(A49, hash!A$2:B$500, 2, 0)</f>
        <v>66e1e125f0db8f5922c91d84</v>
      </c>
      <c r="D49" s="23">
        <f t="shared" si="3"/>
        <v>0</v>
      </c>
      <c r="E49" s="14">
        <v>0.0</v>
      </c>
      <c r="F49" s="14">
        <v>0.0</v>
      </c>
      <c r="G49" s="14">
        <v>0.0</v>
      </c>
      <c r="H49" s="14">
        <v>0.0</v>
      </c>
      <c r="I49" s="14">
        <v>0.0</v>
      </c>
      <c r="J49" s="14">
        <v>0.0</v>
      </c>
    </row>
    <row r="50">
      <c r="A50" s="22" t="s">
        <v>62</v>
      </c>
      <c r="B50" s="21">
        <f t="shared" si="2"/>
        <v>0</v>
      </c>
      <c r="C50" s="21" t="str">
        <f>VLOOKUP(A50, hash!A$2:B$500, 2, 0)</f>
        <v>66e1e12a45950d34f3139132</v>
      </c>
      <c r="D50" s="23">
        <f t="shared" si="3"/>
        <v>0</v>
      </c>
      <c r="E50" s="14">
        <v>0.0</v>
      </c>
      <c r="F50" s="14">
        <v>0.0</v>
      </c>
      <c r="G50" s="14">
        <v>0.0</v>
      </c>
      <c r="H50" s="14">
        <v>0.0</v>
      </c>
      <c r="I50" s="25">
        <v>0.0</v>
      </c>
      <c r="J50" s="25">
        <v>0.0</v>
      </c>
    </row>
    <row r="51">
      <c r="A51" s="22" t="s">
        <v>63</v>
      </c>
      <c r="B51" s="21">
        <f t="shared" si="2"/>
        <v>0</v>
      </c>
      <c r="C51" s="21" t="str">
        <f>VLOOKUP(A51, hash!A$2:B$500, 2, 0)</f>
        <v>66e1e12cf0db8f5922c91d89</v>
      </c>
      <c r="D51" s="23">
        <f t="shared" si="3"/>
        <v>0</v>
      </c>
      <c r="E51" s="14">
        <v>0.0</v>
      </c>
      <c r="F51" s="14">
        <v>0.0</v>
      </c>
      <c r="G51" s="14">
        <v>0.0</v>
      </c>
      <c r="H51" s="14">
        <v>0.0</v>
      </c>
      <c r="I51" s="14">
        <v>0.0</v>
      </c>
      <c r="J51" s="14">
        <v>0.0</v>
      </c>
    </row>
    <row r="52">
      <c r="A52" s="22" t="s">
        <v>57</v>
      </c>
      <c r="B52" s="21">
        <f t="shared" si="2"/>
        <v>0</v>
      </c>
      <c r="C52" s="21" t="str">
        <f>VLOOKUP(A52, hash!A$2:B$500, 2, 0)</f>
        <v>66e1e13168fa766abf5d11d8</v>
      </c>
      <c r="D52" s="23">
        <f t="shared" si="3"/>
        <v>0</v>
      </c>
      <c r="E52" s="14">
        <v>0.0</v>
      </c>
      <c r="F52" s="14">
        <v>0.0</v>
      </c>
      <c r="G52" s="14">
        <v>0.0</v>
      </c>
      <c r="H52" s="14">
        <v>0.0</v>
      </c>
      <c r="I52" s="14">
        <v>0.0</v>
      </c>
      <c r="J52" s="14">
        <v>0.0</v>
      </c>
    </row>
    <row r="53">
      <c r="A53" s="22" t="s">
        <v>64</v>
      </c>
      <c r="B53" s="21">
        <f t="shared" si="2"/>
        <v>0</v>
      </c>
      <c r="C53" s="21" t="str">
        <f>VLOOKUP(A53, hash!A$2:B$500, 2, 0)</f>
        <v>66e1ed8c1129889a3e2c24aa</v>
      </c>
      <c r="D53" s="23">
        <f t="shared" si="3"/>
        <v>0</v>
      </c>
      <c r="E53" s="14">
        <v>0.0</v>
      </c>
      <c r="F53" s="14">
        <v>0.0</v>
      </c>
      <c r="G53" s="14">
        <v>0.0</v>
      </c>
      <c r="H53" s="14">
        <v>0.0</v>
      </c>
      <c r="I53" s="14">
        <v>0.0</v>
      </c>
      <c r="J53" s="14">
        <v>0.0</v>
      </c>
    </row>
    <row r="54">
      <c r="A54" s="22" t="s">
        <v>45</v>
      </c>
      <c r="B54" s="21">
        <f t="shared" si="2"/>
        <v>0</v>
      </c>
      <c r="C54" s="21" t="str">
        <f>VLOOKUP(A54, hash!A$2:B$500, 2, 0)</f>
        <v>66e1ed8d1129889a3e2c24ab</v>
      </c>
      <c r="D54" s="23">
        <f t="shared" si="3"/>
        <v>0</v>
      </c>
      <c r="E54" s="14">
        <v>0.0</v>
      </c>
      <c r="F54" s="14">
        <v>0.0</v>
      </c>
      <c r="G54" s="14">
        <v>0.0</v>
      </c>
      <c r="H54" s="14">
        <v>0.0</v>
      </c>
      <c r="I54" s="14">
        <v>0.0</v>
      </c>
      <c r="J54" s="14">
        <v>0.0</v>
      </c>
    </row>
    <row r="55">
      <c r="A55" s="22" t="s">
        <v>90</v>
      </c>
      <c r="B55" s="21">
        <f t="shared" si="2"/>
        <v>0</v>
      </c>
      <c r="C55" s="21" t="str">
        <f>VLOOKUP(A55, hash!A$2:B$500, 2, 0)</f>
        <v>66e1edab07067318cc1e18d3</v>
      </c>
      <c r="D55" s="23">
        <f t="shared" si="3"/>
        <v>0</v>
      </c>
      <c r="E55" s="14">
        <v>0.0</v>
      </c>
      <c r="F55" s="14">
        <v>0.0</v>
      </c>
      <c r="G55" s="14">
        <v>0.0</v>
      </c>
      <c r="H55" s="14">
        <v>0.0</v>
      </c>
      <c r="I55" s="14">
        <v>0.0</v>
      </c>
      <c r="J55" s="14">
        <v>0.0</v>
      </c>
    </row>
    <row r="56">
      <c r="A56" s="22" t="s">
        <v>65</v>
      </c>
      <c r="B56" s="21">
        <f t="shared" si="2"/>
        <v>0</v>
      </c>
      <c r="C56" s="21" t="str">
        <f>VLOOKUP(A56, hash!A$2:B$500, 2, 0)</f>
        <v>67194c61fd5423623b1a2f50</v>
      </c>
      <c r="D56" s="23">
        <f t="shared" si="3"/>
        <v>0</v>
      </c>
      <c r="E56" s="14">
        <v>0.0</v>
      </c>
      <c r="F56" s="14">
        <v>0.0</v>
      </c>
      <c r="G56" s="14">
        <v>0.0</v>
      </c>
      <c r="H56" s="14">
        <v>0.0</v>
      </c>
      <c r="I56" s="14">
        <v>0.0</v>
      </c>
      <c r="J56" s="14">
        <v>0.0</v>
      </c>
    </row>
    <row r="57">
      <c r="A57" s="22" t="s">
        <v>66</v>
      </c>
      <c r="B57" s="21">
        <f t="shared" si="2"/>
        <v>0</v>
      </c>
      <c r="C57" s="21" t="str">
        <f>VLOOKUP(A57, hash!A$2:B$500, 2, 0)</f>
        <v>68a8f8ba8829a7be88667a86</v>
      </c>
      <c r="D57" s="23">
        <f t="shared" si="3"/>
        <v>0</v>
      </c>
      <c r="E57" s="14">
        <v>0.0</v>
      </c>
      <c r="F57" s="14">
        <v>0.0</v>
      </c>
      <c r="G57" s="14">
        <v>0.0</v>
      </c>
      <c r="H57" s="14">
        <v>0.0</v>
      </c>
      <c r="I57" s="14">
        <v>0.0</v>
      </c>
      <c r="J57" s="14">
        <v>0.0</v>
      </c>
    </row>
    <row r="58">
      <c r="A58" s="22" t="s">
        <v>67</v>
      </c>
      <c r="B58" s="21">
        <f t="shared" si="2"/>
        <v>0</v>
      </c>
      <c r="C58" s="21" t="str">
        <f>VLOOKUP(A58, hash!A$2:B$500, 2, 0)</f>
        <v>68ae776645784f0c9b674d14</v>
      </c>
      <c r="D58" s="23">
        <f t="shared" si="3"/>
        <v>0</v>
      </c>
    </row>
    <row r="59">
      <c r="A59" s="22" t="s">
        <v>68</v>
      </c>
      <c r="B59" s="21">
        <f t="shared" si="2"/>
        <v>0</v>
      </c>
      <c r="C59" s="21" t="str">
        <f>VLOOKUP(A59, hash!A$2:B$500, 2, 0)</f>
        <v>68af5fb7a3c82a4914c27eae</v>
      </c>
      <c r="D59" s="23">
        <f t="shared" si="3"/>
        <v>0</v>
      </c>
      <c r="E59" s="14">
        <v>0.0</v>
      </c>
      <c r="F59" s="14">
        <v>0.0</v>
      </c>
      <c r="G59" s="14">
        <v>0.0</v>
      </c>
      <c r="H59" s="14">
        <v>0.0</v>
      </c>
      <c r="I59" s="14">
        <v>0.0</v>
      </c>
      <c r="J59" s="14">
        <v>0.0</v>
      </c>
    </row>
    <row r="60">
      <c r="A60" s="22" t="s">
        <v>69</v>
      </c>
      <c r="B60" s="21">
        <f t="shared" si="2"/>
        <v>0</v>
      </c>
      <c r="C60" s="21" t="str">
        <f>VLOOKUP(A60, hash!A$2:B$500, 2, 0)</f>
        <v>68b201d43ba156dcc33e83fd</v>
      </c>
      <c r="D60" s="23">
        <f t="shared" si="3"/>
        <v>0</v>
      </c>
      <c r="E60" s="14">
        <v>0.0</v>
      </c>
      <c r="F60" s="14">
        <v>0.0</v>
      </c>
      <c r="G60" s="14">
        <v>0.0</v>
      </c>
      <c r="H60" s="14">
        <v>0.0</v>
      </c>
      <c r="I60" s="14">
        <v>0.0</v>
      </c>
      <c r="J60" s="14">
        <v>0.0</v>
      </c>
    </row>
    <row r="61">
      <c r="A61" s="22" t="s">
        <v>70</v>
      </c>
      <c r="B61" s="21">
        <f t="shared" si="2"/>
        <v>0</v>
      </c>
      <c r="C61" s="21" t="str">
        <f>VLOOKUP(A61, hash!A$2:B$500, 2, 0)</f>
        <v>68c1c2d66d9fc0b28257c5ec</v>
      </c>
      <c r="D61" s="23">
        <f t="shared" si="3"/>
        <v>0</v>
      </c>
    </row>
    <row r="62">
      <c r="A62" s="22" t="s">
        <v>71</v>
      </c>
      <c r="B62" s="21">
        <f t="shared" si="2"/>
        <v>0</v>
      </c>
      <c r="C62" s="21" t="str">
        <f>VLOOKUP(A62, hash!A$2:B$500, 2, 0)</f>
        <v>68c1c2fb9900186967b69332</v>
      </c>
      <c r="D62" s="23">
        <f t="shared" si="3"/>
        <v>0</v>
      </c>
    </row>
    <row r="63">
      <c r="A63" s="22" t="s">
        <v>87</v>
      </c>
      <c r="B63" s="21">
        <f t="shared" si="2"/>
        <v>0</v>
      </c>
      <c r="C63" s="21" t="str">
        <f>VLOOKUP(A63, hash!A$2:B$500, 2, 0)</f>
        <v>68c1c3226d9fc0b28257c5f3</v>
      </c>
      <c r="D63" s="23">
        <f t="shared" si="3"/>
        <v>0</v>
      </c>
      <c r="E63" s="14">
        <v>0.0</v>
      </c>
      <c r="F63" s="14">
        <v>0.0</v>
      </c>
      <c r="G63" s="14">
        <v>0.0</v>
      </c>
      <c r="H63" s="14">
        <v>0.0</v>
      </c>
      <c r="I63" s="14">
        <v>0.0</v>
      </c>
      <c r="J63" s="14">
        <v>0.0</v>
      </c>
    </row>
    <row r="64">
      <c r="A64" s="22" t="s">
        <v>58</v>
      </c>
      <c r="B64" s="21">
        <f t="shared" si="2"/>
        <v>0</v>
      </c>
      <c r="C64" s="21" t="str">
        <f>VLOOKUP(A64, hash!A$2:B$500, 2, 0)</f>
        <v>68c1c3336d9fc0b28257c5f4</v>
      </c>
      <c r="D64" s="23">
        <f t="shared" si="3"/>
        <v>0</v>
      </c>
      <c r="E64" s="14">
        <v>0.0</v>
      </c>
      <c r="F64" s="14">
        <v>0.0</v>
      </c>
      <c r="G64" s="14">
        <v>0.0</v>
      </c>
      <c r="H64" s="14">
        <v>0.0</v>
      </c>
      <c r="I64" s="14">
        <v>0.0</v>
      </c>
      <c r="J64" s="14">
        <v>0.0</v>
      </c>
    </row>
    <row r="65">
      <c r="A65" s="22" t="s">
        <v>72</v>
      </c>
      <c r="B65" s="21">
        <f t="shared" si="2"/>
        <v>0</v>
      </c>
      <c r="C65" s="21" t="str">
        <f>VLOOKUP(A65, hash!A$2:B$500, 2, 0)</f>
        <v>68c1c3386d9fc0b28257c5f5</v>
      </c>
      <c r="D65" s="23">
        <f t="shared" si="3"/>
        <v>0</v>
      </c>
    </row>
    <row r="66">
      <c r="A66" s="22" t="s">
        <v>46</v>
      </c>
      <c r="B66" s="21">
        <f t="shared" si="2"/>
        <v>0</v>
      </c>
      <c r="C66" s="21" t="str">
        <f>VLOOKUP(A66, hash!A$2:B$500, 2, 0)</f>
        <v>68c1c3396d9fc0b28257c5f6</v>
      </c>
      <c r="D66" s="23">
        <f t="shared" si="3"/>
        <v>0</v>
      </c>
      <c r="E66" s="14">
        <v>0.0</v>
      </c>
      <c r="F66" s="14">
        <v>0.0</v>
      </c>
      <c r="G66" s="14">
        <v>0.0</v>
      </c>
      <c r="H66" s="14">
        <v>0.0</v>
      </c>
      <c r="I66" s="14">
        <v>0.0</v>
      </c>
      <c r="J66" s="14">
        <v>0.0</v>
      </c>
    </row>
    <row r="67">
      <c r="A67" s="22" t="s">
        <v>73</v>
      </c>
      <c r="B67" s="21">
        <f t="shared" si="2"/>
        <v>0</v>
      </c>
      <c r="C67" s="21" t="str">
        <f>VLOOKUP(A67, hash!A$2:B$500, 2, 0)</f>
        <v>68c1c48aa70b0954910985c2</v>
      </c>
      <c r="D67" s="23">
        <f t="shared" si="3"/>
        <v>0</v>
      </c>
    </row>
    <row r="68">
      <c r="A68" s="22" t="s">
        <v>74</v>
      </c>
      <c r="B68" s="21">
        <f t="shared" si="2"/>
        <v>0</v>
      </c>
      <c r="C68" s="21" t="str">
        <f>VLOOKUP(A68, hash!A$2:B$500, 2, 0)</f>
        <v>68c1c48c8d697869a6c944d3</v>
      </c>
      <c r="D68" s="23">
        <f t="shared" si="3"/>
        <v>0</v>
      </c>
    </row>
    <row r="69">
      <c r="A69" s="14" t="s">
        <v>25</v>
      </c>
      <c r="B69" s="21">
        <f t="shared" si="2"/>
        <v>0</v>
      </c>
      <c r="C69" s="21" t="str">
        <f>VLOOKUP(A69, hash!A$2:B$500, 2, 0)</f>
        <v>68c1ceeed4e889598e7f612e</v>
      </c>
      <c r="D69" s="23">
        <f t="shared" si="3"/>
        <v>0</v>
      </c>
    </row>
    <row r="70">
      <c r="A70" s="14" t="s">
        <v>75</v>
      </c>
      <c r="B70" s="21">
        <f t="shared" si="2"/>
        <v>0</v>
      </c>
      <c r="C70" s="21" t="str">
        <f>VLOOKUP(A70, hash!A$2:B$500, 2, 0)</f>
        <v>68c1cf4ad4e889598e7f6131</v>
      </c>
      <c r="D70" s="23">
        <f t="shared" si="3"/>
        <v>0</v>
      </c>
    </row>
    <row r="71">
      <c r="A71" s="14" t="s">
        <v>76</v>
      </c>
      <c r="B71" s="21">
        <f t="shared" si="2"/>
        <v>0</v>
      </c>
      <c r="C71" s="21" t="str">
        <f>VLOOKUP(A71, hash!A$2:B$500, 2, 0)</f>
        <v>68c1cf5ed4e889598e7f6138</v>
      </c>
      <c r="D71" s="23">
        <f t="shared" si="3"/>
        <v>0</v>
      </c>
      <c r="E71" s="14">
        <v>0.0</v>
      </c>
      <c r="F71" s="14">
        <v>0.0</v>
      </c>
      <c r="G71" s="14">
        <v>0.0</v>
      </c>
      <c r="H71" s="14">
        <v>0.0</v>
      </c>
      <c r="I71" s="14">
        <v>0.0</v>
      </c>
      <c r="J71" s="14">
        <v>0.0</v>
      </c>
    </row>
    <row r="72">
      <c r="A72" s="14" t="s">
        <v>77</v>
      </c>
      <c r="B72" s="21">
        <f t="shared" si="2"/>
        <v>0</v>
      </c>
      <c r="C72" s="21" t="str">
        <f>VLOOKUP(A72, hash!A$2:B$500, 2, 0)</f>
        <v>68c1cfcf6c36cb3b60206bc4</v>
      </c>
      <c r="D72" s="23">
        <f t="shared" si="3"/>
        <v>0</v>
      </c>
      <c r="E72" s="14">
        <v>0.0</v>
      </c>
      <c r="F72" s="14">
        <v>0.0</v>
      </c>
      <c r="G72" s="14">
        <v>0.0</v>
      </c>
      <c r="H72" s="14">
        <v>0.0</v>
      </c>
      <c r="I72" s="14">
        <v>0.0</v>
      </c>
      <c r="J72" s="14">
        <v>0.0</v>
      </c>
    </row>
    <row r="73">
      <c r="A73" s="14" t="s">
        <v>47</v>
      </c>
      <c r="B73" s="21">
        <f t="shared" si="2"/>
        <v>0</v>
      </c>
      <c r="C73" s="21" t="str">
        <f>VLOOKUP(A73, hash!A$2:B$500, 2, 0)</f>
        <v>68c1cfdf6c36cb3b60206bc7</v>
      </c>
      <c r="D73" s="23">
        <f t="shared" si="3"/>
        <v>0</v>
      </c>
      <c r="E73" s="14">
        <v>0.0</v>
      </c>
      <c r="F73" s="14">
        <v>0.0</v>
      </c>
      <c r="G73" s="14">
        <v>0.0</v>
      </c>
      <c r="H73" s="14">
        <v>0.0</v>
      </c>
      <c r="I73" s="14">
        <v>0.0</v>
      </c>
      <c r="J73" s="14">
        <v>0.0</v>
      </c>
    </row>
    <row r="74">
      <c r="A74" s="14" t="s">
        <v>78</v>
      </c>
      <c r="B74" s="21">
        <f t="shared" si="2"/>
        <v>0</v>
      </c>
      <c r="C74" s="21" t="str">
        <f>VLOOKUP(A74, hash!A$2:B$500, 2, 0)</f>
        <v>68c1cfeb6c36cb3b60206bc9</v>
      </c>
      <c r="D74" s="23">
        <f t="shared" si="3"/>
        <v>0</v>
      </c>
      <c r="E74" s="14">
        <v>0.0</v>
      </c>
      <c r="F74" s="14">
        <v>0.0</v>
      </c>
      <c r="G74" s="14">
        <v>0.0</v>
      </c>
      <c r="H74" s="14">
        <v>0.0</v>
      </c>
      <c r="I74" s="14">
        <v>0.0</v>
      </c>
      <c r="J74" s="14">
        <v>0.0</v>
      </c>
    </row>
    <row r="75">
      <c r="A75" s="14" t="s">
        <v>49</v>
      </c>
      <c r="B75" s="21">
        <f t="shared" si="2"/>
        <v>0</v>
      </c>
      <c r="C75" s="21" t="str">
        <f>VLOOKUP(A75, hash!A$2:B$500, 2, 0)</f>
        <v>68c1d003f29fd291859a49b7</v>
      </c>
      <c r="D75" s="23">
        <f t="shared" si="3"/>
        <v>0</v>
      </c>
      <c r="E75" s="14">
        <v>0.0</v>
      </c>
      <c r="F75" s="14">
        <v>0.0</v>
      </c>
      <c r="G75" s="14">
        <v>0.0</v>
      </c>
      <c r="H75" s="14">
        <v>0.0</v>
      </c>
      <c r="I75" s="14">
        <v>0.0</v>
      </c>
      <c r="J75" s="14">
        <v>0.0</v>
      </c>
    </row>
    <row r="76">
      <c r="A76" s="14" t="s">
        <v>79</v>
      </c>
      <c r="B76" s="21">
        <f t="shared" si="2"/>
        <v>0</v>
      </c>
      <c r="C76" s="21" t="str">
        <f>VLOOKUP(A76, hash!A$2:B$500, 2, 0)</f>
        <v>68c1d0119147fa44206d10b7</v>
      </c>
      <c r="D76" s="23">
        <f t="shared" si="3"/>
        <v>0</v>
      </c>
      <c r="E76" s="14">
        <v>0.0</v>
      </c>
      <c r="F76" s="14">
        <v>0.0</v>
      </c>
      <c r="G76" s="14">
        <v>0.0</v>
      </c>
      <c r="H76" s="14">
        <v>0.0</v>
      </c>
      <c r="I76" s="14">
        <v>0.0</v>
      </c>
      <c r="J76" s="14">
        <v>0.0</v>
      </c>
    </row>
    <row r="77">
      <c r="A77" s="14" t="s">
        <v>80</v>
      </c>
      <c r="B77" s="21">
        <f t="shared" si="2"/>
        <v>0</v>
      </c>
      <c r="C77" s="21" t="str">
        <f>VLOOKUP(A77, hash!A$2:B$500, 2, 0)</f>
        <v>68c1d0229147fa44206d10ba</v>
      </c>
      <c r="D77" s="23">
        <f t="shared" si="3"/>
        <v>0</v>
      </c>
      <c r="E77" s="14">
        <v>0.0</v>
      </c>
      <c r="F77" s="14">
        <v>0.0</v>
      </c>
      <c r="G77" s="14">
        <v>0.0</v>
      </c>
      <c r="H77" s="14">
        <v>0.0</v>
      </c>
      <c r="I77" s="14">
        <v>0.0</v>
      </c>
      <c r="J77" s="14">
        <v>0.0</v>
      </c>
    </row>
    <row r="78">
      <c r="A78" s="14" t="s">
        <v>81</v>
      </c>
      <c r="B78" s="21">
        <f t="shared" si="2"/>
        <v>0</v>
      </c>
      <c r="C78" s="21" t="str">
        <f>VLOOKUP(A78, hash!A$2:B$500, 2, 0)</f>
        <v>#N/A</v>
      </c>
      <c r="D78" s="23">
        <f t="shared" si="3"/>
        <v>0</v>
      </c>
      <c r="E78" s="14">
        <v>0.0</v>
      </c>
      <c r="F78" s="14">
        <v>0.0</v>
      </c>
      <c r="G78" s="14">
        <v>0.0</v>
      </c>
      <c r="H78" s="14">
        <v>0.0</v>
      </c>
      <c r="I78" s="14">
        <v>0.0</v>
      </c>
      <c r="J78" s="14">
        <v>0.0</v>
      </c>
    </row>
    <row r="79">
      <c r="A79" s="14" t="s">
        <v>82</v>
      </c>
      <c r="B79" s="21">
        <f t="shared" si="2"/>
        <v>0</v>
      </c>
      <c r="C79" s="21" t="str">
        <f>VLOOKUP(A79, hash!A$2:B$500, 2, 0)</f>
        <v>#N/A</v>
      </c>
      <c r="D79" s="23">
        <f t="shared" si="3"/>
        <v>0</v>
      </c>
    </row>
    <row r="80">
      <c r="A80" s="14" t="s">
        <v>83</v>
      </c>
      <c r="B80" s="21">
        <f t="shared" si="2"/>
        <v>0</v>
      </c>
      <c r="C80" s="21" t="str">
        <f>VLOOKUP(A80, hash!A$2:B$500, 2, 0)</f>
        <v>#N/A</v>
      </c>
      <c r="D80" s="23">
        <f t="shared" si="3"/>
        <v>0</v>
      </c>
      <c r="E80" s="14">
        <v>0.0</v>
      </c>
      <c r="F80" s="14">
        <v>0.0</v>
      </c>
      <c r="G80" s="14">
        <v>0.0</v>
      </c>
      <c r="H80" s="14">
        <v>0.0</v>
      </c>
      <c r="I80" s="14">
        <v>0.0</v>
      </c>
      <c r="J80" s="14">
        <v>0.0</v>
      </c>
    </row>
    <row r="81">
      <c r="A81" s="14" t="s">
        <v>59</v>
      </c>
      <c r="B81" s="21">
        <f t="shared" si="2"/>
        <v>0</v>
      </c>
      <c r="C81" s="21" t="str">
        <f>VLOOKUP(A81, hash!A$2:B$500, 2, 0)</f>
        <v>#N/A</v>
      </c>
      <c r="D81" s="23">
        <f t="shared" si="3"/>
        <v>0</v>
      </c>
      <c r="E81" s="14">
        <v>0.0</v>
      </c>
      <c r="F81" s="14">
        <v>0.0</v>
      </c>
      <c r="G81" s="14">
        <v>0.0</v>
      </c>
      <c r="H81" s="14">
        <v>0.0</v>
      </c>
      <c r="I81" s="14">
        <v>0.0</v>
      </c>
      <c r="J81" s="14">
        <v>0.0</v>
      </c>
    </row>
    <row r="82">
      <c r="A82" s="14" t="s">
        <v>48</v>
      </c>
      <c r="B82" s="21">
        <f t="shared" si="2"/>
        <v>0</v>
      </c>
      <c r="C82" s="21" t="str">
        <f>VLOOKUP(A82, hash!A$2:B$500, 2, 0)</f>
        <v>#N/A</v>
      </c>
      <c r="D82" s="23">
        <f t="shared" si="3"/>
        <v>0</v>
      </c>
      <c r="E82" s="14">
        <v>0.0</v>
      </c>
      <c r="F82" s="14">
        <v>0.0</v>
      </c>
      <c r="G82" s="14">
        <v>0.0</v>
      </c>
      <c r="H82" s="14">
        <v>0.0</v>
      </c>
      <c r="I82" s="14">
        <v>0.0</v>
      </c>
      <c r="J82" s="14">
        <v>0.0</v>
      </c>
    </row>
    <row r="83">
      <c r="A83" s="14" t="s">
        <v>91</v>
      </c>
      <c r="B83" s="21">
        <f t="shared" si="2"/>
        <v>0</v>
      </c>
      <c r="C83" s="21" t="str">
        <f>VLOOKUP(A83, hash!A$2:B$500, 2, 0)</f>
        <v>#N/A</v>
      </c>
      <c r="D83" s="23">
        <f t="shared" si="3"/>
        <v>0</v>
      </c>
    </row>
    <row r="84">
      <c r="A84" s="26" t="s">
        <v>84</v>
      </c>
      <c r="B84" s="21">
        <f t="shared" si="2"/>
        <v>0</v>
      </c>
      <c r="C84" s="21" t="str">
        <f>VLOOKUP(A84, hash!A$2:B$500, 2, 0)</f>
        <v>#N/A</v>
      </c>
      <c r="D84" s="23">
        <f t="shared" si="3"/>
        <v>0</v>
      </c>
      <c r="E84" s="14">
        <v>0.0</v>
      </c>
      <c r="F84" s="14">
        <v>0.0</v>
      </c>
      <c r="G84" s="14">
        <v>0.0</v>
      </c>
      <c r="H84" s="14">
        <v>0.0</v>
      </c>
      <c r="I84" s="14">
        <v>0.0</v>
      </c>
      <c r="J84" s="14">
        <v>0.0</v>
      </c>
    </row>
    <row r="85">
      <c r="A85" s="14" t="s">
        <v>85</v>
      </c>
      <c r="B85" s="21">
        <f t="shared" si="2"/>
        <v>0</v>
      </c>
      <c r="C85" s="21" t="str">
        <f>VLOOKUP(A85, hash!A$2:B$500, 2, 0)</f>
        <v>#N/A</v>
      </c>
      <c r="D85" s="23">
        <f t="shared" si="3"/>
        <v>0</v>
      </c>
    </row>
    <row r="86">
      <c r="A86" s="14" t="s">
        <v>544</v>
      </c>
      <c r="B86" s="21">
        <f t="shared" si="2"/>
        <v>0</v>
      </c>
      <c r="C86" s="21" t="str">
        <f>VLOOKUP(A86, hash!A$2:B$500, 2, 0)</f>
        <v>#N/A</v>
      </c>
      <c r="D86" s="23">
        <f t="shared" si="3"/>
        <v>0</v>
      </c>
    </row>
    <row r="87">
      <c r="A87" s="14" t="s">
        <v>422</v>
      </c>
      <c r="B87" s="21">
        <f t="shared" si="2"/>
        <v>0</v>
      </c>
      <c r="C87" s="21" t="str">
        <f>VLOOKUP(A87, hash!A$2:B$500, 2, 0)</f>
        <v>68c1c30a6d9fc0b28257c5ef</v>
      </c>
      <c r="D87" s="23">
        <f t="shared" si="3"/>
        <v>0</v>
      </c>
      <c r="E87" s="14">
        <v>0.0</v>
      </c>
      <c r="F87" s="14">
        <v>0.0</v>
      </c>
      <c r="G87" s="14">
        <v>0.0</v>
      </c>
      <c r="H87" s="14">
        <v>0.0</v>
      </c>
      <c r="I87" s="14">
        <v>0.0</v>
      </c>
      <c r="J87" s="14">
        <v>0.0</v>
      </c>
    </row>
    <row r="88">
      <c r="A88" s="14" t="s">
        <v>412</v>
      </c>
      <c r="B88" s="21">
        <f t="shared" si="2"/>
        <v>0</v>
      </c>
      <c r="C88" s="21" t="str">
        <f>VLOOKUP(A88, hash!A$2:B$500, 2, 0)</f>
        <v>68ad13846a530bc7872559c3</v>
      </c>
      <c r="D88" s="23">
        <f t="shared" si="3"/>
        <v>0</v>
      </c>
      <c r="E88" s="14">
        <v>0.0</v>
      </c>
      <c r="F88" s="14">
        <v>0.0</v>
      </c>
      <c r="G88" s="14">
        <v>0.0</v>
      </c>
      <c r="H88" s="14">
        <v>0.0</v>
      </c>
      <c r="I88" s="14">
        <v>0.0</v>
      </c>
      <c r="J88" s="14">
        <v>0.0</v>
      </c>
    </row>
    <row r="89">
      <c r="A89" s="14" t="s">
        <v>515</v>
      </c>
      <c r="B89" s="21">
        <f t="shared" si="2"/>
        <v>0</v>
      </c>
      <c r="C89" s="21" t="str">
        <f>VLOOKUP(A89, hash!A$2:B$500, 2, 0)</f>
        <v>68c1ce28f8ef417ee79a4d6d</v>
      </c>
      <c r="D89" s="23">
        <f t="shared" si="3"/>
        <v>0</v>
      </c>
      <c r="E89" s="14">
        <v>0.0</v>
      </c>
      <c r="F89" s="14">
        <v>0.0</v>
      </c>
      <c r="G89" s="14">
        <v>0.0</v>
      </c>
      <c r="H89" s="14">
        <v>0.0</v>
      </c>
      <c r="I89" s="14">
        <v>0.0</v>
      </c>
      <c r="J89" s="14">
        <v>0.0</v>
      </c>
    </row>
    <row r="90">
      <c r="B90" s="21">
        <f t="shared" si="2"/>
        <v>0</v>
      </c>
      <c r="C90" s="21" t="str">
        <f>VLOOKUP(A90, hash!A$2:B$500, 2, 0)</f>
        <v>#N/A</v>
      </c>
      <c r="D90" s="23">
        <f t="shared" si="3"/>
        <v>0</v>
      </c>
    </row>
    <row r="91">
      <c r="B91" s="21">
        <f t="shared" si="2"/>
        <v>0</v>
      </c>
      <c r="C91" s="21" t="str">
        <f>VLOOKUP(A91, hash!A$2:B$500, 2, 0)</f>
        <v>#N/A</v>
      </c>
      <c r="D91" s="23">
        <f t="shared" si="3"/>
        <v>0</v>
      </c>
    </row>
    <row r="92">
      <c r="B92" s="21">
        <f t="shared" si="2"/>
        <v>0</v>
      </c>
      <c r="C92" s="21" t="str">
        <f>VLOOKUP(A92, hash!A$2:B$500, 2, 0)</f>
        <v>#N/A</v>
      </c>
      <c r="D92" s="23">
        <f t="shared" si="3"/>
        <v>0</v>
      </c>
    </row>
    <row r="93">
      <c r="B93" s="21">
        <f t="shared" si="2"/>
        <v>0</v>
      </c>
      <c r="C93" s="21" t="str">
        <f>VLOOKUP(A93, hash!A$2:B$500, 2, 0)</f>
        <v>#N/A</v>
      </c>
      <c r="D93" s="23">
        <f t="shared" si="3"/>
        <v>0</v>
      </c>
    </row>
    <row r="94">
      <c r="B94" s="21">
        <f t="shared" si="2"/>
        <v>0</v>
      </c>
      <c r="C94" s="21" t="str">
        <f>VLOOKUP(A94, hash!A$2:B$500, 2, 0)</f>
        <v>#N/A</v>
      </c>
      <c r="D94" s="23">
        <f t="shared" si="3"/>
        <v>0</v>
      </c>
    </row>
    <row r="95">
      <c r="B95" s="21">
        <f t="shared" si="2"/>
        <v>0</v>
      </c>
      <c r="C95" s="21" t="str">
        <f>VLOOKUP(A95, hash!A$2:B$500, 2, 0)</f>
        <v>#N/A</v>
      </c>
      <c r="D95" s="23">
        <f t="shared" si="3"/>
        <v>0</v>
      </c>
    </row>
    <row r="96">
      <c r="B96" s="21">
        <f t="shared" si="2"/>
        <v>0</v>
      </c>
      <c r="C96" s="21" t="str">
        <f>VLOOKUP(A96, hash!A$2:B$500, 2, 0)</f>
        <v>#N/A</v>
      </c>
      <c r="D96" s="23">
        <f t="shared" si="3"/>
        <v>0</v>
      </c>
    </row>
    <row r="97">
      <c r="B97" s="21">
        <f t="shared" si="2"/>
        <v>0</v>
      </c>
      <c r="C97" s="21" t="str">
        <f>VLOOKUP(A97, hash!A$2:B$500, 2, 0)</f>
        <v>#N/A</v>
      </c>
      <c r="D97" s="23">
        <f t="shared" si="3"/>
        <v>0</v>
      </c>
    </row>
    <row r="98">
      <c r="B98" s="21">
        <f t="shared" si="2"/>
        <v>0</v>
      </c>
      <c r="C98" s="21" t="str">
        <f>VLOOKUP(A98, hash!A$2:B$500, 2, 0)</f>
        <v>#N/A</v>
      </c>
      <c r="D98" s="23">
        <f t="shared" si="3"/>
        <v>0</v>
      </c>
    </row>
    <row r="99">
      <c r="B99" s="21">
        <f t="shared" si="2"/>
        <v>0</v>
      </c>
      <c r="C99" s="21" t="str">
        <f>VLOOKUP(A99, hash!A$2:B$500, 2, 0)</f>
        <v>#N/A</v>
      </c>
      <c r="D99" s="23">
        <f t="shared" si="3"/>
        <v>0</v>
      </c>
    </row>
    <row r="100">
      <c r="B100" s="21">
        <f t="shared" si="2"/>
        <v>0</v>
      </c>
      <c r="C100" s="21" t="str">
        <f>VLOOKUP(A100, hash!A$2:B$500, 2, 0)</f>
        <v>#N/A</v>
      </c>
      <c r="D100" s="23">
        <f t="shared" si="3"/>
        <v>0</v>
      </c>
    </row>
    <row r="101">
      <c r="B101" s="21">
        <f t="shared" si="2"/>
        <v>0</v>
      </c>
      <c r="C101" s="21" t="str">
        <f>VLOOKUP(A101, hash!A$2:B$500, 2, 0)</f>
        <v>#N/A</v>
      </c>
      <c r="D101" s="23">
        <f t="shared" si="3"/>
        <v>0</v>
      </c>
    </row>
    <row r="102">
      <c r="B102" s="21">
        <f t="shared" si="2"/>
        <v>0</v>
      </c>
      <c r="C102" s="21" t="str">
        <f>VLOOKUP(A102, hash!A$2:B$500, 2, 0)</f>
        <v>#N/A</v>
      </c>
      <c r="D102" s="23">
        <f t="shared" si="3"/>
        <v>0</v>
      </c>
    </row>
    <row r="103">
      <c r="D103" s="23"/>
    </row>
    <row r="104">
      <c r="D104" s="23"/>
    </row>
    <row r="105">
      <c r="D105" s="23"/>
    </row>
    <row r="106">
      <c r="D106" s="23"/>
    </row>
    <row r="107">
      <c r="D107" s="23"/>
    </row>
    <row r="108">
      <c r="D108" s="23"/>
    </row>
    <row r="109">
      <c r="D109" s="23"/>
    </row>
    <row r="110">
      <c r="D110" s="23"/>
    </row>
    <row r="111">
      <c r="D111" s="23"/>
    </row>
    <row r="112">
      <c r="D112" s="23"/>
    </row>
    <row r="113">
      <c r="D113" s="23"/>
    </row>
    <row r="114">
      <c r="D114" s="23"/>
    </row>
    <row r="115">
      <c r="D115" s="23"/>
    </row>
    <row r="116">
      <c r="D116" s="23"/>
    </row>
    <row r="117">
      <c r="D117" s="23"/>
    </row>
    <row r="118">
      <c r="D118" s="23"/>
    </row>
    <row r="119">
      <c r="D119" s="23"/>
    </row>
    <row r="120">
      <c r="D120" s="23"/>
    </row>
    <row r="121">
      <c r="D121" s="23"/>
    </row>
    <row r="122">
      <c r="D122" s="23"/>
    </row>
    <row r="123">
      <c r="D123" s="23"/>
    </row>
    <row r="124">
      <c r="D124" s="23"/>
    </row>
    <row r="125">
      <c r="D125" s="23"/>
    </row>
    <row r="126">
      <c r="D126" s="23"/>
    </row>
    <row r="127">
      <c r="D127" s="23"/>
    </row>
    <row r="128">
      <c r="D128" s="23"/>
    </row>
    <row r="129">
      <c r="D129" s="23"/>
    </row>
    <row r="130">
      <c r="D130" s="23"/>
    </row>
    <row r="131">
      <c r="D131" s="23"/>
    </row>
    <row r="132">
      <c r="D132" s="23"/>
    </row>
    <row r="133">
      <c r="D133" s="23"/>
    </row>
    <row r="134">
      <c r="D134" s="23"/>
    </row>
    <row r="135">
      <c r="D135" s="23"/>
    </row>
    <row r="136">
      <c r="D136" s="23"/>
    </row>
    <row r="137">
      <c r="D137" s="23"/>
    </row>
    <row r="138">
      <c r="D138" s="23"/>
    </row>
    <row r="139">
      <c r="D139" s="23"/>
    </row>
    <row r="140">
      <c r="D140" s="23"/>
    </row>
    <row r="141">
      <c r="D141" s="23"/>
    </row>
    <row r="142">
      <c r="D142" s="23"/>
    </row>
    <row r="143">
      <c r="D143" s="23"/>
    </row>
    <row r="144">
      <c r="D144" s="23"/>
    </row>
    <row r="145">
      <c r="D145" s="23"/>
    </row>
    <row r="146">
      <c r="D146" s="23"/>
    </row>
    <row r="147">
      <c r="D147" s="23"/>
    </row>
    <row r="148">
      <c r="D148" s="23"/>
    </row>
    <row r="149">
      <c r="D149" s="23"/>
    </row>
    <row r="150">
      <c r="D150" s="23"/>
    </row>
    <row r="151">
      <c r="D151" s="23"/>
    </row>
    <row r="152">
      <c r="D152" s="23"/>
    </row>
    <row r="153">
      <c r="D153" s="23"/>
    </row>
    <row r="154">
      <c r="D154" s="23"/>
    </row>
    <row r="155">
      <c r="D155" s="23"/>
    </row>
    <row r="156">
      <c r="D156" s="23"/>
    </row>
    <row r="157">
      <c r="D157" s="23"/>
    </row>
    <row r="158">
      <c r="D158" s="23"/>
    </row>
    <row r="159">
      <c r="D159" s="23"/>
    </row>
    <row r="160">
      <c r="D160" s="23"/>
    </row>
    <row r="161">
      <c r="D161" s="23"/>
    </row>
    <row r="162">
      <c r="D162" s="23"/>
    </row>
    <row r="163">
      <c r="D163" s="23"/>
    </row>
    <row r="164">
      <c r="D164" s="23"/>
    </row>
    <row r="165">
      <c r="D165" s="23"/>
    </row>
    <row r="166">
      <c r="D166" s="23"/>
    </row>
    <row r="167">
      <c r="D167" s="23"/>
    </row>
    <row r="168">
      <c r="D168" s="23"/>
    </row>
    <row r="169">
      <c r="D169" s="23"/>
    </row>
    <row r="170">
      <c r="D170" s="23"/>
    </row>
    <row r="171">
      <c r="D171" s="23"/>
    </row>
    <row r="172">
      <c r="D172" s="23"/>
    </row>
    <row r="173">
      <c r="D173" s="23"/>
    </row>
    <row r="174">
      <c r="D174" s="23"/>
    </row>
    <row r="175">
      <c r="D175" s="23"/>
    </row>
    <row r="176">
      <c r="D176" s="23"/>
    </row>
    <row r="177">
      <c r="D177" s="23"/>
    </row>
    <row r="178">
      <c r="D178" s="23"/>
    </row>
    <row r="179">
      <c r="D179" s="23"/>
    </row>
    <row r="180">
      <c r="D180" s="23"/>
    </row>
    <row r="181">
      <c r="D181" s="23"/>
    </row>
    <row r="182">
      <c r="D182" s="23"/>
    </row>
    <row r="183">
      <c r="D183" s="23"/>
    </row>
    <row r="184">
      <c r="D184" s="23"/>
    </row>
    <row r="185">
      <c r="D185" s="23"/>
    </row>
    <row r="186">
      <c r="D186" s="23"/>
    </row>
    <row r="187">
      <c r="D187" s="23"/>
    </row>
    <row r="188">
      <c r="D188" s="23"/>
    </row>
    <row r="189">
      <c r="D189" s="23"/>
    </row>
    <row r="190">
      <c r="D190" s="23"/>
    </row>
    <row r="191">
      <c r="D191" s="23"/>
    </row>
    <row r="192">
      <c r="D192" s="23"/>
    </row>
    <row r="193">
      <c r="D193" s="23"/>
    </row>
    <row r="194">
      <c r="D194" s="23"/>
    </row>
    <row r="195">
      <c r="D195" s="23"/>
    </row>
    <row r="196">
      <c r="D196" s="23"/>
    </row>
    <row r="197">
      <c r="D197" s="23"/>
    </row>
    <row r="198">
      <c r="D198" s="23"/>
    </row>
    <row r="199">
      <c r="D199" s="23"/>
    </row>
    <row r="200">
      <c r="D200" s="23"/>
    </row>
    <row r="201">
      <c r="D201" s="23"/>
    </row>
    <row r="202">
      <c r="D202" s="23"/>
    </row>
    <row r="203">
      <c r="D203" s="23"/>
    </row>
    <row r="204">
      <c r="D204" s="23"/>
    </row>
    <row r="205">
      <c r="D205" s="23"/>
    </row>
    <row r="206">
      <c r="D206" s="23"/>
    </row>
    <row r="207">
      <c r="D207" s="23"/>
    </row>
    <row r="208">
      <c r="D208" s="23"/>
    </row>
    <row r="209">
      <c r="D209" s="23"/>
    </row>
    <row r="210">
      <c r="D210" s="23"/>
    </row>
    <row r="211">
      <c r="D211" s="23"/>
    </row>
    <row r="212">
      <c r="D212" s="23"/>
    </row>
    <row r="213">
      <c r="D213" s="23"/>
    </row>
    <row r="214">
      <c r="D214" s="23"/>
    </row>
    <row r="215">
      <c r="D215" s="23"/>
    </row>
    <row r="216">
      <c r="D216" s="23"/>
    </row>
    <row r="217">
      <c r="D217" s="23"/>
    </row>
    <row r="218">
      <c r="D218" s="23"/>
    </row>
    <row r="219">
      <c r="D219" s="23"/>
    </row>
    <row r="220">
      <c r="D220" s="23"/>
    </row>
    <row r="221">
      <c r="D221" s="23"/>
    </row>
    <row r="222">
      <c r="D222" s="23"/>
    </row>
    <row r="223">
      <c r="D223" s="23"/>
    </row>
    <row r="224">
      <c r="D224" s="23"/>
    </row>
    <row r="225">
      <c r="D225" s="23"/>
    </row>
    <row r="226">
      <c r="D226" s="23"/>
    </row>
    <row r="227">
      <c r="D227" s="23"/>
    </row>
    <row r="228">
      <c r="D228" s="23"/>
    </row>
    <row r="229">
      <c r="D229" s="23"/>
    </row>
    <row r="230">
      <c r="D230" s="23"/>
    </row>
    <row r="231">
      <c r="D231" s="23"/>
    </row>
    <row r="232">
      <c r="D232" s="23"/>
    </row>
    <row r="233">
      <c r="D233" s="23"/>
    </row>
    <row r="234">
      <c r="D234" s="23"/>
    </row>
    <row r="235">
      <c r="D235" s="23"/>
    </row>
    <row r="236">
      <c r="D236" s="23"/>
    </row>
    <row r="237">
      <c r="D237" s="23"/>
    </row>
    <row r="238">
      <c r="D238" s="23"/>
    </row>
    <row r="239">
      <c r="D239" s="23"/>
    </row>
    <row r="240">
      <c r="D240" s="23"/>
    </row>
    <row r="241">
      <c r="D241" s="23"/>
    </row>
    <row r="242">
      <c r="D242" s="23"/>
    </row>
    <row r="243">
      <c r="D243" s="23"/>
    </row>
    <row r="244">
      <c r="D244" s="23"/>
    </row>
    <row r="245">
      <c r="D245" s="23"/>
    </row>
    <row r="246">
      <c r="D246" s="23"/>
    </row>
    <row r="247">
      <c r="D247" s="23"/>
    </row>
    <row r="248">
      <c r="D248" s="23"/>
    </row>
    <row r="249">
      <c r="D249" s="23"/>
    </row>
    <row r="250">
      <c r="D250" s="23"/>
    </row>
    <row r="251">
      <c r="D251" s="23"/>
    </row>
    <row r="252">
      <c r="D252" s="23"/>
    </row>
    <row r="253">
      <c r="D253" s="23"/>
    </row>
    <row r="254">
      <c r="D254" s="23"/>
    </row>
    <row r="255">
      <c r="D255" s="23"/>
    </row>
    <row r="256">
      <c r="D256" s="23"/>
    </row>
    <row r="257">
      <c r="D257" s="23"/>
    </row>
    <row r="258">
      <c r="D258" s="23"/>
    </row>
    <row r="259">
      <c r="D259" s="23"/>
    </row>
    <row r="260">
      <c r="D260" s="23"/>
    </row>
    <row r="261">
      <c r="D261" s="23"/>
    </row>
    <row r="262">
      <c r="D262" s="23"/>
    </row>
    <row r="263">
      <c r="D263" s="23"/>
    </row>
    <row r="264">
      <c r="D264" s="23"/>
    </row>
    <row r="265">
      <c r="D265" s="23"/>
    </row>
    <row r="266">
      <c r="D266" s="23"/>
    </row>
    <row r="267">
      <c r="D267" s="23"/>
    </row>
    <row r="268">
      <c r="D268" s="23"/>
    </row>
    <row r="269">
      <c r="D269" s="23"/>
    </row>
    <row r="270">
      <c r="D270" s="23"/>
    </row>
    <row r="271">
      <c r="D271" s="23"/>
    </row>
    <row r="272">
      <c r="D272" s="23"/>
    </row>
    <row r="273">
      <c r="D273" s="23"/>
    </row>
    <row r="274">
      <c r="D274" s="23"/>
    </row>
    <row r="275">
      <c r="D275" s="23"/>
    </row>
    <row r="276">
      <c r="D276" s="23"/>
    </row>
    <row r="277">
      <c r="D277" s="23"/>
    </row>
    <row r="278">
      <c r="D278" s="23"/>
    </row>
    <row r="279">
      <c r="D279" s="23"/>
    </row>
    <row r="280">
      <c r="D280" s="23"/>
    </row>
    <row r="281">
      <c r="D281" s="23"/>
    </row>
    <row r="282">
      <c r="D282" s="23"/>
    </row>
    <row r="283">
      <c r="D283" s="23"/>
    </row>
    <row r="284">
      <c r="D284" s="23"/>
    </row>
    <row r="285">
      <c r="D285" s="23"/>
    </row>
    <row r="286">
      <c r="D286" s="23"/>
    </row>
    <row r="287">
      <c r="D287" s="23"/>
    </row>
    <row r="288">
      <c r="D288" s="23"/>
    </row>
    <row r="289">
      <c r="D289" s="23"/>
    </row>
    <row r="290">
      <c r="D290" s="23"/>
    </row>
    <row r="291">
      <c r="D291" s="23"/>
    </row>
    <row r="292">
      <c r="D292" s="23"/>
    </row>
    <row r="293">
      <c r="D293" s="23"/>
    </row>
    <row r="294">
      <c r="D294" s="23"/>
    </row>
    <row r="295">
      <c r="D295" s="23"/>
    </row>
    <row r="296">
      <c r="D296" s="23"/>
    </row>
    <row r="297">
      <c r="D297" s="23"/>
    </row>
    <row r="298">
      <c r="D298" s="23"/>
    </row>
    <row r="299">
      <c r="D299" s="23"/>
    </row>
    <row r="300">
      <c r="D300" s="23"/>
    </row>
    <row r="301">
      <c r="D301" s="23"/>
    </row>
    <row r="302">
      <c r="D302" s="23"/>
    </row>
    <row r="303">
      <c r="D303" s="23"/>
    </row>
    <row r="304">
      <c r="D304" s="23"/>
    </row>
    <row r="305">
      <c r="D305" s="23"/>
    </row>
    <row r="306">
      <c r="D306" s="23"/>
    </row>
    <row r="307">
      <c r="D307" s="23"/>
    </row>
    <row r="308">
      <c r="D308" s="23"/>
    </row>
    <row r="309">
      <c r="D309" s="23"/>
    </row>
    <row r="310">
      <c r="D310" s="23"/>
    </row>
    <row r="311">
      <c r="D311" s="23"/>
    </row>
    <row r="312">
      <c r="D312" s="23"/>
    </row>
    <row r="313">
      <c r="D313" s="23"/>
    </row>
    <row r="314">
      <c r="D314" s="23"/>
    </row>
    <row r="315">
      <c r="D315" s="23"/>
    </row>
    <row r="316">
      <c r="D316" s="23"/>
    </row>
    <row r="317">
      <c r="D317" s="23"/>
    </row>
    <row r="318">
      <c r="D318" s="23"/>
    </row>
    <row r="319">
      <c r="D319" s="23"/>
    </row>
    <row r="320">
      <c r="D320" s="23"/>
    </row>
    <row r="321">
      <c r="D321" s="23"/>
    </row>
    <row r="322">
      <c r="D322" s="23"/>
    </row>
    <row r="323">
      <c r="D323" s="23"/>
    </row>
    <row r="324">
      <c r="D324" s="23"/>
    </row>
    <row r="325">
      <c r="D325" s="23"/>
    </row>
    <row r="326">
      <c r="D326" s="23"/>
    </row>
    <row r="327">
      <c r="D327" s="23"/>
    </row>
    <row r="328">
      <c r="D328" s="23"/>
    </row>
    <row r="329">
      <c r="D329" s="23"/>
    </row>
    <row r="330">
      <c r="D330" s="23"/>
    </row>
    <row r="331">
      <c r="D331" s="23"/>
    </row>
    <row r="332">
      <c r="D332" s="23"/>
    </row>
    <row r="333">
      <c r="D333" s="23"/>
    </row>
    <row r="334">
      <c r="D334" s="23"/>
    </row>
    <row r="335">
      <c r="D335" s="23"/>
    </row>
    <row r="336">
      <c r="D336" s="23"/>
    </row>
    <row r="337">
      <c r="D337" s="23"/>
    </row>
    <row r="338">
      <c r="D338" s="23"/>
    </row>
    <row r="339">
      <c r="D339" s="23"/>
    </row>
    <row r="340">
      <c r="D340" s="23"/>
    </row>
    <row r="341">
      <c r="D341" s="23"/>
    </row>
    <row r="342">
      <c r="D342" s="23"/>
    </row>
    <row r="343">
      <c r="D343" s="23"/>
    </row>
    <row r="344">
      <c r="D344" s="23"/>
    </row>
    <row r="345">
      <c r="D345" s="23"/>
    </row>
    <row r="346">
      <c r="D346" s="23"/>
    </row>
    <row r="347">
      <c r="D347" s="23"/>
    </row>
    <row r="348">
      <c r="D348" s="23"/>
    </row>
    <row r="349">
      <c r="D349" s="23"/>
    </row>
    <row r="350">
      <c r="D350" s="23"/>
    </row>
    <row r="351">
      <c r="D351" s="23"/>
    </row>
    <row r="352">
      <c r="D352" s="23"/>
    </row>
    <row r="353">
      <c r="D353" s="23"/>
    </row>
    <row r="354">
      <c r="D354" s="23"/>
    </row>
    <row r="355">
      <c r="D355" s="23"/>
    </row>
    <row r="356">
      <c r="D356" s="23"/>
    </row>
    <row r="357">
      <c r="D357" s="23"/>
    </row>
    <row r="358">
      <c r="D358" s="23"/>
    </row>
    <row r="359">
      <c r="D359" s="23"/>
    </row>
    <row r="360">
      <c r="D360" s="23"/>
    </row>
    <row r="361">
      <c r="D361" s="23"/>
    </row>
    <row r="362">
      <c r="D362" s="23"/>
    </row>
    <row r="363">
      <c r="D363" s="23"/>
    </row>
    <row r="364">
      <c r="D364" s="23"/>
    </row>
    <row r="365">
      <c r="D365" s="23"/>
    </row>
    <row r="366">
      <c r="D366" s="23"/>
    </row>
    <row r="367">
      <c r="D367" s="23"/>
    </row>
    <row r="368">
      <c r="D368" s="23"/>
    </row>
    <row r="369">
      <c r="D369" s="23"/>
    </row>
    <row r="370">
      <c r="D370" s="23"/>
    </row>
    <row r="371">
      <c r="D371" s="23"/>
    </row>
    <row r="372">
      <c r="D372" s="23"/>
    </row>
    <row r="373">
      <c r="D373" s="23"/>
    </row>
    <row r="374">
      <c r="D374" s="23"/>
    </row>
    <row r="375">
      <c r="D375" s="23"/>
    </row>
    <row r="376">
      <c r="D376" s="23"/>
    </row>
    <row r="377">
      <c r="D377" s="23"/>
    </row>
    <row r="378">
      <c r="D378" s="23"/>
    </row>
    <row r="379">
      <c r="D379" s="23"/>
    </row>
    <row r="380">
      <c r="D380" s="23"/>
    </row>
    <row r="381">
      <c r="D381" s="23"/>
    </row>
    <row r="382">
      <c r="D382" s="23"/>
    </row>
    <row r="383">
      <c r="D383" s="23"/>
    </row>
    <row r="384">
      <c r="D384" s="23"/>
    </row>
    <row r="385">
      <c r="D385" s="23"/>
    </row>
    <row r="386">
      <c r="D386" s="23"/>
    </row>
    <row r="387">
      <c r="D387" s="23"/>
    </row>
    <row r="388">
      <c r="D388" s="23"/>
    </row>
    <row r="389">
      <c r="D389" s="23"/>
    </row>
    <row r="390">
      <c r="D390" s="23"/>
    </row>
    <row r="391">
      <c r="D391" s="23"/>
    </row>
    <row r="392">
      <c r="D392" s="23"/>
    </row>
    <row r="393">
      <c r="D393" s="23"/>
    </row>
    <row r="394">
      <c r="D394" s="23"/>
    </row>
    <row r="395">
      <c r="D395" s="23"/>
    </row>
    <row r="396">
      <c r="D396" s="23"/>
    </row>
    <row r="397">
      <c r="D397" s="23"/>
    </row>
    <row r="398">
      <c r="D398" s="23"/>
    </row>
    <row r="399">
      <c r="D399" s="23"/>
    </row>
    <row r="400">
      <c r="D400" s="23"/>
    </row>
    <row r="401">
      <c r="D401" s="23"/>
    </row>
    <row r="402">
      <c r="D402" s="23"/>
    </row>
    <row r="403">
      <c r="D403" s="23"/>
    </row>
    <row r="404">
      <c r="D404" s="23"/>
    </row>
    <row r="405">
      <c r="D405" s="23"/>
    </row>
    <row r="406">
      <c r="D406" s="23"/>
    </row>
    <row r="407">
      <c r="D407" s="23"/>
    </row>
    <row r="408">
      <c r="D408" s="23"/>
    </row>
    <row r="409">
      <c r="D409" s="23"/>
    </row>
    <row r="410">
      <c r="D410" s="23"/>
    </row>
    <row r="411">
      <c r="D411" s="23"/>
    </row>
    <row r="412">
      <c r="D412" s="23"/>
    </row>
    <row r="413">
      <c r="D413" s="23"/>
    </row>
    <row r="414">
      <c r="D414" s="23"/>
    </row>
    <row r="415">
      <c r="D415" s="23"/>
    </row>
    <row r="416">
      <c r="D416" s="23"/>
    </row>
    <row r="417">
      <c r="D417" s="23"/>
    </row>
    <row r="418">
      <c r="D418" s="23"/>
    </row>
    <row r="419">
      <c r="D419" s="23"/>
    </row>
    <row r="420">
      <c r="D420" s="23"/>
    </row>
    <row r="421">
      <c r="D421" s="23"/>
    </row>
    <row r="422">
      <c r="D422" s="23"/>
    </row>
    <row r="423">
      <c r="D423" s="23"/>
    </row>
    <row r="424">
      <c r="D424" s="23"/>
    </row>
    <row r="425">
      <c r="D425" s="23"/>
    </row>
    <row r="426">
      <c r="D426" s="23"/>
    </row>
    <row r="427">
      <c r="D427" s="23"/>
    </row>
    <row r="428">
      <c r="D428" s="23"/>
    </row>
    <row r="429">
      <c r="D429" s="23"/>
    </row>
    <row r="430">
      <c r="D430" s="23"/>
    </row>
    <row r="431">
      <c r="D431" s="23"/>
    </row>
    <row r="432">
      <c r="D432" s="23"/>
    </row>
    <row r="433">
      <c r="D433" s="23"/>
    </row>
    <row r="434">
      <c r="D434" s="23"/>
    </row>
    <row r="435">
      <c r="D435" s="23"/>
    </row>
    <row r="436">
      <c r="D436" s="23"/>
    </row>
    <row r="437">
      <c r="D437" s="23"/>
    </row>
    <row r="438">
      <c r="D438" s="23"/>
    </row>
    <row r="439">
      <c r="D439" s="23"/>
    </row>
    <row r="440">
      <c r="D440" s="23"/>
    </row>
    <row r="441">
      <c r="D441" s="23"/>
    </row>
    <row r="442">
      <c r="D442" s="23"/>
    </row>
    <row r="443">
      <c r="D443" s="23"/>
    </row>
    <row r="444">
      <c r="D444" s="23"/>
    </row>
    <row r="445">
      <c r="D445" s="23"/>
    </row>
    <row r="446">
      <c r="D446" s="23"/>
    </row>
    <row r="447">
      <c r="D447" s="23"/>
    </row>
    <row r="448">
      <c r="D448" s="23"/>
    </row>
    <row r="449">
      <c r="D449" s="23"/>
    </row>
    <row r="450">
      <c r="D450" s="23"/>
    </row>
    <row r="451">
      <c r="D451" s="23"/>
    </row>
    <row r="452">
      <c r="D452" s="23"/>
    </row>
    <row r="453">
      <c r="D453" s="23"/>
    </row>
    <row r="454">
      <c r="D454" s="23"/>
    </row>
    <row r="455">
      <c r="D455" s="23"/>
    </row>
    <row r="456">
      <c r="D456" s="23"/>
    </row>
    <row r="457">
      <c r="D457" s="23"/>
    </row>
    <row r="458">
      <c r="D458" s="23"/>
    </row>
    <row r="459">
      <c r="D459" s="23"/>
    </row>
    <row r="460">
      <c r="D460" s="23"/>
    </row>
    <row r="461">
      <c r="D461" s="23"/>
    </row>
    <row r="462">
      <c r="D462" s="23"/>
    </row>
    <row r="463">
      <c r="D463" s="23"/>
    </row>
    <row r="464">
      <c r="D464" s="23"/>
    </row>
    <row r="465">
      <c r="D465" s="23"/>
    </row>
    <row r="466">
      <c r="D466" s="23"/>
    </row>
    <row r="467">
      <c r="D467" s="23"/>
    </row>
    <row r="468">
      <c r="D468" s="23"/>
    </row>
    <row r="469">
      <c r="D469" s="23"/>
    </row>
    <row r="470">
      <c r="D470" s="23"/>
    </row>
    <row r="471">
      <c r="D471" s="23"/>
    </row>
    <row r="472">
      <c r="D472" s="23"/>
    </row>
    <row r="473">
      <c r="D473" s="23"/>
    </row>
    <row r="474">
      <c r="D474" s="23"/>
    </row>
    <row r="475">
      <c r="D475" s="23"/>
    </row>
    <row r="476">
      <c r="D476" s="23"/>
    </row>
    <row r="477">
      <c r="D477" s="23"/>
    </row>
    <row r="478">
      <c r="D478" s="23"/>
    </row>
    <row r="479">
      <c r="D479" s="23"/>
    </row>
    <row r="480">
      <c r="D480" s="23"/>
    </row>
    <row r="481">
      <c r="D481" s="23"/>
    </row>
    <row r="482">
      <c r="D482" s="23"/>
    </row>
    <row r="483">
      <c r="D483" s="23"/>
    </row>
    <row r="484">
      <c r="D484" s="23"/>
    </row>
    <row r="485">
      <c r="D485" s="23"/>
    </row>
    <row r="486">
      <c r="D486" s="23"/>
    </row>
    <row r="487">
      <c r="D487" s="23"/>
    </row>
    <row r="488">
      <c r="D488" s="23"/>
    </row>
    <row r="489">
      <c r="D489" s="23"/>
    </row>
    <row r="490">
      <c r="D490" s="23"/>
    </row>
    <row r="491">
      <c r="D491" s="23"/>
    </row>
    <row r="492">
      <c r="D492" s="23"/>
    </row>
    <row r="493">
      <c r="D493" s="23"/>
    </row>
    <row r="494">
      <c r="D494" s="23"/>
    </row>
    <row r="495">
      <c r="D495" s="23"/>
    </row>
    <row r="496">
      <c r="D496" s="23"/>
    </row>
    <row r="497">
      <c r="D497" s="23"/>
    </row>
    <row r="498">
      <c r="D498" s="23"/>
    </row>
    <row r="499">
      <c r="D499" s="23"/>
    </row>
    <row r="500">
      <c r="D500" s="23"/>
    </row>
    <row r="501">
      <c r="D501" s="23"/>
    </row>
    <row r="502">
      <c r="D502" s="23"/>
    </row>
    <row r="503">
      <c r="D503" s="23"/>
    </row>
    <row r="504">
      <c r="D504" s="23"/>
    </row>
    <row r="505">
      <c r="D505" s="23"/>
    </row>
    <row r="506">
      <c r="D506" s="23"/>
    </row>
    <row r="507">
      <c r="D507" s="23"/>
    </row>
    <row r="508">
      <c r="D508" s="23"/>
    </row>
    <row r="509">
      <c r="D509" s="23"/>
    </row>
    <row r="510">
      <c r="D510" s="23"/>
    </row>
    <row r="511">
      <c r="D511" s="23"/>
    </row>
    <row r="512">
      <c r="D512" s="23"/>
    </row>
    <row r="513">
      <c r="D513" s="23"/>
    </row>
    <row r="514">
      <c r="D514" s="23"/>
    </row>
    <row r="515">
      <c r="D515" s="23"/>
    </row>
    <row r="516">
      <c r="D516" s="23"/>
    </row>
    <row r="517">
      <c r="D517" s="23"/>
    </row>
    <row r="518">
      <c r="D518" s="23"/>
    </row>
    <row r="519">
      <c r="D519" s="23"/>
    </row>
    <row r="520">
      <c r="D520" s="23"/>
    </row>
    <row r="521">
      <c r="D521" s="23"/>
    </row>
    <row r="522">
      <c r="D522" s="23"/>
    </row>
    <row r="523">
      <c r="D523" s="23"/>
    </row>
    <row r="524">
      <c r="D524" s="23"/>
    </row>
    <row r="525">
      <c r="D525" s="23"/>
    </row>
    <row r="526">
      <c r="D526" s="23"/>
    </row>
    <row r="527">
      <c r="D527" s="23"/>
    </row>
    <row r="528">
      <c r="D528" s="23"/>
    </row>
    <row r="529">
      <c r="D529" s="23"/>
    </row>
    <row r="530">
      <c r="D530" s="23"/>
    </row>
    <row r="531">
      <c r="D531" s="23"/>
    </row>
    <row r="532">
      <c r="D532" s="23"/>
    </row>
    <row r="533">
      <c r="D533" s="23"/>
    </row>
    <row r="534">
      <c r="D534" s="23"/>
    </row>
    <row r="535">
      <c r="D535" s="23"/>
    </row>
    <row r="536">
      <c r="D536" s="23"/>
    </row>
    <row r="537">
      <c r="D537" s="23"/>
    </row>
    <row r="538">
      <c r="D538" s="23"/>
    </row>
    <row r="539">
      <c r="D539" s="23"/>
    </row>
    <row r="540">
      <c r="D540" s="23"/>
    </row>
    <row r="541">
      <c r="D541" s="23"/>
    </row>
    <row r="542">
      <c r="D542" s="23"/>
    </row>
    <row r="543">
      <c r="D543" s="23"/>
    </row>
    <row r="544">
      <c r="D544" s="23"/>
    </row>
    <row r="545">
      <c r="D545" s="23"/>
    </row>
    <row r="546">
      <c r="D546" s="23"/>
    </row>
    <row r="547">
      <c r="D547" s="23"/>
    </row>
    <row r="548">
      <c r="D548" s="23"/>
    </row>
    <row r="549">
      <c r="D549" s="23"/>
    </row>
    <row r="550">
      <c r="D550" s="23"/>
    </row>
    <row r="551">
      <c r="D551" s="23"/>
    </row>
    <row r="552">
      <c r="D552" s="23"/>
    </row>
    <row r="553">
      <c r="D553" s="23"/>
    </row>
    <row r="554">
      <c r="D554" s="23"/>
    </row>
    <row r="555">
      <c r="D555" s="23"/>
    </row>
    <row r="556">
      <c r="D556" s="23"/>
    </row>
    <row r="557">
      <c r="D557" s="23"/>
    </row>
    <row r="558">
      <c r="D558" s="23"/>
    </row>
    <row r="559">
      <c r="D559" s="23"/>
    </row>
    <row r="560">
      <c r="D560" s="23"/>
    </row>
    <row r="561">
      <c r="D561" s="23"/>
    </row>
    <row r="562">
      <c r="D562" s="23"/>
    </row>
    <row r="563">
      <c r="D563" s="23"/>
    </row>
    <row r="564">
      <c r="D564" s="23"/>
    </row>
    <row r="565">
      <c r="D565" s="23"/>
    </row>
    <row r="566">
      <c r="D566" s="23"/>
    </row>
    <row r="567">
      <c r="D567" s="23"/>
    </row>
    <row r="568">
      <c r="D568" s="23"/>
    </row>
    <row r="569">
      <c r="D569" s="23"/>
    </row>
    <row r="570">
      <c r="D570" s="23"/>
    </row>
    <row r="571">
      <c r="D571" s="23"/>
    </row>
    <row r="572">
      <c r="D572" s="23"/>
    </row>
    <row r="573">
      <c r="D573" s="23"/>
    </row>
    <row r="574">
      <c r="D574" s="23"/>
    </row>
    <row r="575">
      <c r="D575" s="23"/>
    </row>
    <row r="576">
      <c r="D576" s="23"/>
    </row>
    <row r="577">
      <c r="D577" s="23"/>
    </row>
    <row r="578">
      <c r="D578" s="23"/>
    </row>
    <row r="579">
      <c r="D579" s="23"/>
    </row>
    <row r="580">
      <c r="D580" s="23"/>
    </row>
    <row r="581">
      <c r="D581" s="23"/>
    </row>
    <row r="582">
      <c r="D582" s="23"/>
    </row>
    <row r="583">
      <c r="D583" s="23"/>
    </row>
    <row r="584">
      <c r="D584" s="23"/>
    </row>
    <row r="585">
      <c r="D585" s="23"/>
    </row>
    <row r="586">
      <c r="D586" s="23"/>
    </row>
    <row r="587">
      <c r="D587" s="23"/>
    </row>
    <row r="588">
      <c r="D588" s="23"/>
    </row>
    <row r="589">
      <c r="D589" s="23"/>
    </row>
    <row r="590">
      <c r="D590" s="23"/>
    </row>
    <row r="591">
      <c r="D591" s="23"/>
    </row>
    <row r="592">
      <c r="D592" s="23"/>
    </row>
    <row r="593">
      <c r="D593" s="23"/>
    </row>
    <row r="594">
      <c r="D594" s="23"/>
    </row>
    <row r="595">
      <c r="D595" s="23"/>
    </row>
    <row r="596">
      <c r="D596" s="23"/>
    </row>
    <row r="597">
      <c r="D597" s="23"/>
    </row>
    <row r="598">
      <c r="D598" s="23"/>
    </row>
    <row r="599">
      <c r="D599" s="23"/>
    </row>
    <row r="600">
      <c r="D600" s="23"/>
    </row>
    <row r="601">
      <c r="D601" s="23"/>
    </row>
    <row r="602">
      <c r="D602" s="23"/>
    </row>
    <row r="603">
      <c r="D603" s="23"/>
    </row>
    <row r="604">
      <c r="D604" s="23"/>
    </row>
    <row r="605">
      <c r="D605" s="23"/>
    </row>
    <row r="606">
      <c r="D606" s="23"/>
    </row>
    <row r="607">
      <c r="D607" s="23"/>
    </row>
    <row r="608">
      <c r="D608" s="23"/>
    </row>
    <row r="609">
      <c r="D609" s="23"/>
    </row>
    <row r="610">
      <c r="D610" s="23"/>
    </row>
    <row r="611">
      <c r="D611" s="23"/>
    </row>
    <row r="612">
      <c r="D612" s="23"/>
    </row>
    <row r="613">
      <c r="D613" s="23"/>
    </row>
    <row r="614">
      <c r="D614" s="23"/>
    </row>
    <row r="615">
      <c r="D615" s="23"/>
    </row>
    <row r="616">
      <c r="D616" s="23"/>
    </row>
    <row r="617">
      <c r="D617" s="23"/>
    </row>
    <row r="618">
      <c r="D618" s="23"/>
    </row>
    <row r="619">
      <c r="D619" s="23"/>
    </row>
    <row r="620">
      <c r="D620" s="23"/>
    </row>
    <row r="621">
      <c r="D621" s="23"/>
    </row>
    <row r="622">
      <c r="D622" s="23"/>
    </row>
    <row r="623">
      <c r="D623" s="23"/>
    </row>
    <row r="624">
      <c r="D624" s="23"/>
    </row>
    <row r="625">
      <c r="D625" s="23"/>
    </row>
    <row r="626">
      <c r="D626" s="23"/>
    </row>
    <row r="627">
      <c r="D627" s="23"/>
    </row>
    <row r="628">
      <c r="D628" s="23"/>
    </row>
    <row r="629">
      <c r="D629" s="23"/>
    </row>
    <row r="630">
      <c r="D630" s="23"/>
    </row>
    <row r="631">
      <c r="D631" s="23"/>
    </row>
    <row r="632">
      <c r="D632" s="23"/>
    </row>
    <row r="633">
      <c r="D633" s="23"/>
    </row>
    <row r="634">
      <c r="D634" s="23"/>
    </row>
    <row r="635">
      <c r="D635" s="23"/>
    </row>
    <row r="636">
      <c r="D636" s="23"/>
    </row>
    <row r="637">
      <c r="D637" s="23"/>
    </row>
    <row r="638">
      <c r="D638" s="23"/>
    </row>
    <row r="639">
      <c r="D639" s="23"/>
    </row>
    <row r="640">
      <c r="D640" s="23"/>
    </row>
    <row r="641">
      <c r="D641" s="23"/>
    </row>
    <row r="642">
      <c r="D642" s="23"/>
    </row>
    <row r="643">
      <c r="D643" s="23"/>
    </row>
    <row r="644">
      <c r="D644" s="23"/>
    </row>
    <row r="645">
      <c r="D645" s="23"/>
    </row>
    <row r="646">
      <c r="D646" s="23"/>
    </row>
    <row r="647">
      <c r="D647" s="23"/>
    </row>
    <row r="648">
      <c r="D648" s="23"/>
    </row>
    <row r="649">
      <c r="D649" s="23"/>
    </row>
    <row r="650">
      <c r="D650" s="23"/>
    </row>
    <row r="651">
      <c r="D651" s="23"/>
    </row>
    <row r="652">
      <c r="D652" s="23"/>
    </row>
    <row r="653">
      <c r="D653" s="23"/>
    </row>
    <row r="654">
      <c r="D654" s="23"/>
    </row>
    <row r="655">
      <c r="D655" s="23"/>
    </row>
    <row r="656">
      <c r="D656" s="23"/>
    </row>
    <row r="657">
      <c r="D657" s="23"/>
    </row>
    <row r="658">
      <c r="D658" s="23"/>
    </row>
    <row r="659">
      <c r="D659" s="23"/>
    </row>
    <row r="660">
      <c r="D660" s="23"/>
    </row>
    <row r="661">
      <c r="D661" s="23"/>
    </row>
    <row r="662">
      <c r="D662" s="23"/>
    </row>
    <row r="663">
      <c r="D663" s="23"/>
    </row>
    <row r="664">
      <c r="D664" s="23"/>
    </row>
    <row r="665">
      <c r="D665" s="23"/>
    </row>
    <row r="666">
      <c r="D666" s="23"/>
    </row>
    <row r="667">
      <c r="D667" s="23"/>
    </row>
    <row r="668">
      <c r="D668" s="23"/>
    </row>
    <row r="669">
      <c r="D669" s="23"/>
    </row>
    <row r="670">
      <c r="D670" s="23"/>
    </row>
    <row r="671">
      <c r="D671" s="23"/>
    </row>
    <row r="672">
      <c r="D672" s="23"/>
    </row>
    <row r="673">
      <c r="D673" s="23"/>
    </row>
    <row r="674">
      <c r="D674" s="23"/>
    </row>
    <row r="675">
      <c r="D675" s="23"/>
    </row>
    <row r="676">
      <c r="D676" s="23"/>
    </row>
    <row r="677">
      <c r="D677" s="23"/>
    </row>
    <row r="678">
      <c r="D678" s="23"/>
    </row>
    <row r="679">
      <c r="D679" s="23"/>
    </row>
    <row r="680">
      <c r="D680" s="23"/>
    </row>
    <row r="681">
      <c r="D681" s="23"/>
    </row>
    <row r="682">
      <c r="D682" s="23"/>
    </row>
    <row r="683">
      <c r="D683" s="23"/>
    </row>
    <row r="684">
      <c r="D684" s="23"/>
    </row>
    <row r="685">
      <c r="D685" s="23"/>
    </row>
    <row r="686">
      <c r="D686" s="23"/>
    </row>
    <row r="687">
      <c r="D687" s="23"/>
    </row>
    <row r="688">
      <c r="D688" s="23"/>
    </row>
    <row r="689">
      <c r="D689" s="23"/>
    </row>
    <row r="690">
      <c r="D690" s="23"/>
    </row>
    <row r="691">
      <c r="D691" s="23"/>
    </row>
    <row r="692">
      <c r="D692" s="23"/>
    </row>
    <row r="693">
      <c r="D693" s="23"/>
    </row>
    <row r="694">
      <c r="D694" s="23"/>
    </row>
    <row r="695">
      <c r="D695" s="23"/>
    </row>
    <row r="696">
      <c r="D696" s="23"/>
    </row>
    <row r="697">
      <c r="D697" s="23"/>
    </row>
    <row r="698">
      <c r="D698" s="23"/>
    </row>
    <row r="699">
      <c r="D699" s="23"/>
    </row>
    <row r="700">
      <c r="D700" s="23"/>
    </row>
    <row r="701">
      <c r="D701" s="23"/>
    </row>
    <row r="702">
      <c r="D702" s="23"/>
    </row>
    <row r="703">
      <c r="D703" s="23"/>
    </row>
    <row r="704">
      <c r="D704" s="23"/>
    </row>
    <row r="705">
      <c r="D705" s="23"/>
    </row>
    <row r="706">
      <c r="D706" s="23"/>
    </row>
    <row r="707">
      <c r="D707" s="23"/>
    </row>
    <row r="708">
      <c r="D708" s="23"/>
    </row>
    <row r="709">
      <c r="D709" s="23"/>
    </row>
    <row r="710">
      <c r="D710" s="23"/>
    </row>
    <row r="711">
      <c r="D711" s="23"/>
    </row>
    <row r="712">
      <c r="D712" s="23"/>
    </row>
    <row r="713">
      <c r="D713" s="23"/>
    </row>
    <row r="714">
      <c r="D714" s="23"/>
    </row>
    <row r="715">
      <c r="D715" s="23"/>
    </row>
    <row r="716">
      <c r="D716" s="23"/>
    </row>
    <row r="717">
      <c r="D717" s="23"/>
    </row>
    <row r="718">
      <c r="D718" s="23"/>
    </row>
    <row r="719">
      <c r="D719" s="23"/>
    </row>
    <row r="720">
      <c r="D720" s="23"/>
    </row>
    <row r="721">
      <c r="D721" s="23"/>
    </row>
    <row r="722">
      <c r="D722" s="23"/>
    </row>
    <row r="723">
      <c r="D723" s="23"/>
    </row>
    <row r="724">
      <c r="D724" s="23"/>
    </row>
    <row r="725">
      <c r="D725" s="23"/>
    </row>
    <row r="726">
      <c r="D726" s="23"/>
    </row>
    <row r="727">
      <c r="D727" s="23"/>
    </row>
    <row r="728">
      <c r="D728" s="23"/>
    </row>
    <row r="729">
      <c r="D729" s="23"/>
    </row>
    <row r="730">
      <c r="D730" s="23"/>
    </row>
    <row r="731">
      <c r="D731" s="23"/>
    </row>
    <row r="732">
      <c r="D732" s="23"/>
    </row>
    <row r="733">
      <c r="D733" s="23"/>
    </row>
    <row r="734">
      <c r="D734" s="23"/>
    </row>
    <row r="735">
      <c r="D735" s="23"/>
    </row>
    <row r="736">
      <c r="D736" s="23"/>
    </row>
    <row r="737">
      <c r="D737" s="23"/>
    </row>
    <row r="738">
      <c r="D738" s="23"/>
    </row>
    <row r="739">
      <c r="D739" s="23"/>
    </row>
    <row r="740">
      <c r="D740" s="23"/>
    </row>
    <row r="741">
      <c r="D741" s="23"/>
    </row>
    <row r="742">
      <c r="D742" s="23"/>
    </row>
    <row r="743">
      <c r="D743" s="23"/>
    </row>
    <row r="744">
      <c r="D744" s="23"/>
    </row>
    <row r="745">
      <c r="D745" s="23"/>
    </row>
    <row r="746">
      <c r="D746" s="23"/>
    </row>
    <row r="747">
      <c r="D747" s="23"/>
    </row>
    <row r="748">
      <c r="D748" s="23"/>
    </row>
    <row r="749">
      <c r="D749" s="23"/>
    </row>
    <row r="750">
      <c r="D750" s="23"/>
    </row>
    <row r="751">
      <c r="D751" s="23"/>
    </row>
    <row r="752">
      <c r="D752" s="23"/>
    </row>
    <row r="753">
      <c r="D753" s="23"/>
    </row>
    <row r="754">
      <c r="D754" s="23"/>
    </row>
    <row r="755">
      <c r="D755" s="23"/>
    </row>
    <row r="756">
      <c r="D756" s="23"/>
    </row>
    <row r="757">
      <c r="D757" s="23"/>
    </row>
    <row r="758">
      <c r="D758" s="23"/>
    </row>
    <row r="759">
      <c r="D759" s="23"/>
    </row>
    <row r="760">
      <c r="D760" s="23"/>
    </row>
    <row r="761">
      <c r="D761" s="23"/>
    </row>
    <row r="762">
      <c r="D762" s="23"/>
    </row>
    <row r="763">
      <c r="D763" s="23"/>
    </row>
    <row r="764">
      <c r="D764" s="23"/>
    </row>
    <row r="765">
      <c r="D765" s="23"/>
    </row>
    <row r="766">
      <c r="D766" s="23"/>
    </row>
    <row r="767">
      <c r="D767" s="23"/>
    </row>
    <row r="768">
      <c r="D768" s="23"/>
    </row>
    <row r="769">
      <c r="D769" s="23"/>
    </row>
    <row r="770">
      <c r="D770" s="23"/>
    </row>
    <row r="771">
      <c r="D771" s="23"/>
    </row>
    <row r="772">
      <c r="D772" s="23"/>
    </row>
    <row r="773">
      <c r="D773" s="23"/>
    </row>
    <row r="774">
      <c r="D774" s="23"/>
    </row>
    <row r="775">
      <c r="D775" s="23"/>
    </row>
    <row r="776">
      <c r="D776" s="23"/>
    </row>
    <row r="777">
      <c r="D777" s="23"/>
    </row>
    <row r="778">
      <c r="D778" s="23"/>
    </row>
    <row r="779">
      <c r="D779" s="23"/>
    </row>
    <row r="780">
      <c r="D780" s="23"/>
    </row>
    <row r="781">
      <c r="D781" s="23"/>
    </row>
    <row r="782">
      <c r="D782" s="23"/>
    </row>
    <row r="783">
      <c r="D783" s="23"/>
    </row>
    <row r="784">
      <c r="D784" s="23"/>
    </row>
    <row r="785">
      <c r="D785" s="23"/>
    </row>
    <row r="786">
      <c r="D786" s="23"/>
    </row>
    <row r="787">
      <c r="D787" s="23"/>
    </row>
    <row r="788">
      <c r="D788" s="23"/>
    </row>
    <row r="789">
      <c r="D789" s="23"/>
    </row>
    <row r="790">
      <c r="D790" s="23"/>
    </row>
    <row r="791">
      <c r="D791" s="23"/>
    </row>
    <row r="792">
      <c r="D792" s="23"/>
    </row>
    <row r="793">
      <c r="D793" s="23"/>
    </row>
    <row r="794">
      <c r="D794" s="23"/>
    </row>
    <row r="795">
      <c r="D795" s="23"/>
    </row>
    <row r="796">
      <c r="D796" s="23"/>
    </row>
    <row r="797">
      <c r="D797" s="23"/>
    </row>
    <row r="798">
      <c r="D798" s="23"/>
    </row>
    <row r="799">
      <c r="D799" s="23"/>
    </row>
    <row r="800">
      <c r="D800" s="23"/>
    </row>
    <row r="801">
      <c r="D801" s="23"/>
    </row>
    <row r="802">
      <c r="D802" s="23"/>
    </row>
    <row r="803">
      <c r="D803" s="23"/>
    </row>
    <row r="804">
      <c r="D804" s="23"/>
    </row>
    <row r="805">
      <c r="D805" s="23"/>
    </row>
    <row r="806">
      <c r="D806" s="23"/>
    </row>
    <row r="807">
      <c r="D807" s="23"/>
    </row>
    <row r="808">
      <c r="D808" s="23"/>
    </row>
    <row r="809">
      <c r="D809" s="23"/>
    </row>
    <row r="810">
      <c r="D810" s="23"/>
    </row>
    <row r="811">
      <c r="D811" s="23"/>
    </row>
    <row r="812">
      <c r="D812" s="23"/>
    </row>
    <row r="813">
      <c r="D813" s="23"/>
    </row>
    <row r="814">
      <c r="D814" s="23"/>
    </row>
    <row r="815">
      <c r="D815" s="23"/>
    </row>
    <row r="816">
      <c r="D816" s="23"/>
    </row>
    <row r="817">
      <c r="D817" s="23"/>
    </row>
    <row r="818">
      <c r="D818" s="23"/>
    </row>
    <row r="819">
      <c r="D819" s="23"/>
    </row>
    <row r="820">
      <c r="D820" s="23"/>
    </row>
    <row r="821">
      <c r="D821" s="23"/>
    </row>
    <row r="822">
      <c r="D822" s="23"/>
    </row>
    <row r="823">
      <c r="D823" s="23"/>
    </row>
    <row r="824">
      <c r="D824" s="23"/>
    </row>
    <row r="825">
      <c r="D825" s="23"/>
    </row>
    <row r="826">
      <c r="D826" s="23"/>
    </row>
    <row r="827">
      <c r="D827" s="23"/>
    </row>
    <row r="828">
      <c r="D828" s="23"/>
    </row>
    <row r="829">
      <c r="D829" s="23"/>
    </row>
    <row r="830">
      <c r="D830" s="23"/>
    </row>
    <row r="831">
      <c r="D831" s="23"/>
    </row>
    <row r="832">
      <c r="D832" s="23"/>
    </row>
    <row r="833">
      <c r="D833" s="23"/>
    </row>
    <row r="834">
      <c r="D834" s="23"/>
    </row>
    <row r="835">
      <c r="D835" s="23"/>
    </row>
    <row r="836">
      <c r="D836" s="23"/>
    </row>
    <row r="837">
      <c r="D837" s="23"/>
    </row>
    <row r="838">
      <c r="D838" s="23"/>
    </row>
    <row r="839">
      <c r="D839" s="23"/>
    </row>
    <row r="840">
      <c r="D840" s="23"/>
    </row>
    <row r="841">
      <c r="D841" s="23"/>
    </row>
    <row r="842">
      <c r="D842" s="23"/>
    </row>
    <row r="843">
      <c r="D843" s="23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sheetData>
    <row r="1" ht="15.75" customHeight="1">
      <c r="A1" s="14" t="s">
        <v>1</v>
      </c>
      <c r="B1" s="14" t="s">
        <v>499</v>
      </c>
      <c r="C1" s="14" t="s">
        <v>500</v>
      </c>
      <c r="D1" s="20" t="s">
        <v>501</v>
      </c>
      <c r="E1" s="14" t="s">
        <v>502</v>
      </c>
      <c r="F1" s="14" t="s">
        <v>503</v>
      </c>
      <c r="G1" s="14" t="s">
        <v>504</v>
      </c>
      <c r="H1" s="14" t="s">
        <v>505</v>
      </c>
      <c r="I1" s="14" t="s">
        <v>506</v>
      </c>
      <c r="J1" s="14" t="s">
        <v>507</v>
      </c>
      <c r="L1" s="14" t="s">
        <v>508</v>
      </c>
      <c r="M1" s="21">
        <f t="array" ref="M1">sum(large(D3:D870,column(indirect("$A$1:" &amp;ADDRESS( 1, 12)))))/12</f>
        <v>2.083333333</v>
      </c>
    </row>
    <row r="2">
      <c r="A2" s="22"/>
      <c r="D2" s="23"/>
      <c r="E2" s="14">
        <f t="shared" ref="E2:J2" si="1">SUM(E3:E102)</f>
        <v>7</v>
      </c>
      <c r="F2" s="14">
        <f t="shared" si="1"/>
        <v>32</v>
      </c>
      <c r="G2" s="14">
        <f t="shared" si="1"/>
        <v>0</v>
      </c>
      <c r="H2" s="14">
        <f t="shared" si="1"/>
        <v>6</v>
      </c>
      <c r="I2" s="14">
        <f t="shared" si="1"/>
        <v>3</v>
      </c>
      <c r="J2" s="14">
        <f t="shared" si="1"/>
        <v>5</v>
      </c>
    </row>
    <row r="3">
      <c r="A3" s="22" t="s">
        <v>8</v>
      </c>
      <c r="B3" s="21">
        <f t="shared" ref="B3:B102" si="2">D3/M$1*2000</f>
        <v>3840</v>
      </c>
      <c r="C3" s="21" t="str">
        <f>VLOOKUP(A3, hash!A$2:B$550, 2, 0)</f>
        <v>6322202c0aa8ba2dbc57c0a6</v>
      </c>
      <c r="D3" s="23">
        <f t="shared" ref="D3:D102" si="3">SUM(E3:J3)</f>
        <v>4</v>
      </c>
      <c r="E3" s="14">
        <v>0.0</v>
      </c>
      <c r="F3" s="14">
        <v>1.0</v>
      </c>
      <c r="G3" s="14">
        <v>0.0</v>
      </c>
      <c r="H3" s="14">
        <v>1.0</v>
      </c>
      <c r="I3" s="14">
        <v>1.0</v>
      </c>
      <c r="J3" s="14">
        <v>1.0</v>
      </c>
    </row>
    <row r="4">
      <c r="A4" s="22" t="s">
        <v>10</v>
      </c>
      <c r="B4" s="21">
        <f t="shared" si="2"/>
        <v>3840</v>
      </c>
      <c r="C4" s="21" t="str">
        <f>VLOOKUP(A4, hash!A$2:B$550, 2, 0)</f>
        <v>632220270aa8ba2dbc57c0a4</v>
      </c>
      <c r="D4" s="23">
        <f t="shared" si="3"/>
        <v>4</v>
      </c>
      <c r="E4" s="14">
        <v>1.0</v>
      </c>
      <c r="F4" s="14">
        <v>1.0</v>
      </c>
      <c r="G4" s="14">
        <v>0.0</v>
      </c>
      <c r="H4" s="14">
        <v>1.0</v>
      </c>
      <c r="I4" s="14">
        <v>0.0</v>
      </c>
      <c r="J4" s="14">
        <v>1.0</v>
      </c>
    </row>
    <row r="5">
      <c r="A5" s="22" t="s">
        <v>14</v>
      </c>
      <c r="B5" s="21">
        <f t="shared" si="2"/>
        <v>2880</v>
      </c>
      <c r="C5" s="21" t="str">
        <f>VLOOKUP(A5, hash!A$2:B$550, 2, 0)</f>
        <v>66e1e10f7a8e6dc2aed3a63c</v>
      </c>
      <c r="D5" s="23">
        <f t="shared" si="3"/>
        <v>3</v>
      </c>
      <c r="E5" s="14">
        <v>1.0</v>
      </c>
      <c r="F5" s="14">
        <v>1.0</v>
      </c>
      <c r="G5" s="14">
        <v>0.0</v>
      </c>
      <c r="H5" s="14">
        <v>0.0</v>
      </c>
      <c r="I5" s="14">
        <v>1.0</v>
      </c>
      <c r="J5" s="14">
        <v>0.0</v>
      </c>
    </row>
    <row r="6">
      <c r="A6" s="22" t="s">
        <v>11</v>
      </c>
      <c r="B6" s="21">
        <f t="shared" si="2"/>
        <v>1920</v>
      </c>
      <c r="C6" s="21" t="str">
        <f>VLOOKUP(A6, hash!A$2:B$550, 2, 0)</f>
        <v>6502005e1d8cbbbd315ad52c</v>
      </c>
      <c r="D6" s="23">
        <f t="shared" si="3"/>
        <v>2</v>
      </c>
      <c r="E6" s="14">
        <v>0.0</v>
      </c>
      <c r="F6" s="14">
        <v>0.0</v>
      </c>
      <c r="G6" s="14">
        <v>0.0</v>
      </c>
      <c r="H6" s="14">
        <v>0.0</v>
      </c>
      <c r="I6" s="14">
        <v>1.0</v>
      </c>
      <c r="J6" s="14">
        <v>1.0</v>
      </c>
    </row>
    <row r="7">
      <c r="A7" s="22" t="s">
        <v>9</v>
      </c>
      <c r="B7" s="21">
        <f t="shared" si="2"/>
        <v>1920</v>
      </c>
      <c r="C7" s="21" t="str">
        <f>VLOOKUP(A7, hash!A$2:B$550, 2, 0)</f>
        <v>66e1e1237a8e6dc2aed3a642</v>
      </c>
      <c r="D7" s="23">
        <f t="shared" si="3"/>
        <v>2</v>
      </c>
      <c r="E7" s="14">
        <v>0.0</v>
      </c>
      <c r="F7" s="14">
        <v>1.0</v>
      </c>
      <c r="G7" s="14">
        <v>0.0</v>
      </c>
      <c r="H7" s="14">
        <v>1.0</v>
      </c>
      <c r="I7" s="14">
        <v>0.0</v>
      </c>
      <c r="J7" s="14">
        <v>0.0</v>
      </c>
    </row>
    <row r="8">
      <c r="A8" s="22" t="s">
        <v>23</v>
      </c>
      <c r="B8" s="21">
        <f t="shared" si="2"/>
        <v>1920</v>
      </c>
      <c r="C8" s="21" t="str">
        <f>VLOOKUP(A8, hash!A$2:B$550, 2, 0)</f>
        <v>65020bfe097ac3c9d063264f</v>
      </c>
      <c r="D8" s="23">
        <f t="shared" si="3"/>
        <v>2</v>
      </c>
      <c r="E8" s="14">
        <v>1.0</v>
      </c>
      <c r="F8" s="14">
        <v>0.0</v>
      </c>
      <c r="G8" s="14">
        <v>0.0</v>
      </c>
      <c r="H8" s="14">
        <v>0.0</v>
      </c>
      <c r="I8" s="14">
        <v>0.0</v>
      </c>
      <c r="J8" s="14">
        <v>1.0</v>
      </c>
    </row>
    <row r="9">
      <c r="A9" s="22" t="s">
        <v>12</v>
      </c>
      <c r="B9" s="21">
        <f t="shared" si="2"/>
        <v>1920</v>
      </c>
      <c r="C9" s="21" t="str">
        <f>VLOOKUP(A9, hash!A$2:B$550, 2, 0)</f>
        <v>651dadf4a69631c34bde617f</v>
      </c>
      <c r="D9" s="23">
        <f t="shared" si="3"/>
        <v>2</v>
      </c>
      <c r="E9" s="14">
        <v>1.0</v>
      </c>
      <c r="F9" s="14">
        <v>1.0</v>
      </c>
      <c r="G9" s="14">
        <v>0.0</v>
      </c>
      <c r="H9" s="14">
        <v>0.0</v>
      </c>
      <c r="I9" s="14">
        <v>0.0</v>
      </c>
      <c r="J9" s="14">
        <v>0.0</v>
      </c>
    </row>
    <row r="10">
      <c r="A10" s="22" t="s">
        <v>16</v>
      </c>
      <c r="B10" s="21">
        <f t="shared" si="2"/>
        <v>1920</v>
      </c>
      <c r="C10" s="21" t="str">
        <f>VLOOKUP(A10, hash!A$2:B$550, 2, 0)</f>
        <v>66e1e1267a8e6dc2aed3a644</v>
      </c>
      <c r="D10" s="23">
        <f t="shared" si="3"/>
        <v>2</v>
      </c>
      <c r="E10" s="25">
        <v>0.0</v>
      </c>
      <c r="F10" s="25">
        <v>1.0</v>
      </c>
      <c r="G10" s="25">
        <v>0.0</v>
      </c>
      <c r="H10" s="25">
        <v>1.0</v>
      </c>
      <c r="I10" s="25">
        <v>0.0</v>
      </c>
      <c r="J10" s="25">
        <v>0.0</v>
      </c>
    </row>
    <row r="11">
      <c r="A11" s="22" t="s">
        <v>17</v>
      </c>
      <c r="B11" s="21">
        <f t="shared" si="2"/>
        <v>960</v>
      </c>
      <c r="C11" s="21" t="str">
        <f>VLOOKUP(A11, hash!A$2:B$550, 2, 0)</f>
        <v>65020bfc097ac3c9d063264d</v>
      </c>
      <c r="D11" s="23">
        <f t="shared" si="3"/>
        <v>1</v>
      </c>
      <c r="E11" s="14">
        <v>0.0</v>
      </c>
      <c r="F11" s="14">
        <v>1.0</v>
      </c>
      <c r="G11" s="14">
        <v>0.0</v>
      </c>
      <c r="H11" s="14">
        <v>0.0</v>
      </c>
      <c r="I11" s="14">
        <v>0.0</v>
      </c>
      <c r="J11" s="14">
        <v>0.0</v>
      </c>
    </row>
    <row r="12">
      <c r="A12" s="22" t="s">
        <v>30</v>
      </c>
      <c r="B12" s="21">
        <f t="shared" si="2"/>
        <v>960</v>
      </c>
      <c r="C12" s="21" t="str">
        <f>VLOOKUP(A12, hash!A$2:B$550, 2, 0)</f>
        <v>6322236ef382c17890e6a3e1</v>
      </c>
      <c r="D12" s="23">
        <f t="shared" si="3"/>
        <v>1</v>
      </c>
      <c r="E12" s="14">
        <v>0.0</v>
      </c>
      <c r="F12" s="14">
        <v>0.0</v>
      </c>
      <c r="G12" s="14">
        <v>0.0</v>
      </c>
      <c r="H12" s="14">
        <v>0.0</v>
      </c>
      <c r="I12" s="14">
        <v>0.0</v>
      </c>
      <c r="J12" s="14">
        <v>1.0</v>
      </c>
    </row>
    <row r="13">
      <c r="A13" s="22" t="s">
        <v>34</v>
      </c>
      <c r="B13" s="21">
        <f t="shared" si="2"/>
        <v>960</v>
      </c>
      <c r="C13" s="21" t="str">
        <f>VLOOKUP(A13, hash!A$2:B$550, 2, 0)</f>
        <v>63222c2fed58d92b843f7cbf</v>
      </c>
      <c r="D13" s="23">
        <f t="shared" si="3"/>
        <v>1</v>
      </c>
      <c r="E13" s="14">
        <v>0.0</v>
      </c>
      <c r="F13" s="14">
        <v>1.0</v>
      </c>
      <c r="G13" s="14">
        <v>0.0</v>
      </c>
      <c r="H13" s="14">
        <v>0.0</v>
      </c>
      <c r="I13" s="14">
        <v>0.0</v>
      </c>
      <c r="J13" s="14">
        <v>0.0</v>
      </c>
    </row>
    <row r="14">
      <c r="A14" s="22" t="s">
        <v>21</v>
      </c>
      <c r="B14" s="21">
        <f t="shared" si="2"/>
        <v>960</v>
      </c>
      <c r="C14" s="21" t="str">
        <f>VLOOKUP(A14, hash!A$2:B$550, 2, 0)</f>
        <v>63222da0116f680d68804fa7</v>
      </c>
      <c r="D14" s="23">
        <f t="shared" si="3"/>
        <v>1</v>
      </c>
      <c r="E14" s="14">
        <v>0.0</v>
      </c>
      <c r="F14" s="14">
        <v>1.0</v>
      </c>
      <c r="G14" s="14">
        <v>0.0</v>
      </c>
      <c r="H14" s="14">
        <v>0.0</v>
      </c>
      <c r="I14" s="14">
        <v>0.0</v>
      </c>
      <c r="J14" s="14">
        <v>0.0</v>
      </c>
    </row>
    <row r="15">
      <c r="A15" s="22" t="s">
        <v>15</v>
      </c>
      <c r="B15" s="21">
        <f t="shared" si="2"/>
        <v>960</v>
      </c>
      <c r="C15" s="21" t="str">
        <f>VLOOKUP(A15, hash!A$2:B$550, 2, 0)</f>
        <v>65020037540ba7cc68909a9b</v>
      </c>
      <c r="D15" s="23">
        <f t="shared" si="3"/>
        <v>1</v>
      </c>
      <c r="E15" s="14">
        <v>0.0</v>
      </c>
      <c r="F15" s="14">
        <v>1.0</v>
      </c>
      <c r="G15" s="14">
        <v>0.0</v>
      </c>
      <c r="H15" s="14">
        <v>0.0</v>
      </c>
      <c r="I15" s="14">
        <v>0.0</v>
      </c>
      <c r="J15" s="14">
        <v>0.0</v>
      </c>
    </row>
    <row r="16">
      <c r="A16" s="22" t="s">
        <v>18</v>
      </c>
      <c r="B16" s="21">
        <f t="shared" si="2"/>
        <v>960</v>
      </c>
      <c r="C16" s="21" t="str">
        <f>VLOOKUP(A16, hash!A$2:B$550, 2, 0)</f>
        <v>6502003d1d8cbbbd315ad525</v>
      </c>
      <c r="D16" s="23">
        <f t="shared" si="3"/>
        <v>1</v>
      </c>
      <c r="E16" s="14">
        <v>0.0</v>
      </c>
      <c r="F16" s="14">
        <v>1.0</v>
      </c>
      <c r="G16" s="14">
        <v>0.0</v>
      </c>
      <c r="H16" s="14">
        <v>0.0</v>
      </c>
      <c r="I16" s="14">
        <v>0.0</v>
      </c>
      <c r="J16" s="14">
        <v>0.0</v>
      </c>
    </row>
    <row r="17">
      <c r="A17" s="22" t="s">
        <v>19</v>
      </c>
      <c r="B17" s="21">
        <f t="shared" si="2"/>
        <v>960</v>
      </c>
      <c r="C17" s="21" t="str">
        <f>VLOOKUP(A17, hash!A$2:B$550, 2, 0)</f>
        <v>6502007357ae167867eac223</v>
      </c>
      <c r="D17" s="23">
        <f t="shared" si="3"/>
        <v>1</v>
      </c>
      <c r="E17" s="14">
        <v>0.0</v>
      </c>
      <c r="F17" s="14">
        <v>1.0</v>
      </c>
      <c r="G17" s="14">
        <v>0.0</v>
      </c>
      <c r="H17" s="14">
        <v>0.0</v>
      </c>
      <c r="I17" s="14">
        <v>0.0</v>
      </c>
      <c r="J17" s="14">
        <v>0.0</v>
      </c>
    </row>
    <row r="18">
      <c r="A18" s="22" t="s">
        <v>13</v>
      </c>
      <c r="B18" s="21">
        <f t="shared" si="2"/>
        <v>960</v>
      </c>
      <c r="C18" s="21" t="str">
        <f>VLOOKUP(A18, hash!A$2:B$550, 2, 0)</f>
        <v>65020be78f2b101294bb3da8</v>
      </c>
      <c r="D18" s="23">
        <f t="shared" si="3"/>
        <v>1</v>
      </c>
      <c r="E18" s="14">
        <v>0.0</v>
      </c>
      <c r="F18" s="14">
        <v>0.0</v>
      </c>
      <c r="G18" s="14">
        <v>0.0</v>
      </c>
      <c r="H18" s="14">
        <v>1.0</v>
      </c>
      <c r="I18" s="14">
        <v>0.0</v>
      </c>
      <c r="J18" s="14">
        <v>0.0</v>
      </c>
    </row>
    <row r="19">
      <c r="A19" s="22" t="s">
        <v>40</v>
      </c>
      <c r="B19" s="21">
        <f t="shared" si="2"/>
        <v>960</v>
      </c>
      <c r="C19" s="21" t="str">
        <f>VLOOKUP(A19, hash!A$2:B$550, 2, 0)</f>
        <v>65020bed03dd812a55d3a207</v>
      </c>
      <c r="D19" s="23">
        <f t="shared" si="3"/>
        <v>1</v>
      </c>
      <c r="E19" s="14">
        <v>1.0</v>
      </c>
      <c r="F19" s="14">
        <v>0.0</v>
      </c>
      <c r="G19" s="14">
        <v>0.0</v>
      </c>
      <c r="H19" s="14">
        <v>0.0</v>
      </c>
      <c r="I19" s="14">
        <v>0.0</v>
      </c>
      <c r="J19" s="14">
        <v>0.0</v>
      </c>
    </row>
    <row r="20">
      <c r="A20" s="22" t="s">
        <v>86</v>
      </c>
      <c r="B20" s="21">
        <f t="shared" si="2"/>
        <v>960</v>
      </c>
      <c r="C20" s="21" t="str">
        <f>VLOOKUP(A20, hash!A$2:B$550, 2, 0)</f>
        <v>65020c05097ac3c9d0632651</v>
      </c>
      <c r="D20" s="23">
        <f t="shared" si="3"/>
        <v>1</v>
      </c>
      <c r="E20" s="14">
        <v>0.0</v>
      </c>
      <c r="F20" s="14">
        <v>1.0</v>
      </c>
      <c r="G20" s="14">
        <v>0.0</v>
      </c>
      <c r="H20" s="14">
        <v>0.0</v>
      </c>
      <c r="I20" s="14">
        <v>0.0</v>
      </c>
      <c r="J20" s="14">
        <v>0.0</v>
      </c>
    </row>
    <row r="21">
      <c r="A21" s="22" t="s">
        <v>61</v>
      </c>
      <c r="B21" s="21">
        <f t="shared" si="2"/>
        <v>960</v>
      </c>
      <c r="C21" s="21" t="str">
        <f>VLOOKUP(A21, hash!A$2:B$550, 2, 0)</f>
        <v>65020c0f8f2b101294bb3dae</v>
      </c>
      <c r="D21" s="23">
        <f t="shared" si="3"/>
        <v>1</v>
      </c>
      <c r="E21" s="14">
        <v>0.0</v>
      </c>
      <c r="F21" s="14">
        <v>1.0</v>
      </c>
      <c r="G21" s="14">
        <v>0.0</v>
      </c>
      <c r="H21" s="14">
        <v>0.0</v>
      </c>
      <c r="I21" s="14">
        <v>0.0</v>
      </c>
      <c r="J21" s="14">
        <v>0.0</v>
      </c>
    </row>
    <row r="22">
      <c r="A22" s="22" t="s">
        <v>39</v>
      </c>
      <c r="B22" s="21">
        <f t="shared" si="2"/>
        <v>960</v>
      </c>
      <c r="C22" s="21" t="str">
        <f>VLOOKUP(A22, hash!A$2:B$550, 2, 0)</f>
        <v>6594377be0f4f63927a8ce26</v>
      </c>
      <c r="D22" s="23">
        <f t="shared" si="3"/>
        <v>1</v>
      </c>
      <c r="E22" s="14">
        <v>0.0</v>
      </c>
      <c r="F22" s="14">
        <v>1.0</v>
      </c>
      <c r="G22" s="14">
        <v>0.0</v>
      </c>
      <c r="H22" s="14">
        <v>0.0</v>
      </c>
      <c r="I22" s="14">
        <v>0.0</v>
      </c>
      <c r="J22" s="14">
        <v>0.0</v>
      </c>
    </row>
    <row r="23">
      <c r="A23" s="22" t="s">
        <v>42</v>
      </c>
      <c r="B23" s="21">
        <f t="shared" si="2"/>
        <v>960</v>
      </c>
      <c r="C23" s="21" t="str">
        <f>VLOOKUP(A23, hash!A$2:B$550, 2, 0)</f>
        <v>66e1e102a61e89c7c68f6e2f</v>
      </c>
      <c r="D23" s="23">
        <f t="shared" si="3"/>
        <v>1</v>
      </c>
      <c r="E23" s="14">
        <v>0.0</v>
      </c>
      <c r="F23" s="14">
        <v>1.0</v>
      </c>
      <c r="G23" s="14">
        <v>0.0</v>
      </c>
      <c r="H23" s="14">
        <v>0.0</v>
      </c>
      <c r="I23" s="14">
        <v>0.0</v>
      </c>
      <c r="J23" s="14">
        <v>0.0</v>
      </c>
    </row>
    <row r="24">
      <c r="A24" s="22" t="s">
        <v>60</v>
      </c>
      <c r="B24" s="21">
        <f t="shared" si="2"/>
        <v>960</v>
      </c>
      <c r="C24" s="21" t="str">
        <f>VLOOKUP(A24, hash!A$2:B$550, 2, 0)</f>
        <v>66e1e105db315cbd40043fc1</v>
      </c>
      <c r="D24" s="23">
        <f t="shared" si="3"/>
        <v>1</v>
      </c>
      <c r="E24" s="14">
        <v>0.0</v>
      </c>
      <c r="F24" s="14">
        <v>1.0</v>
      </c>
      <c r="G24" s="14">
        <v>0.0</v>
      </c>
      <c r="H24" s="14">
        <v>0.0</v>
      </c>
      <c r="I24" s="14">
        <v>0.0</v>
      </c>
      <c r="J24" s="14">
        <v>0.0</v>
      </c>
    </row>
    <row r="25">
      <c r="A25" s="22" t="s">
        <v>43</v>
      </c>
      <c r="B25" s="21">
        <f t="shared" si="2"/>
        <v>960</v>
      </c>
      <c r="C25" s="21" t="str">
        <f>VLOOKUP(A25, hash!A$2:B$550, 2, 0)</f>
        <v>66e1e108a61e89c7c68f6e31</v>
      </c>
      <c r="D25" s="23">
        <f t="shared" si="3"/>
        <v>1</v>
      </c>
      <c r="E25" s="14">
        <v>0.0</v>
      </c>
      <c r="F25" s="14">
        <v>1.0</v>
      </c>
      <c r="G25" s="14">
        <v>0.0</v>
      </c>
      <c r="H25" s="14">
        <v>0.0</v>
      </c>
      <c r="I25" s="14">
        <v>0.0</v>
      </c>
      <c r="J25" s="14">
        <v>0.0</v>
      </c>
    </row>
    <row r="26">
      <c r="A26" s="22" t="s">
        <v>44</v>
      </c>
      <c r="B26" s="21">
        <f t="shared" si="2"/>
        <v>960</v>
      </c>
      <c r="C26" s="21" t="str">
        <f>VLOOKUP(A26, hash!A$2:B$550, 2, 0)</f>
        <v>66e1e125f0db8f5922c91d84</v>
      </c>
      <c r="D26" s="23">
        <f t="shared" si="3"/>
        <v>1</v>
      </c>
      <c r="E26" s="14">
        <v>0.0</v>
      </c>
      <c r="F26" s="14">
        <v>1.0</v>
      </c>
      <c r="G26" s="14">
        <v>0.0</v>
      </c>
      <c r="H26" s="14">
        <v>0.0</v>
      </c>
      <c r="I26" s="14">
        <v>0.0</v>
      </c>
      <c r="J26" s="14">
        <v>0.0</v>
      </c>
    </row>
    <row r="27">
      <c r="A27" s="22" t="s">
        <v>33</v>
      </c>
      <c r="B27" s="21">
        <f t="shared" si="2"/>
        <v>960</v>
      </c>
      <c r="C27" s="21" t="str">
        <f>VLOOKUP(A27, hash!A$2:B$550, 2, 0)</f>
        <v>66e1e126f0db8f5922c91d85</v>
      </c>
      <c r="D27" s="23">
        <f t="shared" si="3"/>
        <v>1</v>
      </c>
      <c r="E27" s="14">
        <v>0.0</v>
      </c>
      <c r="F27" s="14">
        <v>1.0</v>
      </c>
      <c r="G27" s="14">
        <v>0.0</v>
      </c>
      <c r="H27" s="14">
        <v>0.0</v>
      </c>
      <c r="I27" s="14">
        <v>0.0</v>
      </c>
      <c r="J27" s="14">
        <v>0.0</v>
      </c>
    </row>
    <row r="28">
      <c r="A28" s="22" t="s">
        <v>31</v>
      </c>
      <c r="B28" s="21">
        <f t="shared" si="2"/>
        <v>960</v>
      </c>
      <c r="C28" s="21" t="str">
        <f>VLOOKUP(A28, hash!A$2:B$550, 2, 0)</f>
        <v>66e1e13fdb315cbd40043fca</v>
      </c>
      <c r="D28" s="23">
        <f t="shared" si="3"/>
        <v>1</v>
      </c>
      <c r="E28" s="14">
        <v>0.0</v>
      </c>
      <c r="F28" s="14">
        <v>1.0</v>
      </c>
      <c r="G28" s="14">
        <v>0.0</v>
      </c>
      <c r="H28" s="14">
        <v>0.0</v>
      </c>
      <c r="I28" s="14">
        <v>0.0</v>
      </c>
      <c r="J28" s="14">
        <v>0.0</v>
      </c>
    </row>
    <row r="29">
      <c r="A29" s="22" t="s">
        <v>45</v>
      </c>
      <c r="B29" s="21">
        <f t="shared" si="2"/>
        <v>960</v>
      </c>
      <c r="C29" s="21" t="str">
        <f>VLOOKUP(A29, hash!A$2:B$550, 2, 0)</f>
        <v>66e1ed8d1129889a3e2c24ab</v>
      </c>
      <c r="D29" s="23">
        <f t="shared" si="3"/>
        <v>1</v>
      </c>
      <c r="E29" s="14">
        <v>0.0</v>
      </c>
      <c r="F29" s="14">
        <v>1.0</v>
      </c>
      <c r="G29" s="14">
        <v>0.0</v>
      </c>
      <c r="H29" s="14">
        <v>0.0</v>
      </c>
      <c r="I29" s="14">
        <v>0.0</v>
      </c>
      <c r="J29" s="14">
        <v>0.0</v>
      </c>
    </row>
    <row r="30">
      <c r="A30" s="22" t="s">
        <v>37</v>
      </c>
      <c r="B30" s="21">
        <f t="shared" si="2"/>
        <v>960</v>
      </c>
      <c r="C30" s="21" t="str">
        <f>VLOOKUP(A30, hash!A$2:B$550, 2, 0)</f>
        <v>66e21e0e9dc93e7d858c34ab</v>
      </c>
      <c r="D30" s="23">
        <f t="shared" si="3"/>
        <v>1</v>
      </c>
      <c r="E30" s="14">
        <v>1.0</v>
      </c>
      <c r="F30" s="14">
        <v>0.0</v>
      </c>
      <c r="G30" s="14">
        <v>0.0</v>
      </c>
      <c r="H30" s="14">
        <v>0.0</v>
      </c>
      <c r="I30" s="14">
        <v>0.0</v>
      </c>
      <c r="J30" s="14">
        <v>0.0</v>
      </c>
    </row>
    <row r="31">
      <c r="A31" s="22" t="s">
        <v>35</v>
      </c>
      <c r="B31" s="21">
        <f t="shared" si="2"/>
        <v>960</v>
      </c>
      <c r="C31" s="21" t="str">
        <f>VLOOKUP(A31, hash!A$2:B$550, 2, 0)</f>
        <v>66eb1b4237edf2b32f9fc2ec</v>
      </c>
      <c r="D31" s="23">
        <f t="shared" si="3"/>
        <v>1</v>
      </c>
      <c r="E31" s="14">
        <v>0.0</v>
      </c>
      <c r="F31" s="14">
        <v>1.0</v>
      </c>
      <c r="G31" s="14">
        <v>0.0</v>
      </c>
      <c r="H31" s="14">
        <v>0.0</v>
      </c>
      <c r="I31" s="14">
        <v>0.0</v>
      </c>
      <c r="J31" s="14">
        <v>0.0</v>
      </c>
    </row>
    <row r="32">
      <c r="A32" s="22" t="s">
        <v>36</v>
      </c>
      <c r="B32" s="21">
        <f t="shared" si="2"/>
        <v>960</v>
      </c>
      <c r="C32" s="21" t="str">
        <f>VLOOKUP(A32, hash!A$2:B$550, 2, 0)</f>
        <v>68c1c3056d9fc0b28257c5ed</v>
      </c>
      <c r="D32" s="23">
        <f t="shared" si="3"/>
        <v>1</v>
      </c>
      <c r="E32" s="14">
        <v>0.0</v>
      </c>
      <c r="F32" s="14">
        <v>1.0</v>
      </c>
      <c r="G32" s="14">
        <v>0.0</v>
      </c>
      <c r="H32" s="14">
        <v>0.0</v>
      </c>
      <c r="I32" s="14">
        <v>0.0</v>
      </c>
      <c r="J32" s="14">
        <v>0.0</v>
      </c>
    </row>
    <row r="33">
      <c r="A33" s="22" t="s">
        <v>46</v>
      </c>
      <c r="B33" s="21">
        <f t="shared" si="2"/>
        <v>960</v>
      </c>
      <c r="C33" s="21" t="str">
        <f>VLOOKUP(A33, hash!A$2:B$550, 2, 0)</f>
        <v>68c1c3396d9fc0b28257c5f6</v>
      </c>
      <c r="D33" s="23">
        <f t="shared" si="3"/>
        <v>1</v>
      </c>
      <c r="E33" s="14">
        <v>0.0</v>
      </c>
      <c r="F33" s="14">
        <v>1.0</v>
      </c>
      <c r="G33" s="14">
        <v>0.0</v>
      </c>
      <c r="H33" s="14">
        <v>0.0</v>
      </c>
      <c r="I33" s="14">
        <v>0.0</v>
      </c>
      <c r="J33" s="14">
        <v>0.0</v>
      </c>
    </row>
    <row r="34">
      <c r="A34" s="22" t="s">
        <v>55</v>
      </c>
      <c r="B34" s="21">
        <f t="shared" si="2"/>
        <v>960</v>
      </c>
      <c r="C34" s="21" t="str">
        <f>VLOOKUP(A34, hash!A$2:B$550, 2, 0)</f>
        <v>68c1c33d6d9fc0b28257c5f7</v>
      </c>
      <c r="D34" s="23">
        <f t="shared" si="3"/>
        <v>1</v>
      </c>
      <c r="E34" s="14">
        <v>0.0</v>
      </c>
      <c r="F34" s="14">
        <v>1.0</v>
      </c>
      <c r="G34" s="14">
        <v>0.0</v>
      </c>
      <c r="H34" s="14">
        <v>0.0</v>
      </c>
      <c r="I34" s="14">
        <v>0.0</v>
      </c>
      <c r="J34" s="14">
        <v>0.0</v>
      </c>
    </row>
    <row r="35">
      <c r="A35" s="22" t="s">
        <v>20</v>
      </c>
      <c r="B35" s="21">
        <f t="shared" si="2"/>
        <v>960</v>
      </c>
      <c r="C35" s="21" t="str">
        <f>VLOOKUP(A35, hash!A$2:B$550, 2, 0)</f>
        <v>68c1c4ad8d697869a6c944d9</v>
      </c>
      <c r="D35" s="23">
        <f t="shared" si="3"/>
        <v>1</v>
      </c>
      <c r="E35" s="14">
        <v>0.0</v>
      </c>
      <c r="F35" s="14">
        <v>0.0</v>
      </c>
      <c r="G35" s="14">
        <v>0.0</v>
      </c>
      <c r="H35" s="14">
        <v>1.0</v>
      </c>
      <c r="I35" s="14">
        <v>0.0</v>
      </c>
      <c r="J35" s="14">
        <v>0.0</v>
      </c>
    </row>
    <row r="36">
      <c r="A36" s="14" t="s">
        <v>47</v>
      </c>
      <c r="B36" s="21">
        <f t="shared" si="2"/>
        <v>960</v>
      </c>
      <c r="C36" s="21" t="str">
        <f>VLOOKUP(A36, hash!A$2:B$550, 2, 0)</f>
        <v>68c1cfdf6c36cb3b60206bc7</v>
      </c>
      <c r="D36" s="23">
        <f t="shared" si="3"/>
        <v>1</v>
      </c>
      <c r="E36" s="14">
        <v>0.0</v>
      </c>
      <c r="F36" s="14">
        <v>1.0</v>
      </c>
      <c r="G36" s="14">
        <v>0.0</v>
      </c>
      <c r="H36" s="14">
        <v>0.0</v>
      </c>
      <c r="I36" s="14">
        <v>0.0</v>
      </c>
      <c r="J36" s="14">
        <v>0.0</v>
      </c>
    </row>
    <row r="37">
      <c r="A37" s="14" t="s">
        <v>49</v>
      </c>
      <c r="B37" s="21">
        <f t="shared" si="2"/>
        <v>960</v>
      </c>
      <c r="C37" s="21" t="str">
        <f>VLOOKUP(A37, hash!A$2:B$550, 2, 0)</f>
        <v>68c1d003f29fd291859a49b7</v>
      </c>
      <c r="D37" s="23">
        <f t="shared" si="3"/>
        <v>1</v>
      </c>
      <c r="E37" s="14">
        <v>0.0</v>
      </c>
      <c r="F37" s="14">
        <v>1.0</v>
      </c>
      <c r="G37" s="14">
        <v>0.0</v>
      </c>
      <c r="H37" s="14">
        <v>0.0</v>
      </c>
      <c r="I37" s="14">
        <v>0.0</v>
      </c>
      <c r="J37" s="14">
        <v>0.0</v>
      </c>
    </row>
    <row r="38">
      <c r="A38" s="14" t="s">
        <v>26</v>
      </c>
      <c r="B38" s="21">
        <f t="shared" si="2"/>
        <v>960</v>
      </c>
      <c r="C38" s="21" t="str">
        <f>VLOOKUP(A38, hash!A$2:B$550, 2, 0)</f>
        <v>68c1d00f9147fa44206d10b5</v>
      </c>
      <c r="D38" s="23">
        <f t="shared" si="3"/>
        <v>1</v>
      </c>
      <c r="E38" s="14">
        <v>1.0</v>
      </c>
      <c r="F38" s="14">
        <v>0.0</v>
      </c>
      <c r="G38" s="14">
        <v>0.0</v>
      </c>
      <c r="H38" s="14">
        <v>0.0</v>
      </c>
      <c r="I38" s="14">
        <v>0.0</v>
      </c>
      <c r="J38" s="14">
        <v>0.0</v>
      </c>
    </row>
    <row r="39">
      <c r="A39" s="14" t="s">
        <v>22</v>
      </c>
      <c r="B39" s="21">
        <f t="shared" si="2"/>
        <v>960</v>
      </c>
      <c r="C39" s="21" t="str">
        <f>VLOOKUP(A39, hash!A$2:B$550, 2, 0)</f>
        <v>68c1d041f29fd291859a49c6</v>
      </c>
      <c r="D39" s="23">
        <f t="shared" si="3"/>
        <v>1</v>
      </c>
      <c r="E39" s="14">
        <v>0.0</v>
      </c>
      <c r="F39" s="14">
        <v>1.0</v>
      </c>
      <c r="G39" s="14">
        <v>0.0</v>
      </c>
      <c r="H39" s="14">
        <v>0.0</v>
      </c>
      <c r="I39" s="14">
        <v>0.0</v>
      </c>
      <c r="J39" s="14">
        <v>0.0</v>
      </c>
    </row>
    <row r="40">
      <c r="A40" s="14" t="s">
        <v>48</v>
      </c>
      <c r="B40" s="21">
        <f t="shared" si="2"/>
        <v>960</v>
      </c>
      <c r="C40" s="21" t="str">
        <f>VLOOKUP(A40, hash!A$2:B$550, 2, 0)</f>
        <v>68cb08754435a0189eb9113d</v>
      </c>
      <c r="D40" s="23">
        <f t="shared" si="3"/>
        <v>1</v>
      </c>
      <c r="E40" s="14">
        <v>0.0</v>
      </c>
      <c r="F40" s="14">
        <v>1.0</v>
      </c>
      <c r="G40" s="14">
        <v>0.0</v>
      </c>
      <c r="H40" s="14">
        <v>0.0</v>
      </c>
      <c r="I40" s="14">
        <v>0.0</v>
      </c>
      <c r="J40" s="14">
        <v>0.0</v>
      </c>
    </row>
    <row r="41">
      <c r="A41" s="14" t="s">
        <v>32</v>
      </c>
      <c r="B41" s="21">
        <f t="shared" si="2"/>
        <v>960</v>
      </c>
      <c r="C41" s="21" t="str">
        <f>VLOOKUP(A41, hash!A$2:B$550, 2, 0)</f>
        <v>68cafd04a0dcc7e1df4c54a0</v>
      </c>
      <c r="D41" s="23">
        <f t="shared" si="3"/>
        <v>1</v>
      </c>
      <c r="E41" s="14">
        <v>0.0</v>
      </c>
      <c r="F41" s="14">
        <v>1.0</v>
      </c>
      <c r="G41" s="14">
        <v>0.0</v>
      </c>
      <c r="H41" s="14">
        <v>0.0</v>
      </c>
      <c r="I41" s="14">
        <v>0.0</v>
      </c>
      <c r="J41" s="14">
        <v>0.0</v>
      </c>
    </row>
    <row r="42">
      <c r="A42" s="22" t="s">
        <v>24</v>
      </c>
      <c r="B42" s="21">
        <f t="shared" si="2"/>
        <v>0</v>
      </c>
      <c r="C42" s="21" t="str">
        <f>VLOOKUP(A42, hash!A$2:B$550, 2, 0)</f>
        <v>66e1e1277a8e6dc2aed3a645</v>
      </c>
      <c r="D42" s="23">
        <f t="shared" si="3"/>
        <v>0</v>
      </c>
      <c r="E42" s="14">
        <v>0.0</v>
      </c>
      <c r="F42" s="14">
        <v>0.0</v>
      </c>
      <c r="G42" s="14">
        <v>0.0</v>
      </c>
      <c r="H42" s="14">
        <v>0.0</v>
      </c>
      <c r="I42" s="14">
        <v>0.0</v>
      </c>
      <c r="J42" s="14">
        <v>0.0</v>
      </c>
    </row>
    <row r="43">
      <c r="A43" s="22" t="s">
        <v>56</v>
      </c>
      <c r="B43" s="21">
        <f t="shared" si="2"/>
        <v>0</v>
      </c>
      <c r="C43" s="21" t="str">
        <f>VLOOKUP(A43, hash!A$2:B$550, 2, 0)</f>
        <v>64515f804c53122bd367c958</v>
      </c>
      <c r="D43" s="23">
        <f t="shared" si="3"/>
        <v>0</v>
      </c>
      <c r="E43" s="14">
        <v>0.0</v>
      </c>
      <c r="F43" s="14">
        <v>0.0</v>
      </c>
      <c r="G43" s="14">
        <v>0.0</v>
      </c>
      <c r="H43" s="14">
        <v>0.0</v>
      </c>
      <c r="I43" s="14">
        <v>0.0</v>
      </c>
      <c r="J43" s="14">
        <v>0.0</v>
      </c>
    </row>
    <row r="44">
      <c r="A44" s="22" t="s">
        <v>88</v>
      </c>
      <c r="B44" s="21">
        <f t="shared" si="2"/>
        <v>0</v>
      </c>
      <c r="C44" s="21" t="str">
        <f>VLOOKUP(A44, hash!A$2:B$550, 2, 0)</f>
        <v>65020d65097ac3c9d063266d</v>
      </c>
      <c r="D44" s="23">
        <f t="shared" si="3"/>
        <v>0</v>
      </c>
      <c r="E44" s="14">
        <v>0.0</v>
      </c>
      <c r="F44" s="14">
        <v>0.0</v>
      </c>
      <c r="G44" s="14">
        <v>0.0</v>
      </c>
      <c r="H44" s="14">
        <v>0.0</v>
      </c>
      <c r="I44" s="14">
        <v>0.0</v>
      </c>
      <c r="J44" s="14">
        <v>0.0</v>
      </c>
    </row>
    <row r="45">
      <c r="A45" s="22" t="s">
        <v>89</v>
      </c>
      <c r="B45" s="21">
        <f t="shared" si="2"/>
        <v>0</v>
      </c>
      <c r="C45" s="21" t="str">
        <f>VLOOKUP(A45, hash!A$2:B$550, 2, 0)</f>
        <v>66e1e10cdb315cbd40043fc4</v>
      </c>
      <c r="D45" s="23">
        <f t="shared" si="3"/>
        <v>0</v>
      </c>
      <c r="E45" s="14">
        <v>0.0</v>
      </c>
      <c r="F45" s="14">
        <v>0.0</v>
      </c>
      <c r="G45" s="14">
        <v>0.0</v>
      </c>
      <c r="H45" s="14">
        <v>0.0</v>
      </c>
      <c r="I45" s="14">
        <v>0.0</v>
      </c>
      <c r="J45" s="14">
        <v>0.0</v>
      </c>
    </row>
    <row r="46">
      <c r="A46" s="22" t="s">
        <v>50</v>
      </c>
      <c r="B46" s="21">
        <f t="shared" si="2"/>
        <v>0</v>
      </c>
      <c r="C46" s="21" t="str">
        <f>VLOOKUP(A46, hash!A$2:B$550, 2, 0)</f>
        <v>66e1e1227a8e6dc2aed3a641</v>
      </c>
      <c r="D46" s="23">
        <f t="shared" si="3"/>
        <v>0</v>
      </c>
      <c r="E46" s="14">
        <v>0.0</v>
      </c>
      <c r="F46" s="14">
        <v>0.0</v>
      </c>
      <c r="G46" s="14">
        <v>0.0</v>
      </c>
      <c r="H46" s="14">
        <v>0.0</v>
      </c>
      <c r="I46" s="14">
        <v>0.0</v>
      </c>
      <c r="J46" s="14">
        <v>0.0</v>
      </c>
    </row>
    <row r="47">
      <c r="A47" s="22" t="s">
        <v>62</v>
      </c>
      <c r="B47" s="21">
        <f t="shared" si="2"/>
        <v>0</v>
      </c>
      <c r="C47" s="21" t="str">
        <f>VLOOKUP(A47, hash!A$2:B$550, 2, 0)</f>
        <v>66e1e12a45950d34f3139132</v>
      </c>
      <c r="D47" s="23">
        <f t="shared" si="3"/>
        <v>0</v>
      </c>
      <c r="E47" s="14">
        <v>0.0</v>
      </c>
      <c r="F47" s="14">
        <v>0.0</v>
      </c>
      <c r="G47" s="14">
        <v>0.0</v>
      </c>
      <c r="H47" s="14">
        <v>0.0</v>
      </c>
      <c r="I47" s="14">
        <v>0.0</v>
      </c>
      <c r="J47" s="14">
        <v>0.0</v>
      </c>
    </row>
    <row r="48">
      <c r="A48" s="22" t="s">
        <v>63</v>
      </c>
      <c r="B48" s="21">
        <f t="shared" si="2"/>
        <v>0</v>
      </c>
      <c r="C48" s="21" t="str">
        <f>VLOOKUP(A48, hash!A$2:B$550, 2, 0)</f>
        <v>66e1e12cf0db8f5922c91d89</v>
      </c>
      <c r="D48" s="23">
        <f t="shared" si="3"/>
        <v>0</v>
      </c>
      <c r="E48" s="14">
        <v>0.0</v>
      </c>
      <c r="F48" s="14">
        <v>0.0</v>
      </c>
      <c r="G48" s="14">
        <v>0.0</v>
      </c>
      <c r="H48" s="14">
        <v>0.0</v>
      </c>
      <c r="I48" s="14">
        <v>0.0</v>
      </c>
      <c r="J48" s="14">
        <v>0.0</v>
      </c>
    </row>
    <row r="49">
      <c r="A49" s="22" t="s">
        <v>41</v>
      </c>
      <c r="B49" s="21">
        <f t="shared" si="2"/>
        <v>0</v>
      </c>
      <c r="C49" s="21" t="str">
        <f>VLOOKUP(A49, hash!A$2:B$550, 2, 0)</f>
        <v>66e1e12ef0db8f5922c91d8b</v>
      </c>
      <c r="D49" s="23">
        <f t="shared" si="3"/>
        <v>0</v>
      </c>
      <c r="E49" s="14">
        <v>0.0</v>
      </c>
      <c r="F49" s="14">
        <v>0.0</v>
      </c>
      <c r="G49" s="14">
        <v>0.0</v>
      </c>
      <c r="H49" s="14">
        <v>0.0</v>
      </c>
      <c r="I49" s="14">
        <v>0.0</v>
      </c>
      <c r="J49" s="14">
        <v>0.0</v>
      </c>
    </row>
    <row r="50">
      <c r="A50" s="22" t="s">
        <v>57</v>
      </c>
      <c r="B50" s="21">
        <f t="shared" si="2"/>
        <v>0</v>
      </c>
      <c r="C50" s="21" t="str">
        <f>VLOOKUP(A50, hash!A$2:B$550, 2, 0)</f>
        <v>66e1e13168fa766abf5d11d8</v>
      </c>
      <c r="D50" s="23">
        <f t="shared" si="3"/>
        <v>0</v>
      </c>
      <c r="E50" s="14">
        <v>0.0</v>
      </c>
      <c r="F50" s="14">
        <v>0.0</v>
      </c>
      <c r="G50" s="14">
        <v>0.0</v>
      </c>
      <c r="H50" s="14">
        <v>0.0</v>
      </c>
      <c r="I50" s="14">
        <v>0.0</v>
      </c>
      <c r="J50" s="14">
        <v>0.0</v>
      </c>
    </row>
    <row r="51">
      <c r="A51" s="22" t="s">
        <v>29</v>
      </c>
      <c r="B51" s="21">
        <f t="shared" si="2"/>
        <v>0</v>
      </c>
      <c r="C51" s="21" t="str">
        <f>VLOOKUP(A51, hash!A$2:B$550, 2, 0)</f>
        <v>66e1e1659bdd593ffcd624e6</v>
      </c>
      <c r="D51" s="23">
        <f t="shared" si="3"/>
        <v>0</v>
      </c>
      <c r="E51" s="14">
        <v>0.0</v>
      </c>
      <c r="F51" s="14">
        <v>0.0</v>
      </c>
      <c r="G51" s="14">
        <v>0.0</v>
      </c>
      <c r="H51" s="14">
        <v>0.0</v>
      </c>
      <c r="I51" s="14">
        <v>0.0</v>
      </c>
      <c r="J51" s="14">
        <v>0.0</v>
      </c>
    </row>
    <row r="52">
      <c r="A52" s="22" t="s">
        <v>38</v>
      </c>
      <c r="B52" s="21">
        <f t="shared" si="2"/>
        <v>960</v>
      </c>
      <c r="C52" s="21" t="str">
        <f>VLOOKUP(A52, hash!A$2:B$550, 2, 0)</f>
        <v>66e1e295c67d6a88d4309dde</v>
      </c>
      <c r="D52" s="23">
        <f t="shared" si="3"/>
        <v>1</v>
      </c>
      <c r="E52" s="14">
        <v>0.0</v>
      </c>
      <c r="F52" s="14">
        <v>1.0</v>
      </c>
      <c r="G52" s="14">
        <v>0.0</v>
      </c>
      <c r="H52" s="14">
        <v>0.0</v>
      </c>
      <c r="I52" s="14">
        <v>0.0</v>
      </c>
      <c r="J52" s="14">
        <v>0.0</v>
      </c>
    </row>
    <row r="53">
      <c r="A53" s="22" t="s">
        <v>64</v>
      </c>
      <c r="B53" s="21">
        <f t="shared" si="2"/>
        <v>0</v>
      </c>
      <c r="C53" s="21" t="str">
        <f>VLOOKUP(A53, hash!A$2:B$550, 2, 0)</f>
        <v>66e1ed8c1129889a3e2c24aa</v>
      </c>
      <c r="D53" s="23">
        <f t="shared" si="3"/>
        <v>0</v>
      </c>
      <c r="E53" s="14">
        <v>0.0</v>
      </c>
      <c r="F53" s="14">
        <v>0.0</v>
      </c>
      <c r="G53" s="14">
        <v>0.0</v>
      </c>
      <c r="H53" s="14">
        <v>0.0</v>
      </c>
      <c r="I53" s="14">
        <v>0.0</v>
      </c>
      <c r="J53" s="14">
        <v>0.0</v>
      </c>
    </row>
    <row r="54">
      <c r="A54" s="22" t="s">
        <v>90</v>
      </c>
      <c r="B54" s="21">
        <f t="shared" si="2"/>
        <v>0</v>
      </c>
      <c r="C54" s="21" t="str">
        <f>VLOOKUP(A54, hash!A$2:B$550, 2, 0)</f>
        <v>66e1edab07067318cc1e18d3</v>
      </c>
      <c r="D54" s="23">
        <f t="shared" si="3"/>
        <v>0</v>
      </c>
      <c r="E54" s="14">
        <v>0.0</v>
      </c>
      <c r="F54" s="14">
        <v>0.0</v>
      </c>
      <c r="G54" s="14">
        <v>0.0</v>
      </c>
      <c r="H54" s="14">
        <v>0.0</v>
      </c>
      <c r="I54" s="14">
        <v>0.0</v>
      </c>
      <c r="J54" s="14">
        <v>0.0</v>
      </c>
    </row>
    <row r="55">
      <c r="A55" s="22" t="s">
        <v>65</v>
      </c>
      <c r="B55" s="21">
        <f t="shared" si="2"/>
        <v>0</v>
      </c>
      <c r="C55" s="21" t="str">
        <f>VLOOKUP(A55, hash!A$2:B$550, 2, 0)</f>
        <v>67194c61fd5423623b1a2f50</v>
      </c>
      <c r="D55" s="23">
        <f t="shared" si="3"/>
        <v>0</v>
      </c>
      <c r="E55" s="14">
        <v>0.0</v>
      </c>
      <c r="F55" s="14">
        <v>0.0</v>
      </c>
      <c r="G55" s="14">
        <v>0.0</v>
      </c>
      <c r="H55" s="14">
        <v>0.0</v>
      </c>
      <c r="I55" s="14">
        <v>0.0</v>
      </c>
      <c r="J55" s="14">
        <v>0.0</v>
      </c>
    </row>
    <row r="56">
      <c r="A56" s="22" t="s">
        <v>28</v>
      </c>
      <c r="B56" s="21">
        <f t="shared" si="2"/>
        <v>0</v>
      </c>
      <c r="C56" s="21" t="str">
        <f>VLOOKUP(A56, hash!A$2:B$550, 2, 0)</f>
        <v>672a75c30d4b802ed589275d</v>
      </c>
      <c r="D56" s="23">
        <f t="shared" si="3"/>
        <v>0</v>
      </c>
      <c r="E56" s="14">
        <v>0.0</v>
      </c>
      <c r="F56" s="14">
        <v>0.0</v>
      </c>
      <c r="G56" s="14">
        <v>0.0</v>
      </c>
      <c r="H56" s="14">
        <v>0.0</v>
      </c>
      <c r="I56" s="14">
        <v>0.0</v>
      </c>
      <c r="J56" s="14">
        <v>0.0</v>
      </c>
    </row>
    <row r="57">
      <c r="A57" s="22" t="s">
        <v>66</v>
      </c>
      <c r="B57" s="21">
        <f t="shared" si="2"/>
        <v>0</v>
      </c>
      <c r="C57" s="21" t="str">
        <f>VLOOKUP(A57, hash!A$2:B$550, 2, 0)</f>
        <v>68a8f8ba8829a7be88667a86</v>
      </c>
      <c r="D57" s="23">
        <f t="shared" si="3"/>
        <v>0</v>
      </c>
    </row>
    <row r="58">
      <c r="A58" s="22" t="s">
        <v>67</v>
      </c>
      <c r="B58" s="21">
        <f t="shared" si="2"/>
        <v>0</v>
      </c>
      <c r="C58" s="21" t="str">
        <f>VLOOKUP(A58, hash!A$2:B$550, 2, 0)</f>
        <v>68ae776645784f0c9b674d14</v>
      </c>
      <c r="D58" s="23">
        <f t="shared" si="3"/>
        <v>0</v>
      </c>
    </row>
    <row r="59">
      <c r="A59" s="22" t="s">
        <v>68</v>
      </c>
      <c r="B59" s="21">
        <f t="shared" si="2"/>
        <v>0</v>
      </c>
      <c r="C59" s="21" t="str">
        <f>VLOOKUP(A59, hash!A$2:B$550, 2, 0)</f>
        <v>68af5fb7a3c82a4914c27eae</v>
      </c>
      <c r="D59" s="23">
        <f t="shared" si="3"/>
        <v>0</v>
      </c>
      <c r="E59" s="14">
        <v>0.0</v>
      </c>
      <c r="F59" s="14">
        <v>0.0</v>
      </c>
      <c r="G59" s="14">
        <v>0.0</v>
      </c>
      <c r="H59" s="14">
        <v>0.0</v>
      </c>
      <c r="I59" s="14">
        <v>0.0</v>
      </c>
      <c r="J59" s="14">
        <v>0.0</v>
      </c>
    </row>
    <row r="60">
      <c r="A60" s="22" t="s">
        <v>69</v>
      </c>
      <c r="B60" s="21">
        <f t="shared" si="2"/>
        <v>0</v>
      </c>
      <c r="C60" s="21" t="str">
        <f>VLOOKUP(A60, hash!A$2:B$550, 2, 0)</f>
        <v>68b201d43ba156dcc33e83fd</v>
      </c>
      <c r="D60" s="23">
        <f t="shared" si="3"/>
        <v>0</v>
      </c>
      <c r="E60" s="14">
        <v>0.0</v>
      </c>
      <c r="F60" s="14">
        <v>0.0</v>
      </c>
      <c r="G60" s="14">
        <v>0.0</v>
      </c>
      <c r="H60" s="14">
        <v>0.0</v>
      </c>
      <c r="I60" s="14">
        <v>0.0</v>
      </c>
      <c r="J60" s="14">
        <v>0.0</v>
      </c>
    </row>
    <row r="61">
      <c r="A61" s="22" t="s">
        <v>70</v>
      </c>
      <c r="B61" s="21">
        <f t="shared" si="2"/>
        <v>0</v>
      </c>
      <c r="C61" s="21" t="str">
        <f>VLOOKUP(A61, hash!A$2:B$550, 2, 0)</f>
        <v>68c1c2d66d9fc0b28257c5ec</v>
      </c>
      <c r="D61" s="23">
        <f t="shared" si="3"/>
        <v>0</v>
      </c>
    </row>
    <row r="62">
      <c r="A62" s="22" t="s">
        <v>71</v>
      </c>
      <c r="B62" s="21">
        <f t="shared" si="2"/>
        <v>0</v>
      </c>
      <c r="C62" s="21" t="str">
        <f>VLOOKUP(A62, hash!A$2:B$550, 2, 0)</f>
        <v>68c1c2fb9900186967b69332</v>
      </c>
      <c r="D62" s="23">
        <f t="shared" si="3"/>
        <v>0</v>
      </c>
    </row>
    <row r="63">
      <c r="A63" s="22" t="s">
        <v>51</v>
      </c>
      <c r="B63" s="21">
        <f t="shared" si="2"/>
        <v>0</v>
      </c>
      <c r="C63" s="21" t="str">
        <f>VLOOKUP(A63, hash!A$2:B$550, 2, 0)</f>
        <v>68c1c30f6d9fc0b28257c5f0</v>
      </c>
      <c r="D63" s="23">
        <f t="shared" si="3"/>
        <v>0</v>
      </c>
      <c r="E63" s="14">
        <v>0.0</v>
      </c>
      <c r="F63" s="14">
        <v>0.0</v>
      </c>
      <c r="G63" s="14">
        <v>0.0</v>
      </c>
      <c r="H63" s="14">
        <v>0.0</v>
      </c>
      <c r="I63" s="14">
        <v>0.0</v>
      </c>
      <c r="J63" s="14">
        <v>0.0</v>
      </c>
    </row>
    <row r="64">
      <c r="A64" s="22" t="s">
        <v>87</v>
      </c>
      <c r="B64" s="21">
        <f t="shared" si="2"/>
        <v>0</v>
      </c>
      <c r="C64" s="21" t="str">
        <f>VLOOKUP(A64, hash!A$2:B$550, 2, 0)</f>
        <v>68c1c3226d9fc0b28257c5f3</v>
      </c>
      <c r="D64" s="23">
        <f t="shared" si="3"/>
        <v>0</v>
      </c>
      <c r="E64" s="14">
        <v>0.0</v>
      </c>
      <c r="F64" s="14">
        <v>0.0</v>
      </c>
      <c r="G64" s="14">
        <v>0.0</v>
      </c>
      <c r="H64" s="14">
        <v>0.0</v>
      </c>
      <c r="I64" s="14">
        <v>0.0</v>
      </c>
      <c r="J64" s="14">
        <v>0.0</v>
      </c>
    </row>
    <row r="65">
      <c r="A65" s="22" t="s">
        <v>58</v>
      </c>
      <c r="B65" s="21">
        <f t="shared" si="2"/>
        <v>0</v>
      </c>
      <c r="C65" s="21" t="str">
        <f>VLOOKUP(A65, hash!A$2:B$550, 2, 0)</f>
        <v>68c1c3336d9fc0b28257c5f4</v>
      </c>
      <c r="D65" s="23">
        <f t="shared" si="3"/>
        <v>0</v>
      </c>
      <c r="E65" s="14">
        <v>0.0</v>
      </c>
      <c r="F65" s="14">
        <v>0.0</v>
      </c>
      <c r="G65" s="14">
        <v>0.0</v>
      </c>
      <c r="H65" s="14">
        <v>0.0</v>
      </c>
      <c r="I65" s="14">
        <v>0.0</v>
      </c>
      <c r="J65" s="14">
        <v>0.0</v>
      </c>
    </row>
    <row r="66">
      <c r="A66" s="22" t="s">
        <v>72</v>
      </c>
      <c r="B66" s="21">
        <f t="shared" si="2"/>
        <v>0</v>
      </c>
      <c r="C66" s="21" t="str">
        <f>VLOOKUP(A66, hash!A$2:B$550, 2, 0)</f>
        <v>68c1c3386d9fc0b28257c5f5</v>
      </c>
      <c r="D66" s="23">
        <f t="shared" si="3"/>
        <v>0</v>
      </c>
    </row>
    <row r="67">
      <c r="A67" s="22" t="s">
        <v>52</v>
      </c>
      <c r="B67" s="21">
        <f t="shared" si="2"/>
        <v>0</v>
      </c>
      <c r="C67" s="21" t="str">
        <f>VLOOKUP(A67, hash!A$2:B$550, 2, 0)</f>
        <v>68c1c42919cae884bc3ecddf</v>
      </c>
      <c r="D67" s="23">
        <f t="shared" si="3"/>
        <v>0</v>
      </c>
      <c r="E67" s="14">
        <v>0.0</v>
      </c>
      <c r="F67" s="14">
        <v>0.0</v>
      </c>
      <c r="G67" s="14">
        <v>0.0</v>
      </c>
      <c r="H67" s="14">
        <v>0.0</v>
      </c>
      <c r="I67" s="14">
        <v>0.0</v>
      </c>
      <c r="J67" s="14">
        <v>0.0</v>
      </c>
    </row>
    <row r="68">
      <c r="A68" s="22" t="s">
        <v>73</v>
      </c>
      <c r="B68" s="21">
        <f t="shared" si="2"/>
        <v>0</v>
      </c>
      <c r="C68" s="21" t="str">
        <f>VLOOKUP(A68, hash!A$2:B$550, 2, 0)</f>
        <v>68c1c48aa70b0954910985c2</v>
      </c>
      <c r="D68" s="23">
        <f t="shared" si="3"/>
        <v>0</v>
      </c>
    </row>
    <row r="69">
      <c r="A69" s="22" t="s">
        <v>74</v>
      </c>
      <c r="B69" s="21">
        <f t="shared" si="2"/>
        <v>0</v>
      </c>
      <c r="C69" s="21" t="str">
        <f>VLOOKUP(A69, hash!A$2:B$550, 2, 0)</f>
        <v>68c1c48c8d697869a6c944d3</v>
      </c>
      <c r="D69" s="23">
        <f t="shared" si="3"/>
        <v>0</v>
      </c>
    </row>
    <row r="70">
      <c r="A70" s="14" t="s">
        <v>25</v>
      </c>
      <c r="B70" s="21">
        <f t="shared" si="2"/>
        <v>0</v>
      </c>
      <c r="C70" s="21" t="str">
        <f>VLOOKUP(A70, hash!A$2:B$550, 2, 0)</f>
        <v>68c1ceeed4e889598e7f612e</v>
      </c>
      <c r="D70" s="23">
        <f t="shared" si="3"/>
        <v>0</v>
      </c>
    </row>
    <row r="71">
      <c r="A71" s="14" t="s">
        <v>75</v>
      </c>
      <c r="B71" s="21">
        <f t="shared" si="2"/>
        <v>0</v>
      </c>
      <c r="C71" s="21" t="str">
        <f>VLOOKUP(A71, hash!A$2:B$550, 2, 0)</f>
        <v>68c1cf4ad4e889598e7f6131</v>
      </c>
      <c r="D71" s="23">
        <f t="shared" si="3"/>
        <v>0</v>
      </c>
    </row>
    <row r="72">
      <c r="A72" s="14" t="s">
        <v>76</v>
      </c>
      <c r="B72" s="21">
        <f t="shared" si="2"/>
        <v>0</v>
      </c>
      <c r="C72" s="21" t="str">
        <f>VLOOKUP(A72, hash!A$2:B$550, 2, 0)</f>
        <v>68c1cf5ed4e889598e7f6138</v>
      </c>
      <c r="D72" s="23">
        <f t="shared" si="3"/>
        <v>0</v>
      </c>
      <c r="E72" s="14">
        <v>0.0</v>
      </c>
      <c r="F72" s="14">
        <v>0.0</v>
      </c>
      <c r="G72" s="14">
        <v>0.0</v>
      </c>
      <c r="H72" s="14">
        <v>0.0</v>
      </c>
      <c r="I72" s="14">
        <v>0.0</v>
      </c>
      <c r="J72" s="14">
        <v>0.0</v>
      </c>
    </row>
    <row r="73">
      <c r="A73" s="14" t="s">
        <v>77</v>
      </c>
      <c r="B73" s="21">
        <f t="shared" si="2"/>
        <v>0</v>
      </c>
      <c r="C73" s="21" t="str">
        <f>VLOOKUP(A73, hash!A$2:B$550, 2, 0)</f>
        <v>68c1cfcf6c36cb3b60206bc4</v>
      </c>
      <c r="D73" s="23">
        <f t="shared" si="3"/>
        <v>0</v>
      </c>
      <c r="E73" s="14">
        <v>0.0</v>
      </c>
      <c r="F73" s="14">
        <v>0.0</v>
      </c>
      <c r="G73" s="14">
        <v>0.0</v>
      </c>
      <c r="H73" s="14">
        <v>0.0</v>
      </c>
      <c r="I73" s="14">
        <v>0.0</v>
      </c>
      <c r="J73" s="14">
        <v>0.0</v>
      </c>
    </row>
    <row r="74">
      <c r="A74" s="14" t="s">
        <v>78</v>
      </c>
      <c r="B74" s="21">
        <f t="shared" si="2"/>
        <v>0</v>
      </c>
      <c r="C74" s="21" t="str">
        <f>VLOOKUP(A74, hash!A$2:B$550, 2, 0)</f>
        <v>68c1cfeb6c36cb3b60206bc9</v>
      </c>
      <c r="D74" s="23">
        <f t="shared" si="3"/>
        <v>0</v>
      </c>
      <c r="E74" s="14">
        <v>0.0</v>
      </c>
      <c r="F74" s="14">
        <v>0.0</v>
      </c>
      <c r="G74" s="14">
        <v>0.0</v>
      </c>
      <c r="H74" s="14">
        <v>0.0</v>
      </c>
      <c r="I74" s="14">
        <v>0.0</v>
      </c>
      <c r="J74" s="14">
        <v>0.0</v>
      </c>
    </row>
    <row r="75">
      <c r="A75" s="14" t="s">
        <v>79</v>
      </c>
      <c r="B75" s="21">
        <f t="shared" si="2"/>
        <v>0</v>
      </c>
      <c r="C75" s="21" t="str">
        <f>VLOOKUP(A75, hash!A$2:B$550, 2, 0)</f>
        <v>68c1d0119147fa44206d10b7</v>
      </c>
      <c r="D75" s="23">
        <f t="shared" si="3"/>
        <v>0</v>
      </c>
      <c r="E75" s="14">
        <v>0.0</v>
      </c>
      <c r="F75" s="14">
        <v>0.0</v>
      </c>
      <c r="G75" s="14">
        <v>0.0</v>
      </c>
      <c r="H75" s="14">
        <v>0.0</v>
      </c>
      <c r="I75" s="14">
        <v>0.0</v>
      </c>
      <c r="J75" s="14">
        <v>0.0</v>
      </c>
    </row>
    <row r="76">
      <c r="A76" s="14" t="s">
        <v>53</v>
      </c>
      <c r="B76" s="21">
        <f t="shared" si="2"/>
        <v>0</v>
      </c>
      <c r="C76" s="21" t="str">
        <f>VLOOKUP(A76, hash!A$2:B$550, 2, 0)</f>
        <v>68c1d018f29fd291859a49b9</v>
      </c>
      <c r="D76" s="23">
        <f t="shared" si="3"/>
        <v>0</v>
      </c>
      <c r="E76" s="14">
        <v>0.0</v>
      </c>
      <c r="F76" s="14">
        <v>0.0</v>
      </c>
      <c r="G76" s="14">
        <v>0.0</v>
      </c>
      <c r="H76" s="14">
        <v>0.0</v>
      </c>
      <c r="I76" s="14">
        <v>0.0</v>
      </c>
      <c r="J76" s="14">
        <v>0.0</v>
      </c>
    </row>
    <row r="77">
      <c r="A77" s="14" t="s">
        <v>80</v>
      </c>
      <c r="B77" s="21">
        <f t="shared" si="2"/>
        <v>0</v>
      </c>
      <c r="C77" s="21" t="str">
        <f>VLOOKUP(A77, hash!A$2:B$550, 2, 0)</f>
        <v>68c1d0229147fa44206d10ba</v>
      </c>
      <c r="D77" s="23">
        <f t="shared" si="3"/>
        <v>0</v>
      </c>
      <c r="E77" s="14">
        <v>0.0</v>
      </c>
      <c r="F77" s="14">
        <v>0.0</v>
      </c>
      <c r="G77" s="14">
        <v>0.0</v>
      </c>
      <c r="H77" s="14">
        <v>0.0</v>
      </c>
      <c r="I77" s="14">
        <v>0.0</v>
      </c>
      <c r="J77" s="14">
        <v>0.0</v>
      </c>
    </row>
    <row r="78">
      <c r="A78" s="14" t="s">
        <v>81</v>
      </c>
      <c r="B78" s="21">
        <f t="shared" si="2"/>
        <v>0</v>
      </c>
      <c r="C78" s="21" t="str">
        <f>VLOOKUP(A78, hash!A$2:B$550, 2, 0)</f>
        <v>68c1d03ff29fd291859a49c2</v>
      </c>
      <c r="D78" s="23">
        <f t="shared" si="3"/>
        <v>0</v>
      </c>
      <c r="E78" s="14">
        <v>0.0</v>
      </c>
      <c r="F78" s="14">
        <v>0.0</v>
      </c>
      <c r="G78" s="14">
        <v>0.0</v>
      </c>
      <c r="H78" s="14">
        <v>0.0</v>
      </c>
      <c r="I78" s="14">
        <v>0.0</v>
      </c>
      <c r="J78" s="14">
        <v>0.0</v>
      </c>
    </row>
    <row r="79">
      <c r="A79" s="14" t="s">
        <v>82</v>
      </c>
      <c r="B79" s="21">
        <f t="shared" si="2"/>
        <v>0</v>
      </c>
      <c r="C79" s="21" t="str">
        <f>VLOOKUP(A79, hash!A$2:B$550, 2, 0)</f>
        <v>68c1d04b9147fa44206d10c4</v>
      </c>
      <c r="D79" s="23">
        <f t="shared" si="3"/>
        <v>0</v>
      </c>
    </row>
    <row r="80">
      <c r="A80" s="14" t="s">
        <v>83</v>
      </c>
      <c r="B80" s="21">
        <f t="shared" si="2"/>
        <v>0</v>
      </c>
      <c r="C80" s="21" t="str">
        <f>VLOOKUP(A80, hash!A$2:B$550, 2, 0)</f>
        <v>68c1d0669147fa44206d10ca</v>
      </c>
      <c r="D80" s="23">
        <f t="shared" si="3"/>
        <v>0</v>
      </c>
      <c r="E80" s="14">
        <v>0.0</v>
      </c>
      <c r="F80" s="14">
        <v>0.0</v>
      </c>
      <c r="G80" s="14">
        <v>0.0</v>
      </c>
      <c r="H80" s="14">
        <v>0.0</v>
      </c>
      <c r="I80" s="14">
        <v>0.0</v>
      </c>
      <c r="J80" s="14">
        <v>0.0</v>
      </c>
    </row>
    <row r="81">
      <c r="A81" s="14" t="s">
        <v>59</v>
      </c>
      <c r="B81" s="21">
        <f t="shared" si="2"/>
        <v>0</v>
      </c>
      <c r="C81" s="21" t="str">
        <f>VLOOKUP(A81, hash!A$2:B$550, 2, 0)</f>
        <v>68c1d077fd19a63c5d2c0ded</v>
      </c>
      <c r="D81" s="23">
        <f t="shared" si="3"/>
        <v>0</v>
      </c>
      <c r="E81" s="14">
        <v>0.0</v>
      </c>
      <c r="F81" s="14">
        <v>0.0</v>
      </c>
      <c r="G81" s="14">
        <v>0.0</v>
      </c>
      <c r="H81" s="14">
        <v>0.0</v>
      </c>
      <c r="I81" s="14">
        <v>0.0</v>
      </c>
      <c r="J81" s="14">
        <v>0.0</v>
      </c>
    </row>
    <row r="82">
      <c r="A82" s="14" t="s">
        <v>54</v>
      </c>
      <c r="B82" s="21">
        <f t="shared" si="2"/>
        <v>0</v>
      </c>
      <c r="C82" s="21" t="str">
        <f>VLOOKUP(A82, hash!A$2:B$550, 2, 0)</f>
        <v>68c1d07a9147fa44206d10d0</v>
      </c>
      <c r="D82" s="23">
        <f t="shared" si="3"/>
        <v>0</v>
      </c>
      <c r="E82" s="14">
        <v>0.0</v>
      </c>
      <c r="F82" s="14">
        <v>0.0</v>
      </c>
      <c r="G82" s="14">
        <v>0.0</v>
      </c>
      <c r="H82" s="14">
        <v>0.0</v>
      </c>
      <c r="I82" s="14">
        <v>0.0</v>
      </c>
      <c r="J82" s="14">
        <v>0.0</v>
      </c>
    </row>
    <row r="83">
      <c r="A83" s="14" t="s">
        <v>91</v>
      </c>
      <c r="B83" s="21">
        <f t="shared" si="2"/>
        <v>0</v>
      </c>
      <c r="C83" s="21" t="str">
        <f>VLOOKUP(A83, hash!A$2:B$550, 2, 0)</f>
        <v>68cafd3923cbd9382f9526f2</v>
      </c>
      <c r="D83" s="23">
        <f t="shared" si="3"/>
        <v>0</v>
      </c>
    </row>
    <row r="84">
      <c r="A84" s="26" t="s">
        <v>84</v>
      </c>
      <c r="B84" s="21">
        <f t="shared" si="2"/>
        <v>0</v>
      </c>
      <c r="C84" s="21" t="str">
        <f>VLOOKUP(A84, hash!A$2:B$550, 2, 0)</f>
        <v>68cb08764435a0189eb9113e</v>
      </c>
      <c r="D84" s="23">
        <f t="shared" si="3"/>
        <v>0</v>
      </c>
      <c r="E84" s="14">
        <v>0.0</v>
      </c>
      <c r="F84" s="14">
        <v>0.0</v>
      </c>
      <c r="G84" s="14">
        <v>0.0</v>
      </c>
      <c r="H84" s="14">
        <v>0.0</v>
      </c>
      <c r="I84" s="14">
        <v>0.0</v>
      </c>
      <c r="J84" s="14">
        <v>0.0</v>
      </c>
    </row>
    <row r="85">
      <c r="A85" s="14" t="s">
        <v>85</v>
      </c>
      <c r="B85" s="21">
        <f t="shared" si="2"/>
        <v>0</v>
      </c>
      <c r="C85" s="21" t="str">
        <f>VLOOKUP(A85, hash!A$2:B$550, 2, 0)</f>
        <v>68cc9c2aaa4d4aca25ce4004</v>
      </c>
      <c r="D85" s="23">
        <f t="shared" si="3"/>
        <v>0</v>
      </c>
    </row>
    <row r="86">
      <c r="A86" s="14" t="s">
        <v>544</v>
      </c>
      <c r="B86" s="21">
        <f t="shared" si="2"/>
        <v>0</v>
      </c>
      <c r="C86" s="21" t="str">
        <f>VLOOKUP(A86, hash!A$2:B$550, 2, 0)</f>
        <v>#N/A</v>
      </c>
      <c r="D86" s="23">
        <f t="shared" si="3"/>
        <v>0</v>
      </c>
    </row>
    <row r="87">
      <c r="A87" s="14" t="s">
        <v>422</v>
      </c>
      <c r="B87" s="21">
        <f t="shared" si="2"/>
        <v>0</v>
      </c>
      <c r="C87" s="21" t="str">
        <f>VLOOKUP(A87, hash!A$2:B$550, 2, 0)</f>
        <v>68c1c30a6d9fc0b28257c5ef</v>
      </c>
      <c r="D87" s="23">
        <f t="shared" si="3"/>
        <v>0</v>
      </c>
      <c r="E87" s="14">
        <v>0.0</v>
      </c>
      <c r="F87" s="14">
        <v>0.0</v>
      </c>
      <c r="G87" s="14">
        <v>0.0</v>
      </c>
      <c r="H87" s="14">
        <v>0.0</v>
      </c>
      <c r="I87" s="14">
        <v>0.0</v>
      </c>
      <c r="J87" s="14">
        <v>0.0</v>
      </c>
    </row>
    <row r="88">
      <c r="A88" s="14" t="s">
        <v>515</v>
      </c>
      <c r="B88" s="21">
        <f t="shared" si="2"/>
        <v>0</v>
      </c>
      <c r="C88" s="21" t="str">
        <f>VLOOKUP(A88, hash!A$2:B$550, 2, 0)</f>
        <v>68c1ce28f8ef417ee79a4d6d</v>
      </c>
      <c r="D88" s="23">
        <f t="shared" si="3"/>
        <v>0</v>
      </c>
      <c r="E88" s="14">
        <v>0.0</v>
      </c>
      <c r="F88" s="14">
        <v>0.0</v>
      </c>
      <c r="G88" s="14">
        <v>0.0</v>
      </c>
      <c r="H88" s="14">
        <v>0.0</v>
      </c>
      <c r="I88" s="14">
        <v>0.0</v>
      </c>
      <c r="J88" s="14">
        <v>0.0</v>
      </c>
    </row>
    <row r="89">
      <c r="A89" s="14" t="s">
        <v>412</v>
      </c>
      <c r="B89" s="21">
        <f t="shared" si="2"/>
        <v>0</v>
      </c>
      <c r="C89" s="21" t="str">
        <f>VLOOKUP(A89, hash!A$2:B$550, 2, 0)</f>
        <v>68ad13846a530bc7872559c3</v>
      </c>
      <c r="D89" s="23">
        <f t="shared" si="3"/>
        <v>0</v>
      </c>
      <c r="E89" s="14">
        <v>0.0</v>
      </c>
      <c r="F89" s="14">
        <v>0.0</v>
      </c>
      <c r="G89" s="14">
        <v>0.0</v>
      </c>
      <c r="H89" s="14">
        <v>0.0</v>
      </c>
      <c r="I89" s="14">
        <v>0.0</v>
      </c>
      <c r="J89" s="14">
        <v>0.0</v>
      </c>
    </row>
    <row r="90">
      <c r="B90" s="21">
        <f t="shared" si="2"/>
        <v>0</v>
      </c>
      <c r="C90" s="21" t="str">
        <f>VLOOKUP(A90, hash!A$2:B$500, 2, 0)</f>
        <v>#N/A</v>
      </c>
      <c r="D90" s="23">
        <f t="shared" si="3"/>
        <v>0</v>
      </c>
    </row>
    <row r="91">
      <c r="B91" s="21">
        <f t="shared" si="2"/>
        <v>0</v>
      </c>
      <c r="C91" s="21" t="str">
        <f>VLOOKUP(A91, hash!A$2:B$500, 2, 0)</f>
        <v>#N/A</v>
      </c>
      <c r="D91" s="23">
        <f t="shared" si="3"/>
        <v>0</v>
      </c>
    </row>
    <row r="92">
      <c r="B92" s="21">
        <f t="shared" si="2"/>
        <v>0</v>
      </c>
      <c r="C92" s="21" t="str">
        <f>VLOOKUP(A92, hash!A$2:B$500, 2, 0)</f>
        <v>#N/A</v>
      </c>
      <c r="D92" s="23">
        <f t="shared" si="3"/>
        <v>0</v>
      </c>
    </row>
    <row r="93">
      <c r="B93" s="21">
        <f t="shared" si="2"/>
        <v>0</v>
      </c>
      <c r="C93" s="21" t="str">
        <f>VLOOKUP(A93, hash!A$2:B$500, 2, 0)</f>
        <v>#N/A</v>
      </c>
      <c r="D93" s="23">
        <f t="shared" si="3"/>
        <v>0</v>
      </c>
    </row>
    <row r="94">
      <c r="B94" s="21">
        <f t="shared" si="2"/>
        <v>0</v>
      </c>
      <c r="C94" s="21" t="str">
        <f>VLOOKUP(A94, hash!A$2:B$500, 2, 0)</f>
        <v>#N/A</v>
      </c>
      <c r="D94" s="23">
        <f t="shared" si="3"/>
        <v>0</v>
      </c>
    </row>
    <row r="95">
      <c r="B95" s="21">
        <f t="shared" si="2"/>
        <v>0</v>
      </c>
      <c r="C95" s="21" t="str">
        <f>VLOOKUP(A95, hash!A$2:B$500, 2, 0)</f>
        <v>#N/A</v>
      </c>
      <c r="D95" s="23">
        <f t="shared" si="3"/>
        <v>0</v>
      </c>
    </row>
    <row r="96">
      <c r="B96" s="21">
        <f t="shared" si="2"/>
        <v>0</v>
      </c>
      <c r="C96" s="21" t="str">
        <f>VLOOKUP(A96, hash!A$2:B$500, 2, 0)</f>
        <v>#N/A</v>
      </c>
      <c r="D96" s="23">
        <f t="shared" si="3"/>
        <v>0</v>
      </c>
    </row>
    <row r="97">
      <c r="B97" s="21">
        <f t="shared" si="2"/>
        <v>0</v>
      </c>
      <c r="C97" s="21" t="str">
        <f>VLOOKUP(A97, hash!A$2:B$500, 2, 0)</f>
        <v>#N/A</v>
      </c>
      <c r="D97" s="23">
        <f t="shared" si="3"/>
        <v>0</v>
      </c>
    </row>
    <row r="98">
      <c r="B98" s="21">
        <f t="shared" si="2"/>
        <v>0</v>
      </c>
      <c r="C98" s="21" t="str">
        <f>VLOOKUP(A98, hash!A$2:B$500, 2, 0)</f>
        <v>#N/A</v>
      </c>
      <c r="D98" s="23">
        <f t="shared" si="3"/>
        <v>0</v>
      </c>
    </row>
    <row r="99">
      <c r="B99" s="21">
        <f t="shared" si="2"/>
        <v>0</v>
      </c>
      <c r="C99" s="21" t="str">
        <f>VLOOKUP(A99, hash!A$2:B$500, 2, 0)</f>
        <v>#N/A</v>
      </c>
      <c r="D99" s="23">
        <f t="shared" si="3"/>
        <v>0</v>
      </c>
    </row>
    <row r="100">
      <c r="B100" s="21">
        <f t="shared" si="2"/>
        <v>0</v>
      </c>
      <c r="C100" s="21" t="str">
        <f>VLOOKUP(A100, hash!A$2:B$500, 2, 0)</f>
        <v>#N/A</v>
      </c>
      <c r="D100" s="23">
        <f t="shared" si="3"/>
        <v>0</v>
      </c>
    </row>
    <row r="101">
      <c r="B101" s="21">
        <f t="shared" si="2"/>
        <v>0</v>
      </c>
      <c r="C101" s="21" t="str">
        <f>VLOOKUP(A101, hash!A$2:B$500, 2, 0)</f>
        <v>#N/A</v>
      </c>
      <c r="D101" s="23">
        <f t="shared" si="3"/>
        <v>0</v>
      </c>
    </row>
    <row r="102">
      <c r="B102" s="21">
        <f t="shared" si="2"/>
        <v>0</v>
      </c>
      <c r="C102" s="21" t="str">
        <f>VLOOKUP(A102, hash!A$2:B$500, 2, 0)</f>
        <v>#N/A</v>
      </c>
      <c r="D102" s="23">
        <f t="shared" si="3"/>
        <v>0</v>
      </c>
    </row>
    <row r="103">
      <c r="D103" s="23"/>
    </row>
    <row r="104">
      <c r="D104" s="23"/>
    </row>
    <row r="105">
      <c r="D105" s="23"/>
    </row>
    <row r="106">
      <c r="D106" s="23"/>
    </row>
    <row r="107">
      <c r="D107" s="23"/>
    </row>
    <row r="108">
      <c r="D108" s="23"/>
    </row>
    <row r="109">
      <c r="D109" s="23"/>
    </row>
    <row r="110">
      <c r="D110" s="23"/>
    </row>
    <row r="111">
      <c r="D111" s="23"/>
    </row>
    <row r="112">
      <c r="D112" s="23"/>
    </row>
    <row r="113">
      <c r="D113" s="23"/>
    </row>
    <row r="114">
      <c r="D114" s="23"/>
    </row>
    <row r="115">
      <c r="D115" s="23"/>
    </row>
    <row r="116">
      <c r="D116" s="23"/>
    </row>
    <row r="117">
      <c r="D117" s="23"/>
    </row>
    <row r="118">
      <c r="D118" s="23"/>
    </row>
    <row r="119">
      <c r="D119" s="23"/>
    </row>
    <row r="120">
      <c r="D120" s="23"/>
    </row>
    <row r="121">
      <c r="D121" s="23"/>
    </row>
    <row r="122">
      <c r="D122" s="23"/>
    </row>
    <row r="123">
      <c r="D123" s="23"/>
    </row>
    <row r="124">
      <c r="D124" s="23"/>
    </row>
    <row r="125">
      <c r="D125" s="23"/>
    </row>
    <row r="126">
      <c r="D126" s="23"/>
    </row>
    <row r="127">
      <c r="D127" s="23"/>
    </row>
    <row r="128">
      <c r="D128" s="23"/>
    </row>
    <row r="129">
      <c r="D129" s="23"/>
    </row>
    <row r="130">
      <c r="D130" s="23"/>
    </row>
    <row r="131">
      <c r="D131" s="23"/>
    </row>
    <row r="132">
      <c r="D132" s="23"/>
    </row>
    <row r="133">
      <c r="D133" s="23"/>
    </row>
    <row r="134">
      <c r="D134" s="23"/>
    </row>
    <row r="135">
      <c r="D135" s="23"/>
    </row>
    <row r="136">
      <c r="D136" s="23"/>
    </row>
    <row r="137">
      <c r="D137" s="23"/>
    </row>
    <row r="138">
      <c r="D138" s="23"/>
    </row>
    <row r="139">
      <c r="D139" s="23"/>
    </row>
    <row r="140">
      <c r="D140" s="23"/>
    </row>
    <row r="141">
      <c r="D141" s="23"/>
    </row>
    <row r="142">
      <c r="D142" s="23"/>
    </row>
    <row r="143">
      <c r="D143" s="23"/>
    </row>
    <row r="144">
      <c r="D144" s="23"/>
    </row>
    <row r="145">
      <c r="D145" s="23"/>
    </row>
    <row r="146">
      <c r="D146" s="23"/>
    </row>
    <row r="147">
      <c r="D147" s="23"/>
    </row>
    <row r="148">
      <c r="D148" s="23"/>
    </row>
    <row r="149">
      <c r="D149" s="23"/>
    </row>
    <row r="150">
      <c r="D150" s="23"/>
    </row>
    <row r="151">
      <c r="D151" s="23"/>
    </row>
    <row r="152">
      <c r="D152" s="23"/>
    </row>
    <row r="153">
      <c r="D153" s="23"/>
    </row>
    <row r="154">
      <c r="D154" s="23"/>
    </row>
    <row r="155">
      <c r="D155" s="23"/>
    </row>
    <row r="156">
      <c r="D156" s="23"/>
    </row>
    <row r="157">
      <c r="D157" s="23"/>
    </row>
    <row r="158">
      <c r="D158" s="23"/>
    </row>
    <row r="159">
      <c r="D159" s="23"/>
    </row>
    <row r="160">
      <c r="D160" s="23"/>
    </row>
    <row r="161">
      <c r="D161" s="23"/>
    </row>
    <row r="162">
      <c r="D162" s="23"/>
    </row>
    <row r="163">
      <c r="D163" s="23"/>
    </row>
    <row r="164">
      <c r="D164" s="23"/>
    </row>
    <row r="165">
      <c r="D165" s="23"/>
    </row>
    <row r="166">
      <c r="D166" s="23"/>
    </row>
    <row r="167">
      <c r="D167" s="23"/>
    </row>
    <row r="168">
      <c r="D168" s="23"/>
    </row>
    <row r="169">
      <c r="D169" s="23"/>
    </row>
    <row r="170">
      <c r="D170" s="23"/>
    </row>
    <row r="171">
      <c r="D171" s="23"/>
    </row>
    <row r="172">
      <c r="D172" s="23"/>
    </row>
    <row r="173">
      <c r="D173" s="23"/>
    </row>
    <row r="174">
      <c r="D174" s="23"/>
    </row>
    <row r="175">
      <c r="D175" s="23"/>
    </row>
    <row r="176">
      <c r="D176" s="23"/>
    </row>
    <row r="177">
      <c r="D177" s="23"/>
    </row>
    <row r="178">
      <c r="D178" s="23"/>
    </row>
    <row r="179">
      <c r="D179" s="23"/>
    </row>
    <row r="180">
      <c r="D180" s="23"/>
    </row>
    <row r="181">
      <c r="D181" s="23"/>
    </row>
    <row r="182">
      <c r="D182" s="23"/>
    </row>
    <row r="183">
      <c r="D183" s="23"/>
    </row>
    <row r="184">
      <c r="D184" s="23"/>
    </row>
    <row r="185">
      <c r="D185" s="23"/>
    </row>
    <row r="186">
      <c r="D186" s="23"/>
    </row>
    <row r="187">
      <c r="D187" s="23"/>
    </row>
    <row r="188">
      <c r="D188" s="23"/>
    </row>
    <row r="189">
      <c r="D189" s="23"/>
    </row>
    <row r="190">
      <c r="D190" s="23"/>
    </row>
    <row r="191">
      <c r="D191" s="23"/>
    </row>
    <row r="192">
      <c r="D192" s="23"/>
    </row>
    <row r="193">
      <c r="D193" s="23"/>
    </row>
    <row r="194">
      <c r="D194" s="23"/>
    </row>
    <row r="195">
      <c r="D195" s="23"/>
    </row>
    <row r="196">
      <c r="D196" s="23"/>
    </row>
    <row r="197">
      <c r="D197" s="23"/>
    </row>
    <row r="198">
      <c r="D198" s="23"/>
    </row>
    <row r="199">
      <c r="D199" s="23"/>
    </row>
    <row r="200">
      <c r="D200" s="23"/>
    </row>
    <row r="201">
      <c r="D201" s="23"/>
    </row>
    <row r="202">
      <c r="D202" s="23"/>
    </row>
    <row r="203">
      <c r="D203" s="23"/>
    </row>
    <row r="204">
      <c r="D204" s="23"/>
    </row>
    <row r="205">
      <c r="D205" s="23"/>
    </row>
    <row r="206">
      <c r="D206" s="23"/>
    </row>
    <row r="207">
      <c r="D207" s="23"/>
    </row>
    <row r="208">
      <c r="D208" s="23"/>
    </row>
    <row r="209">
      <c r="D209" s="23"/>
    </row>
    <row r="210">
      <c r="D210" s="23"/>
    </row>
    <row r="211">
      <c r="D211" s="23"/>
    </row>
    <row r="212">
      <c r="D212" s="23"/>
    </row>
    <row r="213">
      <c r="D213" s="23"/>
    </row>
    <row r="214">
      <c r="D214" s="23"/>
    </row>
    <row r="215">
      <c r="D215" s="23"/>
    </row>
    <row r="216">
      <c r="D216" s="23"/>
    </row>
    <row r="217">
      <c r="D217" s="23"/>
    </row>
    <row r="218">
      <c r="D218" s="23"/>
    </row>
    <row r="219">
      <c r="D219" s="23"/>
    </row>
    <row r="220">
      <c r="D220" s="23"/>
    </row>
    <row r="221">
      <c r="D221" s="23"/>
    </row>
    <row r="222">
      <c r="D222" s="23"/>
    </row>
    <row r="223">
      <c r="D223" s="23"/>
    </row>
    <row r="224">
      <c r="D224" s="23"/>
    </row>
    <row r="225">
      <c r="D225" s="23"/>
    </row>
    <row r="226">
      <c r="D226" s="23"/>
    </row>
    <row r="227">
      <c r="D227" s="23"/>
    </row>
    <row r="228">
      <c r="D228" s="23"/>
    </row>
    <row r="229">
      <c r="D229" s="23"/>
    </row>
    <row r="230">
      <c r="D230" s="23"/>
    </row>
    <row r="231">
      <c r="D231" s="23"/>
    </row>
    <row r="232">
      <c r="D232" s="23"/>
    </row>
    <row r="233">
      <c r="D233" s="23"/>
    </row>
    <row r="234">
      <c r="D234" s="23"/>
    </row>
    <row r="235">
      <c r="D235" s="23"/>
    </row>
    <row r="236">
      <c r="D236" s="23"/>
    </row>
    <row r="237">
      <c r="D237" s="23"/>
    </row>
    <row r="238">
      <c r="D238" s="23"/>
    </row>
    <row r="239">
      <c r="D239" s="23"/>
    </row>
    <row r="240">
      <c r="D240" s="23"/>
    </row>
    <row r="241">
      <c r="D241" s="23"/>
    </row>
    <row r="242">
      <c r="D242" s="23"/>
    </row>
    <row r="243">
      <c r="D243" s="23"/>
    </row>
    <row r="244">
      <c r="D244" s="23"/>
    </row>
    <row r="245">
      <c r="D245" s="23"/>
    </row>
    <row r="246">
      <c r="D246" s="23"/>
    </row>
    <row r="247">
      <c r="D247" s="23"/>
    </row>
    <row r="248">
      <c r="D248" s="23"/>
    </row>
    <row r="249">
      <c r="D249" s="23"/>
    </row>
    <row r="250">
      <c r="D250" s="23"/>
    </row>
    <row r="251">
      <c r="D251" s="23"/>
    </row>
    <row r="252">
      <c r="D252" s="23"/>
    </row>
    <row r="253">
      <c r="D253" s="23"/>
    </row>
    <row r="254">
      <c r="D254" s="23"/>
    </row>
    <row r="255">
      <c r="D255" s="23"/>
    </row>
    <row r="256">
      <c r="D256" s="23"/>
    </row>
    <row r="257">
      <c r="D257" s="23"/>
    </row>
    <row r="258">
      <c r="D258" s="23"/>
    </row>
    <row r="259">
      <c r="D259" s="23"/>
    </row>
    <row r="260">
      <c r="D260" s="23"/>
    </row>
    <row r="261">
      <c r="D261" s="23"/>
    </row>
    <row r="262">
      <c r="D262" s="23"/>
    </row>
    <row r="263">
      <c r="D263" s="23"/>
    </row>
    <row r="264">
      <c r="D264" s="23"/>
    </row>
    <row r="265">
      <c r="D265" s="23"/>
    </row>
    <row r="266">
      <c r="D266" s="23"/>
    </row>
    <row r="267">
      <c r="D267" s="23"/>
    </row>
    <row r="268">
      <c r="D268" s="23"/>
    </row>
    <row r="269">
      <c r="D269" s="23"/>
    </row>
    <row r="270">
      <c r="D270" s="23"/>
    </row>
    <row r="271">
      <c r="D271" s="23"/>
    </row>
    <row r="272">
      <c r="D272" s="23"/>
    </row>
    <row r="273">
      <c r="D273" s="23"/>
    </row>
    <row r="274">
      <c r="D274" s="23"/>
    </row>
    <row r="275">
      <c r="D275" s="23"/>
    </row>
    <row r="276">
      <c r="D276" s="23"/>
    </row>
    <row r="277">
      <c r="D277" s="23"/>
    </row>
    <row r="278">
      <c r="D278" s="23"/>
    </row>
    <row r="279">
      <c r="D279" s="23"/>
    </row>
    <row r="280">
      <c r="D280" s="23"/>
    </row>
    <row r="281">
      <c r="D281" s="23"/>
    </row>
    <row r="282">
      <c r="D282" s="23"/>
    </row>
    <row r="283">
      <c r="D283" s="23"/>
    </row>
    <row r="284">
      <c r="D284" s="23"/>
    </row>
    <row r="285">
      <c r="D285" s="23"/>
    </row>
    <row r="286">
      <c r="D286" s="23"/>
    </row>
    <row r="287">
      <c r="D287" s="23"/>
    </row>
    <row r="288">
      <c r="D288" s="23"/>
    </row>
    <row r="289">
      <c r="D289" s="23"/>
    </row>
    <row r="290">
      <c r="D290" s="23"/>
    </row>
    <row r="291">
      <c r="D291" s="23"/>
    </row>
    <row r="292">
      <c r="D292" s="23"/>
    </row>
    <row r="293">
      <c r="D293" s="23"/>
    </row>
    <row r="294">
      <c r="D294" s="23"/>
    </row>
    <row r="295">
      <c r="D295" s="23"/>
    </row>
    <row r="296">
      <c r="D296" s="23"/>
    </row>
    <row r="297">
      <c r="D297" s="23"/>
    </row>
    <row r="298">
      <c r="D298" s="23"/>
    </row>
    <row r="299">
      <c r="D299" s="23"/>
    </row>
    <row r="300">
      <c r="D300" s="23"/>
    </row>
    <row r="301">
      <c r="D301" s="23"/>
    </row>
    <row r="302">
      <c r="D302" s="23"/>
    </row>
    <row r="303">
      <c r="D303" s="23"/>
    </row>
    <row r="304">
      <c r="D304" s="23"/>
    </row>
    <row r="305">
      <c r="D305" s="23"/>
    </row>
    <row r="306">
      <c r="D306" s="23"/>
    </row>
    <row r="307">
      <c r="D307" s="23"/>
    </row>
    <row r="308">
      <c r="D308" s="23"/>
    </row>
    <row r="309">
      <c r="D309" s="23"/>
    </row>
    <row r="310">
      <c r="D310" s="23"/>
    </row>
    <row r="311">
      <c r="D311" s="23"/>
    </row>
    <row r="312">
      <c r="D312" s="23"/>
    </row>
    <row r="313">
      <c r="D313" s="23"/>
    </row>
    <row r="314">
      <c r="D314" s="23"/>
    </row>
    <row r="315">
      <c r="D315" s="23"/>
    </row>
    <row r="316">
      <c r="D316" s="23"/>
    </row>
    <row r="317">
      <c r="D317" s="23"/>
    </row>
    <row r="318">
      <c r="D318" s="23"/>
    </row>
    <row r="319">
      <c r="D319" s="23"/>
    </row>
    <row r="320">
      <c r="D320" s="23"/>
    </row>
    <row r="321">
      <c r="D321" s="23"/>
    </row>
    <row r="322">
      <c r="D322" s="23"/>
    </row>
    <row r="323">
      <c r="D323" s="23"/>
    </row>
    <row r="324">
      <c r="D324" s="23"/>
    </row>
    <row r="325">
      <c r="D325" s="23"/>
    </row>
    <row r="326">
      <c r="D326" s="23"/>
    </row>
    <row r="327">
      <c r="D327" s="23"/>
    </row>
    <row r="328">
      <c r="D328" s="23"/>
    </row>
    <row r="329">
      <c r="D329" s="23"/>
    </row>
    <row r="330">
      <c r="D330" s="23"/>
    </row>
    <row r="331">
      <c r="D331" s="23"/>
    </row>
    <row r="332">
      <c r="D332" s="23"/>
    </row>
    <row r="333">
      <c r="D333" s="23"/>
    </row>
    <row r="334">
      <c r="D334" s="23"/>
    </row>
    <row r="335">
      <c r="D335" s="23"/>
    </row>
    <row r="336">
      <c r="D336" s="23"/>
    </row>
    <row r="337">
      <c r="D337" s="23"/>
    </row>
    <row r="338">
      <c r="D338" s="23"/>
    </row>
    <row r="339">
      <c r="D339" s="23"/>
    </row>
    <row r="340">
      <c r="D340" s="23"/>
    </row>
    <row r="341">
      <c r="D341" s="23"/>
    </row>
    <row r="342">
      <c r="D342" s="23"/>
    </row>
    <row r="343">
      <c r="D343" s="23"/>
    </row>
    <row r="344">
      <c r="D344" s="23"/>
    </row>
    <row r="345">
      <c r="D345" s="23"/>
    </row>
    <row r="346">
      <c r="D346" s="23"/>
    </row>
    <row r="347">
      <c r="D347" s="23"/>
    </row>
    <row r="348">
      <c r="D348" s="23"/>
    </row>
    <row r="349">
      <c r="D349" s="23"/>
    </row>
    <row r="350">
      <c r="D350" s="23"/>
    </row>
    <row r="351">
      <c r="D351" s="23"/>
    </row>
    <row r="352">
      <c r="D352" s="23"/>
    </row>
    <row r="353">
      <c r="D353" s="23"/>
    </row>
    <row r="354">
      <c r="D354" s="23"/>
    </row>
    <row r="355">
      <c r="D355" s="23"/>
    </row>
    <row r="356">
      <c r="D356" s="23"/>
    </row>
    <row r="357">
      <c r="D357" s="23"/>
    </row>
    <row r="358">
      <c r="D358" s="23"/>
    </row>
    <row r="359">
      <c r="D359" s="23"/>
    </row>
    <row r="360">
      <c r="D360" s="23"/>
    </row>
    <row r="361">
      <c r="D361" s="23"/>
    </row>
    <row r="362">
      <c r="D362" s="23"/>
    </row>
    <row r="363">
      <c r="D363" s="23"/>
    </row>
    <row r="364">
      <c r="D364" s="23"/>
    </row>
    <row r="365">
      <c r="D365" s="23"/>
    </row>
    <row r="366">
      <c r="D366" s="23"/>
    </row>
    <row r="367">
      <c r="D367" s="23"/>
    </row>
    <row r="368">
      <c r="D368" s="23"/>
    </row>
    <row r="369">
      <c r="D369" s="23"/>
    </row>
    <row r="370">
      <c r="D370" s="23"/>
    </row>
    <row r="371">
      <c r="D371" s="23"/>
    </row>
    <row r="372">
      <c r="D372" s="23"/>
    </row>
    <row r="373">
      <c r="D373" s="23"/>
    </row>
    <row r="374">
      <c r="D374" s="23"/>
    </row>
    <row r="375">
      <c r="D375" s="23"/>
    </row>
    <row r="376">
      <c r="D376" s="23"/>
    </row>
    <row r="377">
      <c r="D377" s="23"/>
    </row>
    <row r="378">
      <c r="D378" s="23"/>
    </row>
    <row r="379">
      <c r="D379" s="23"/>
    </row>
    <row r="380">
      <c r="D380" s="23"/>
    </row>
    <row r="381">
      <c r="D381" s="23"/>
    </row>
    <row r="382">
      <c r="D382" s="23"/>
    </row>
    <row r="383">
      <c r="D383" s="23"/>
    </row>
    <row r="384">
      <c r="D384" s="23"/>
    </row>
    <row r="385">
      <c r="D385" s="23"/>
    </row>
    <row r="386">
      <c r="D386" s="23"/>
    </row>
    <row r="387">
      <c r="D387" s="23"/>
    </row>
    <row r="388">
      <c r="D388" s="23"/>
    </row>
    <row r="389">
      <c r="D389" s="23"/>
    </row>
    <row r="390">
      <c r="D390" s="23"/>
    </row>
    <row r="391">
      <c r="D391" s="23"/>
    </row>
    <row r="392">
      <c r="D392" s="23"/>
    </row>
    <row r="393">
      <c r="D393" s="23"/>
    </row>
    <row r="394">
      <c r="D394" s="23"/>
    </row>
    <row r="395">
      <c r="D395" s="23"/>
    </row>
    <row r="396">
      <c r="D396" s="23"/>
    </row>
    <row r="397">
      <c r="D397" s="23"/>
    </row>
    <row r="398">
      <c r="D398" s="23"/>
    </row>
    <row r="399">
      <c r="D399" s="23"/>
    </row>
    <row r="400">
      <c r="D400" s="23"/>
    </row>
    <row r="401">
      <c r="D401" s="23"/>
    </row>
    <row r="402">
      <c r="D402" s="23"/>
    </row>
    <row r="403">
      <c r="D403" s="23"/>
    </row>
    <row r="404">
      <c r="D404" s="23"/>
    </row>
    <row r="405">
      <c r="D405" s="23"/>
    </row>
    <row r="406">
      <c r="D406" s="23"/>
    </row>
    <row r="407">
      <c r="D407" s="23"/>
    </row>
    <row r="408">
      <c r="D408" s="23"/>
    </row>
    <row r="409">
      <c r="D409" s="23"/>
    </row>
    <row r="410">
      <c r="D410" s="23"/>
    </row>
    <row r="411">
      <c r="D411" s="23"/>
    </row>
    <row r="412">
      <c r="D412" s="23"/>
    </row>
    <row r="413">
      <c r="D413" s="23"/>
    </row>
    <row r="414">
      <c r="D414" s="23"/>
    </row>
    <row r="415">
      <c r="D415" s="23"/>
    </row>
    <row r="416">
      <c r="D416" s="23"/>
    </row>
    <row r="417">
      <c r="D417" s="23"/>
    </row>
    <row r="418">
      <c r="D418" s="23"/>
    </row>
    <row r="419">
      <c r="D419" s="23"/>
    </row>
    <row r="420">
      <c r="D420" s="23"/>
    </row>
    <row r="421">
      <c r="D421" s="23"/>
    </row>
    <row r="422">
      <c r="D422" s="23"/>
    </row>
    <row r="423">
      <c r="D423" s="23"/>
    </row>
    <row r="424">
      <c r="D424" s="23"/>
    </row>
    <row r="425">
      <c r="D425" s="23"/>
    </row>
    <row r="426">
      <c r="D426" s="23"/>
    </row>
    <row r="427">
      <c r="D427" s="23"/>
    </row>
    <row r="428">
      <c r="D428" s="23"/>
    </row>
    <row r="429">
      <c r="D429" s="23"/>
    </row>
    <row r="430">
      <c r="D430" s="23"/>
    </row>
    <row r="431">
      <c r="D431" s="23"/>
    </row>
    <row r="432">
      <c r="D432" s="23"/>
    </row>
    <row r="433">
      <c r="D433" s="23"/>
    </row>
    <row r="434">
      <c r="D434" s="23"/>
    </row>
    <row r="435">
      <c r="D435" s="23"/>
    </row>
    <row r="436">
      <c r="D436" s="23"/>
    </row>
    <row r="437">
      <c r="D437" s="23"/>
    </row>
    <row r="438">
      <c r="D438" s="23"/>
    </row>
    <row r="439">
      <c r="D439" s="23"/>
    </row>
    <row r="440">
      <c r="D440" s="23"/>
    </row>
    <row r="441">
      <c r="D441" s="23"/>
    </row>
    <row r="442">
      <c r="D442" s="23"/>
    </row>
    <row r="443">
      <c r="D443" s="23"/>
    </row>
    <row r="444">
      <c r="D444" s="23"/>
    </row>
    <row r="445">
      <c r="D445" s="23"/>
    </row>
    <row r="446">
      <c r="D446" s="23"/>
    </row>
    <row r="447">
      <c r="D447" s="23"/>
    </row>
    <row r="448">
      <c r="D448" s="23"/>
    </row>
    <row r="449">
      <c r="D449" s="23"/>
    </row>
    <row r="450">
      <c r="D450" s="23"/>
    </row>
    <row r="451">
      <c r="D451" s="23"/>
    </row>
    <row r="452">
      <c r="D452" s="23"/>
    </row>
    <row r="453">
      <c r="D453" s="23"/>
    </row>
    <row r="454">
      <c r="D454" s="23"/>
    </row>
    <row r="455">
      <c r="D455" s="23"/>
    </row>
    <row r="456">
      <c r="D456" s="23"/>
    </row>
    <row r="457">
      <c r="D457" s="23"/>
    </row>
    <row r="458">
      <c r="D458" s="23"/>
    </row>
    <row r="459">
      <c r="D459" s="23"/>
    </row>
    <row r="460">
      <c r="D460" s="23"/>
    </row>
    <row r="461">
      <c r="D461" s="23"/>
    </row>
    <row r="462">
      <c r="D462" s="23"/>
    </row>
    <row r="463">
      <c r="D463" s="23"/>
    </row>
    <row r="464">
      <c r="D464" s="23"/>
    </row>
    <row r="465">
      <c r="D465" s="23"/>
    </row>
    <row r="466">
      <c r="D466" s="23"/>
    </row>
    <row r="467">
      <c r="D467" s="23"/>
    </row>
    <row r="468">
      <c r="D468" s="23"/>
    </row>
    <row r="469">
      <c r="D469" s="23"/>
    </row>
    <row r="470">
      <c r="D470" s="23"/>
    </row>
    <row r="471">
      <c r="D471" s="23"/>
    </row>
    <row r="472">
      <c r="D472" s="23"/>
    </row>
    <row r="473">
      <c r="D473" s="23"/>
    </row>
    <row r="474">
      <c r="D474" s="23"/>
    </row>
    <row r="475">
      <c r="D475" s="23"/>
    </row>
    <row r="476">
      <c r="D476" s="23"/>
    </row>
    <row r="477">
      <c r="D477" s="23"/>
    </row>
    <row r="478">
      <c r="D478" s="23"/>
    </row>
    <row r="479">
      <c r="D479" s="23"/>
    </row>
    <row r="480">
      <c r="D480" s="23"/>
    </row>
    <row r="481">
      <c r="D481" s="23"/>
    </row>
    <row r="482">
      <c r="D482" s="23"/>
    </row>
    <row r="483">
      <c r="D483" s="23"/>
    </row>
    <row r="484">
      <c r="D484" s="23"/>
    </row>
    <row r="485">
      <c r="D485" s="23"/>
    </row>
    <row r="486">
      <c r="D486" s="23"/>
    </row>
    <row r="487">
      <c r="D487" s="23"/>
    </row>
    <row r="488">
      <c r="D488" s="23"/>
    </row>
    <row r="489">
      <c r="D489" s="23"/>
    </row>
    <row r="490">
      <c r="D490" s="23"/>
    </row>
    <row r="491">
      <c r="D491" s="23"/>
    </row>
    <row r="492">
      <c r="D492" s="23"/>
    </row>
    <row r="493">
      <c r="D493" s="23"/>
    </row>
    <row r="494">
      <c r="D494" s="23"/>
    </row>
    <row r="495">
      <c r="D495" s="23"/>
    </row>
    <row r="496">
      <c r="D496" s="23"/>
    </row>
    <row r="497">
      <c r="D497" s="23"/>
    </row>
    <row r="498">
      <c r="D498" s="23"/>
    </row>
    <row r="499">
      <c r="D499" s="23"/>
    </row>
    <row r="500">
      <c r="D500" s="23"/>
    </row>
    <row r="501">
      <c r="D501" s="23"/>
    </row>
    <row r="502">
      <c r="D502" s="23"/>
    </row>
    <row r="503">
      <c r="D503" s="23"/>
    </row>
    <row r="504">
      <c r="D504" s="23"/>
    </row>
    <row r="505">
      <c r="D505" s="23"/>
    </row>
    <row r="506">
      <c r="D506" s="23"/>
    </row>
    <row r="507">
      <c r="D507" s="23"/>
    </row>
    <row r="508">
      <c r="D508" s="23"/>
    </row>
    <row r="509">
      <c r="D509" s="23"/>
    </row>
    <row r="510">
      <c r="D510" s="23"/>
    </row>
    <row r="511">
      <c r="D511" s="23"/>
    </row>
    <row r="512">
      <c r="D512" s="23"/>
    </row>
    <row r="513">
      <c r="D513" s="23"/>
    </row>
    <row r="514">
      <c r="D514" s="23"/>
    </row>
    <row r="515">
      <c r="D515" s="23"/>
    </row>
    <row r="516">
      <c r="D516" s="23"/>
    </row>
    <row r="517">
      <c r="D517" s="23"/>
    </row>
    <row r="518">
      <c r="D518" s="23"/>
    </row>
    <row r="519">
      <c r="D519" s="23"/>
    </row>
    <row r="520">
      <c r="D520" s="23"/>
    </row>
    <row r="521">
      <c r="D521" s="23"/>
    </row>
    <row r="522">
      <c r="D522" s="23"/>
    </row>
    <row r="523">
      <c r="D523" s="23"/>
    </row>
    <row r="524">
      <c r="D524" s="23"/>
    </row>
    <row r="525">
      <c r="D525" s="23"/>
    </row>
    <row r="526">
      <c r="D526" s="23"/>
    </row>
    <row r="527">
      <c r="D527" s="23"/>
    </row>
    <row r="528">
      <c r="D528" s="23"/>
    </row>
    <row r="529">
      <c r="D529" s="23"/>
    </row>
    <row r="530">
      <c r="D530" s="23"/>
    </row>
    <row r="531">
      <c r="D531" s="23"/>
    </row>
    <row r="532">
      <c r="D532" s="23"/>
    </row>
    <row r="533">
      <c r="D533" s="23"/>
    </row>
    <row r="534">
      <c r="D534" s="23"/>
    </row>
    <row r="535">
      <c r="D535" s="23"/>
    </row>
    <row r="536">
      <c r="D536" s="23"/>
    </row>
    <row r="537">
      <c r="D537" s="23"/>
    </row>
    <row r="538">
      <c r="D538" s="23"/>
    </row>
    <row r="539">
      <c r="D539" s="23"/>
    </row>
    <row r="540">
      <c r="D540" s="23"/>
    </row>
    <row r="541">
      <c r="D541" s="23"/>
    </row>
    <row r="542">
      <c r="D542" s="23"/>
    </row>
    <row r="543">
      <c r="D543" s="23"/>
    </row>
    <row r="544">
      <c r="D544" s="23"/>
    </row>
    <row r="545">
      <c r="D545" s="23"/>
    </row>
    <row r="546">
      <c r="D546" s="23"/>
    </row>
    <row r="547">
      <c r="D547" s="23"/>
    </row>
    <row r="548">
      <c r="D548" s="23"/>
    </row>
    <row r="549">
      <c r="D549" s="23"/>
    </row>
    <row r="550">
      <c r="D550" s="23"/>
    </row>
    <row r="551">
      <c r="D551" s="23"/>
    </row>
    <row r="552">
      <c r="D552" s="23"/>
    </row>
    <row r="553">
      <c r="D553" s="23"/>
    </row>
    <row r="554">
      <c r="D554" s="23"/>
    </row>
    <row r="555">
      <c r="D555" s="23"/>
    </row>
    <row r="556">
      <c r="D556" s="23"/>
    </row>
    <row r="557">
      <c r="D557" s="23"/>
    </row>
    <row r="558">
      <c r="D558" s="23"/>
    </row>
    <row r="559">
      <c r="D559" s="23"/>
    </row>
    <row r="560">
      <c r="D560" s="23"/>
    </row>
    <row r="561">
      <c r="D561" s="23"/>
    </row>
    <row r="562">
      <c r="D562" s="23"/>
    </row>
    <row r="563">
      <c r="D563" s="23"/>
    </row>
    <row r="564">
      <c r="D564" s="23"/>
    </row>
    <row r="565">
      <c r="D565" s="23"/>
    </row>
    <row r="566">
      <c r="D566" s="23"/>
    </row>
    <row r="567">
      <c r="D567" s="23"/>
    </row>
    <row r="568">
      <c r="D568" s="23"/>
    </row>
    <row r="569">
      <c r="D569" s="23"/>
    </row>
    <row r="570">
      <c r="D570" s="23"/>
    </row>
    <row r="571">
      <c r="D571" s="23"/>
    </row>
    <row r="572">
      <c r="D572" s="23"/>
    </row>
    <row r="573">
      <c r="D573" s="23"/>
    </row>
    <row r="574">
      <c r="D574" s="23"/>
    </row>
    <row r="575">
      <c r="D575" s="23"/>
    </row>
    <row r="576">
      <c r="D576" s="23"/>
    </row>
    <row r="577">
      <c r="D577" s="23"/>
    </row>
    <row r="578">
      <c r="D578" s="23"/>
    </row>
    <row r="579">
      <c r="D579" s="23"/>
    </row>
    <row r="580">
      <c r="D580" s="23"/>
    </row>
    <row r="581">
      <c r="D581" s="23"/>
    </row>
    <row r="582">
      <c r="D582" s="23"/>
    </row>
    <row r="583">
      <c r="D583" s="23"/>
    </row>
    <row r="584">
      <c r="D584" s="23"/>
    </row>
    <row r="585">
      <c r="D585" s="23"/>
    </row>
    <row r="586">
      <c r="D586" s="23"/>
    </row>
    <row r="587">
      <c r="D587" s="23"/>
    </row>
    <row r="588">
      <c r="D588" s="23"/>
    </row>
    <row r="589">
      <c r="D589" s="23"/>
    </row>
    <row r="590">
      <c r="D590" s="23"/>
    </row>
    <row r="591">
      <c r="D591" s="23"/>
    </row>
    <row r="592">
      <c r="D592" s="23"/>
    </row>
    <row r="593">
      <c r="D593" s="23"/>
    </row>
    <row r="594">
      <c r="D594" s="23"/>
    </row>
    <row r="595">
      <c r="D595" s="23"/>
    </row>
    <row r="596">
      <c r="D596" s="23"/>
    </row>
    <row r="597">
      <c r="D597" s="23"/>
    </row>
    <row r="598">
      <c r="D598" s="23"/>
    </row>
    <row r="599">
      <c r="D599" s="23"/>
    </row>
    <row r="600">
      <c r="D600" s="23"/>
    </row>
    <row r="601">
      <c r="D601" s="23"/>
    </row>
    <row r="602">
      <c r="D602" s="23"/>
    </row>
    <row r="603">
      <c r="D603" s="23"/>
    </row>
    <row r="604">
      <c r="D604" s="23"/>
    </row>
    <row r="605">
      <c r="D605" s="23"/>
    </row>
    <row r="606">
      <c r="D606" s="23"/>
    </row>
    <row r="607">
      <c r="D607" s="23"/>
    </row>
    <row r="608">
      <c r="D608" s="23"/>
    </row>
    <row r="609">
      <c r="D609" s="23"/>
    </row>
    <row r="610">
      <c r="D610" s="23"/>
    </row>
    <row r="611">
      <c r="D611" s="23"/>
    </row>
    <row r="612">
      <c r="D612" s="23"/>
    </row>
    <row r="613">
      <c r="D613" s="23"/>
    </row>
    <row r="614">
      <c r="D614" s="23"/>
    </row>
    <row r="615">
      <c r="D615" s="23"/>
    </row>
    <row r="616">
      <c r="D616" s="23"/>
    </row>
    <row r="617">
      <c r="D617" s="23"/>
    </row>
    <row r="618">
      <c r="D618" s="23"/>
    </row>
    <row r="619">
      <c r="D619" s="23"/>
    </row>
    <row r="620">
      <c r="D620" s="23"/>
    </row>
    <row r="621">
      <c r="D621" s="23"/>
    </row>
    <row r="622">
      <c r="D622" s="23"/>
    </row>
    <row r="623">
      <c r="D623" s="23"/>
    </row>
    <row r="624">
      <c r="D624" s="23"/>
    </row>
    <row r="625">
      <c r="D625" s="23"/>
    </row>
    <row r="626">
      <c r="D626" s="23"/>
    </row>
    <row r="627">
      <c r="D627" s="23"/>
    </row>
    <row r="628">
      <c r="D628" s="23"/>
    </row>
    <row r="629">
      <c r="D629" s="23"/>
    </row>
    <row r="630">
      <c r="D630" s="23"/>
    </row>
    <row r="631">
      <c r="D631" s="23"/>
    </row>
    <row r="632">
      <c r="D632" s="23"/>
    </row>
    <row r="633">
      <c r="D633" s="23"/>
    </row>
    <row r="634">
      <c r="D634" s="23"/>
    </row>
    <row r="635">
      <c r="D635" s="23"/>
    </row>
    <row r="636">
      <c r="D636" s="23"/>
    </row>
    <row r="637">
      <c r="D637" s="23"/>
    </row>
    <row r="638">
      <c r="D638" s="23"/>
    </row>
    <row r="639">
      <c r="D639" s="23"/>
    </row>
    <row r="640">
      <c r="D640" s="23"/>
    </row>
    <row r="641">
      <c r="D641" s="23"/>
    </row>
    <row r="642">
      <c r="D642" s="23"/>
    </row>
    <row r="643">
      <c r="D643" s="23"/>
    </row>
    <row r="644">
      <c r="D644" s="23"/>
    </row>
    <row r="645">
      <c r="D645" s="23"/>
    </row>
    <row r="646">
      <c r="D646" s="23"/>
    </row>
    <row r="647">
      <c r="D647" s="23"/>
    </row>
    <row r="648">
      <c r="D648" s="23"/>
    </row>
    <row r="649">
      <c r="D649" s="23"/>
    </row>
    <row r="650">
      <c r="D650" s="23"/>
    </row>
    <row r="651">
      <c r="D651" s="23"/>
    </row>
    <row r="652">
      <c r="D652" s="23"/>
    </row>
    <row r="653">
      <c r="D653" s="23"/>
    </row>
    <row r="654">
      <c r="D654" s="23"/>
    </row>
    <row r="655">
      <c r="D655" s="23"/>
    </row>
    <row r="656">
      <c r="D656" s="23"/>
    </row>
    <row r="657">
      <c r="D657" s="23"/>
    </row>
    <row r="658">
      <c r="D658" s="23"/>
    </row>
    <row r="659">
      <c r="D659" s="23"/>
    </row>
    <row r="660">
      <c r="D660" s="23"/>
    </row>
    <row r="661">
      <c r="D661" s="23"/>
    </row>
    <row r="662">
      <c r="D662" s="23"/>
    </row>
    <row r="663">
      <c r="D663" s="23"/>
    </row>
    <row r="664">
      <c r="D664" s="23"/>
    </row>
    <row r="665">
      <c r="D665" s="23"/>
    </row>
    <row r="666">
      <c r="D666" s="23"/>
    </row>
    <row r="667">
      <c r="D667" s="23"/>
    </row>
    <row r="668">
      <c r="D668" s="23"/>
    </row>
    <row r="669">
      <c r="D669" s="23"/>
    </row>
    <row r="670">
      <c r="D670" s="23"/>
    </row>
    <row r="671">
      <c r="D671" s="23"/>
    </row>
    <row r="672">
      <c r="D672" s="23"/>
    </row>
    <row r="673">
      <c r="D673" s="23"/>
    </row>
    <row r="674">
      <c r="D674" s="23"/>
    </row>
    <row r="675">
      <c r="D675" s="23"/>
    </row>
    <row r="676">
      <c r="D676" s="23"/>
    </row>
    <row r="677">
      <c r="D677" s="23"/>
    </row>
    <row r="678">
      <c r="D678" s="23"/>
    </row>
    <row r="679">
      <c r="D679" s="23"/>
    </row>
    <row r="680">
      <c r="D680" s="23"/>
    </row>
    <row r="681">
      <c r="D681" s="23"/>
    </row>
    <row r="682">
      <c r="D682" s="23"/>
    </row>
    <row r="683">
      <c r="D683" s="23"/>
    </row>
    <row r="684">
      <c r="D684" s="23"/>
    </row>
    <row r="685">
      <c r="D685" s="23"/>
    </row>
    <row r="686">
      <c r="D686" s="23"/>
    </row>
    <row r="687">
      <c r="D687" s="23"/>
    </row>
    <row r="688">
      <c r="D688" s="23"/>
    </row>
    <row r="689">
      <c r="D689" s="23"/>
    </row>
    <row r="690">
      <c r="D690" s="23"/>
    </row>
    <row r="691">
      <c r="D691" s="23"/>
    </row>
    <row r="692">
      <c r="D692" s="23"/>
    </row>
    <row r="693">
      <c r="D693" s="23"/>
    </row>
    <row r="694">
      <c r="D694" s="23"/>
    </row>
    <row r="695">
      <c r="D695" s="23"/>
    </row>
    <row r="696">
      <c r="D696" s="23"/>
    </row>
    <row r="697">
      <c r="D697" s="23"/>
    </row>
    <row r="698">
      <c r="D698" s="23"/>
    </row>
    <row r="699">
      <c r="D699" s="23"/>
    </row>
    <row r="700">
      <c r="D700" s="23"/>
    </row>
    <row r="701">
      <c r="D701" s="23"/>
    </row>
    <row r="702">
      <c r="D702" s="23"/>
    </row>
    <row r="703">
      <c r="D703" s="23"/>
    </row>
    <row r="704">
      <c r="D704" s="23"/>
    </row>
    <row r="705">
      <c r="D705" s="23"/>
    </row>
    <row r="706">
      <c r="D706" s="23"/>
    </row>
    <row r="707">
      <c r="D707" s="23"/>
    </row>
    <row r="708">
      <c r="D708" s="23"/>
    </row>
    <row r="709">
      <c r="D709" s="23"/>
    </row>
    <row r="710">
      <c r="D710" s="23"/>
    </row>
    <row r="711">
      <c r="D711" s="23"/>
    </row>
    <row r="712">
      <c r="D712" s="23"/>
    </row>
    <row r="713">
      <c r="D713" s="23"/>
    </row>
    <row r="714">
      <c r="D714" s="23"/>
    </row>
    <row r="715">
      <c r="D715" s="23"/>
    </row>
    <row r="716">
      <c r="D716" s="23"/>
    </row>
    <row r="717">
      <c r="D717" s="23"/>
    </row>
    <row r="718">
      <c r="D718" s="23"/>
    </row>
    <row r="719">
      <c r="D719" s="23"/>
    </row>
    <row r="720">
      <c r="D720" s="23"/>
    </row>
    <row r="721">
      <c r="D721" s="23"/>
    </row>
    <row r="722">
      <c r="D722" s="23"/>
    </row>
    <row r="723">
      <c r="D723" s="23"/>
    </row>
    <row r="724">
      <c r="D724" s="23"/>
    </row>
    <row r="725">
      <c r="D725" s="23"/>
    </row>
    <row r="726">
      <c r="D726" s="23"/>
    </row>
    <row r="727">
      <c r="D727" s="23"/>
    </row>
    <row r="728">
      <c r="D728" s="23"/>
    </row>
    <row r="729">
      <c r="D729" s="23"/>
    </row>
    <row r="730">
      <c r="D730" s="23"/>
    </row>
    <row r="731">
      <c r="D731" s="23"/>
    </row>
    <row r="732">
      <c r="D732" s="23"/>
    </row>
    <row r="733">
      <c r="D733" s="23"/>
    </row>
    <row r="734">
      <c r="D734" s="23"/>
    </row>
    <row r="735">
      <c r="D735" s="23"/>
    </row>
    <row r="736">
      <c r="D736" s="23"/>
    </row>
    <row r="737">
      <c r="D737" s="23"/>
    </row>
    <row r="738">
      <c r="D738" s="23"/>
    </row>
    <row r="739">
      <c r="D739" s="23"/>
    </row>
    <row r="740">
      <c r="D740" s="23"/>
    </row>
    <row r="741">
      <c r="D741" s="23"/>
    </row>
    <row r="742">
      <c r="D742" s="23"/>
    </row>
    <row r="743">
      <c r="D743" s="23"/>
    </row>
    <row r="744">
      <c r="D744" s="23"/>
    </row>
    <row r="745">
      <c r="D745" s="23"/>
    </row>
    <row r="746">
      <c r="D746" s="23"/>
    </row>
    <row r="747">
      <c r="D747" s="23"/>
    </row>
    <row r="748">
      <c r="D748" s="23"/>
    </row>
    <row r="749">
      <c r="D749" s="23"/>
    </row>
    <row r="750">
      <c r="D750" s="23"/>
    </row>
    <row r="751">
      <c r="D751" s="23"/>
    </row>
    <row r="752">
      <c r="D752" s="23"/>
    </row>
    <row r="753">
      <c r="D753" s="23"/>
    </row>
    <row r="754">
      <c r="D754" s="23"/>
    </row>
    <row r="755">
      <c r="D755" s="23"/>
    </row>
    <row r="756">
      <c r="D756" s="23"/>
    </row>
    <row r="757">
      <c r="D757" s="23"/>
    </row>
    <row r="758">
      <c r="D758" s="23"/>
    </row>
    <row r="759">
      <c r="D759" s="23"/>
    </row>
    <row r="760">
      <c r="D760" s="23"/>
    </row>
    <row r="761">
      <c r="D761" s="23"/>
    </row>
    <row r="762">
      <c r="D762" s="23"/>
    </row>
    <row r="763">
      <c r="D763" s="23"/>
    </row>
    <row r="764">
      <c r="D764" s="23"/>
    </row>
    <row r="765">
      <c r="D765" s="23"/>
    </row>
    <row r="766">
      <c r="D766" s="23"/>
    </row>
    <row r="767">
      <c r="D767" s="23"/>
    </row>
    <row r="768">
      <c r="D768" s="23"/>
    </row>
    <row r="769">
      <c r="D769" s="23"/>
    </row>
    <row r="770">
      <c r="D770" s="23"/>
    </row>
    <row r="771">
      <c r="D771" s="23"/>
    </row>
    <row r="772">
      <c r="D772" s="23"/>
    </row>
    <row r="773">
      <c r="D773" s="23"/>
    </row>
    <row r="774">
      <c r="D774" s="23"/>
    </row>
    <row r="775">
      <c r="D775" s="23"/>
    </row>
    <row r="776">
      <c r="D776" s="23"/>
    </row>
    <row r="777">
      <c r="D777" s="23"/>
    </row>
    <row r="778">
      <c r="D778" s="23"/>
    </row>
    <row r="779">
      <c r="D779" s="23"/>
    </row>
    <row r="780">
      <c r="D780" s="23"/>
    </row>
    <row r="781">
      <c r="D781" s="23"/>
    </row>
    <row r="782">
      <c r="D782" s="23"/>
    </row>
    <row r="783">
      <c r="D783" s="23"/>
    </row>
    <row r="784">
      <c r="D784" s="23"/>
    </row>
    <row r="785">
      <c r="D785" s="23"/>
    </row>
    <row r="786">
      <c r="D786" s="23"/>
    </row>
    <row r="787">
      <c r="D787" s="23"/>
    </row>
    <row r="788">
      <c r="D788" s="23"/>
    </row>
    <row r="789">
      <c r="D789" s="23"/>
    </row>
    <row r="790">
      <c r="D790" s="23"/>
    </row>
    <row r="791">
      <c r="D791" s="23"/>
    </row>
    <row r="792">
      <c r="D792" s="23"/>
    </row>
    <row r="793">
      <c r="D793" s="23"/>
    </row>
    <row r="794">
      <c r="D794" s="23"/>
    </row>
    <row r="795">
      <c r="D795" s="23"/>
    </row>
    <row r="796">
      <c r="D796" s="23"/>
    </row>
    <row r="797">
      <c r="D797" s="23"/>
    </row>
    <row r="798">
      <c r="D798" s="23"/>
    </row>
    <row r="799">
      <c r="D799" s="23"/>
    </row>
    <row r="800">
      <c r="D800" s="23"/>
    </row>
    <row r="801">
      <c r="D801" s="23"/>
    </row>
    <row r="802">
      <c r="D802" s="23"/>
    </row>
    <row r="803">
      <c r="D803" s="23"/>
    </row>
    <row r="804">
      <c r="D804" s="23"/>
    </row>
    <row r="805">
      <c r="D805" s="23"/>
    </row>
    <row r="806">
      <c r="D806" s="23"/>
    </row>
    <row r="807">
      <c r="D807" s="23"/>
    </row>
    <row r="808">
      <c r="D808" s="23"/>
    </row>
    <row r="809">
      <c r="D809" s="23"/>
    </row>
    <row r="810">
      <c r="D810" s="23"/>
    </row>
    <row r="811">
      <c r="D811" s="23"/>
    </row>
    <row r="812">
      <c r="D812" s="23"/>
    </row>
    <row r="813">
      <c r="D813" s="23"/>
    </row>
    <row r="814">
      <c r="D814" s="23"/>
    </row>
    <row r="815">
      <c r="D815" s="23"/>
    </row>
    <row r="816">
      <c r="D816" s="23"/>
    </row>
    <row r="817">
      <c r="D817" s="23"/>
    </row>
    <row r="818">
      <c r="D818" s="23"/>
    </row>
    <row r="819">
      <c r="D819" s="23"/>
    </row>
    <row r="820">
      <c r="D820" s="23"/>
    </row>
    <row r="821">
      <c r="D821" s="23"/>
    </row>
    <row r="822">
      <c r="D822" s="23"/>
    </row>
    <row r="823">
      <c r="D823" s="23"/>
    </row>
    <row r="824">
      <c r="D824" s="23"/>
    </row>
    <row r="825">
      <c r="D825" s="23"/>
    </row>
    <row r="826">
      <c r="D826" s="23"/>
    </row>
    <row r="827">
      <c r="D827" s="23"/>
    </row>
    <row r="828">
      <c r="D828" s="23"/>
    </row>
    <row r="829">
      <c r="D829" s="23"/>
    </row>
    <row r="830">
      <c r="D830" s="23"/>
    </row>
    <row r="831">
      <c r="D831" s="23"/>
    </row>
    <row r="832">
      <c r="D832" s="23"/>
    </row>
    <row r="833">
      <c r="D833" s="23"/>
    </row>
    <row r="834">
      <c r="D834" s="23"/>
    </row>
    <row r="835">
      <c r="D835" s="23"/>
    </row>
    <row r="836">
      <c r="D836" s="23"/>
    </row>
    <row r="837">
      <c r="D837" s="23"/>
    </row>
    <row r="838">
      <c r="D838" s="23"/>
    </row>
    <row r="839">
      <c r="D839" s="23"/>
    </row>
    <row r="840">
      <c r="D840" s="23"/>
    </row>
    <row r="841">
      <c r="D841" s="23"/>
    </row>
    <row r="842">
      <c r="D842" s="23"/>
    </row>
    <row r="843">
      <c r="D843" s="23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 ht="15.75" customHeight="1">
      <c r="A1" s="14" t="s">
        <v>1</v>
      </c>
      <c r="B1" s="14" t="s">
        <v>499</v>
      </c>
      <c r="C1" s="14" t="s">
        <v>500</v>
      </c>
      <c r="D1" s="20" t="s">
        <v>501</v>
      </c>
      <c r="E1" s="14" t="s">
        <v>502</v>
      </c>
      <c r="F1" s="27" t="s">
        <v>503</v>
      </c>
      <c r="G1" s="14" t="s">
        <v>504</v>
      </c>
      <c r="H1" s="27" t="s">
        <v>505</v>
      </c>
      <c r="I1" s="14" t="s">
        <v>545</v>
      </c>
      <c r="J1" s="27" t="s">
        <v>507</v>
      </c>
      <c r="K1" s="14"/>
      <c r="L1" s="14" t="s">
        <v>508</v>
      </c>
      <c r="M1" s="21">
        <f t="array" ref="M1">sum(large(D3:D557,column(indirect("$A$1:" &amp;ADDRESS( 1, 12)))))/12</f>
        <v>13.75</v>
      </c>
    </row>
    <row r="2">
      <c r="A2" s="14" t="s">
        <v>509</v>
      </c>
      <c r="B2" s="14">
        <f>COUNT(B3:B92)-COUNTIF(B3:B92,"=0")</f>
        <v>31</v>
      </c>
      <c r="D2" s="23">
        <f t="shared" ref="D2:D469" si="2">SUM(E2:J2)</f>
        <v>228</v>
      </c>
      <c r="E2" s="14">
        <f t="shared" ref="E2:J2" si="1">SUM(E3:E200)</f>
        <v>131</v>
      </c>
      <c r="F2" s="14">
        <f t="shared" si="1"/>
        <v>74</v>
      </c>
      <c r="G2" s="14">
        <f t="shared" si="1"/>
        <v>10</v>
      </c>
      <c r="H2" s="14">
        <f t="shared" si="1"/>
        <v>9</v>
      </c>
      <c r="I2" s="14">
        <f t="shared" si="1"/>
        <v>2</v>
      </c>
      <c r="J2" s="14">
        <f t="shared" si="1"/>
        <v>2</v>
      </c>
      <c r="M2" s="28" t="s">
        <v>546</v>
      </c>
    </row>
    <row r="3">
      <c r="A3" s="24" t="s">
        <v>8</v>
      </c>
      <c r="B3" s="14">
        <v>4341.0</v>
      </c>
      <c r="C3" s="21" t="str">
        <f>VLOOKUP(A3, hash!A$2:B$550, 2, 0)</f>
        <v>6322202c0aa8ba2dbc57c0a6</v>
      </c>
      <c r="D3" s="23">
        <f t="shared" si="2"/>
        <v>0</v>
      </c>
      <c r="E3" s="29"/>
      <c r="F3" s="30"/>
      <c r="G3" s="29"/>
      <c r="H3" s="31"/>
      <c r="I3" s="32"/>
      <c r="J3" s="33"/>
    </row>
    <row r="4">
      <c r="A4" s="22" t="s">
        <v>9</v>
      </c>
      <c r="B4" s="21">
        <f t="shared" ref="B4:B469" si="3">D4/M$1*2000</f>
        <v>2472.727273</v>
      </c>
      <c r="C4" s="21" t="str">
        <f>VLOOKUP(A4, hash!A$2:B$550, 2, 0)</f>
        <v>66e1e1237a8e6dc2aed3a642</v>
      </c>
      <c r="D4" s="23">
        <f t="shared" si="2"/>
        <v>17</v>
      </c>
      <c r="E4" s="34">
        <v>7.0</v>
      </c>
      <c r="F4" s="35">
        <v>7.0</v>
      </c>
      <c r="G4" s="36">
        <v>3.0</v>
      </c>
      <c r="H4" s="35">
        <v>0.0</v>
      </c>
      <c r="I4" s="35">
        <v>0.0</v>
      </c>
      <c r="J4" s="35">
        <v>0.0</v>
      </c>
    </row>
    <row r="5">
      <c r="A5" s="22" t="s">
        <v>8</v>
      </c>
      <c r="B5" s="21">
        <f t="shared" si="3"/>
        <v>0</v>
      </c>
      <c r="C5" s="21" t="str">
        <f>VLOOKUP(A5, hash!A$2:B$550, 2, 0)</f>
        <v>6322202c0aa8ba2dbc57c0a6</v>
      </c>
      <c r="D5" s="23">
        <f t="shared" si="2"/>
        <v>0</v>
      </c>
      <c r="E5" s="29"/>
      <c r="F5" s="30"/>
      <c r="G5" s="30"/>
      <c r="H5" s="31"/>
      <c r="I5" s="32"/>
      <c r="J5" s="31"/>
    </row>
    <row r="6">
      <c r="A6" s="22" t="s">
        <v>11</v>
      </c>
      <c r="B6" s="21">
        <f t="shared" si="3"/>
        <v>1309.090909</v>
      </c>
      <c r="C6" s="21" t="str">
        <f>VLOOKUP(A6, hash!A$2:B$550, 2, 0)</f>
        <v>6502005e1d8cbbbd315ad52c</v>
      </c>
      <c r="D6" s="23">
        <f t="shared" si="2"/>
        <v>9</v>
      </c>
      <c r="E6" s="35">
        <v>7.0</v>
      </c>
      <c r="F6" s="35">
        <v>1.0</v>
      </c>
      <c r="G6" s="30"/>
      <c r="H6" s="31"/>
      <c r="I6" s="32"/>
      <c r="J6" s="36">
        <v>1.0</v>
      </c>
      <c r="L6" s="37"/>
      <c r="M6" s="14" t="s">
        <v>547</v>
      </c>
    </row>
    <row r="7">
      <c r="A7" s="22" t="s">
        <v>15</v>
      </c>
      <c r="B7" s="21">
        <f t="shared" si="3"/>
        <v>1890.909091</v>
      </c>
      <c r="C7" s="21" t="str">
        <f>VLOOKUP(A7, hash!A$2:B$550, 2, 0)</f>
        <v>65020037540ba7cc68909a9b</v>
      </c>
      <c r="D7" s="23">
        <f t="shared" si="2"/>
        <v>13</v>
      </c>
      <c r="E7" s="35">
        <v>7.0</v>
      </c>
      <c r="F7" s="35">
        <v>6.0</v>
      </c>
      <c r="G7" s="36">
        <v>0.0</v>
      </c>
      <c r="H7" s="35">
        <v>0.0</v>
      </c>
      <c r="I7" s="32"/>
      <c r="J7" s="33"/>
      <c r="M7" s="14" t="s">
        <v>548</v>
      </c>
    </row>
    <row r="8">
      <c r="A8" s="22" t="s">
        <v>13</v>
      </c>
      <c r="B8" s="21">
        <f t="shared" si="3"/>
        <v>2036.363636</v>
      </c>
      <c r="C8" s="21" t="str">
        <f>VLOOKUP(A8, hash!A$2:B$550, 2, 0)</f>
        <v>65020be78f2b101294bb3da8</v>
      </c>
      <c r="D8" s="23">
        <f t="shared" si="2"/>
        <v>14</v>
      </c>
      <c r="E8" s="35">
        <v>7.0</v>
      </c>
      <c r="F8" s="35">
        <v>7.0</v>
      </c>
      <c r="G8" s="29"/>
      <c r="H8" s="31"/>
      <c r="I8" s="32"/>
      <c r="J8" s="35">
        <v>0.0</v>
      </c>
      <c r="L8" s="38"/>
      <c r="M8" s="14" t="s">
        <v>549</v>
      </c>
    </row>
    <row r="9">
      <c r="A9" s="22" t="s">
        <v>17</v>
      </c>
      <c r="B9" s="21">
        <f t="shared" si="3"/>
        <v>0</v>
      </c>
      <c r="C9" s="21" t="str">
        <f>VLOOKUP(A9, hash!A$2:B$550, 2, 0)</f>
        <v>65020bfc097ac3c9d063264d</v>
      </c>
      <c r="D9" s="23">
        <f t="shared" si="2"/>
        <v>0</v>
      </c>
      <c r="E9" s="29"/>
      <c r="F9" s="35">
        <v>0.0</v>
      </c>
      <c r="G9" s="30"/>
      <c r="H9" s="31"/>
      <c r="I9" s="32"/>
      <c r="J9" s="35">
        <v>0.0</v>
      </c>
      <c r="M9" s="14" t="s">
        <v>550</v>
      </c>
    </row>
    <row r="10">
      <c r="A10" s="22" t="s">
        <v>10</v>
      </c>
      <c r="B10" s="21">
        <f t="shared" si="3"/>
        <v>0</v>
      </c>
      <c r="C10" s="21" t="str">
        <f>VLOOKUP(A10, hash!A$2:B$550, 2, 0)</f>
        <v>632220270aa8ba2dbc57c0a4</v>
      </c>
      <c r="D10" s="23">
        <f t="shared" si="2"/>
        <v>0</v>
      </c>
      <c r="E10" s="29"/>
      <c r="F10" s="30"/>
      <c r="G10" s="29"/>
      <c r="H10" s="31"/>
      <c r="I10" s="32"/>
      <c r="J10" s="31"/>
      <c r="L10" s="39"/>
      <c r="M10" s="14" t="s">
        <v>551</v>
      </c>
    </row>
    <row r="11">
      <c r="A11" s="22" t="s">
        <v>18</v>
      </c>
      <c r="B11" s="21">
        <f t="shared" si="3"/>
        <v>1745.454545</v>
      </c>
      <c r="C11" s="21" t="str">
        <f>VLOOKUP(A11, hash!A$2:B$550, 2, 0)</f>
        <v>6502003d1d8cbbbd315ad525</v>
      </c>
      <c r="D11" s="23">
        <f t="shared" si="2"/>
        <v>12</v>
      </c>
      <c r="E11" s="35">
        <v>6.0</v>
      </c>
      <c r="F11" s="40">
        <v>6.0</v>
      </c>
      <c r="G11" s="29"/>
      <c r="H11" s="35">
        <v>0.0</v>
      </c>
      <c r="I11" s="32"/>
      <c r="J11" s="31"/>
      <c r="M11" s="14" t="s">
        <v>550</v>
      </c>
    </row>
    <row r="12">
      <c r="A12" s="22" t="s">
        <v>19</v>
      </c>
      <c r="B12" s="21">
        <f t="shared" si="3"/>
        <v>1454.545455</v>
      </c>
      <c r="C12" s="21" t="str">
        <f>VLOOKUP(A12, hash!A$2:B$550, 2, 0)</f>
        <v>6502007357ae167867eac223</v>
      </c>
      <c r="D12" s="23">
        <f t="shared" si="2"/>
        <v>10</v>
      </c>
      <c r="E12" s="34">
        <v>7.0</v>
      </c>
      <c r="F12" s="35">
        <v>1.0</v>
      </c>
      <c r="G12" s="36">
        <v>0.0</v>
      </c>
      <c r="H12" s="35">
        <v>2.0</v>
      </c>
      <c r="I12" s="35">
        <v>0.0</v>
      </c>
      <c r="J12" s="33"/>
    </row>
    <row r="13">
      <c r="A13" s="22" t="s">
        <v>29</v>
      </c>
      <c r="B13" s="21">
        <f t="shared" si="3"/>
        <v>1745.454545</v>
      </c>
      <c r="C13" s="21" t="str">
        <f>VLOOKUP(A13, hash!A$2:B$550, 2, 0)</f>
        <v>66e1e1659bdd593ffcd624e6</v>
      </c>
      <c r="D13" s="23">
        <f t="shared" si="2"/>
        <v>12</v>
      </c>
      <c r="E13" s="35">
        <v>7.0</v>
      </c>
      <c r="F13" s="35">
        <v>5.0</v>
      </c>
      <c r="G13" s="29"/>
      <c r="H13" s="31"/>
      <c r="I13" s="32"/>
      <c r="J13" s="33"/>
      <c r="L13" s="41"/>
      <c r="M13" s="14" t="s">
        <v>552</v>
      </c>
    </row>
    <row r="14">
      <c r="A14" s="14" t="s">
        <v>26</v>
      </c>
      <c r="B14" s="21">
        <f t="shared" si="3"/>
        <v>0</v>
      </c>
      <c r="C14" s="21" t="str">
        <f>VLOOKUP(A14, hash!A$2:B$550, 2, 0)</f>
        <v>68c1d00f9147fa44206d10b5</v>
      </c>
      <c r="D14" s="23">
        <f t="shared" si="2"/>
        <v>0</v>
      </c>
      <c r="E14" s="34">
        <v>0.0</v>
      </c>
      <c r="F14" s="35">
        <v>0.0</v>
      </c>
      <c r="G14" s="29"/>
      <c r="H14" s="31"/>
      <c r="I14" s="32"/>
      <c r="J14" s="31"/>
      <c r="M14" s="14" t="s">
        <v>553</v>
      </c>
    </row>
    <row r="15">
      <c r="A15" s="22" t="s">
        <v>24</v>
      </c>
      <c r="B15" s="21">
        <f t="shared" si="3"/>
        <v>1890.909091</v>
      </c>
      <c r="C15" s="21" t="str">
        <f>VLOOKUP(A15, hash!A$2:B$550, 2, 0)</f>
        <v>66e1e1277a8e6dc2aed3a645</v>
      </c>
      <c r="D15" s="23">
        <f t="shared" si="2"/>
        <v>13</v>
      </c>
      <c r="E15" s="35">
        <v>7.0</v>
      </c>
      <c r="F15" s="34">
        <v>6.0</v>
      </c>
      <c r="G15" s="36">
        <v>0.0</v>
      </c>
      <c r="H15" s="31"/>
      <c r="I15" s="32"/>
      <c r="J15" s="31"/>
      <c r="L15" s="33"/>
      <c r="M15" s="14" t="s">
        <v>554</v>
      </c>
    </row>
    <row r="16">
      <c r="A16" s="22" t="s">
        <v>30</v>
      </c>
      <c r="B16" s="21">
        <f t="shared" si="3"/>
        <v>1018.181818</v>
      </c>
      <c r="C16" s="21" t="str">
        <f>VLOOKUP(A16, hash!A$2:B$550, 2, 0)</f>
        <v>6322236ef382c17890e6a3e1</v>
      </c>
      <c r="D16" s="23">
        <f t="shared" si="2"/>
        <v>7</v>
      </c>
      <c r="E16" s="34">
        <v>7.0</v>
      </c>
      <c r="F16" s="35">
        <v>0.0</v>
      </c>
      <c r="G16" s="29"/>
      <c r="H16" s="36">
        <v>0.0</v>
      </c>
      <c r="I16" s="36">
        <v>0.0</v>
      </c>
      <c r="J16" s="33"/>
      <c r="M16" s="14" t="s">
        <v>555</v>
      </c>
    </row>
    <row r="17">
      <c r="A17" s="22" t="s">
        <v>56</v>
      </c>
      <c r="B17" s="21">
        <f t="shared" si="3"/>
        <v>0</v>
      </c>
      <c r="C17" s="21" t="str">
        <f>VLOOKUP(A17, hash!A$2:B$550, 2, 0)</f>
        <v>64515f804c53122bd367c958</v>
      </c>
      <c r="D17" s="23">
        <f t="shared" si="2"/>
        <v>0</v>
      </c>
      <c r="E17" s="29"/>
      <c r="F17" s="35">
        <v>0.0</v>
      </c>
      <c r="G17" s="29"/>
      <c r="H17" s="31"/>
      <c r="I17" s="32"/>
      <c r="J17" s="31"/>
      <c r="L17" s="14" t="s">
        <v>556</v>
      </c>
      <c r="M17" s="14" t="s">
        <v>557</v>
      </c>
    </row>
    <row r="18">
      <c r="A18" s="22" t="s">
        <v>40</v>
      </c>
      <c r="B18" s="21">
        <f t="shared" si="3"/>
        <v>0</v>
      </c>
      <c r="C18" s="21" t="str">
        <f>VLOOKUP(A18, hash!A$2:B$550, 2, 0)</f>
        <v>65020bed03dd812a55d3a207</v>
      </c>
      <c r="D18" s="23">
        <f t="shared" si="2"/>
        <v>0</v>
      </c>
      <c r="E18" s="29"/>
      <c r="F18" s="35">
        <v>0.0</v>
      </c>
      <c r="G18" s="36">
        <v>0.0</v>
      </c>
      <c r="H18" s="31"/>
      <c r="I18" s="32"/>
      <c r="J18" s="35">
        <v>0.0</v>
      </c>
    </row>
    <row r="19">
      <c r="A19" s="22" t="s">
        <v>23</v>
      </c>
      <c r="B19" s="21">
        <f t="shared" si="3"/>
        <v>1163.636364</v>
      </c>
      <c r="C19" s="21" t="str">
        <f>VLOOKUP(A19, hash!A$2:B$550, 2, 0)</f>
        <v>65020bfe097ac3c9d063264f</v>
      </c>
      <c r="D19" s="23">
        <f t="shared" si="2"/>
        <v>8</v>
      </c>
      <c r="E19" s="35">
        <v>7.0</v>
      </c>
      <c r="F19" s="35">
        <v>1.0</v>
      </c>
      <c r="G19" s="29"/>
      <c r="H19" s="35">
        <v>0.0</v>
      </c>
      <c r="I19" s="32"/>
      <c r="J19" s="31"/>
    </row>
    <row r="20">
      <c r="A20" s="22" t="s">
        <v>61</v>
      </c>
      <c r="B20" s="21">
        <f t="shared" si="3"/>
        <v>0</v>
      </c>
      <c r="C20" s="21" t="str">
        <f>VLOOKUP(A20, hash!A$2:B$550, 2, 0)</f>
        <v>65020c0f8f2b101294bb3dae</v>
      </c>
      <c r="D20" s="23">
        <f t="shared" si="2"/>
        <v>0</v>
      </c>
      <c r="E20" s="35">
        <v>0.0</v>
      </c>
      <c r="F20" s="34">
        <v>0.0</v>
      </c>
      <c r="G20" s="29"/>
      <c r="H20" s="31"/>
      <c r="I20" s="32"/>
      <c r="J20" s="31"/>
    </row>
    <row r="21">
      <c r="A21" s="22" t="s">
        <v>39</v>
      </c>
      <c r="B21" s="21">
        <f t="shared" si="3"/>
        <v>0</v>
      </c>
      <c r="C21" s="21" t="str">
        <f>VLOOKUP(A21, hash!A$2:B$550, 2, 0)</f>
        <v>6594377be0f4f63927a8ce26</v>
      </c>
      <c r="D21" s="23">
        <f t="shared" si="2"/>
        <v>0</v>
      </c>
      <c r="E21" s="29"/>
      <c r="F21" s="34">
        <v>0.0</v>
      </c>
      <c r="G21" s="36">
        <v>0.0</v>
      </c>
      <c r="H21" s="35">
        <v>0.0</v>
      </c>
      <c r="I21" s="32"/>
      <c r="J21" s="31"/>
    </row>
    <row r="22">
      <c r="A22" s="22" t="s">
        <v>14</v>
      </c>
      <c r="B22" s="21">
        <f t="shared" si="3"/>
        <v>1018.181818</v>
      </c>
      <c r="C22" s="21" t="str">
        <f>VLOOKUP(A22, hash!A$2:B$550, 2, 0)</f>
        <v>66e1e10f7a8e6dc2aed3a63c</v>
      </c>
      <c r="D22" s="23">
        <f t="shared" si="2"/>
        <v>7</v>
      </c>
      <c r="E22" s="35">
        <v>6.0</v>
      </c>
      <c r="F22" s="34">
        <v>1.0</v>
      </c>
      <c r="G22" s="29"/>
      <c r="H22" s="31"/>
      <c r="I22" s="32"/>
      <c r="J22" s="31"/>
    </row>
    <row r="23">
      <c r="A23" s="22" t="s">
        <v>33</v>
      </c>
      <c r="B23" s="21">
        <f t="shared" si="3"/>
        <v>1163.636364</v>
      </c>
      <c r="C23" s="21" t="str">
        <f>VLOOKUP(A23, hash!A$2:B$550, 2, 0)</f>
        <v>66e1e126f0db8f5922c91d85</v>
      </c>
      <c r="D23" s="23">
        <f t="shared" si="2"/>
        <v>8</v>
      </c>
      <c r="E23" s="35">
        <v>7.0</v>
      </c>
      <c r="F23" s="34">
        <v>1.0</v>
      </c>
      <c r="G23" s="29"/>
      <c r="H23" s="31"/>
      <c r="I23" s="32"/>
      <c r="J23" s="31"/>
    </row>
    <row r="24">
      <c r="A24" s="22" t="s">
        <v>41</v>
      </c>
      <c r="B24" s="21">
        <f t="shared" si="3"/>
        <v>145.4545455</v>
      </c>
      <c r="C24" s="21" t="str">
        <f>VLOOKUP(A24, hash!A$2:B$550, 2, 0)</f>
        <v>66e1e12ef0db8f5922c91d8b</v>
      </c>
      <c r="D24" s="23">
        <f t="shared" si="2"/>
        <v>1</v>
      </c>
      <c r="E24" s="40">
        <v>0.0</v>
      </c>
      <c r="F24" s="40">
        <v>1.0</v>
      </c>
      <c r="G24" s="29"/>
      <c r="H24" s="31"/>
      <c r="I24" s="32"/>
      <c r="J24" s="31"/>
    </row>
    <row r="25">
      <c r="A25" s="22" t="s">
        <v>57</v>
      </c>
      <c r="B25" s="21">
        <f t="shared" si="3"/>
        <v>0</v>
      </c>
      <c r="C25" s="21" t="str">
        <f>VLOOKUP(A25, hash!A$2:B$550, 2, 0)</f>
        <v>66e1e13168fa766abf5d11d8</v>
      </c>
      <c r="D25" s="23">
        <f t="shared" si="2"/>
        <v>0</v>
      </c>
      <c r="E25" s="34">
        <v>0.0</v>
      </c>
      <c r="F25" s="35">
        <v>0.0</v>
      </c>
      <c r="G25" s="36">
        <v>0.0</v>
      </c>
      <c r="H25" s="31"/>
      <c r="I25" s="32"/>
      <c r="J25" s="33"/>
    </row>
    <row r="26">
      <c r="A26" s="22" t="s">
        <v>31</v>
      </c>
      <c r="B26" s="21">
        <f t="shared" si="3"/>
        <v>0</v>
      </c>
      <c r="C26" s="21" t="str">
        <f>VLOOKUP(A26, hash!A$2:B$550, 2, 0)</f>
        <v>66e1e13fdb315cbd40043fca</v>
      </c>
      <c r="D26" s="23">
        <f t="shared" si="2"/>
        <v>0</v>
      </c>
      <c r="E26" s="29"/>
      <c r="F26" s="30"/>
      <c r="G26" s="29"/>
      <c r="H26" s="31"/>
      <c r="I26" s="32"/>
      <c r="J26" s="33"/>
    </row>
    <row r="27">
      <c r="A27" s="22" t="s">
        <v>38</v>
      </c>
      <c r="B27" s="21">
        <f t="shared" si="3"/>
        <v>0</v>
      </c>
      <c r="C27" s="21" t="str">
        <f>VLOOKUP(A27, hash!A$2:B$550, 2, 0)</f>
        <v>66e1e295c67d6a88d4309dde</v>
      </c>
      <c r="D27" s="23">
        <f t="shared" si="2"/>
        <v>0</v>
      </c>
      <c r="E27" s="29"/>
      <c r="F27" s="35">
        <v>0.0</v>
      </c>
      <c r="G27" s="29"/>
      <c r="H27" s="31"/>
      <c r="I27" s="32"/>
      <c r="J27" s="35">
        <v>0.0</v>
      </c>
    </row>
    <row r="28">
      <c r="A28" s="22" t="s">
        <v>37</v>
      </c>
      <c r="B28" s="21">
        <f t="shared" si="3"/>
        <v>1163.636364</v>
      </c>
      <c r="C28" s="21" t="str">
        <f>VLOOKUP(A28, hash!A$2:B$550, 2, 0)</f>
        <v>66e21e0e9dc93e7d858c34ab</v>
      </c>
      <c r="D28" s="23">
        <f t="shared" si="2"/>
        <v>8</v>
      </c>
      <c r="E28" s="34">
        <v>7.0</v>
      </c>
      <c r="F28" s="35">
        <v>1.0</v>
      </c>
      <c r="G28" s="29"/>
      <c r="H28" s="31"/>
      <c r="I28" s="32"/>
      <c r="J28" s="31"/>
    </row>
    <row r="29">
      <c r="A29" s="22" t="s">
        <v>87</v>
      </c>
      <c r="B29" s="21">
        <f t="shared" si="3"/>
        <v>0</v>
      </c>
      <c r="C29" s="21" t="str">
        <f>VLOOKUP(A29, hash!A$2:B$550, 2, 0)</f>
        <v>68c1c3226d9fc0b28257c5f3</v>
      </c>
      <c r="D29" s="23">
        <f t="shared" si="2"/>
        <v>0</v>
      </c>
      <c r="E29" s="29"/>
      <c r="F29" s="30"/>
      <c r="G29" s="29"/>
      <c r="H29" s="31"/>
      <c r="I29" s="32"/>
      <c r="J29" s="31"/>
    </row>
    <row r="30">
      <c r="A30" s="22" t="s">
        <v>58</v>
      </c>
      <c r="B30" s="21">
        <f t="shared" si="3"/>
        <v>0</v>
      </c>
      <c r="C30" s="21" t="str">
        <f>VLOOKUP(A30, hash!A$2:B$550, 2, 0)</f>
        <v>68c1c3336d9fc0b28257c5f4</v>
      </c>
      <c r="D30" s="23">
        <f t="shared" si="2"/>
        <v>0</v>
      </c>
      <c r="E30" s="35">
        <v>0.0</v>
      </c>
      <c r="F30" s="35">
        <v>0.0</v>
      </c>
      <c r="G30" s="36">
        <v>0.0</v>
      </c>
      <c r="H30" s="35">
        <v>0.0</v>
      </c>
      <c r="I30" s="35">
        <v>0.0</v>
      </c>
      <c r="J30" s="35">
        <v>0.0</v>
      </c>
    </row>
    <row r="31">
      <c r="A31" s="22" t="s">
        <v>55</v>
      </c>
      <c r="B31" s="21">
        <f t="shared" si="3"/>
        <v>145.4545455</v>
      </c>
      <c r="C31" s="21" t="str">
        <f>VLOOKUP(A31, hash!A$2:B$550, 2, 0)</f>
        <v>68c1c33d6d9fc0b28257c5f7</v>
      </c>
      <c r="D31" s="23">
        <f t="shared" si="2"/>
        <v>1</v>
      </c>
      <c r="E31" s="29"/>
      <c r="F31" s="35">
        <v>1.0</v>
      </c>
      <c r="G31" s="29"/>
      <c r="H31" s="31"/>
      <c r="I31" s="32"/>
      <c r="J31" s="33"/>
    </row>
    <row r="32">
      <c r="A32" s="22" t="s">
        <v>20</v>
      </c>
      <c r="B32" s="21">
        <f t="shared" si="3"/>
        <v>145.4545455</v>
      </c>
      <c r="C32" s="21" t="str">
        <f>VLOOKUP(A32, hash!A$2:B$550, 2, 0)</f>
        <v>68c1c4ad8d697869a6c944d9</v>
      </c>
      <c r="D32" s="23">
        <f t="shared" si="2"/>
        <v>1</v>
      </c>
      <c r="E32" s="35">
        <v>0.0</v>
      </c>
      <c r="F32" s="35">
        <v>1.0</v>
      </c>
      <c r="G32" s="36">
        <v>0.0</v>
      </c>
      <c r="H32" s="35">
        <v>0.0</v>
      </c>
      <c r="I32" s="35">
        <v>0.0</v>
      </c>
      <c r="J32" s="35">
        <v>0.0</v>
      </c>
    </row>
    <row r="33">
      <c r="A33" s="14" t="s">
        <v>25</v>
      </c>
      <c r="B33" s="21">
        <f t="shared" si="3"/>
        <v>0</v>
      </c>
      <c r="C33" s="21" t="str">
        <f>VLOOKUP(A33, hash!A$2:B$550, 2, 0)</f>
        <v>68c1ceeed4e889598e7f612e</v>
      </c>
      <c r="D33" s="23">
        <f t="shared" si="2"/>
        <v>0</v>
      </c>
      <c r="E33" s="29"/>
      <c r="F33" s="29"/>
      <c r="G33" s="29"/>
      <c r="H33" s="31"/>
      <c r="I33" s="32"/>
      <c r="J33" s="31"/>
    </row>
    <row r="34">
      <c r="A34" s="14" t="s">
        <v>59</v>
      </c>
      <c r="B34" s="21">
        <f t="shared" si="3"/>
        <v>0</v>
      </c>
      <c r="C34" s="21" t="str">
        <f>VLOOKUP(A34, hash!A$2:B$550, 2, 0)</f>
        <v>68c1d077fd19a63c5d2c0ded</v>
      </c>
      <c r="D34" s="23">
        <f t="shared" si="2"/>
        <v>0</v>
      </c>
      <c r="E34" s="35">
        <v>0.0</v>
      </c>
      <c r="F34" s="34">
        <v>0.0</v>
      </c>
      <c r="G34" s="36">
        <v>0.0</v>
      </c>
      <c r="H34" s="35">
        <v>0.0</v>
      </c>
      <c r="I34" s="35">
        <v>0.0</v>
      </c>
      <c r="J34" s="35">
        <v>0.0</v>
      </c>
    </row>
    <row r="35">
      <c r="A35" s="14" t="s">
        <v>32</v>
      </c>
      <c r="B35" s="21">
        <f t="shared" si="3"/>
        <v>1018.181818</v>
      </c>
      <c r="C35" s="21" t="str">
        <f>VLOOKUP(A35, hash!A$2:B$550, 2, 0)</f>
        <v>68cafd04a0dcc7e1df4c54a0</v>
      </c>
      <c r="D35" s="23">
        <f t="shared" si="2"/>
        <v>7</v>
      </c>
      <c r="E35" s="34">
        <v>7.0</v>
      </c>
      <c r="F35" s="35">
        <v>0.0</v>
      </c>
      <c r="G35" s="29"/>
      <c r="H35" s="31"/>
      <c r="I35" s="32"/>
      <c r="J35" s="31"/>
    </row>
    <row r="36">
      <c r="A36" s="22" t="s">
        <v>34</v>
      </c>
      <c r="B36" s="21">
        <f t="shared" si="3"/>
        <v>0</v>
      </c>
      <c r="C36" s="21" t="str">
        <f>VLOOKUP(A36, hash!A$2:B$550, 2, 0)</f>
        <v>63222c2fed58d92b843f7cbf</v>
      </c>
      <c r="D36" s="23">
        <f t="shared" si="2"/>
        <v>0</v>
      </c>
      <c r="E36" s="34">
        <v>0.0</v>
      </c>
      <c r="F36" s="35">
        <v>0.0</v>
      </c>
      <c r="G36" s="36">
        <v>0.0</v>
      </c>
      <c r="H36" s="31"/>
      <c r="I36" s="36">
        <v>0.0</v>
      </c>
      <c r="J36" s="35">
        <v>0.0</v>
      </c>
    </row>
    <row r="37">
      <c r="A37" s="22" t="s">
        <v>21</v>
      </c>
      <c r="B37" s="21">
        <f t="shared" si="3"/>
        <v>290.9090909</v>
      </c>
      <c r="C37" s="21" t="str">
        <f>VLOOKUP(A37, hash!A$2:B$550, 2, 0)</f>
        <v>63222da0116f680d68804fa7</v>
      </c>
      <c r="D37" s="23">
        <f t="shared" si="2"/>
        <v>2</v>
      </c>
      <c r="E37" s="35">
        <v>0.0</v>
      </c>
      <c r="F37" s="34">
        <v>2.0</v>
      </c>
      <c r="G37" s="36">
        <v>0.0</v>
      </c>
      <c r="H37" s="31"/>
      <c r="I37" s="31"/>
      <c r="J37" s="31"/>
    </row>
    <row r="38">
      <c r="A38" s="22" t="s">
        <v>86</v>
      </c>
      <c r="B38" s="21">
        <f t="shared" si="3"/>
        <v>0</v>
      </c>
      <c r="C38" s="21" t="str">
        <f>VLOOKUP(A38, hash!A$2:B$550, 2, 0)</f>
        <v>65020c05097ac3c9d0632651</v>
      </c>
      <c r="D38" s="23">
        <f t="shared" si="2"/>
        <v>0</v>
      </c>
      <c r="E38" s="35">
        <v>0.0</v>
      </c>
      <c r="F38" s="35">
        <v>0.0</v>
      </c>
      <c r="G38" s="29"/>
      <c r="H38" s="31"/>
      <c r="I38" s="36">
        <v>0.0</v>
      </c>
      <c r="J38" s="31"/>
    </row>
    <row r="39">
      <c r="A39" s="22" t="s">
        <v>88</v>
      </c>
      <c r="B39" s="21">
        <f t="shared" si="3"/>
        <v>0</v>
      </c>
      <c r="C39" s="21" t="str">
        <f>VLOOKUP(A39, hash!A$2:B$550, 2, 0)</f>
        <v>65020d65097ac3c9d063266d</v>
      </c>
      <c r="D39" s="23">
        <f t="shared" si="2"/>
        <v>0</v>
      </c>
      <c r="E39" s="29"/>
      <c r="F39" s="30"/>
      <c r="G39" s="29"/>
      <c r="H39" s="31"/>
      <c r="I39" s="31"/>
      <c r="J39" s="31"/>
    </row>
    <row r="40">
      <c r="A40" s="22" t="s">
        <v>12</v>
      </c>
      <c r="B40" s="21">
        <f t="shared" si="3"/>
        <v>0</v>
      </c>
      <c r="C40" s="21" t="str">
        <f>VLOOKUP(A40, hash!A$2:B$550, 2, 0)</f>
        <v>651dadf4a69631c34bde617f</v>
      </c>
      <c r="D40" s="23">
        <f t="shared" si="2"/>
        <v>0</v>
      </c>
      <c r="E40" s="29"/>
      <c r="F40" s="30"/>
      <c r="G40" s="29"/>
      <c r="H40" s="31"/>
      <c r="I40" s="31"/>
      <c r="J40" s="31"/>
    </row>
    <row r="41">
      <c r="A41" s="22" t="s">
        <v>42</v>
      </c>
      <c r="B41" s="21">
        <f t="shared" si="3"/>
        <v>145.4545455</v>
      </c>
      <c r="C41" s="21" t="str">
        <f>VLOOKUP(A41, hash!A$2:B$550, 2, 0)</f>
        <v>66e1e102a61e89c7c68f6e2f</v>
      </c>
      <c r="D41" s="23">
        <f t="shared" si="2"/>
        <v>1</v>
      </c>
      <c r="E41" s="29"/>
      <c r="F41" s="35">
        <v>0.0</v>
      </c>
      <c r="G41" s="29"/>
      <c r="H41" s="31"/>
      <c r="I41" s="31"/>
      <c r="J41" s="35">
        <v>1.0</v>
      </c>
    </row>
    <row r="42">
      <c r="A42" s="22" t="s">
        <v>60</v>
      </c>
      <c r="B42" s="21">
        <f t="shared" si="3"/>
        <v>2327.272727</v>
      </c>
      <c r="C42" s="21" t="str">
        <f>VLOOKUP(A42, hash!A$2:B$550, 2, 0)</f>
        <v>66e1e105db315cbd40043fc1</v>
      </c>
      <c r="D42" s="23">
        <f t="shared" si="2"/>
        <v>16</v>
      </c>
      <c r="E42" s="42">
        <v>7.0</v>
      </c>
      <c r="F42" s="35">
        <v>7.0</v>
      </c>
      <c r="G42" s="29"/>
      <c r="H42" s="31"/>
      <c r="I42" s="35">
        <v>2.0</v>
      </c>
      <c r="J42" s="31"/>
    </row>
    <row r="43">
      <c r="A43" s="22" t="s">
        <v>43</v>
      </c>
      <c r="B43" s="21">
        <f t="shared" si="3"/>
        <v>0</v>
      </c>
      <c r="C43" s="21" t="str">
        <f>VLOOKUP(A43, hash!A$2:B$550, 2, 0)</f>
        <v>66e1e108a61e89c7c68f6e31</v>
      </c>
      <c r="D43" s="23">
        <f t="shared" si="2"/>
        <v>0</v>
      </c>
      <c r="E43" s="29"/>
      <c r="F43" s="35">
        <v>0.0</v>
      </c>
      <c r="G43" s="36">
        <v>0.0</v>
      </c>
      <c r="H43" s="35">
        <v>0.0</v>
      </c>
      <c r="I43" s="35">
        <v>0.0</v>
      </c>
      <c r="J43" s="35">
        <v>0.0</v>
      </c>
    </row>
    <row r="44">
      <c r="A44" s="22" t="s">
        <v>89</v>
      </c>
      <c r="B44" s="21">
        <f t="shared" si="3"/>
        <v>145.4545455</v>
      </c>
      <c r="C44" s="21" t="str">
        <f>VLOOKUP(A44, hash!A$2:B$550, 2, 0)</f>
        <v>66e1e10cdb315cbd40043fc4</v>
      </c>
      <c r="D44" s="23">
        <f t="shared" si="2"/>
        <v>1</v>
      </c>
      <c r="E44" s="35">
        <v>0.0</v>
      </c>
      <c r="F44" s="40">
        <v>1.0</v>
      </c>
      <c r="G44" s="36">
        <v>0.0</v>
      </c>
      <c r="H44" s="31"/>
      <c r="I44" s="35">
        <v>0.0</v>
      </c>
      <c r="J44" s="35">
        <v>0.0</v>
      </c>
    </row>
    <row r="45">
      <c r="A45" s="22" t="s">
        <v>50</v>
      </c>
      <c r="B45" s="21">
        <f t="shared" si="3"/>
        <v>0</v>
      </c>
      <c r="C45" s="21" t="str">
        <f>VLOOKUP(A45, hash!A$2:B$550, 2, 0)</f>
        <v>66e1e1227a8e6dc2aed3a641</v>
      </c>
      <c r="D45" s="23">
        <f t="shared" si="2"/>
        <v>0</v>
      </c>
      <c r="E45" s="34">
        <v>0.0</v>
      </c>
      <c r="F45" s="35">
        <v>0.0</v>
      </c>
      <c r="G45" s="29"/>
      <c r="H45" s="31"/>
      <c r="I45" s="31"/>
      <c r="J45" s="31"/>
    </row>
    <row r="46">
      <c r="A46" s="22" t="s">
        <v>44</v>
      </c>
      <c r="B46" s="21">
        <f t="shared" si="3"/>
        <v>0</v>
      </c>
      <c r="C46" s="21" t="str">
        <f>VLOOKUP(A46, hash!A$2:B$550, 2, 0)</f>
        <v>66e1e125f0db8f5922c91d84</v>
      </c>
      <c r="D46" s="23">
        <f t="shared" si="2"/>
        <v>0</v>
      </c>
      <c r="E46" s="29"/>
      <c r="F46" s="35">
        <v>0.0</v>
      </c>
      <c r="G46" s="29"/>
      <c r="H46" s="31"/>
      <c r="I46" s="31"/>
      <c r="J46" s="33"/>
    </row>
    <row r="47">
      <c r="A47" s="22" t="s">
        <v>16</v>
      </c>
      <c r="B47" s="21">
        <f t="shared" si="3"/>
        <v>0</v>
      </c>
      <c r="C47" s="21" t="str">
        <f>VLOOKUP(A47, hash!A$2:B$550, 2, 0)</f>
        <v>66e1e1267a8e6dc2aed3a644</v>
      </c>
      <c r="D47" s="23">
        <f t="shared" si="2"/>
        <v>0</v>
      </c>
      <c r="E47" s="29"/>
      <c r="F47" s="34">
        <v>0.0</v>
      </c>
      <c r="G47" s="29"/>
      <c r="H47" s="31"/>
      <c r="I47" s="31"/>
      <c r="J47" s="31"/>
    </row>
    <row r="48">
      <c r="A48" s="22" t="s">
        <v>62</v>
      </c>
      <c r="B48" s="21">
        <f t="shared" si="3"/>
        <v>145.4545455</v>
      </c>
      <c r="C48" s="21" t="str">
        <f>VLOOKUP(A48, hash!A$2:B$550, 2, 0)</f>
        <v>66e1e12a45950d34f3139132</v>
      </c>
      <c r="D48" s="23">
        <f t="shared" si="2"/>
        <v>1</v>
      </c>
      <c r="E48" s="29"/>
      <c r="F48" s="35">
        <v>1.0</v>
      </c>
      <c r="G48" s="29"/>
      <c r="H48" s="31"/>
      <c r="I48" s="35">
        <v>0.0</v>
      </c>
      <c r="J48" s="31"/>
    </row>
    <row r="49">
      <c r="A49" s="22" t="s">
        <v>63</v>
      </c>
      <c r="B49" s="21">
        <f t="shared" si="3"/>
        <v>1018.181818</v>
      </c>
      <c r="C49" s="21" t="str">
        <f>VLOOKUP(A49, hash!A$2:B$550, 2, 0)</f>
        <v>66e1e12cf0db8f5922c91d89</v>
      </c>
      <c r="D49" s="23">
        <f t="shared" si="2"/>
        <v>7</v>
      </c>
      <c r="E49" s="34">
        <v>6.0</v>
      </c>
      <c r="F49" s="35">
        <v>1.0</v>
      </c>
      <c r="G49" s="29"/>
      <c r="H49" s="31"/>
      <c r="I49" s="35">
        <v>0.0</v>
      </c>
      <c r="J49" s="35">
        <v>0.0</v>
      </c>
    </row>
    <row r="50">
      <c r="A50" s="22" t="s">
        <v>64</v>
      </c>
      <c r="B50" s="21">
        <f t="shared" si="3"/>
        <v>0</v>
      </c>
      <c r="C50" s="21" t="str">
        <f>VLOOKUP(A50, hash!A$2:B$550, 2, 0)</f>
        <v>66e1ed8c1129889a3e2c24aa</v>
      </c>
      <c r="D50" s="23">
        <f t="shared" si="2"/>
        <v>0</v>
      </c>
      <c r="E50" s="29"/>
      <c r="F50" s="29"/>
      <c r="G50" s="29"/>
      <c r="H50" s="31"/>
      <c r="I50" s="31"/>
      <c r="J50" s="31"/>
    </row>
    <row r="51">
      <c r="A51" s="22" t="s">
        <v>45</v>
      </c>
      <c r="B51" s="21">
        <f t="shared" si="3"/>
        <v>0</v>
      </c>
      <c r="C51" s="21" t="str">
        <f>VLOOKUP(A51, hash!A$2:B$550, 2, 0)</f>
        <v>66e1ed8d1129889a3e2c24ab</v>
      </c>
      <c r="D51" s="23">
        <f t="shared" si="2"/>
        <v>0</v>
      </c>
      <c r="E51" s="29"/>
      <c r="F51" s="40">
        <v>0.0</v>
      </c>
      <c r="G51" s="29"/>
      <c r="H51" s="31"/>
      <c r="I51" s="31"/>
      <c r="J51" s="31"/>
    </row>
    <row r="52">
      <c r="A52" s="22" t="s">
        <v>90</v>
      </c>
      <c r="B52" s="21">
        <f t="shared" si="3"/>
        <v>0</v>
      </c>
      <c r="C52" s="21" t="str">
        <f>VLOOKUP(A52, hash!A$2:B$550, 2, 0)</f>
        <v>66e1edab07067318cc1e18d3</v>
      </c>
      <c r="D52" s="23">
        <f t="shared" si="2"/>
        <v>0</v>
      </c>
      <c r="E52" s="35">
        <v>0.0</v>
      </c>
      <c r="F52" s="35">
        <v>0.0</v>
      </c>
      <c r="G52" s="36">
        <v>0.0</v>
      </c>
      <c r="H52" s="35">
        <v>0.0</v>
      </c>
      <c r="I52" s="36">
        <v>0.0</v>
      </c>
      <c r="J52" s="35">
        <v>0.0</v>
      </c>
    </row>
    <row r="53">
      <c r="A53" s="22" t="s">
        <v>35</v>
      </c>
      <c r="B53" s="21">
        <f t="shared" si="3"/>
        <v>0</v>
      </c>
      <c r="C53" s="21" t="str">
        <f>VLOOKUP(A53, hash!A$2:B$550, 2, 0)</f>
        <v>66eb1b4237edf2b32f9fc2ec</v>
      </c>
      <c r="D53" s="23">
        <f t="shared" si="2"/>
        <v>0</v>
      </c>
      <c r="E53" s="34">
        <v>0.0</v>
      </c>
      <c r="F53" s="35">
        <v>0.0</v>
      </c>
      <c r="G53" s="29"/>
      <c r="H53" s="31"/>
      <c r="I53" s="31"/>
      <c r="J53" s="31"/>
    </row>
    <row r="54">
      <c r="A54" s="22" t="s">
        <v>65</v>
      </c>
      <c r="B54" s="21">
        <f t="shared" si="3"/>
        <v>0</v>
      </c>
      <c r="C54" s="21" t="str">
        <f>VLOOKUP(A54, hash!A$2:B$550, 2, 0)</f>
        <v>67194c61fd5423623b1a2f50</v>
      </c>
      <c r="D54" s="23">
        <f t="shared" si="2"/>
        <v>0</v>
      </c>
      <c r="E54" s="29"/>
      <c r="F54" s="35">
        <v>0.0</v>
      </c>
      <c r="G54" s="36">
        <v>0.0</v>
      </c>
      <c r="H54" s="31"/>
      <c r="I54" s="31"/>
      <c r="J54" s="35">
        <v>0.0</v>
      </c>
    </row>
    <row r="55">
      <c r="A55" s="22" t="s">
        <v>28</v>
      </c>
      <c r="B55" s="21">
        <f t="shared" si="3"/>
        <v>0</v>
      </c>
      <c r="C55" s="21" t="str">
        <f>VLOOKUP(A55, hash!A$2:B$550, 2, 0)</f>
        <v>672a75c30d4b802ed589275d</v>
      </c>
      <c r="D55" s="23">
        <f t="shared" si="2"/>
        <v>0</v>
      </c>
      <c r="E55" s="35">
        <v>0.0</v>
      </c>
      <c r="F55" s="29"/>
      <c r="G55" s="29"/>
      <c r="H55" s="31"/>
      <c r="I55" s="31"/>
      <c r="J55" s="35">
        <v>0.0</v>
      </c>
    </row>
    <row r="56">
      <c r="A56" s="22" t="s">
        <v>66</v>
      </c>
      <c r="B56" s="21">
        <f t="shared" si="3"/>
        <v>0</v>
      </c>
      <c r="C56" s="21" t="str">
        <f>VLOOKUP(A56, hash!A$2:B$550, 2, 0)</f>
        <v>68a8f8ba8829a7be88667a86</v>
      </c>
      <c r="D56" s="23">
        <f t="shared" si="2"/>
        <v>0</v>
      </c>
      <c r="E56" s="29"/>
      <c r="F56" s="29"/>
      <c r="G56" s="29"/>
      <c r="H56" s="31"/>
      <c r="I56" s="31"/>
      <c r="J56" s="31"/>
    </row>
    <row r="57">
      <c r="A57" s="22" t="s">
        <v>67</v>
      </c>
      <c r="B57" s="21">
        <f t="shared" si="3"/>
        <v>0</v>
      </c>
      <c r="C57" s="21" t="str">
        <f>VLOOKUP(A57, hash!A$2:B$550, 2, 0)</f>
        <v>68ae776645784f0c9b674d14</v>
      </c>
      <c r="D57" s="23">
        <f t="shared" si="2"/>
        <v>0</v>
      </c>
      <c r="E57" s="29"/>
      <c r="F57" s="29"/>
      <c r="G57" s="29"/>
      <c r="H57" s="31"/>
      <c r="I57" s="31"/>
      <c r="J57" s="31"/>
    </row>
    <row r="58">
      <c r="A58" s="22" t="s">
        <v>68</v>
      </c>
      <c r="B58" s="21">
        <f t="shared" si="3"/>
        <v>0</v>
      </c>
      <c r="C58" s="21" t="str">
        <f>VLOOKUP(A58, hash!A$2:B$550, 2, 0)</f>
        <v>68af5fb7a3c82a4914c27eae</v>
      </c>
      <c r="D58" s="23">
        <f t="shared" si="2"/>
        <v>0</v>
      </c>
      <c r="E58" s="29"/>
      <c r="F58" s="35">
        <v>0.0</v>
      </c>
      <c r="G58" s="29"/>
      <c r="H58" s="31"/>
      <c r="I58" s="31"/>
      <c r="J58" s="31"/>
    </row>
    <row r="59">
      <c r="A59" s="22" t="s">
        <v>69</v>
      </c>
      <c r="B59" s="21">
        <f t="shared" si="3"/>
        <v>0</v>
      </c>
      <c r="C59" s="21" t="str">
        <f>VLOOKUP(A59, hash!A$2:B$550, 2, 0)</f>
        <v>68b201d43ba156dcc33e83fd</v>
      </c>
      <c r="D59" s="23">
        <f t="shared" si="2"/>
        <v>0</v>
      </c>
      <c r="E59" s="29"/>
      <c r="F59" s="35">
        <v>0.0</v>
      </c>
      <c r="G59" s="36">
        <v>0.0</v>
      </c>
      <c r="H59" s="31"/>
      <c r="I59" s="35">
        <v>0.0</v>
      </c>
      <c r="J59" s="35">
        <v>0.0</v>
      </c>
    </row>
    <row r="60">
      <c r="A60" s="22" t="s">
        <v>70</v>
      </c>
      <c r="B60" s="21">
        <f t="shared" si="3"/>
        <v>0</v>
      </c>
      <c r="C60" s="21" t="str">
        <f>VLOOKUP(A60, hash!A$2:B$550, 2, 0)</f>
        <v>68c1c2d66d9fc0b28257c5ec</v>
      </c>
      <c r="D60" s="23">
        <f t="shared" si="2"/>
        <v>0</v>
      </c>
      <c r="E60" s="29"/>
      <c r="F60" s="29"/>
      <c r="G60" s="29"/>
      <c r="H60" s="31"/>
      <c r="I60" s="31"/>
      <c r="J60" s="31"/>
    </row>
    <row r="61">
      <c r="A61" s="22" t="s">
        <v>71</v>
      </c>
      <c r="B61" s="21">
        <f t="shared" si="3"/>
        <v>0</v>
      </c>
      <c r="C61" s="21" t="str">
        <f>VLOOKUP(A61, hash!A$2:B$550, 2, 0)</f>
        <v>68c1c2fb9900186967b69332</v>
      </c>
      <c r="D61" s="23">
        <f t="shared" si="2"/>
        <v>0</v>
      </c>
      <c r="E61" s="29"/>
      <c r="F61" s="29"/>
      <c r="G61" s="29"/>
      <c r="H61" s="31"/>
      <c r="I61" s="31"/>
      <c r="J61" s="31"/>
    </row>
    <row r="62">
      <c r="A62" s="22" t="s">
        <v>36</v>
      </c>
      <c r="B62" s="21">
        <f t="shared" si="3"/>
        <v>1018.181818</v>
      </c>
      <c r="C62" s="21" t="str">
        <f>VLOOKUP(A62, hash!A$2:B$550, 2, 0)</f>
        <v>68c1c3056d9fc0b28257c5ed</v>
      </c>
      <c r="D62" s="23">
        <f t="shared" si="2"/>
        <v>7</v>
      </c>
      <c r="E62" s="35">
        <v>7.0</v>
      </c>
      <c r="F62" s="35">
        <v>0.0</v>
      </c>
      <c r="G62" s="29"/>
      <c r="H62" s="31"/>
      <c r="I62" s="31"/>
      <c r="J62" s="31"/>
    </row>
    <row r="63">
      <c r="A63" s="22" t="s">
        <v>51</v>
      </c>
      <c r="B63" s="21">
        <f t="shared" si="3"/>
        <v>0</v>
      </c>
      <c r="C63" s="21" t="str">
        <f>VLOOKUP(A63, hash!A$2:B$550, 2, 0)</f>
        <v>68c1c30f6d9fc0b28257c5f0</v>
      </c>
      <c r="D63" s="23">
        <f t="shared" si="2"/>
        <v>0</v>
      </c>
      <c r="E63" s="29"/>
      <c r="F63" s="35">
        <v>0.0</v>
      </c>
      <c r="G63" s="29"/>
      <c r="H63" s="31"/>
      <c r="I63" s="31"/>
      <c r="J63" s="31"/>
    </row>
    <row r="64">
      <c r="A64" s="22" t="s">
        <v>72</v>
      </c>
      <c r="B64" s="21">
        <f t="shared" si="3"/>
        <v>0</v>
      </c>
      <c r="C64" s="21" t="str">
        <f>VLOOKUP(A64, hash!A$2:B$550, 2, 0)</f>
        <v>68c1c3386d9fc0b28257c5f5</v>
      </c>
      <c r="D64" s="23">
        <f t="shared" si="2"/>
        <v>0</v>
      </c>
      <c r="E64" s="29"/>
      <c r="F64" s="29"/>
      <c r="G64" s="29"/>
      <c r="H64" s="31"/>
      <c r="I64" s="31"/>
      <c r="J64" s="31"/>
    </row>
    <row r="65">
      <c r="A65" s="22" t="s">
        <v>46</v>
      </c>
      <c r="B65" s="21">
        <f t="shared" si="3"/>
        <v>145.4545455</v>
      </c>
      <c r="C65" s="21" t="str">
        <f>VLOOKUP(A65, hash!A$2:B$550, 2, 0)</f>
        <v>68c1c3396d9fc0b28257c5f6</v>
      </c>
      <c r="D65" s="23">
        <f t="shared" si="2"/>
        <v>1</v>
      </c>
      <c r="E65" s="35">
        <v>1.0</v>
      </c>
      <c r="F65" s="29"/>
      <c r="G65" s="29"/>
      <c r="H65" s="31"/>
      <c r="I65" s="31"/>
      <c r="J65" s="31"/>
    </row>
    <row r="66">
      <c r="A66" s="22" t="s">
        <v>52</v>
      </c>
      <c r="B66" s="21">
        <f t="shared" si="3"/>
        <v>0</v>
      </c>
      <c r="C66" s="21" t="str">
        <f>VLOOKUP(A66, hash!A$2:B$550, 2, 0)</f>
        <v>68c1c42919cae884bc3ecddf</v>
      </c>
      <c r="D66" s="23">
        <f t="shared" si="2"/>
        <v>0</v>
      </c>
      <c r="E66" s="35">
        <v>0.0</v>
      </c>
      <c r="F66" s="29"/>
      <c r="G66" s="29"/>
      <c r="H66" s="31"/>
      <c r="I66" s="31"/>
      <c r="J66" s="31"/>
    </row>
    <row r="67">
      <c r="A67" s="22" t="s">
        <v>73</v>
      </c>
      <c r="B67" s="21">
        <f t="shared" si="3"/>
        <v>0</v>
      </c>
      <c r="C67" s="21" t="str">
        <f>VLOOKUP(A67, hash!A$2:B$550, 2, 0)</f>
        <v>68c1c48aa70b0954910985c2</v>
      </c>
      <c r="D67" s="23">
        <f t="shared" si="2"/>
        <v>0</v>
      </c>
      <c r="E67" s="29"/>
      <c r="F67" s="29"/>
      <c r="G67" s="29"/>
      <c r="H67" s="31"/>
      <c r="I67" s="31"/>
      <c r="J67" s="31"/>
    </row>
    <row r="68">
      <c r="A68" s="22" t="s">
        <v>74</v>
      </c>
      <c r="B68" s="21">
        <f t="shared" si="3"/>
        <v>0</v>
      </c>
      <c r="C68" s="21" t="str">
        <f>VLOOKUP(A68, hash!A$2:B$550, 2, 0)</f>
        <v>68c1c48c8d697869a6c944d3</v>
      </c>
      <c r="D68" s="23">
        <f t="shared" si="2"/>
        <v>0</v>
      </c>
      <c r="E68" s="29"/>
      <c r="F68" s="29"/>
      <c r="G68" s="29"/>
      <c r="H68" s="31"/>
      <c r="I68" s="31"/>
      <c r="J68" s="31"/>
    </row>
    <row r="69">
      <c r="A69" s="14" t="s">
        <v>75</v>
      </c>
      <c r="B69" s="21">
        <f t="shared" si="3"/>
        <v>0</v>
      </c>
      <c r="C69" s="21" t="str">
        <f>VLOOKUP(A69, hash!A$2:B$550, 2, 0)</f>
        <v>68c1cf4ad4e889598e7f6131</v>
      </c>
      <c r="D69" s="23">
        <f t="shared" si="2"/>
        <v>0</v>
      </c>
      <c r="E69" s="29"/>
      <c r="F69" s="29"/>
      <c r="G69" s="29"/>
      <c r="H69" s="31"/>
      <c r="I69" s="31"/>
      <c r="J69" s="31"/>
    </row>
    <row r="70">
      <c r="A70" s="14" t="s">
        <v>76</v>
      </c>
      <c r="B70" s="21">
        <f t="shared" si="3"/>
        <v>0</v>
      </c>
      <c r="C70" s="21" t="str">
        <f>VLOOKUP(A70, hash!A$2:B$550, 2, 0)</f>
        <v>68c1cf5ed4e889598e7f6138</v>
      </c>
      <c r="D70" s="23">
        <f t="shared" si="2"/>
        <v>0</v>
      </c>
      <c r="E70" s="29"/>
      <c r="F70" s="29"/>
      <c r="G70" s="29"/>
      <c r="H70" s="31"/>
      <c r="I70" s="31"/>
      <c r="J70" s="31"/>
    </row>
    <row r="71">
      <c r="A71" s="14" t="s">
        <v>77</v>
      </c>
      <c r="B71" s="21">
        <f t="shared" si="3"/>
        <v>0</v>
      </c>
      <c r="C71" s="21" t="str">
        <f>VLOOKUP(A71, hash!A$2:B$550, 2, 0)</f>
        <v>68c1cfcf6c36cb3b60206bc4</v>
      </c>
      <c r="D71" s="23">
        <f t="shared" si="2"/>
        <v>0</v>
      </c>
      <c r="E71" s="29"/>
      <c r="F71" s="35">
        <v>0.0</v>
      </c>
      <c r="G71" s="29"/>
      <c r="H71" s="35">
        <v>0.0</v>
      </c>
      <c r="I71" s="31"/>
      <c r="J71" s="35">
        <v>0.0</v>
      </c>
    </row>
    <row r="72">
      <c r="A72" s="14" t="s">
        <v>47</v>
      </c>
      <c r="B72" s="21">
        <f t="shared" si="3"/>
        <v>0</v>
      </c>
      <c r="C72" s="21" t="str">
        <f>VLOOKUP(A72, hash!A$2:B$550, 2, 0)</f>
        <v>68c1cfdf6c36cb3b60206bc7</v>
      </c>
      <c r="D72" s="23">
        <f t="shared" si="2"/>
        <v>0</v>
      </c>
      <c r="E72" s="29"/>
      <c r="F72" s="29"/>
      <c r="G72" s="29"/>
      <c r="H72" s="35">
        <v>0.0</v>
      </c>
      <c r="I72" s="31"/>
      <c r="J72" s="35">
        <v>0.0</v>
      </c>
    </row>
    <row r="73">
      <c r="A73" s="14" t="s">
        <v>78</v>
      </c>
      <c r="B73" s="21">
        <f t="shared" si="3"/>
        <v>0</v>
      </c>
      <c r="C73" s="21" t="str">
        <f>VLOOKUP(A73, hash!A$2:B$550, 2, 0)</f>
        <v>68c1cfeb6c36cb3b60206bc9</v>
      </c>
      <c r="D73" s="23">
        <f t="shared" si="2"/>
        <v>0</v>
      </c>
      <c r="E73" s="29"/>
      <c r="F73" s="29"/>
      <c r="G73" s="29"/>
      <c r="H73" s="31"/>
      <c r="I73" s="31"/>
      <c r="J73" s="31"/>
    </row>
    <row r="74">
      <c r="A74" s="14" t="s">
        <v>49</v>
      </c>
      <c r="B74" s="21">
        <f t="shared" si="3"/>
        <v>145.4545455</v>
      </c>
      <c r="C74" s="21" t="str">
        <f>VLOOKUP(A74, hash!A$2:B$550, 2, 0)</f>
        <v>68c1d003f29fd291859a49b7</v>
      </c>
      <c r="D74" s="23">
        <f t="shared" si="2"/>
        <v>1</v>
      </c>
      <c r="E74" s="34">
        <v>0.0</v>
      </c>
      <c r="F74" s="35">
        <v>1.0</v>
      </c>
      <c r="G74" s="36">
        <v>0.0</v>
      </c>
      <c r="H74" s="31"/>
      <c r="I74" s="35">
        <v>0.0</v>
      </c>
      <c r="J74" s="35">
        <v>0.0</v>
      </c>
    </row>
    <row r="75">
      <c r="A75" s="14" t="s">
        <v>79</v>
      </c>
      <c r="B75" s="21">
        <f t="shared" si="3"/>
        <v>0</v>
      </c>
      <c r="C75" s="21" t="str">
        <f>VLOOKUP(A75, hash!A$2:B$550, 2, 0)</f>
        <v>68c1d0119147fa44206d10b7</v>
      </c>
      <c r="D75" s="23">
        <f t="shared" si="2"/>
        <v>0</v>
      </c>
      <c r="E75" s="29"/>
      <c r="F75" s="29"/>
      <c r="G75" s="29"/>
      <c r="H75" s="31"/>
      <c r="I75" s="31"/>
      <c r="J75" s="31"/>
    </row>
    <row r="76">
      <c r="A76" s="14" t="s">
        <v>53</v>
      </c>
      <c r="B76" s="21">
        <f t="shared" si="3"/>
        <v>145.4545455</v>
      </c>
      <c r="C76" s="21" t="str">
        <f>VLOOKUP(A76, hash!A$2:B$550, 2, 0)</f>
        <v>68c1d018f29fd291859a49b9</v>
      </c>
      <c r="D76" s="23">
        <f t="shared" si="2"/>
        <v>1</v>
      </c>
      <c r="E76" s="29"/>
      <c r="F76" s="35">
        <v>1.0</v>
      </c>
      <c r="G76" s="29"/>
      <c r="H76" s="31"/>
      <c r="I76" s="35">
        <v>0.0</v>
      </c>
      <c r="J76" s="31"/>
    </row>
    <row r="77">
      <c r="A77" s="14" t="s">
        <v>80</v>
      </c>
      <c r="B77" s="21">
        <f t="shared" si="3"/>
        <v>0</v>
      </c>
      <c r="C77" s="21" t="str">
        <f>VLOOKUP(A77, hash!A$2:B$550, 2, 0)</f>
        <v>68c1d0229147fa44206d10ba</v>
      </c>
      <c r="D77" s="23">
        <f t="shared" si="2"/>
        <v>0</v>
      </c>
      <c r="E77" s="29"/>
      <c r="F77" s="40">
        <v>0.0</v>
      </c>
      <c r="G77" s="29"/>
      <c r="H77" s="31"/>
      <c r="I77" s="31"/>
      <c r="J77" s="31"/>
    </row>
    <row r="78">
      <c r="A78" s="14" t="s">
        <v>81</v>
      </c>
      <c r="B78" s="21">
        <f t="shared" si="3"/>
        <v>0</v>
      </c>
      <c r="C78" s="21" t="str">
        <f>VLOOKUP(A78, hash!A$2:B$550, 2, 0)</f>
        <v>68c1d03ff29fd291859a49c2</v>
      </c>
      <c r="D78" s="23">
        <f t="shared" si="2"/>
        <v>0</v>
      </c>
      <c r="E78" s="29"/>
      <c r="F78" s="29"/>
      <c r="G78" s="29"/>
      <c r="H78" s="31"/>
      <c r="I78" s="31"/>
      <c r="J78" s="31"/>
    </row>
    <row r="79">
      <c r="A79" s="14" t="s">
        <v>22</v>
      </c>
      <c r="B79" s="21">
        <f t="shared" si="3"/>
        <v>0</v>
      </c>
      <c r="C79" s="21" t="str">
        <f>VLOOKUP(A79, hash!A$2:B$550, 2, 0)</f>
        <v>68c1d041f29fd291859a49c6</v>
      </c>
      <c r="D79" s="23">
        <f t="shared" si="2"/>
        <v>0</v>
      </c>
      <c r="E79" s="29"/>
      <c r="F79" s="29"/>
      <c r="G79" s="29"/>
      <c r="H79" s="31"/>
      <c r="I79" s="31"/>
      <c r="J79" s="35">
        <v>0.0</v>
      </c>
    </row>
    <row r="80">
      <c r="A80" s="14" t="s">
        <v>82</v>
      </c>
      <c r="B80" s="21">
        <f t="shared" si="3"/>
        <v>0</v>
      </c>
      <c r="C80" s="21" t="str">
        <f>VLOOKUP(A80, hash!A$2:B$550, 2, 0)</f>
        <v>68c1d04b9147fa44206d10c4</v>
      </c>
      <c r="D80" s="23">
        <f t="shared" si="2"/>
        <v>0</v>
      </c>
      <c r="E80" s="29"/>
      <c r="F80" s="29"/>
      <c r="G80" s="29"/>
      <c r="H80" s="31"/>
      <c r="I80" s="31"/>
      <c r="J80" s="31"/>
    </row>
    <row r="81">
      <c r="A81" s="14" t="s">
        <v>83</v>
      </c>
      <c r="B81" s="21">
        <f t="shared" si="3"/>
        <v>0</v>
      </c>
      <c r="C81" s="21" t="str">
        <f>VLOOKUP(A81, hash!A$2:B$550, 2, 0)</f>
        <v>68c1d0669147fa44206d10ca</v>
      </c>
      <c r="D81" s="23">
        <f t="shared" si="2"/>
        <v>0</v>
      </c>
      <c r="E81" s="35">
        <v>0.0</v>
      </c>
      <c r="F81" s="35">
        <v>0.0</v>
      </c>
      <c r="G81" s="29"/>
      <c r="H81" s="31"/>
      <c r="I81" s="31"/>
      <c r="J81" s="35">
        <v>0.0</v>
      </c>
    </row>
    <row r="82">
      <c r="A82" s="14" t="s">
        <v>54</v>
      </c>
      <c r="B82" s="21">
        <f t="shared" si="3"/>
        <v>0</v>
      </c>
      <c r="C82" s="21" t="str">
        <f>VLOOKUP(A82, hash!A$2:B$550, 2, 0)</f>
        <v>68c1d07a9147fa44206d10d0</v>
      </c>
      <c r="D82" s="23">
        <f t="shared" si="2"/>
        <v>0</v>
      </c>
      <c r="E82" s="29"/>
      <c r="F82" s="29"/>
      <c r="G82" s="29"/>
      <c r="H82" s="31"/>
      <c r="I82" s="31"/>
      <c r="J82" s="31"/>
    </row>
    <row r="83">
      <c r="A83" s="14" t="s">
        <v>48</v>
      </c>
      <c r="B83" s="21">
        <f t="shared" si="3"/>
        <v>0</v>
      </c>
      <c r="C83" s="21" t="str">
        <f>VLOOKUP(A83, hash!A$2:B$550, 2, 0)</f>
        <v>68cb08754435a0189eb9113d</v>
      </c>
      <c r="D83" s="23">
        <f t="shared" si="2"/>
        <v>0</v>
      </c>
      <c r="E83" s="34">
        <v>0.0</v>
      </c>
      <c r="F83" s="35">
        <v>0.0</v>
      </c>
      <c r="G83" s="36">
        <v>0.0</v>
      </c>
      <c r="H83" s="35">
        <v>0.0</v>
      </c>
      <c r="I83" s="35">
        <v>0.0</v>
      </c>
      <c r="J83" s="35">
        <v>0.0</v>
      </c>
    </row>
    <row r="84">
      <c r="A84" s="14" t="s">
        <v>91</v>
      </c>
      <c r="B84" s="21">
        <f t="shared" si="3"/>
        <v>0</v>
      </c>
      <c r="C84" s="21" t="str">
        <f>VLOOKUP(A84, hash!A$2:B$550, 2, 0)</f>
        <v>68cafd3923cbd9382f9526f2</v>
      </c>
      <c r="D84" s="23">
        <f t="shared" si="2"/>
        <v>0</v>
      </c>
      <c r="E84" s="29"/>
      <c r="F84" s="29"/>
      <c r="G84" s="29"/>
      <c r="H84" s="31"/>
      <c r="I84" s="31"/>
      <c r="J84" s="31"/>
    </row>
    <row r="85">
      <c r="A85" s="14" t="s">
        <v>84</v>
      </c>
      <c r="B85" s="21">
        <f t="shared" si="3"/>
        <v>0</v>
      </c>
      <c r="C85" s="21" t="str">
        <f>VLOOKUP(A85, hash!A$2:B$550, 2, 0)</f>
        <v>68cb08764435a0189eb9113e</v>
      </c>
      <c r="D85" s="23">
        <f t="shared" si="2"/>
        <v>0</v>
      </c>
      <c r="E85" s="34">
        <v>0.0</v>
      </c>
      <c r="F85" s="35">
        <v>0.0</v>
      </c>
      <c r="G85" s="36">
        <v>0.0</v>
      </c>
      <c r="H85" s="35">
        <v>0.0</v>
      </c>
      <c r="I85" s="35">
        <v>0.0</v>
      </c>
      <c r="J85" s="35">
        <v>0.0</v>
      </c>
    </row>
    <row r="86">
      <c r="A86" s="14" t="s">
        <v>85</v>
      </c>
      <c r="B86" s="21">
        <f t="shared" si="3"/>
        <v>0</v>
      </c>
      <c r="C86" s="21" t="str">
        <f>VLOOKUP(A86, hash!A$2:B$550, 2, 0)</f>
        <v>68cc9c2aaa4d4aca25ce4004</v>
      </c>
      <c r="D86" s="23">
        <f t="shared" si="2"/>
        <v>0</v>
      </c>
      <c r="E86" s="29"/>
      <c r="F86" s="35">
        <v>0.0</v>
      </c>
      <c r="G86" s="29"/>
      <c r="H86" s="31"/>
      <c r="I86" s="31"/>
      <c r="J86" s="31"/>
    </row>
    <row r="87">
      <c r="A87" s="14" t="s">
        <v>296</v>
      </c>
      <c r="B87" s="21">
        <f t="shared" si="3"/>
        <v>0</v>
      </c>
      <c r="C87" s="21" t="str">
        <f>VLOOKUP(A87, hash!A$2:B$550, 2, 0)</f>
        <v>66e1e129f0db8f5922c91d87</v>
      </c>
      <c r="D87" s="23">
        <f t="shared" si="2"/>
        <v>0</v>
      </c>
      <c r="E87" s="35">
        <v>0.0</v>
      </c>
      <c r="F87" s="43">
        <v>0.0</v>
      </c>
      <c r="G87" s="36">
        <v>0.0</v>
      </c>
      <c r="H87" s="31"/>
      <c r="I87" s="31"/>
      <c r="J87" s="35">
        <v>0.0</v>
      </c>
    </row>
    <row r="88">
      <c r="A88" s="14" t="s">
        <v>92</v>
      </c>
      <c r="B88" s="21">
        <f t="shared" si="3"/>
        <v>4072.727273</v>
      </c>
      <c r="C88" s="21" t="str">
        <f>VLOOKUP(A88, hash!A$2:B$550, 2, 0)</f>
        <v>66e1e12ae2fbdff8a0c35638</v>
      </c>
      <c r="D88" s="23">
        <f t="shared" si="2"/>
        <v>28</v>
      </c>
      <c r="E88" s="34">
        <v>7.0</v>
      </c>
      <c r="F88" s="35">
        <v>7.0</v>
      </c>
      <c r="G88" s="36">
        <v>7.0</v>
      </c>
      <c r="H88" s="35">
        <v>7.0</v>
      </c>
      <c r="I88" s="31"/>
      <c r="J88" s="31"/>
    </row>
    <row r="89">
      <c r="A89" s="14" t="s">
        <v>431</v>
      </c>
      <c r="B89" s="21">
        <f t="shared" si="3"/>
        <v>1890.909091</v>
      </c>
      <c r="C89" s="21" t="str">
        <f>VLOOKUP(A89, hash!A$2:B$550, 2, 0)</f>
        <v>6322202a0aa8ba2dbc57c0a5</v>
      </c>
      <c r="D89" s="23">
        <f t="shared" si="2"/>
        <v>13</v>
      </c>
      <c r="E89" s="35">
        <v>7.0</v>
      </c>
      <c r="F89" s="44">
        <v>6.0</v>
      </c>
      <c r="G89" s="29"/>
      <c r="H89" s="35">
        <v>0.0</v>
      </c>
      <c r="I89" s="31"/>
      <c r="J89" s="31"/>
    </row>
    <row r="90">
      <c r="A90" s="14" t="s">
        <v>534</v>
      </c>
      <c r="B90" s="21">
        <f t="shared" si="3"/>
        <v>0</v>
      </c>
      <c r="C90" s="21" t="str">
        <f>VLOOKUP(A90, hash!A$2:B$550, 2, 0)</f>
        <v>68c1d041f29fd291859a49c5</v>
      </c>
      <c r="D90" s="23">
        <f t="shared" si="2"/>
        <v>0</v>
      </c>
      <c r="E90" s="29"/>
      <c r="F90" s="34">
        <v>0.0</v>
      </c>
      <c r="G90" s="29"/>
      <c r="H90" s="29"/>
      <c r="I90" s="29"/>
      <c r="J90" s="29"/>
    </row>
    <row r="91">
      <c r="A91" s="14" t="s">
        <v>523</v>
      </c>
      <c r="B91" s="21">
        <f t="shared" si="3"/>
        <v>145.4545455</v>
      </c>
      <c r="C91" s="21" t="str">
        <f>VLOOKUP(A91, hash!A$2:B$550, 2, 0)</f>
        <v>68c1cfdb6c36cb3b60206bc5</v>
      </c>
      <c r="D91" s="23">
        <f t="shared" si="2"/>
        <v>1</v>
      </c>
      <c r="E91" s="29"/>
      <c r="F91" s="35">
        <v>1.0</v>
      </c>
      <c r="G91" s="36">
        <v>0.0</v>
      </c>
      <c r="H91" s="29"/>
      <c r="I91" s="29"/>
      <c r="J91" s="29"/>
    </row>
    <row r="92">
      <c r="A92" s="14" t="s">
        <v>209</v>
      </c>
      <c r="B92" s="21">
        <f t="shared" si="3"/>
        <v>0</v>
      </c>
      <c r="C92" s="21" t="str">
        <f>VLOOKUP(A92, hash!A$2:B$550, 2, 0)</f>
        <v>651480e5b25a8777756c8277</v>
      </c>
      <c r="D92" s="23">
        <f t="shared" si="2"/>
        <v>0</v>
      </c>
      <c r="E92" s="35">
        <v>0.0</v>
      </c>
      <c r="F92" s="29"/>
      <c r="H92" s="45"/>
      <c r="J92" s="45"/>
    </row>
    <row r="93">
      <c r="B93" s="21">
        <f t="shared" si="3"/>
        <v>0</v>
      </c>
      <c r="C93" s="21" t="str">
        <f>VLOOKUP(A93, hash!A$2:B$500, 2, 0)</f>
        <v>#N/A</v>
      </c>
      <c r="D93" s="23">
        <f t="shared" si="2"/>
        <v>0</v>
      </c>
      <c r="F93" s="45"/>
      <c r="H93" s="45"/>
      <c r="J93" s="45"/>
    </row>
    <row r="94">
      <c r="B94" s="21">
        <f t="shared" si="3"/>
        <v>0</v>
      </c>
      <c r="C94" s="21" t="str">
        <f>VLOOKUP(A94, hash!A$2:B$500, 2, 0)</f>
        <v>#N/A</v>
      </c>
      <c r="D94" s="23">
        <f t="shared" si="2"/>
        <v>0</v>
      </c>
      <c r="F94" s="45"/>
      <c r="H94" s="45"/>
      <c r="J94" s="45"/>
    </row>
    <row r="95">
      <c r="B95" s="21">
        <f t="shared" si="3"/>
        <v>0</v>
      </c>
      <c r="C95" s="21" t="str">
        <f>VLOOKUP(A95, hash!A$2:B$500, 2, 0)</f>
        <v>#N/A</v>
      </c>
      <c r="D95" s="23">
        <f t="shared" si="2"/>
        <v>0</v>
      </c>
      <c r="F95" s="45"/>
      <c r="H95" s="45"/>
      <c r="J95" s="45"/>
    </row>
    <row r="96">
      <c r="B96" s="21">
        <f t="shared" si="3"/>
        <v>0</v>
      </c>
      <c r="C96" s="21" t="str">
        <f>VLOOKUP(A96, hash!A$2:B$500, 2, 0)</f>
        <v>#N/A</v>
      </c>
      <c r="D96" s="23">
        <f t="shared" si="2"/>
        <v>0</v>
      </c>
      <c r="F96" s="45"/>
      <c r="H96" s="45"/>
      <c r="J96" s="45"/>
    </row>
    <row r="97">
      <c r="B97" s="21">
        <f t="shared" si="3"/>
        <v>0</v>
      </c>
      <c r="C97" s="21" t="str">
        <f>VLOOKUP(A97, hash!A$2:B$500, 2, 0)</f>
        <v>#N/A</v>
      </c>
      <c r="D97" s="23">
        <f t="shared" si="2"/>
        <v>0</v>
      </c>
      <c r="F97" s="45"/>
      <c r="H97" s="45"/>
      <c r="J97" s="45"/>
    </row>
    <row r="98">
      <c r="B98" s="21">
        <f t="shared" si="3"/>
        <v>0</v>
      </c>
      <c r="C98" s="21" t="str">
        <f>VLOOKUP(A98, hash!A$2:B$500, 2, 0)</f>
        <v>#N/A</v>
      </c>
      <c r="D98" s="23">
        <f t="shared" si="2"/>
        <v>0</v>
      </c>
      <c r="F98" s="45"/>
      <c r="H98" s="45"/>
      <c r="J98" s="45"/>
    </row>
    <row r="99">
      <c r="B99" s="21">
        <f t="shared" si="3"/>
        <v>0</v>
      </c>
      <c r="C99" s="21" t="str">
        <f>VLOOKUP(A99, hash!A$2:B$500, 2, 0)</f>
        <v>#N/A</v>
      </c>
      <c r="D99" s="23">
        <f t="shared" si="2"/>
        <v>0</v>
      </c>
      <c r="F99" s="45"/>
      <c r="H99" s="45"/>
      <c r="J99" s="45"/>
    </row>
    <row r="100">
      <c r="B100" s="21">
        <f t="shared" si="3"/>
        <v>0</v>
      </c>
      <c r="C100" s="21" t="str">
        <f>VLOOKUP(A100, hash!A$2:B$500, 2, 0)</f>
        <v>#N/A</v>
      </c>
      <c r="D100" s="23">
        <f t="shared" si="2"/>
        <v>0</v>
      </c>
      <c r="F100" s="45"/>
      <c r="H100" s="45"/>
      <c r="J100" s="45"/>
    </row>
    <row r="101">
      <c r="B101" s="21">
        <f t="shared" si="3"/>
        <v>0</v>
      </c>
      <c r="C101" s="21" t="str">
        <f>VLOOKUP(A101, hash!A$2:B$500, 2, 0)</f>
        <v>#N/A</v>
      </c>
      <c r="D101" s="23">
        <f t="shared" si="2"/>
        <v>0</v>
      </c>
      <c r="F101" s="45"/>
      <c r="H101" s="45"/>
      <c r="J101" s="45"/>
    </row>
    <row r="102">
      <c r="B102" s="21">
        <f t="shared" si="3"/>
        <v>0</v>
      </c>
      <c r="C102" s="21" t="str">
        <f>VLOOKUP(A102, hash!A$2:B$500, 2, 0)</f>
        <v>#N/A</v>
      </c>
      <c r="D102" s="23">
        <f t="shared" si="2"/>
        <v>0</v>
      </c>
      <c r="F102" s="45"/>
      <c r="H102" s="45"/>
      <c r="J102" s="45"/>
    </row>
    <row r="103">
      <c r="B103" s="21">
        <f t="shared" si="3"/>
        <v>0</v>
      </c>
      <c r="C103" s="21" t="str">
        <f>VLOOKUP(A103, hash!A$2:B$500, 2, 0)</f>
        <v>#N/A</v>
      </c>
      <c r="D103" s="23">
        <f t="shared" si="2"/>
        <v>0</v>
      </c>
      <c r="F103" s="45"/>
      <c r="H103" s="45"/>
      <c r="J103" s="45"/>
    </row>
    <row r="104">
      <c r="B104" s="21">
        <f t="shared" si="3"/>
        <v>0</v>
      </c>
      <c r="C104" s="21" t="str">
        <f>VLOOKUP(A104, hash!A$2:B$500, 2, 0)</f>
        <v>#N/A</v>
      </c>
      <c r="D104" s="23">
        <f t="shared" si="2"/>
        <v>0</v>
      </c>
      <c r="F104" s="45"/>
      <c r="H104" s="45"/>
      <c r="J104" s="45"/>
    </row>
    <row r="105">
      <c r="B105" s="21">
        <f t="shared" si="3"/>
        <v>0</v>
      </c>
      <c r="C105" s="21" t="str">
        <f>VLOOKUP(A105, hash!A$2:B$500, 2, 0)</f>
        <v>#N/A</v>
      </c>
      <c r="D105" s="23">
        <f t="shared" si="2"/>
        <v>0</v>
      </c>
      <c r="F105" s="45"/>
      <c r="H105" s="45"/>
      <c r="J105" s="45"/>
    </row>
    <row r="106">
      <c r="B106" s="21">
        <f t="shared" si="3"/>
        <v>0</v>
      </c>
      <c r="C106" s="21" t="str">
        <f>VLOOKUP(A106, hash!A$2:B$500, 2, 0)</f>
        <v>#N/A</v>
      </c>
      <c r="D106" s="23">
        <f t="shared" si="2"/>
        <v>0</v>
      </c>
      <c r="F106" s="45"/>
      <c r="H106" s="45"/>
      <c r="J106" s="45"/>
    </row>
    <row r="107">
      <c r="B107" s="21">
        <f t="shared" si="3"/>
        <v>0</v>
      </c>
      <c r="C107" s="21" t="str">
        <f>VLOOKUP(A107, hash!A$2:B$500, 2, 0)</f>
        <v>#N/A</v>
      </c>
      <c r="D107" s="23">
        <f t="shared" si="2"/>
        <v>0</v>
      </c>
      <c r="F107" s="45"/>
      <c r="H107" s="45"/>
      <c r="J107" s="45"/>
    </row>
    <row r="108">
      <c r="B108" s="21">
        <f t="shared" si="3"/>
        <v>0</v>
      </c>
      <c r="C108" s="21" t="str">
        <f>VLOOKUP(A108, hash!A$2:B$500, 2, 0)</f>
        <v>#N/A</v>
      </c>
      <c r="D108" s="23">
        <f t="shared" si="2"/>
        <v>0</v>
      </c>
      <c r="F108" s="45"/>
      <c r="H108" s="45"/>
      <c r="J108" s="45"/>
    </row>
    <row r="109">
      <c r="B109" s="21">
        <f t="shared" si="3"/>
        <v>0</v>
      </c>
      <c r="C109" s="21" t="str">
        <f>VLOOKUP(A109, hash!A$2:B$500, 2, 0)</f>
        <v>#N/A</v>
      </c>
      <c r="D109" s="23">
        <f t="shared" si="2"/>
        <v>0</v>
      </c>
      <c r="F109" s="45"/>
      <c r="H109" s="45"/>
      <c r="J109" s="45"/>
    </row>
    <row r="110">
      <c r="B110" s="21">
        <f t="shared" si="3"/>
        <v>0</v>
      </c>
      <c r="C110" s="21" t="str">
        <f>VLOOKUP(A110, hash!A$2:B$500, 2, 0)</f>
        <v>#N/A</v>
      </c>
      <c r="D110" s="23">
        <f t="shared" si="2"/>
        <v>0</v>
      </c>
      <c r="F110" s="45"/>
      <c r="H110" s="45"/>
      <c r="J110" s="45"/>
    </row>
    <row r="111">
      <c r="B111" s="21">
        <f t="shared" si="3"/>
        <v>0</v>
      </c>
      <c r="C111" s="21" t="str">
        <f>VLOOKUP(A111, hash!A$2:B$500, 2, 0)</f>
        <v>#N/A</v>
      </c>
      <c r="D111" s="23">
        <f t="shared" si="2"/>
        <v>0</v>
      </c>
      <c r="F111" s="45"/>
      <c r="H111" s="45"/>
      <c r="J111" s="45"/>
    </row>
    <row r="112">
      <c r="B112" s="21">
        <f t="shared" si="3"/>
        <v>0</v>
      </c>
      <c r="C112" s="21" t="str">
        <f>VLOOKUP(A112, hash!A$2:B$500, 2, 0)</f>
        <v>#N/A</v>
      </c>
      <c r="D112" s="23">
        <f t="shared" si="2"/>
        <v>0</v>
      </c>
      <c r="F112" s="45"/>
      <c r="H112" s="45"/>
      <c r="J112" s="45"/>
    </row>
    <row r="113">
      <c r="B113" s="21">
        <f t="shared" si="3"/>
        <v>0</v>
      </c>
      <c r="C113" s="21" t="str">
        <f>VLOOKUP(A113, hash!A$2:B$500, 2, 0)</f>
        <v>#N/A</v>
      </c>
      <c r="D113" s="23">
        <f t="shared" si="2"/>
        <v>0</v>
      </c>
      <c r="F113" s="45"/>
      <c r="H113" s="45"/>
      <c r="J113" s="45"/>
    </row>
    <row r="114">
      <c r="B114" s="21">
        <f t="shared" si="3"/>
        <v>0</v>
      </c>
      <c r="C114" s="21" t="str">
        <f>VLOOKUP(A114, hash!A$2:B$500, 2, 0)</f>
        <v>#N/A</v>
      </c>
      <c r="D114" s="23">
        <f t="shared" si="2"/>
        <v>0</v>
      </c>
      <c r="F114" s="45"/>
      <c r="H114" s="45"/>
      <c r="J114" s="45"/>
    </row>
    <row r="115">
      <c r="B115" s="21">
        <f t="shared" si="3"/>
        <v>0</v>
      </c>
      <c r="C115" s="21" t="str">
        <f>VLOOKUP(A115, hash!A$2:B$500, 2, 0)</f>
        <v>#N/A</v>
      </c>
      <c r="D115" s="23">
        <f t="shared" si="2"/>
        <v>0</v>
      </c>
      <c r="F115" s="45"/>
      <c r="H115" s="45"/>
      <c r="J115" s="45"/>
    </row>
    <row r="116">
      <c r="B116" s="21">
        <f t="shared" si="3"/>
        <v>0</v>
      </c>
      <c r="C116" s="21" t="str">
        <f>VLOOKUP(A116, hash!A$2:B$500, 2, 0)</f>
        <v>#N/A</v>
      </c>
      <c r="D116" s="23">
        <f t="shared" si="2"/>
        <v>0</v>
      </c>
      <c r="F116" s="45"/>
      <c r="H116" s="45"/>
      <c r="J116" s="45"/>
    </row>
    <row r="117">
      <c r="B117" s="21">
        <f t="shared" si="3"/>
        <v>0</v>
      </c>
      <c r="C117" s="21" t="str">
        <f>VLOOKUP(A117, hash!A$2:B$500, 2, 0)</f>
        <v>#N/A</v>
      </c>
      <c r="D117" s="23">
        <f t="shared" si="2"/>
        <v>0</v>
      </c>
      <c r="F117" s="45"/>
      <c r="H117" s="45"/>
      <c r="J117" s="45"/>
    </row>
    <row r="118">
      <c r="B118" s="21">
        <f t="shared" si="3"/>
        <v>0</v>
      </c>
      <c r="C118" s="21" t="str">
        <f>VLOOKUP(A118, hash!A$2:B$500, 2, 0)</f>
        <v>#N/A</v>
      </c>
      <c r="D118" s="23">
        <f t="shared" si="2"/>
        <v>0</v>
      </c>
      <c r="F118" s="45"/>
      <c r="H118" s="45"/>
      <c r="J118" s="45"/>
    </row>
    <row r="119">
      <c r="B119" s="21">
        <f t="shared" si="3"/>
        <v>0</v>
      </c>
      <c r="C119" s="21" t="str">
        <f>VLOOKUP(A119, hash!A$2:B$500, 2, 0)</f>
        <v>#N/A</v>
      </c>
      <c r="D119" s="23">
        <f t="shared" si="2"/>
        <v>0</v>
      </c>
      <c r="F119" s="45"/>
      <c r="H119" s="45"/>
      <c r="J119" s="45"/>
    </row>
    <row r="120">
      <c r="B120" s="21">
        <f t="shared" si="3"/>
        <v>0</v>
      </c>
      <c r="C120" s="21" t="str">
        <f>VLOOKUP(A120, hash!A$2:B$500, 2, 0)</f>
        <v>#N/A</v>
      </c>
      <c r="D120" s="23">
        <f t="shared" si="2"/>
        <v>0</v>
      </c>
      <c r="F120" s="45"/>
      <c r="H120" s="45"/>
      <c r="J120" s="45"/>
    </row>
    <row r="121">
      <c r="B121" s="21">
        <f t="shared" si="3"/>
        <v>0</v>
      </c>
      <c r="C121" s="21" t="str">
        <f>VLOOKUP(A121, hash!A$2:B$500, 2, 0)</f>
        <v>#N/A</v>
      </c>
      <c r="D121" s="23">
        <f t="shared" si="2"/>
        <v>0</v>
      </c>
      <c r="F121" s="45"/>
      <c r="H121" s="45"/>
      <c r="J121" s="45"/>
    </row>
    <row r="122">
      <c r="B122" s="21">
        <f t="shared" si="3"/>
        <v>0</v>
      </c>
      <c r="C122" s="21" t="str">
        <f>VLOOKUP(A122, hash!A$2:B$500, 2, 0)</f>
        <v>#N/A</v>
      </c>
      <c r="D122" s="23">
        <f t="shared" si="2"/>
        <v>0</v>
      </c>
      <c r="F122" s="45"/>
      <c r="H122" s="45"/>
      <c r="J122" s="45"/>
    </row>
    <row r="123">
      <c r="B123" s="21">
        <f t="shared" si="3"/>
        <v>0</v>
      </c>
      <c r="C123" s="21" t="str">
        <f>VLOOKUP(A123, hash!A$2:B$500, 2, 0)</f>
        <v>#N/A</v>
      </c>
      <c r="D123" s="23">
        <f t="shared" si="2"/>
        <v>0</v>
      </c>
      <c r="F123" s="45"/>
      <c r="H123" s="45"/>
      <c r="J123" s="45"/>
    </row>
    <row r="124">
      <c r="B124" s="21">
        <f t="shared" si="3"/>
        <v>0</v>
      </c>
      <c r="C124" s="21" t="str">
        <f>VLOOKUP(A124, hash!A$2:B$500, 2, 0)</f>
        <v>#N/A</v>
      </c>
      <c r="D124" s="23">
        <f t="shared" si="2"/>
        <v>0</v>
      </c>
      <c r="F124" s="45"/>
      <c r="H124" s="45"/>
      <c r="J124" s="45"/>
    </row>
    <row r="125">
      <c r="B125" s="21">
        <f t="shared" si="3"/>
        <v>0</v>
      </c>
      <c r="C125" s="21" t="str">
        <f>VLOOKUP(A125, hash!A$2:B$500, 2, 0)</f>
        <v>#N/A</v>
      </c>
      <c r="D125" s="23">
        <f t="shared" si="2"/>
        <v>0</v>
      </c>
      <c r="F125" s="45"/>
      <c r="H125" s="45"/>
      <c r="J125" s="45"/>
    </row>
    <row r="126">
      <c r="B126" s="21">
        <f t="shared" si="3"/>
        <v>0</v>
      </c>
      <c r="C126" s="21" t="str">
        <f>VLOOKUP(A126, hash!A$2:B$500, 2, 0)</f>
        <v>#N/A</v>
      </c>
      <c r="D126" s="23">
        <f t="shared" si="2"/>
        <v>0</v>
      </c>
      <c r="F126" s="45"/>
      <c r="H126" s="45"/>
      <c r="J126" s="45"/>
    </row>
    <row r="127">
      <c r="B127" s="21">
        <f t="shared" si="3"/>
        <v>0</v>
      </c>
      <c r="C127" s="21" t="str">
        <f>VLOOKUP(A127, hash!A$2:B$500, 2, 0)</f>
        <v>#N/A</v>
      </c>
      <c r="D127" s="23">
        <f t="shared" si="2"/>
        <v>0</v>
      </c>
      <c r="F127" s="45"/>
      <c r="H127" s="45"/>
      <c r="J127" s="45"/>
    </row>
    <row r="128">
      <c r="B128" s="21">
        <f t="shared" si="3"/>
        <v>0</v>
      </c>
      <c r="C128" s="21" t="str">
        <f>VLOOKUP(A128, hash!A$2:B$500, 2, 0)</f>
        <v>#N/A</v>
      </c>
      <c r="D128" s="23">
        <f t="shared" si="2"/>
        <v>0</v>
      </c>
      <c r="F128" s="45"/>
      <c r="H128" s="45"/>
      <c r="J128" s="45"/>
    </row>
    <row r="129">
      <c r="B129" s="21">
        <f t="shared" si="3"/>
        <v>0</v>
      </c>
      <c r="C129" s="21" t="str">
        <f>VLOOKUP(A129, hash!A$2:B$500, 2, 0)</f>
        <v>#N/A</v>
      </c>
      <c r="D129" s="23">
        <f t="shared" si="2"/>
        <v>0</v>
      </c>
      <c r="F129" s="45"/>
      <c r="H129" s="45"/>
      <c r="J129" s="45"/>
    </row>
    <row r="130">
      <c r="B130" s="21">
        <f t="shared" si="3"/>
        <v>0</v>
      </c>
      <c r="C130" s="21" t="str">
        <f>VLOOKUP(A130, hash!A$2:B$500, 2, 0)</f>
        <v>#N/A</v>
      </c>
      <c r="D130" s="23">
        <f t="shared" si="2"/>
        <v>0</v>
      </c>
      <c r="F130" s="45"/>
      <c r="H130" s="45"/>
      <c r="J130" s="45"/>
    </row>
    <row r="131">
      <c r="B131" s="21">
        <f t="shared" si="3"/>
        <v>0</v>
      </c>
      <c r="C131" s="21" t="str">
        <f>VLOOKUP(A131, hash!A$2:B$500, 2, 0)</f>
        <v>#N/A</v>
      </c>
      <c r="D131" s="23">
        <f t="shared" si="2"/>
        <v>0</v>
      </c>
      <c r="F131" s="45"/>
      <c r="H131" s="45"/>
      <c r="J131" s="45"/>
    </row>
    <row r="132">
      <c r="B132" s="21">
        <f t="shared" si="3"/>
        <v>0</v>
      </c>
      <c r="C132" s="21" t="str">
        <f>VLOOKUP(A132, hash!A$2:B$500, 2, 0)</f>
        <v>#N/A</v>
      </c>
      <c r="D132" s="23">
        <f t="shared" si="2"/>
        <v>0</v>
      </c>
      <c r="F132" s="45"/>
      <c r="H132" s="45"/>
      <c r="J132" s="45"/>
    </row>
    <row r="133">
      <c r="B133" s="21">
        <f t="shared" si="3"/>
        <v>0</v>
      </c>
      <c r="C133" s="21" t="str">
        <f>VLOOKUP(A133, hash!A$2:B$500, 2, 0)</f>
        <v>#N/A</v>
      </c>
      <c r="D133" s="23">
        <f t="shared" si="2"/>
        <v>0</v>
      </c>
      <c r="F133" s="45"/>
      <c r="H133" s="45"/>
      <c r="J133" s="45"/>
    </row>
    <row r="134">
      <c r="B134" s="21">
        <f t="shared" si="3"/>
        <v>0</v>
      </c>
      <c r="C134" s="21" t="str">
        <f>VLOOKUP(A134, hash!A$2:B$500, 2, 0)</f>
        <v>#N/A</v>
      </c>
      <c r="D134" s="23">
        <f t="shared" si="2"/>
        <v>0</v>
      </c>
      <c r="F134" s="45"/>
      <c r="H134" s="45"/>
      <c r="J134" s="45"/>
    </row>
    <row r="135">
      <c r="B135" s="21">
        <f t="shared" si="3"/>
        <v>0</v>
      </c>
      <c r="C135" s="21" t="str">
        <f>VLOOKUP(A135, hash!A$2:B$500, 2, 0)</f>
        <v>#N/A</v>
      </c>
      <c r="D135" s="23">
        <f t="shared" si="2"/>
        <v>0</v>
      </c>
      <c r="F135" s="45"/>
      <c r="H135" s="45"/>
      <c r="J135" s="45"/>
    </row>
    <row r="136">
      <c r="B136" s="21">
        <f t="shared" si="3"/>
        <v>0</v>
      </c>
      <c r="C136" s="21" t="str">
        <f>VLOOKUP(A136, hash!A$2:B$500, 2, 0)</f>
        <v>#N/A</v>
      </c>
      <c r="D136" s="23">
        <f t="shared" si="2"/>
        <v>0</v>
      </c>
      <c r="F136" s="45"/>
      <c r="H136" s="45"/>
      <c r="J136" s="45"/>
    </row>
    <row r="137">
      <c r="B137" s="21">
        <f t="shared" si="3"/>
        <v>0</v>
      </c>
      <c r="C137" s="21" t="str">
        <f>VLOOKUP(A137, hash!A$2:B$500, 2, 0)</f>
        <v>#N/A</v>
      </c>
      <c r="D137" s="23">
        <f t="shared" si="2"/>
        <v>0</v>
      </c>
      <c r="F137" s="45"/>
      <c r="H137" s="45"/>
      <c r="J137" s="45"/>
    </row>
    <row r="138">
      <c r="B138" s="21">
        <f t="shared" si="3"/>
        <v>0</v>
      </c>
      <c r="C138" s="21" t="str">
        <f>VLOOKUP(A138, hash!A$2:B$500, 2, 0)</f>
        <v>#N/A</v>
      </c>
      <c r="D138" s="23">
        <f t="shared" si="2"/>
        <v>0</v>
      </c>
      <c r="F138" s="45"/>
      <c r="H138" s="45"/>
      <c r="J138" s="45"/>
    </row>
    <row r="139">
      <c r="B139" s="21">
        <f t="shared" si="3"/>
        <v>0</v>
      </c>
      <c r="C139" s="21" t="str">
        <f>VLOOKUP(A139, hash!A$2:B$500, 2, 0)</f>
        <v>#N/A</v>
      </c>
      <c r="D139" s="23">
        <f t="shared" si="2"/>
        <v>0</v>
      </c>
      <c r="F139" s="45"/>
      <c r="H139" s="45"/>
      <c r="J139" s="45"/>
    </row>
    <row r="140">
      <c r="B140" s="21">
        <f t="shared" si="3"/>
        <v>0</v>
      </c>
      <c r="C140" s="21" t="str">
        <f>VLOOKUP(A140, hash!A$2:B$500, 2, 0)</f>
        <v>#N/A</v>
      </c>
      <c r="D140" s="23">
        <f t="shared" si="2"/>
        <v>0</v>
      </c>
      <c r="F140" s="45"/>
      <c r="H140" s="45"/>
      <c r="J140" s="45"/>
    </row>
    <row r="141">
      <c r="B141" s="21">
        <f t="shared" si="3"/>
        <v>0</v>
      </c>
      <c r="C141" s="21" t="str">
        <f>VLOOKUP(A141, hash!A$2:B$500, 2, 0)</f>
        <v>#N/A</v>
      </c>
      <c r="D141" s="23">
        <f t="shared" si="2"/>
        <v>0</v>
      </c>
      <c r="F141" s="45"/>
      <c r="H141" s="45"/>
      <c r="J141" s="45"/>
    </row>
    <row r="142">
      <c r="B142" s="21">
        <f t="shared" si="3"/>
        <v>0</v>
      </c>
      <c r="C142" s="21" t="str">
        <f>VLOOKUP(A142, hash!A$2:B$500, 2, 0)</f>
        <v>#N/A</v>
      </c>
      <c r="D142" s="23">
        <f t="shared" si="2"/>
        <v>0</v>
      </c>
      <c r="F142" s="45"/>
      <c r="H142" s="45"/>
      <c r="J142" s="45"/>
    </row>
    <row r="143">
      <c r="B143" s="21">
        <f t="shared" si="3"/>
        <v>0</v>
      </c>
      <c r="C143" s="21" t="str">
        <f>VLOOKUP(A143, hash!A$2:B$500, 2, 0)</f>
        <v>#N/A</v>
      </c>
      <c r="D143" s="23">
        <f t="shared" si="2"/>
        <v>0</v>
      </c>
      <c r="F143" s="45"/>
      <c r="H143" s="45"/>
      <c r="J143" s="45"/>
    </row>
    <row r="144">
      <c r="B144" s="21">
        <f t="shared" si="3"/>
        <v>0</v>
      </c>
      <c r="C144" s="21" t="str">
        <f>VLOOKUP(A144, hash!A$2:B$500, 2, 0)</f>
        <v>#N/A</v>
      </c>
      <c r="D144" s="23">
        <f t="shared" si="2"/>
        <v>0</v>
      </c>
      <c r="F144" s="45"/>
      <c r="H144" s="45"/>
      <c r="J144" s="45"/>
    </row>
    <row r="145">
      <c r="B145" s="21">
        <f t="shared" si="3"/>
        <v>0</v>
      </c>
      <c r="C145" s="21" t="str">
        <f>VLOOKUP(A145, hash!A$2:B$500, 2, 0)</f>
        <v>#N/A</v>
      </c>
      <c r="D145" s="23">
        <f t="shared" si="2"/>
        <v>0</v>
      </c>
      <c r="F145" s="45"/>
      <c r="H145" s="45"/>
      <c r="J145" s="45"/>
    </row>
    <row r="146">
      <c r="B146" s="21">
        <f t="shared" si="3"/>
        <v>0</v>
      </c>
      <c r="C146" s="21" t="str">
        <f>VLOOKUP(A146, hash!A$2:B$500, 2, 0)</f>
        <v>#N/A</v>
      </c>
      <c r="D146" s="23">
        <f t="shared" si="2"/>
        <v>0</v>
      </c>
      <c r="F146" s="45"/>
      <c r="H146" s="45"/>
      <c r="J146" s="45"/>
    </row>
    <row r="147">
      <c r="B147" s="21">
        <f t="shared" si="3"/>
        <v>0</v>
      </c>
      <c r="C147" s="21" t="str">
        <f>VLOOKUP(A147, hash!A$2:B$500, 2, 0)</f>
        <v>#N/A</v>
      </c>
      <c r="D147" s="23">
        <f t="shared" si="2"/>
        <v>0</v>
      </c>
      <c r="F147" s="45"/>
      <c r="H147" s="45"/>
      <c r="J147" s="45"/>
    </row>
    <row r="148">
      <c r="B148" s="21">
        <f t="shared" si="3"/>
        <v>0</v>
      </c>
      <c r="C148" s="21" t="str">
        <f>VLOOKUP(A148, hash!A$2:B$500, 2, 0)</f>
        <v>#N/A</v>
      </c>
      <c r="D148" s="23">
        <f t="shared" si="2"/>
        <v>0</v>
      </c>
      <c r="F148" s="45"/>
      <c r="H148" s="45"/>
      <c r="J148" s="45"/>
    </row>
    <row r="149">
      <c r="B149" s="21">
        <f t="shared" si="3"/>
        <v>0</v>
      </c>
      <c r="C149" s="21" t="str">
        <f>VLOOKUP(A149, hash!A$2:B$500, 2, 0)</f>
        <v>#N/A</v>
      </c>
      <c r="D149" s="23">
        <f t="shared" si="2"/>
        <v>0</v>
      </c>
      <c r="F149" s="45"/>
      <c r="H149" s="45"/>
      <c r="J149" s="45"/>
    </row>
    <row r="150">
      <c r="B150" s="21">
        <f t="shared" si="3"/>
        <v>0</v>
      </c>
      <c r="C150" s="21" t="str">
        <f>VLOOKUP(A150, hash!A$2:B$500, 2, 0)</f>
        <v>#N/A</v>
      </c>
      <c r="D150" s="23">
        <f t="shared" si="2"/>
        <v>0</v>
      </c>
      <c r="F150" s="45"/>
      <c r="H150" s="45"/>
      <c r="J150" s="45"/>
    </row>
    <row r="151">
      <c r="B151" s="21">
        <f t="shared" si="3"/>
        <v>0</v>
      </c>
      <c r="C151" s="21" t="str">
        <f>VLOOKUP(A151, hash!A$2:B$500, 2, 0)</f>
        <v>#N/A</v>
      </c>
      <c r="D151" s="23">
        <f t="shared" si="2"/>
        <v>0</v>
      </c>
      <c r="F151" s="45"/>
      <c r="H151" s="45"/>
      <c r="J151" s="45"/>
    </row>
    <row r="152">
      <c r="B152" s="21">
        <f t="shared" si="3"/>
        <v>0</v>
      </c>
      <c r="C152" s="21" t="str">
        <f>VLOOKUP(A152, hash!A$2:B$500, 2, 0)</f>
        <v>#N/A</v>
      </c>
      <c r="D152" s="23">
        <f t="shared" si="2"/>
        <v>0</v>
      </c>
      <c r="F152" s="45"/>
      <c r="H152" s="45"/>
      <c r="J152" s="45"/>
    </row>
    <row r="153">
      <c r="B153" s="21">
        <f t="shared" si="3"/>
        <v>0</v>
      </c>
      <c r="C153" s="21" t="str">
        <f>VLOOKUP(A153, hash!A$2:B$500, 2, 0)</f>
        <v>#N/A</v>
      </c>
      <c r="D153" s="23">
        <f t="shared" si="2"/>
        <v>0</v>
      </c>
      <c r="F153" s="45"/>
      <c r="H153" s="45"/>
      <c r="J153" s="45"/>
    </row>
    <row r="154">
      <c r="B154" s="21">
        <f t="shared" si="3"/>
        <v>0</v>
      </c>
      <c r="C154" s="21" t="str">
        <f>VLOOKUP(A154, hash!A$2:B$500, 2, 0)</f>
        <v>#N/A</v>
      </c>
      <c r="D154" s="23">
        <f t="shared" si="2"/>
        <v>0</v>
      </c>
      <c r="F154" s="45"/>
      <c r="H154" s="45"/>
      <c r="J154" s="45"/>
    </row>
    <row r="155">
      <c r="B155" s="21">
        <f t="shared" si="3"/>
        <v>0</v>
      </c>
      <c r="C155" s="21" t="str">
        <f>VLOOKUP(A155, hash!A$2:B$500, 2, 0)</f>
        <v>#N/A</v>
      </c>
      <c r="D155" s="23">
        <f t="shared" si="2"/>
        <v>0</v>
      </c>
      <c r="F155" s="45"/>
      <c r="H155" s="45"/>
      <c r="J155" s="45"/>
    </row>
    <row r="156">
      <c r="B156" s="21">
        <f t="shared" si="3"/>
        <v>0</v>
      </c>
      <c r="C156" s="21" t="str">
        <f>VLOOKUP(A156, hash!A$2:B$500, 2, 0)</f>
        <v>#N/A</v>
      </c>
      <c r="D156" s="23">
        <f t="shared" si="2"/>
        <v>0</v>
      </c>
      <c r="F156" s="45"/>
      <c r="H156" s="45"/>
      <c r="J156" s="45"/>
    </row>
    <row r="157">
      <c r="B157" s="21">
        <f t="shared" si="3"/>
        <v>0</v>
      </c>
      <c r="C157" s="21" t="str">
        <f>VLOOKUP(A157, hash!A$2:B$500, 2, 0)</f>
        <v>#N/A</v>
      </c>
      <c r="D157" s="23">
        <f t="shared" si="2"/>
        <v>0</v>
      </c>
      <c r="F157" s="45"/>
      <c r="H157" s="45"/>
      <c r="J157" s="45"/>
    </row>
    <row r="158">
      <c r="B158" s="21">
        <f t="shared" si="3"/>
        <v>0</v>
      </c>
      <c r="C158" s="21" t="str">
        <f>VLOOKUP(A158, hash!A$2:B$500, 2, 0)</f>
        <v>#N/A</v>
      </c>
      <c r="D158" s="23">
        <f t="shared" si="2"/>
        <v>0</v>
      </c>
      <c r="F158" s="45"/>
      <c r="H158" s="45"/>
      <c r="J158" s="45"/>
    </row>
    <row r="159">
      <c r="B159" s="21">
        <f t="shared" si="3"/>
        <v>0</v>
      </c>
      <c r="C159" s="21" t="str">
        <f>VLOOKUP(A159, hash!A$2:B$500, 2, 0)</f>
        <v>#N/A</v>
      </c>
      <c r="D159" s="23">
        <f t="shared" si="2"/>
        <v>0</v>
      </c>
      <c r="F159" s="45"/>
      <c r="H159" s="45"/>
      <c r="J159" s="45"/>
    </row>
    <row r="160">
      <c r="B160" s="21">
        <f t="shared" si="3"/>
        <v>0</v>
      </c>
      <c r="C160" s="21" t="str">
        <f>VLOOKUP(A160, hash!A$2:B$500, 2, 0)</f>
        <v>#N/A</v>
      </c>
      <c r="D160" s="23">
        <f t="shared" si="2"/>
        <v>0</v>
      </c>
      <c r="F160" s="45"/>
      <c r="H160" s="45"/>
      <c r="J160" s="45"/>
    </row>
    <row r="161">
      <c r="B161" s="21">
        <f t="shared" si="3"/>
        <v>0</v>
      </c>
      <c r="C161" s="21" t="str">
        <f>VLOOKUP(A161, hash!A$2:B$500, 2, 0)</f>
        <v>#N/A</v>
      </c>
      <c r="D161" s="23">
        <f t="shared" si="2"/>
        <v>0</v>
      </c>
      <c r="F161" s="45"/>
      <c r="H161" s="45"/>
      <c r="J161" s="45"/>
    </row>
    <row r="162">
      <c r="B162" s="21">
        <f t="shared" si="3"/>
        <v>0</v>
      </c>
      <c r="C162" s="21" t="str">
        <f>VLOOKUP(A162, hash!A$2:B$500, 2, 0)</f>
        <v>#N/A</v>
      </c>
      <c r="D162" s="23">
        <f t="shared" si="2"/>
        <v>0</v>
      </c>
      <c r="F162" s="45"/>
      <c r="H162" s="45"/>
      <c r="J162" s="45"/>
    </row>
    <row r="163">
      <c r="B163" s="21">
        <f t="shared" si="3"/>
        <v>0</v>
      </c>
      <c r="C163" s="21" t="str">
        <f>VLOOKUP(A163, hash!A$2:B$500, 2, 0)</f>
        <v>#N/A</v>
      </c>
      <c r="D163" s="23">
        <f t="shared" si="2"/>
        <v>0</v>
      </c>
      <c r="F163" s="45"/>
      <c r="H163" s="45"/>
      <c r="J163" s="45"/>
    </row>
    <row r="164">
      <c r="B164" s="21">
        <f t="shared" si="3"/>
        <v>0</v>
      </c>
      <c r="C164" s="21" t="str">
        <f>VLOOKUP(A164, hash!A$2:B$500, 2, 0)</f>
        <v>#N/A</v>
      </c>
      <c r="D164" s="23">
        <f t="shared" si="2"/>
        <v>0</v>
      </c>
      <c r="F164" s="45"/>
      <c r="H164" s="45"/>
      <c r="J164" s="45"/>
    </row>
    <row r="165">
      <c r="B165" s="21">
        <f t="shared" si="3"/>
        <v>0</v>
      </c>
      <c r="C165" s="21" t="str">
        <f>VLOOKUP(A165, hash!A$2:B$500, 2, 0)</f>
        <v>#N/A</v>
      </c>
      <c r="D165" s="23">
        <f t="shared" si="2"/>
        <v>0</v>
      </c>
      <c r="F165" s="45"/>
      <c r="H165" s="45"/>
      <c r="J165" s="45"/>
    </row>
    <row r="166">
      <c r="B166" s="21">
        <f t="shared" si="3"/>
        <v>0</v>
      </c>
      <c r="C166" s="21" t="str">
        <f>VLOOKUP(A166, hash!A$2:B$500, 2, 0)</f>
        <v>#N/A</v>
      </c>
      <c r="D166" s="23">
        <f t="shared" si="2"/>
        <v>0</v>
      </c>
      <c r="F166" s="45"/>
      <c r="H166" s="45"/>
      <c r="J166" s="45"/>
    </row>
    <row r="167">
      <c r="B167" s="21">
        <f t="shared" si="3"/>
        <v>0</v>
      </c>
      <c r="C167" s="21" t="str">
        <f>VLOOKUP(A167, hash!A$2:B$500, 2, 0)</f>
        <v>#N/A</v>
      </c>
      <c r="D167" s="23">
        <f t="shared" si="2"/>
        <v>0</v>
      </c>
      <c r="F167" s="45"/>
      <c r="H167" s="45"/>
      <c r="J167" s="45"/>
    </row>
    <row r="168">
      <c r="B168" s="21">
        <f t="shared" si="3"/>
        <v>0</v>
      </c>
      <c r="C168" s="21" t="str">
        <f>VLOOKUP(A168, hash!A$2:B$500, 2, 0)</f>
        <v>#N/A</v>
      </c>
      <c r="D168" s="23">
        <f t="shared" si="2"/>
        <v>0</v>
      </c>
      <c r="F168" s="45"/>
      <c r="H168" s="45"/>
      <c r="J168" s="45"/>
    </row>
    <row r="169">
      <c r="B169" s="21">
        <f t="shared" si="3"/>
        <v>0</v>
      </c>
      <c r="C169" s="21" t="str">
        <f>VLOOKUP(A169, hash!A$2:B$500, 2, 0)</f>
        <v>#N/A</v>
      </c>
      <c r="D169" s="23">
        <f t="shared" si="2"/>
        <v>0</v>
      </c>
      <c r="F169" s="45"/>
      <c r="H169" s="45"/>
      <c r="J169" s="45"/>
    </row>
    <row r="170">
      <c r="B170" s="21">
        <f t="shared" si="3"/>
        <v>0</v>
      </c>
      <c r="C170" s="21" t="str">
        <f>VLOOKUP(A170, hash!A$2:B$500, 2, 0)</f>
        <v>#N/A</v>
      </c>
      <c r="D170" s="23">
        <f t="shared" si="2"/>
        <v>0</v>
      </c>
      <c r="F170" s="45"/>
      <c r="H170" s="45"/>
      <c r="J170" s="45"/>
    </row>
    <row r="171">
      <c r="B171" s="21">
        <f t="shared" si="3"/>
        <v>0</v>
      </c>
      <c r="C171" s="21" t="str">
        <f>VLOOKUP(A171, hash!A$2:B$500, 2, 0)</f>
        <v>#N/A</v>
      </c>
      <c r="D171" s="23">
        <f t="shared" si="2"/>
        <v>0</v>
      </c>
      <c r="F171" s="45"/>
      <c r="H171" s="45"/>
      <c r="J171" s="45"/>
    </row>
    <row r="172">
      <c r="B172" s="21">
        <f t="shared" si="3"/>
        <v>0</v>
      </c>
      <c r="C172" s="21" t="str">
        <f>VLOOKUP(A172, hash!A$2:B$500, 2, 0)</f>
        <v>#N/A</v>
      </c>
      <c r="D172" s="23">
        <f t="shared" si="2"/>
        <v>0</v>
      </c>
      <c r="F172" s="45"/>
      <c r="H172" s="45"/>
      <c r="J172" s="45"/>
    </row>
    <row r="173">
      <c r="B173" s="21">
        <f t="shared" si="3"/>
        <v>0</v>
      </c>
      <c r="C173" s="21" t="str">
        <f>VLOOKUP(A173, hash!A$2:B$500, 2, 0)</f>
        <v>#N/A</v>
      </c>
      <c r="D173" s="23">
        <f t="shared" si="2"/>
        <v>0</v>
      </c>
      <c r="F173" s="45"/>
      <c r="H173" s="45"/>
      <c r="J173" s="45"/>
    </row>
    <row r="174">
      <c r="B174" s="21">
        <f t="shared" si="3"/>
        <v>0</v>
      </c>
      <c r="C174" s="21" t="str">
        <f>VLOOKUP(A174, hash!A$2:B$500, 2, 0)</f>
        <v>#N/A</v>
      </c>
      <c r="D174" s="23">
        <f t="shared" si="2"/>
        <v>0</v>
      </c>
      <c r="F174" s="45"/>
      <c r="H174" s="45"/>
      <c r="J174" s="45"/>
    </row>
    <row r="175">
      <c r="B175" s="21">
        <f t="shared" si="3"/>
        <v>0</v>
      </c>
      <c r="C175" s="21" t="str">
        <f>VLOOKUP(A175, hash!A$2:B$500, 2, 0)</f>
        <v>#N/A</v>
      </c>
      <c r="D175" s="23">
        <f t="shared" si="2"/>
        <v>0</v>
      </c>
      <c r="F175" s="45"/>
      <c r="H175" s="45"/>
      <c r="J175" s="45"/>
    </row>
    <row r="176">
      <c r="B176" s="21">
        <f t="shared" si="3"/>
        <v>0</v>
      </c>
      <c r="C176" s="21" t="str">
        <f>VLOOKUP(A176, hash!A$2:B$500, 2, 0)</f>
        <v>#N/A</v>
      </c>
      <c r="D176" s="23">
        <f t="shared" si="2"/>
        <v>0</v>
      </c>
      <c r="F176" s="45"/>
      <c r="H176" s="45"/>
      <c r="J176" s="45"/>
    </row>
    <row r="177">
      <c r="B177" s="21">
        <f t="shared" si="3"/>
        <v>0</v>
      </c>
      <c r="C177" s="21" t="str">
        <f>VLOOKUP(A177, hash!A$2:B$500, 2, 0)</f>
        <v>#N/A</v>
      </c>
      <c r="D177" s="23">
        <f t="shared" si="2"/>
        <v>0</v>
      </c>
      <c r="F177" s="45"/>
      <c r="H177" s="45"/>
      <c r="J177" s="45"/>
    </row>
    <row r="178">
      <c r="B178" s="21">
        <f t="shared" si="3"/>
        <v>0</v>
      </c>
      <c r="C178" s="21" t="str">
        <f>VLOOKUP(A178, hash!A$2:B$500, 2, 0)</f>
        <v>#N/A</v>
      </c>
      <c r="D178" s="23">
        <f t="shared" si="2"/>
        <v>0</v>
      </c>
      <c r="F178" s="45"/>
      <c r="H178" s="45"/>
      <c r="J178" s="45"/>
    </row>
    <row r="179">
      <c r="B179" s="21">
        <f t="shared" si="3"/>
        <v>0</v>
      </c>
      <c r="C179" s="21" t="str">
        <f>VLOOKUP(A179, hash!A$2:B$500, 2, 0)</f>
        <v>#N/A</v>
      </c>
      <c r="D179" s="23">
        <f t="shared" si="2"/>
        <v>0</v>
      </c>
      <c r="F179" s="45"/>
      <c r="H179" s="45"/>
      <c r="J179" s="45"/>
    </row>
    <row r="180">
      <c r="B180" s="21">
        <f t="shared" si="3"/>
        <v>0</v>
      </c>
      <c r="C180" s="21" t="str">
        <f>VLOOKUP(A180, hash!A$2:B$500, 2, 0)</f>
        <v>#N/A</v>
      </c>
      <c r="D180" s="23">
        <f t="shared" si="2"/>
        <v>0</v>
      </c>
      <c r="F180" s="45"/>
      <c r="H180" s="45"/>
      <c r="J180" s="45"/>
    </row>
    <row r="181">
      <c r="B181" s="21">
        <f t="shared" si="3"/>
        <v>0</v>
      </c>
      <c r="C181" s="21" t="str">
        <f>VLOOKUP(A181, hash!A$2:B$500, 2, 0)</f>
        <v>#N/A</v>
      </c>
      <c r="D181" s="23">
        <f t="shared" si="2"/>
        <v>0</v>
      </c>
      <c r="F181" s="45"/>
      <c r="H181" s="45"/>
      <c r="J181" s="45"/>
    </row>
    <row r="182">
      <c r="B182" s="21">
        <f t="shared" si="3"/>
        <v>0</v>
      </c>
      <c r="C182" s="21" t="str">
        <f>VLOOKUP(A182, hash!A$2:B$500, 2, 0)</f>
        <v>#N/A</v>
      </c>
      <c r="D182" s="23">
        <f t="shared" si="2"/>
        <v>0</v>
      </c>
      <c r="F182" s="45"/>
      <c r="H182" s="45"/>
      <c r="J182" s="45"/>
    </row>
    <row r="183">
      <c r="B183" s="21">
        <f t="shared" si="3"/>
        <v>0</v>
      </c>
      <c r="C183" s="21" t="str">
        <f>VLOOKUP(A183, hash!A$2:B$500, 2, 0)</f>
        <v>#N/A</v>
      </c>
      <c r="D183" s="23">
        <f t="shared" si="2"/>
        <v>0</v>
      </c>
      <c r="F183" s="45"/>
      <c r="H183" s="45"/>
      <c r="J183" s="45"/>
    </row>
    <row r="184">
      <c r="B184" s="21">
        <f t="shared" si="3"/>
        <v>0</v>
      </c>
      <c r="C184" s="21" t="str">
        <f>VLOOKUP(A184, hash!A$2:B$500, 2, 0)</f>
        <v>#N/A</v>
      </c>
      <c r="D184" s="23">
        <f t="shared" si="2"/>
        <v>0</v>
      </c>
      <c r="F184" s="45"/>
      <c r="H184" s="45"/>
      <c r="J184" s="45"/>
    </row>
    <row r="185">
      <c r="B185" s="21">
        <f t="shared" si="3"/>
        <v>0</v>
      </c>
      <c r="C185" s="21" t="str">
        <f>VLOOKUP(A185, hash!A$2:B$500, 2, 0)</f>
        <v>#N/A</v>
      </c>
      <c r="D185" s="23">
        <f t="shared" si="2"/>
        <v>0</v>
      </c>
      <c r="F185" s="45"/>
      <c r="H185" s="45"/>
      <c r="J185" s="45"/>
    </row>
    <row r="186">
      <c r="B186" s="21">
        <f t="shared" si="3"/>
        <v>0</v>
      </c>
      <c r="C186" s="21" t="str">
        <f>VLOOKUP(A186, hash!A$2:B$500, 2, 0)</f>
        <v>#N/A</v>
      </c>
      <c r="D186" s="23">
        <f t="shared" si="2"/>
        <v>0</v>
      </c>
      <c r="F186" s="45"/>
      <c r="H186" s="45"/>
      <c r="J186" s="45"/>
    </row>
    <row r="187">
      <c r="B187" s="21">
        <f t="shared" si="3"/>
        <v>0</v>
      </c>
      <c r="C187" s="21" t="str">
        <f>VLOOKUP(A187, hash!A$2:B$500, 2, 0)</f>
        <v>#N/A</v>
      </c>
      <c r="D187" s="23">
        <f t="shared" si="2"/>
        <v>0</v>
      </c>
      <c r="F187" s="45"/>
      <c r="H187" s="45"/>
      <c r="J187" s="45"/>
    </row>
    <row r="188">
      <c r="B188" s="21">
        <f t="shared" si="3"/>
        <v>0</v>
      </c>
      <c r="C188" s="21" t="str">
        <f>VLOOKUP(A188, hash!A$2:B$500, 2, 0)</f>
        <v>#N/A</v>
      </c>
      <c r="D188" s="23">
        <f t="shared" si="2"/>
        <v>0</v>
      </c>
      <c r="F188" s="45"/>
      <c r="H188" s="45"/>
      <c r="J188" s="45"/>
    </row>
    <row r="189">
      <c r="B189" s="21">
        <f t="shared" si="3"/>
        <v>0</v>
      </c>
      <c r="C189" s="21" t="str">
        <f>VLOOKUP(A189, hash!A$2:B$500, 2, 0)</f>
        <v>#N/A</v>
      </c>
      <c r="D189" s="23">
        <f t="shared" si="2"/>
        <v>0</v>
      </c>
      <c r="F189" s="45"/>
      <c r="H189" s="45"/>
      <c r="J189" s="45"/>
    </row>
    <row r="190">
      <c r="B190" s="21">
        <f t="shared" si="3"/>
        <v>0</v>
      </c>
      <c r="C190" s="21" t="str">
        <f>VLOOKUP(A190, hash!A$2:B$500, 2, 0)</f>
        <v>#N/A</v>
      </c>
      <c r="D190" s="23">
        <f t="shared" si="2"/>
        <v>0</v>
      </c>
      <c r="F190" s="45"/>
      <c r="H190" s="45"/>
      <c r="J190" s="45"/>
    </row>
    <row r="191">
      <c r="B191" s="21">
        <f t="shared" si="3"/>
        <v>0</v>
      </c>
      <c r="C191" s="21" t="str">
        <f>VLOOKUP(A191, hash!A$2:B$500, 2, 0)</f>
        <v>#N/A</v>
      </c>
      <c r="D191" s="23">
        <f t="shared" si="2"/>
        <v>0</v>
      </c>
      <c r="F191" s="45"/>
      <c r="H191" s="45"/>
      <c r="J191" s="45"/>
    </row>
    <row r="192">
      <c r="B192" s="21">
        <f t="shared" si="3"/>
        <v>0</v>
      </c>
      <c r="C192" s="21" t="str">
        <f>VLOOKUP(A192, hash!A$2:B$500, 2, 0)</f>
        <v>#N/A</v>
      </c>
      <c r="D192" s="23">
        <f t="shared" si="2"/>
        <v>0</v>
      </c>
      <c r="F192" s="45"/>
      <c r="H192" s="45"/>
      <c r="J192" s="45"/>
    </row>
    <row r="193">
      <c r="B193" s="21">
        <f t="shared" si="3"/>
        <v>0</v>
      </c>
      <c r="C193" s="21" t="str">
        <f>VLOOKUP(A193, hash!A$2:B$500, 2, 0)</f>
        <v>#N/A</v>
      </c>
      <c r="D193" s="23">
        <f t="shared" si="2"/>
        <v>0</v>
      </c>
      <c r="F193" s="45"/>
      <c r="H193" s="45"/>
      <c r="J193" s="45"/>
    </row>
    <row r="194">
      <c r="B194" s="21">
        <f t="shared" si="3"/>
        <v>0</v>
      </c>
      <c r="C194" s="21" t="str">
        <f>VLOOKUP(A194, hash!A$2:B$500, 2, 0)</f>
        <v>#N/A</v>
      </c>
      <c r="D194" s="23">
        <f t="shared" si="2"/>
        <v>0</v>
      </c>
      <c r="F194" s="45"/>
      <c r="H194" s="45"/>
      <c r="J194" s="45"/>
    </row>
    <row r="195">
      <c r="B195" s="21">
        <f t="shared" si="3"/>
        <v>0</v>
      </c>
      <c r="C195" s="21" t="str">
        <f>VLOOKUP(A195, hash!A$2:B$500, 2, 0)</f>
        <v>#N/A</v>
      </c>
      <c r="D195" s="23">
        <f t="shared" si="2"/>
        <v>0</v>
      </c>
      <c r="F195" s="45"/>
      <c r="H195" s="45"/>
      <c r="J195" s="45"/>
    </row>
    <row r="196">
      <c r="B196" s="21">
        <f t="shared" si="3"/>
        <v>0</v>
      </c>
      <c r="C196" s="21" t="str">
        <f>VLOOKUP(A196, hash!A$2:B$500, 2, 0)</f>
        <v>#N/A</v>
      </c>
      <c r="D196" s="23">
        <f t="shared" si="2"/>
        <v>0</v>
      </c>
      <c r="F196" s="27"/>
      <c r="H196" s="45"/>
      <c r="J196" s="27"/>
    </row>
    <row r="197">
      <c r="B197" s="21">
        <f t="shared" si="3"/>
        <v>0</v>
      </c>
      <c r="C197" s="21" t="str">
        <f>VLOOKUP(A197, hash!A$2:B$500, 2, 0)</f>
        <v>#N/A</v>
      </c>
      <c r="D197" s="23">
        <f t="shared" si="2"/>
        <v>0</v>
      </c>
      <c r="F197" s="45"/>
      <c r="H197" s="45"/>
      <c r="J197" s="45"/>
    </row>
    <row r="198">
      <c r="B198" s="21">
        <f t="shared" si="3"/>
        <v>0</v>
      </c>
      <c r="C198" s="21" t="str">
        <f>VLOOKUP(A198, hash!A$2:B$500, 2, 0)</f>
        <v>#N/A</v>
      </c>
      <c r="D198" s="23">
        <f t="shared" si="2"/>
        <v>0</v>
      </c>
      <c r="F198" s="45"/>
      <c r="H198" s="45"/>
      <c r="J198" s="45"/>
    </row>
    <row r="199">
      <c r="B199" s="21">
        <f t="shared" si="3"/>
        <v>0</v>
      </c>
      <c r="C199" s="21" t="str">
        <f>VLOOKUP(A199, hash!A$2:B$500, 2, 0)</f>
        <v>#N/A</v>
      </c>
      <c r="D199" s="23">
        <f t="shared" si="2"/>
        <v>0</v>
      </c>
      <c r="F199" s="45"/>
      <c r="H199" s="45"/>
      <c r="J199" s="45"/>
    </row>
    <row r="200">
      <c r="B200" s="21">
        <f t="shared" si="3"/>
        <v>0</v>
      </c>
      <c r="C200" s="21" t="str">
        <f>VLOOKUP(A200, hash!A$2:B$500, 2, 0)</f>
        <v>#N/A</v>
      </c>
      <c r="D200" s="23">
        <f t="shared" si="2"/>
        <v>0</v>
      </c>
      <c r="F200" s="45"/>
      <c r="H200" s="45"/>
      <c r="J200" s="45"/>
    </row>
    <row r="201">
      <c r="B201" s="21">
        <f t="shared" si="3"/>
        <v>0</v>
      </c>
      <c r="C201" s="21" t="str">
        <f>VLOOKUP(A201, hash!A$2:B$500, 2, 0)</f>
        <v>#N/A</v>
      </c>
      <c r="D201" s="23">
        <f t="shared" si="2"/>
        <v>0</v>
      </c>
      <c r="F201" s="45"/>
      <c r="H201" s="45"/>
      <c r="J201" s="45"/>
    </row>
    <row r="202">
      <c r="B202" s="21">
        <f t="shared" si="3"/>
        <v>0</v>
      </c>
      <c r="C202" s="21" t="str">
        <f>VLOOKUP(A202, hash!A$2:B$500, 2, 0)</f>
        <v>#N/A</v>
      </c>
      <c r="D202" s="23">
        <f t="shared" si="2"/>
        <v>0</v>
      </c>
      <c r="F202" s="45"/>
      <c r="H202" s="45"/>
      <c r="J202" s="45"/>
    </row>
    <row r="203">
      <c r="B203" s="21">
        <f t="shared" si="3"/>
        <v>0</v>
      </c>
      <c r="C203" s="21" t="str">
        <f>VLOOKUP(A203, hash!A$2:B$500, 2, 0)</f>
        <v>#N/A</v>
      </c>
      <c r="D203" s="23">
        <f t="shared" si="2"/>
        <v>0</v>
      </c>
      <c r="F203" s="45"/>
      <c r="H203" s="45"/>
      <c r="J203" s="45"/>
    </row>
    <row r="204">
      <c r="B204" s="21">
        <f t="shared" si="3"/>
        <v>0</v>
      </c>
      <c r="C204" s="21" t="str">
        <f>VLOOKUP(A204, hash!A$2:B$500, 2, 0)</f>
        <v>#N/A</v>
      </c>
      <c r="D204" s="23">
        <f t="shared" si="2"/>
        <v>0</v>
      </c>
      <c r="F204" s="45"/>
      <c r="H204" s="45"/>
      <c r="J204" s="45"/>
    </row>
    <row r="205">
      <c r="B205" s="21">
        <f t="shared" si="3"/>
        <v>0</v>
      </c>
      <c r="C205" s="21" t="str">
        <f>VLOOKUP(A205, hash!A$2:B$500, 2, 0)</f>
        <v>#N/A</v>
      </c>
      <c r="D205" s="23">
        <f t="shared" si="2"/>
        <v>0</v>
      </c>
      <c r="F205" s="45"/>
      <c r="H205" s="45"/>
      <c r="J205" s="45"/>
    </row>
    <row r="206">
      <c r="B206" s="21">
        <f t="shared" si="3"/>
        <v>0</v>
      </c>
      <c r="C206" s="21" t="str">
        <f>VLOOKUP(A206, hash!A$2:B$500, 2, 0)</f>
        <v>#N/A</v>
      </c>
      <c r="D206" s="23">
        <f t="shared" si="2"/>
        <v>0</v>
      </c>
      <c r="F206" s="45"/>
      <c r="H206" s="45"/>
      <c r="J206" s="45"/>
    </row>
    <row r="207">
      <c r="B207" s="21">
        <f t="shared" si="3"/>
        <v>0</v>
      </c>
      <c r="C207" s="21" t="str">
        <f>VLOOKUP(A207, hash!A$2:B$500, 2, 0)</f>
        <v>#N/A</v>
      </c>
      <c r="D207" s="23">
        <f t="shared" si="2"/>
        <v>0</v>
      </c>
      <c r="F207" s="45"/>
      <c r="H207" s="45"/>
      <c r="J207" s="45"/>
    </row>
    <row r="208">
      <c r="B208" s="21">
        <f t="shared" si="3"/>
        <v>0</v>
      </c>
      <c r="C208" s="21" t="str">
        <f>VLOOKUP(A208, hash!A$2:B$500, 2, 0)</f>
        <v>#N/A</v>
      </c>
      <c r="D208" s="23">
        <f t="shared" si="2"/>
        <v>0</v>
      </c>
      <c r="F208" s="45"/>
      <c r="H208" s="45"/>
      <c r="J208" s="45"/>
    </row>
    <row r="209">
      <c r="B209" s="21">
        <f t="shared" si="3"/>
        <v>0</v>
      </c>
      <c r="C209" s="21" t="str">
        <f>VLOOKUP(A209, hash!A$2:B$500, 2, 0)</f>
        <v>#N/A</v>
      </c>
      <c r="D209" s="23">
        <f t="shared" si="2"/>
        <v>0</v>
      </c>
      <c r="F209" s="45"/>
      <c r="H209" s="45"/>
      <c r="J209" s="45"/>
    </row>
    <row r="210">
      <c r="B210" s="21">
        <f t="shared" si="3"/>
        <v>0</v>
      </c>
      <c r="C210" s="21" t="str">
        <f>VLOOKUP(A210, hash!A$2:B$500, 2, 0)</f>
        <v>#N/A</v>
      </c>
      <c r="D210" s="23">
        <f t="shared" si="2"/>
        <v>0</v>
      </c>
      <c r="F210" s="45"/>
      <c r="H210" s="45"/>
      <c r="J210" s="45"/>
    </row>
    <row r="211">
      <c r="B211" s="21">
        <f t="shared" si="3"/>
        <v>0</v>
      </c>
      <c r="C211" s="21" t="str">
        <f>VLOOKUP(A211, hash!A$2:B$500, 2, 0)</f>
        <v>#N/A</v>
      </c>
      <c r="D211" s="23">
        <f t="shared" si="2"/>
        <v>0</v>
      </c>
      <c r="F211" s="45"/>
      <c r="H211" s="45"/>
      <c r="J211" s="45"/>
    </row>
    <row r="212">
      <c r="B212" s="21">
        <f t="shared" si="3"/>
        <v>0</v>
      </c>
      <c r="C212" s="21" t="str">
        <f>VLOOKUP(A212, hash!A$2:B$500, 2, 0)</f>
        <v>#N/A</v>
      </c>
      <c r="D212" s="23">
        <f t="shared" si="2"/>
        <v>0</v>
      </c>
      <c r="F212" s="45"/>
      <c r="H212" s="45"/>
      <c r="J212" s="45"/>
    </row>
    <row r="213">
      <c r="B213" s="21">
        <f t="shared" si="3"/>
        <v>0</v>
      </c>
      <c r="C213" s="21" t="str">
        <f>VLOOKUP(A213, hash!A$2:B$500, 2, 0)</f>
        <v>#N/A</v>
      </c>
      <c r="D213" s="23">
        <f t="shared" si="2"/>
        <v>0</v>
      </c>
      <c r="F213" s="45"/>
      <c r="H213" s="45"/>
      <c r="J213" s="45"/>
    </row>
    <row r="214">
      <c r="B214" s="21">
        <f t="shared" si="3"/>
        <v>0</v>
      </c>
      <c r="C214" s="21" t="str">
        <f>VLOOKUP(A214, hash!A$2:B$500, 2, 0)</f>
        <v>#N/A</v>
      </c>
      <c r="D214" s="23">
        <f t="shared" si="2"/>
        <v>0</v>
      </c>
      <c r="F214" s="45"/>
      <c r="H214" s="45"/>
      <c r="J214" s="45"/>
    </row>
    <row r="215">
      <c r="B215" s="21">
        <f t="shared" si="3"/>
        <v>0</v>
      </c>
      <c r="C215" s="21" t="str">
        <f>VLOOKUP(A215, hash!A$2:B$500, 2, 0)</f>
        <v>#N/A</v>
      </c>
      <c r="D215" s="23">
        <f t="shared" si="2"/>
        <v>0</v>
      </c>
      <c r="F215" s="45"/>
      <c r="H215" s="45"/>
      <c r="J215" s="45"/>
    </row>
    <row r="216">
      <c r="B216" s="21">
        <f t="shared" si="3"/>
        <v>0</v>
      </c>
      <c r="C216" s="21" t="str">
        <f>VLOOKUP(A216, hash!A$2:B$500, 2, 0)</f>
        <v>#N/A</v>
      </c>
      <c r="D216" s="23">
        <f t="shared" si="2"/>
        <v>0</v>
      </c>
      <c r="F216" s="45"/>
      <c r="H216" s="45"/>
      <c r="J216" s="45"/>
    </row>
    <row r="217">
      <c r="B217" s="21">
        <f t="shared" si="3"/>
        <v>0</v>
      </c>
      <c r="C217" s="21" t="str">
        <f>VLOOKUP(A217, hash!A$2:B$500, 2, 0)</f>
        <v>#N/A</v>
      </c>
      <c r="D217" s="23">
        <f t="shared" si="2"/>
        <v>0</v>
      </c>
      <c r="F217" s="45"/>
      <c r="H217" s="45"/>
      <c r="J217" s="45"/>
    </row>
    <row r="218">
      <c r="B218" s="21">
        <f t="shared" si="3"/>
        <v>0</v>
      </c>
      <c r="C218" s="21" t="str">
        <f>VLOOKUP(A218, hash!A$2:B$500, 2, 0)</f>
        <v>#N/A</v>
      </c>
      <c r="D218" s="23">
        <f t="shared" si="2"/>
        <v>0</v>
      </c>
      <c r="F218" s="45"/>
      <c r="H218" s="45"/>
      <c r="J218" s="45"/>
    </row>
    <row r="219">
      <c r="B219" s="21">
        <f t="shared" si="3"/>
        <v>0</v>
      </c>
      <c r="C219" s="21" t="str">
        <f>VLOOKUP(A219, hash!A$2:B$500, 2, 0)</f>
        <v>#N/A</v>
      </c>
      <c r="D219" s="23">
        <f t="shared" si="2"/>
        <v>0</v>
      </c>
      <c r="F219" s="45"/>
      <c r="H219" s="45"/>
      <c r="J219" s="45"/>
    </row>
    <row r="220">
      <c r="B220" s="21">
        <f t="shared" si="3"/>
        <v>0</v>
      </c>
      <c r="C220" s="21" t="str">
        <f>VLOOKUP(A220, hash!A$2:B$500, 2, 0)</f>
        <v>#N/A</v>
      </c>
      <c r="D220" s="23">
        <f t="shared" si="2"/>
        <v>0</v>
      </c>
      <c r="F220" s="45"/>
      <c r="H220" s="45"/>
      <c r="J220" s="45"/>
    </row>
    <row r="221">
      <c r="B221" s="21">
        <f t="shared" si="3"/>
        <v>0</v>
      </c>
      <c r="C221" s="21" t="str">
        <f>VLOOKUP(A221, hash!A$2:B$500, 2, 0)</f>
        <v>#N/A</v>
      </c>
      <c r="D221" s="23">
        <f t="shared" si="2"/>
        <v>0</v>
      </c>
      <c r="F221" s="45"/>
      <c r="H221" s="45"/>
      <c r="J221" s="45"/>
    </row>
    <row r="222">
      <c r="B222" s="21">
        <f t="shared" si="3"/>
        <v>0</v>
      </c>
      <c r="C222" s="21" t="str">
        <f>VLOOKUP(A222, hash!A$2:B$500, 2, 0)</f>
        <v>#N/A</v>
      </c>
      <c r="D222" s="23">
        <f t="shared" si="2"/>
        <v>0</v>
      </c>
      <c r="F222" s="45"/>
      <c r="H222" s="45"/>
      <c r="J222" s="45"/>
    </row>
    <row r="223">
      <c r="B223" s="21">
        <f t="shared" si="3"/>
        <v>0</v>
      </c>
      <c r="C223" s="21" t="str">
        <f>VLOOKUP(A223, hash!A$2:B$500, 2, 0)</f>
        <v>#N/A</v>
      </c>
      <c r="D223" s="23">
        <f t="shared" si="2"/>
        <v>0</v>
      </c>
      <c r="F223" s="45"/>
      <c r="H223" s="45"/>
      <c r="J223" s="45"/>
    </row>
    <row r="224">
      <c r="B224" s="21">
        <f t="shared" si="3"/>
        <v>0</v>
      </c>
      <c r="C224" s="21" t="str">
        <f>VLOOKUP(A224, hash!A$2:B$500, 2, 0)</f>
        <v>#N/A</v>
      </c>
      <c r="D224" s="23">
        <f t="shared" si="2"/>
        <v>0</v>
      </c>
      <c r="F224" s="45"/>
      <c r="H224" s="45"/>
      <c r="J224" s="45"/>
    </row>
    <row r="225">
      <c r="B225" s="21">
        <f t="shared" si="3"/>
        <v>0</v>
      </c>
      <c r="C225" s="21" t="str">
        <f>VLOOKUP(A225, hash!A$2:B$500, 2, 0)</f>
        <v>#N/A</v>
      </c>
      <c r="D225" s="23">
        <f t="shared" si="2"/>
        <v>0</v>
      </c>
      <c r="F225" s="45"/>
      <c r="H225" s="45"/>
      <c r="J225" s="45"/>
    </row>
    <row r="226">
      <c r="B226" s="21">
        <f t="shared" si="3"/>
        <v>0</v>
      </c>
      <c r="C226" s="21" t="str">
        <f>VLOOKUP(A226, hash!A$2:B$500, 2, 0)</f>
        <v>#N/A</v>
      </c>
      <c r="D226" s="23">
        <f t="shared" si="2"/>
        <v>0</v>
      </c>
      <c r="F226" s="45"/>
      <c r="H226" s="45"/>
      <c r="J226" s="45"/>
    </row>
    <row r="227">
      <c r="B227" s="21">
        <f t="shared" si="3"/>
        <v>0</v>
      </c>
      <c r="C227" s="21" t="str">
        <f>VLOOKUP(A227, hash!A$2:B$500, 2, 0)</f>
        <v>#N/A</v>
      </c>
      <c r="D227" s="23">
        <f t="shared" si="2"/>
        <v>0</v>
      </c>
      <c r="F227" s="27"/>
      <c r="H227" s="45"/>
      <c r="J227" s="27"/>
    </row>
    <row r="228">
      <c r="B228" s="21">
        <f t="shared" si="3"/>
        <v>0</v>
      </c>
      <c r="C228" s="21" t="str">
        <f>VLOOKUP(A228, hash!A$2:B$500, 2, 0)</f>
        <v>#N/A</v>
      </c>
      <c r="D228" s="23">
        <f t="shared" si="2"/>
        <v>0</v>
      </c>
      <c r="F228" s="45"/>
      <c r="H228" s="45"/>
      <c r="J228" s="45"/>
    </row>
    <row r="229">
      <c r="B229" s="21">
        <f t="shared" si="3"/>
        <v>0</v>
      </c>
      <c r="C229" s="21" t="str">
        <f>VLOOKUP(A229, hash!A$2:B$500, 2, 0)</f>
        <v>#N/A</v>
      </c>
      <c r="D229" s="23">
        <f t="shared" si="2"/>
        <v>0</v>
      </c>
      <c r="F229" s="45"/>
      <c r="H229" s="45"/>
      <c r="J229" s="45"/>
    </row>
    <row r="230">
      <c r="B230" s="21">
        <f t="shared" si="3"/>
        <v>0</v>
      </c>
      <c r="C230" s="21" t="str">
        <f>VLOOKUP(A230, hash!A$2:B$500, 2, 0)</f>
        <v>#N/A</v>
      </c>
      <c r="D230" s="23">
        <f t="shared" si="2"/>
        <v>0</v>
      </c>
      <c r="F230" s="45"/>
      <c r="H230" s="45"/>
      <c r="J230" s="45"/>
    </row>
    <row r="231">
      <c r="B231" s="21">
        <f t="shared" si="3"/>
        <v>0</v>
      </c>
      <c r="C231" s="21" t="str">
        <f>VLOOKUP(A231, hash!A$2:B$500, 2, 0)</f>
        <v>#N/A</v>
      </c>
      <c r="D231" s="23">
        <f t="shared" si="2"/>
        <v>0</v>
      </c>
      <c r="F231" s="45"/>
      <c r="H231" s="45"/>
      <c r="J231" s="45"/>
    </row>
    <row r="232">
      <c r="B232" s="21">
        <f t="shared" si="3"/>
        <v>0</v>
      </c>
      <c r="C232" s="21" t="str">
        <f>VLOOKUP(A232, hash!A$2:B$500, 2, 0)</f>
        <v>#N/A</v>
      </c>
      <c r="D232" s="23">
        <f t="shared" si="2"/>
        <v>0</v>
      </c>
      <c r="F232" s="45"/>
      <c r="H232" s="45"/>
      <c r="J232" s="45"/>
    </row>
    <row r="233">
      <c r="B233" s="21">
        <f t="shared" si="3"/>
        <v>0</v>
      </c>
      <c r="C233" s="21" t="str">
        <f>VLOOKUP(A233, hash!A$2:B$500, 2, 0)</f>
        <v>#N/A</v>
      </c>
      <c r="D233" s="23">
        <f t="shared" si="2"/>
        <v>0</v>
      </c>
      <c r="F233" s="45"/>
      <c r="H233" s="45"/>
      <c r="J233" s="45"/>
    </row>
    <row r="234">
      <c r="B234" s="21">
        <f t="shared" si="3"/>
        <v>0</v>
      </c>
      <c r="C234" s="21" t="str">
        <f>VLOOKUP(A234, hash!A$2:B$500, 2, 0)</f>
        <v>#N/A</v>
      </c>
      <c r="D234" s="23">
        <f t="shared" si="2"/>
        <v>0</v>
      </c>
      <c r="F234" s="45"/>
      <c r="H234" s="45"/>
      <c r="J234" s="45"/>
    </row>
    <row r="235">
      <c r="B235" s="21">
        <f t="shared" si="3"/>
        <v>0</v>
      </c>
      <c r="C235" s="21" t="str">
        <f>VLOOKUP(A235, hash!A$2:B$500, 2, 0)</f>
        <v>#N/A</v>
      </c>
      <c r="D235" s="23">
        <f t="shared" si="2"/>
        <v>0</v>
      </c>
      <c r="F235" s="45"/>
      <c r="H235" s="45"/>
      <c r="J235" s="45"/>
    </row>
    <row r="236">
      <c r="B236" s="21">
        <f t="shared" si="3"/>
        <v>0</v>
      </c>
      <c r="C236" s="21" t="str">
        <f>VLOOKUP(A236, hash!A$2:B$500, 2, 0)</f>
        <v>#N/A</v>
      </c>
      <c r="D236" s="23">
        <f t="shared" si="2"/>
        <v>0</v>
      </c>
      <c r="F236" s="45"/>
      <c r="H236" s="45"/>
      <c r="J236" s="45"/>
    </row>
    <row r="237">
      <c r="B237" s="21">
        <f t="shared" si="3"/>
        <v>0</v>
      </c>
      <c r="C237" s="21" t="str">
        <f>VLOOKUP(A237, hash!A$2:B$500, 2, 0)</f>
        <v>#N/A</v>
      </c>
      <c r="D237" s="23">
        <f t="shared" si="2"/>
        <v>0</v>
      </c>
      <c r="F237" s="45"/>
      <c r="H237" s="45"/>
      <c r="J237" s="45"/>
    </row>
    <row r="238">
      <c r="B238" s="21">
        <f t="shared" si="3"/>
        <v>0</v>
      </c>
      <c r="C238" s="21" t="str">
        <f>VLOOKUP(A238, hash!A$2:B$500, 2, 0)</f>
        <v>#N/A</v>
      </c>
      <c r="D238" s="23">
        <f t="shared" si="2"/>
        <v>0</v>
      </c>
      <c r="F238" s="45"/>
      <c r="H238" s="45"/>
      <c r="J238" s="45"/>
    </row>
    <row r="239">
      <c r="B239" s="21">
        <f t="shared" si="3"/>
        <v>0</v>
      </c>
      <c r="C239" s="21" t="str">
        <f>VLOOKUP(A239, hash!A$2:B$500, 2, 0)</f>
        <v>#N/A</v>
      </c>
      <c r="D239" s="23">
        <f t="shared" si="2"/>
        <v>0</v>
      </c>
      <c r="F239" s="45"/>
      <c r="H239" s="45"/>
      <c r="J239" s="45"/>
    </row>
    <row r="240">
      <c r="B240" s="21">
        <f t="shared" si="3"/>
        <v>0</v>
      </c>
      <c r="C240" s="21" t="str">
        <f>VLOOKUP(A240, hash!A$2:B$500, 2, 0)</f>
        <v>#N/A</v>
      </c>
      <c r="D240" s="23">
        <f t="shared" si="2"/>
        <v>0</v>
      </c>
      <c r="F240" s="45"/>
      <c r="H240" s="45"/>
      <c r="J240" s="45"/>
    </row>
    <row r="241">
      <c r="B241" s="21">
        <f t="shared" si="3"/>
        <v>0</v>
      </c>
      <c r="C241" s="21" t="str">
        <f>VLOOKUP(A241, hash!A$2:B$500, 2, 0)</f>
        <v>#N/A</v>
      </c>
      <c r="D241" s="23">
        <f t="shared" si="2"/>
        <v>0</v>
      </c>
      <c r="F241" s="45"/>
      <c r="H241" s="45"/>
      <c r="J241" s="45"/>
    </row>
    <row r="242">
      <c r="B242" s="21">
        <f t="shared" si="3"/>
        <v>0</v>
      </c>
      <c r="C242" s="21" t="str">
        <f>VLOOKUP(A242, hash!A$2:B$500, 2, 0)</f>
        <v>#N/A</v>
      </c>
      <c r="D242" s="23">
        <f t="shared" si="2"/>
        <v>0</v>
      </c>
      <c r="F242" s="45"/>
      <c r="H242" s="45"/>
      <c r="J242" s="45"/>
    </row>
    <row r="243">
      <c r="B243" s="21">
        <f t="shared" si="3"/>
        <v>0</v>
      </c>
      <c r="C243" s="21" t="str">
        <f>VLOOKUP(A243, hash!A$2:B$500, 2, 0)</f>
        <v>#N/A</v>
      </c>
      <c r="D243" s="23">
        <f t="shared" si="2"/>
        <v>0</v>
      </c>
      <c r="F243" s="45"/>
      <c r="H243" s="45"/>
      <c r="J243" s="45"/>
    </row>
    <row r="244">
      <c r="B244" s="21">
        <f t="shared" si="3"/>
        <v>0</v>
      </c>
      <c r="C244" s="21" t="str">
        <f>VLOOKUP(A244, hash!A$2:B$500, 2, 0)</f>
        <v>#N/A</v>
      </c>
      <c r="D244" s="23">
        <f t="shared" si="2"/>
        <v>0</v>
      </c>
      <c r="F244" s="45"/>
      <c r="H244" s="45"/>
      <c r="J244" s="45"/>
    </row>
    <row r="245">
      <c r="B245" s="21">
        <f t="shared" si="3"/>
        <v>0</v>
      </c>
      <c r="C245" s="21" t="str">
        <f>VLOOKUP(A245, hash!A$2:B$500, 2, 0)</f>
        <v>#N/A</v>
      </c>
      <c r="D245" s="23">
        <f t="shared" si="2"/>
        <v>0</v>
      </c>
      <c r="F245" s="45"/>
      <c r="H245" s="45"/>
      <c r="J245" s="45"/>
    </row>
    <row r="246">
      <c r="B246" s="21">
        <f t="shared" si="3"/>
        <v>0</v>
      </c>
      <c r="C246" s="21" t="str">
        <f>VLOOKUP(A246, hash!A$2:B$500, 2, 0)</f>
        <v>#N/A</v>
      </c>
      <c r="D246" s="23">
        <f t="shared" si="2"/>
        <v>0</v>
      </c>
      <c r="F246" s="45"/>
      <c r="H246" s="45"/>
      <c r="J246" s="45"/>
    </row>
    <row r="247">
      <c r="B247" s="21">
        <f t="shared" si="3"/>
        <v>0</v>
      </c>
      <c r="C247" s="21" t="str">
        <f>VLOOKUP(A247, hash!A$2:B$500, 2, 0)</f>
        <v>#N/A</v>
      </c>
      <c r="D247" s="23">
        <f t="shared" si="2"/>
        <v>0</v>
      </c>
      <c r="F247" s="45"/>
      <c r="H247" s="45"/>
      <c r="J247" s="45"/>
    </row>
    <row r="248">
      <c r="B248" s="21">
        <f t="shared" si="3"/>
        <v>0</v>
      </c>
      <c r="C248" s="21" t="str">
        <f>VLOOKUP(A248, hash!A$2:B$500, 2, 0)</f>
        <v>#N/A</v>
      </c>
      <c r="D248" s="23">
        <f t="shared" si="2"/>
        <v>0</v>
      </c>
      <c r="F248" s="45"/>
      <c r="H248" s="45"/>
      <c r="J248" s="45"/>
    </row>
    <row r="249">
      <c r="B249" s="21">
        <f t="shared" si="3"/>
        <v>0</v>
      </c>
      <c r="C249" s="21" t="str">
        <f>VLOOKUP(A249, hash!A$2:B$500, 2, 0)</f>
        <v>#N/A</v>
      </c>
      <c r="D249" s="23">
        <f t="shared" si="2"/>
        <v>0</v>
      </c>
      <c r="F249" s="45"/>
      <c r="H249" s="45"/>
      <c r="J249" s="45"/>
    </row>
    <row r="250">
      <c r="B250" s="21">
        <f t="shared" si="3"/>
        <v>0</v>
      </c>
      <c r="C250" s="21" t="str">
        <f>VLOOKUP(A250, hash!A$2:B$500, 2, 0)</f>
        <v>#N/A</v>
      </c>
      <c r="D250" s="23">
        <f t="shared" si="2"/>
        <v>0</v>
      </c>
      <c r="F250" s="45"/>
      <c r="H250" s="45"/>
      <c r="J250" s="45"/>
    </row>
    <row r="251">
      <c r="B251" s="21">
        <f t="shared" si="3"/>
        <v>0</v>
      </c>
      <c r="C251" s="21" t="str">
        <f>VLOOKUP(A251, hash!A$2:B$500, 2, 0)</f>
        <v>#N/A</v>
      </c>
      <c r="D251" s="23">
        <f t="shared" si="2"/>
        <v>0</v>
      </c>
      <c r="F251" s="45"/>
      <c r="H251" s="45"/>
      <c r="J251" s="45"/>
    </row>
    <row r="252">
      <c r="B252" s="21">
        <f t="shared" si="3"/>
        <v>0</v>
      </c>
      <c r="C252" s="21" t="str">
        <f>VLOOKUP(A252, hash!A$2:B$500, 2, 0)</f>
        <v>#N/A</v>
      </c>
      <c r="D252" s="23">
        <f t="shared" si="2"/>
        <v>0</v>
      </c>
      <c r="F252" s="45"/>
      <c r="H252" s="45"/>
      <c r="J252" s="45"/>
    </row>
    <row r="253">
      <c r="B253" s="21">
        <f t="shared" si="3"/>
        <v>0</v>
      </c>
      <c r="C253" s="21" t="str">
        <f>VLOOKUP(A253, hash!A$2:B$500, 2, 0)</f>
        <v>#N/A</v>
      </c>
      <c r="D253" s="23">
        <f t="shared" si="2"/>
        <v>0</v>
      </c>
      <c r="F253" s="45"/>
      <c r="H253" s="45"/>
      <c r="J253" s="45"/>
    </row>
    <row r="254">
      <c r="B254" s="21">
        <f t="shared" si="3"/>
        <v>0</v>
      </c>
      <c r="C254" s="21" t="str">
        <f>VLOOKUP(A254, hash!A$2:B$500, 2, 0)</f>
        <v>#N/A</v>
      </c>
      <c r="D254" s="23">
        <f t="shared" si="2"/>
        <v>0</v>
      </c>
      <c r="F254" s="45"/>
      <c r="H254" s="45"/>
      <c r="J254" s="45"/>
    </row>
    <row r="255">
      <c r="B255" s="21">
        <f t="shared" si="3"/>
        <v>0</v>
      </c>
      <c r="C255" s="21" t="str">
        <f>VLOOKUP(A255, hash!A$2:B$500, 2, 0)</f>
        <v>#N/A</v>
      </c>
      <c r="D255" s="23">
        <f t="shared" si="2"/>
        <v>0</v>
      </c>
      <c r="F255" s="45"/>
      <c r="H255" s="45"/>
      <c r="J255" s="45"/>
    </row>
    <row r="256">
      <c r="B256" s="21">
        <f t="shared" si="3"/>
        <v>0</v>
      </c>
      <c r="C256" s="21" t="str">
        <f>VLOOKUP(A256, hash!A$2:B$500, 2, 0)</f>
        <v>#N/A</v>
      </c>
      <c r="D256" s="23">
        <f t="shared" si="2"/>
        <v>0</v>
      </c>
      <c r="F256" s="45"/>
      <c r="H256" s="45"/>
      <c r="J256" s="45"/>
    </row>
    <row r="257">
      <c r="B257" s="21">
        <f t="shared" si="3"/>
        <v>0</v>
      </c>
      <c r="C257" s="21" t="str">
        <f>VLOOKUP(A257, hash!A$2:B$500, 2, 0)</f>
        <v>#N/A</v>
      </c>
      <c r="D257" s="23">
        <f t="shared" si="2"/>
        <v>0</v>
      </c>
      <c r="F257" s="45"/>
      <c r="H257" s="45"/>
      <c r="J257" s="45"/>
    </row>
    <row r="258">
      <c r="B258" s="21">
        <f t="shared" si="3"/>
        <v>0</v>
      </c>
      <c r="C258" s="21" t="str">
        <f>VLOOKUP(A258, hash!A$2:B$500, 2, 0)</f>
        <v>#N/A</v>
      </c>
      <c r="D258" s="23">
        <f t="shared" si="2"/>
        <v>0</v>
      </c>
      <c r="F258" s="45"/>
      <c r="H258" s="45"/>
      <c r="J258" s="45"/>
    </row>
    <row r="259">
      <c r="B259" s="21">
        <f t="shared" si="3"/>
        <v>0</v>
      </c>
      <c r="C259" s="21" t="str">
        <f>VLOOKUP(A259, hash!A$2:B$500, 2, 0)</f>
        <v>#N/A</v>
      </c>
      <c r="D259" s="23">
        <f t="shared" si="2"/>
        <v>0</v>
      </c>
      <c r="F259" s="45"/>
      <c r="H259" s="45"/>
      <c r="J259" s="45"/>
    </row>
    <row r="260">
      <c r="B260" s="21">
        <f t="shared" si="3"/>
        <v>0</v>
      </c>
      <c r="C260" s="21" t="str">
        <f>VLOOKUP(A260, hash!A$2:B$500, 2, 0)</f>
        <v>#N/A</v>
      </c>
      <c r="D260" s="23">
        <f t="shared" si="2"/>
        <v>0</v>
      </c>
      <c r="F260" s="45"/>
      <c r="H260" s="45"/>
      <c r="J260" s="45"/>
    </row>
    <row r="261">
      <c r="B261" s="21">
        <f t="shared" si="3"/>
        <v>0</v>
      </c>
      <c r="C261" s="21" t="str">
        <f>VLOOKUP(A261, hash!A$2:B$500, 2, 0)</f>
        <v>#N/A</v>
      </c>
      <c r="D261" s="23">
        <f t="shared" si="2"/>
        <v>0</v>
      </c>
      <c r="F261" s="45"/>
      <c r="H261" s="45"/>
      <c r="J261" s="45"/>
    </row>
    <row r="262">
      <c r="B262" s="21">
        <f t="shared" si="3"/>
        <v>0</v>
      </c>
      <c r="C262" s="21" t="str">
        <f>VLOOKUP(A262, hash!A$2:B$500, 2, 0)</f>
        <v>#N/A</v>
      </c>
      <c r="D262" s="23">
        <f t="shared" si="2"/>
        <v>0</v>
      </c>
      <c r="F262" s="45"/>
      <c r="H262" s="45"/>
      <c r="J262" s="45"/>
    </row>
    <row r="263">
      <c r="B263" s="21">
        <f t="shared" si="3"/>
        <v>0</v>
      </c>
      <c r="C263" s="21" t="str">
        <f>VLOOKUP(A263, hash!A$2:B$500, 2, 0)</f>
        <v>#N/A</v>
      </c>
      <c r="D263" s="23">
        <f t="shared" si="2"/>
        <v>0</v>
      </c>
      <c r="F263" s="45"/>
      <c r="H263" s="45"/>
      <c r="J263" s="45"/>
    </row>
    <row r="264">
      <c r="B264" s="21">
        <f t="shared" si="3"/>
        <v>0</v>
      </c>
      <c r="C264" s="21" t="str">
        <f>VLOOKUP(A264, hash!A$2:B$500, 2, 0)</f>
        <v>#N/A</v>
      </c>
      <c r="D264" s="23">
        <f t="shared" si="2"/>
        <v>0</v>
      </c>
      <c r="F264" s="45"/>
      <c r="H264" s="45"/>
      <c r="J264" s="45"/>
    </row>
    <row r="265">
      <c r="B265" s="21">
        <f t="shared" si="3"/>
        <v>0</v>
      </c>
      <c r="C265" s="21" t="str">
        <f>VLOOKUP(A265, hash!A$2:B$500, 2, 0)</f>
        <v>#N/A</v>
      </c>
      <c r="D265" s="23">
        <f t="shared" si="2"/>
        <v>0</v>
      </c>
      <c r="F265" s="45"/>
      <c r="H265" s="45"/>
      <c r="J265" s="45"/>
    </row>
    <row r="266">
      <c r="B266" s="21">
        <f t="shared" si="3"/>
        <v>0</v>
      </c>
      <c r="C266" s="21" t="str">
        <f>VLOOKUP(A266, hash!A$2:B$500, 2, 0)</f>
        <v>#N/A</v>
      </c>
      <c r="D266" s="23">
        <f t="shared" si="2"/>
        <v>0</v>
      </c>
      <c r="F266" s="45"/>
      <c r="H266" s="45"/>
      <c r="J266" s="45"/>
    </row>
    <row r="267">
      <c r="B267" s="21">
        <f t="shared" si="3"/>
        <v>0</v>
      </c>
      <c r="C267" s="21" t="str">
        <f>VLOOKUP(A267, hash!A$2:B$500, 2, 0)</f>
        <v>#N/A</v>
      </c>
      <c r="D267" s="23">
        <f t="shared" si="2"/>
        <v>0</v>
      </c>
      <c r="F267" s="45"/>
      <c r="H267" s="45"/>
      <c r="J267" s="45"/>
    </row>
    <row r="268">
      <c r="B268" s="21">
        <f t="shared" si="3"/>
        <v>0</v>
      </c>
      <c r="C268" s="21" t="str">
        <f>VLOOKUP(A268, hash!A$2:B$500, 2, 0)</f>
        <v>#N/A</v>
      </c>
      <c r="D268" s="23">
        <f t="shared" si="2"/>
        <v>0</v>
      </c>
      <c r="F268" s="45"/>
      <c r="H268" s="45"/>
      <c r="J268" s="45"/>
    </row>
    <row r="269">
      <c r="B269" s="21">
        <f t="shared" si="3"/>
        <v>0</v>
      </c>
      <c r="C269" s="21" t="str">
        <f>VLOOKUP(A269, hash!A$2:B$500, 2, 0)</f>
        <v>#N/A</v>
      </c>
      <c r="D269" s="23">
        <f t="shared" si="2"/>
        <v>0</v>
      </c>
      <c r="F269" s="45"/>
      <c r="H269" s="45"/>
      <c r="J269" s="45"/>
    </row>
    <row r="270">
      <c r="B270" s="21">
        <f t="shared" si="3"/>
        <v>0</v>
      </c>
      <c r="C270" s="21" t="str">
        <f>VLOOKUP(A270, hash!A$2:B$500, 2, 0)</f>
        <v>#N/A</v>
      </c>
      <c r="D270" s="23">
        <f t="shared" si="2"/>
        <v>0</v>
      </c>
      <c r="F270" s="45"/>
      <c r="H270" s="45"/>
      <c r="J270" s="45"/>
    </row>
    <row r="271">
      <c r="B271" s="21">
        <f t="shared" si="3"/>
        <v>0</v>
      </c>
      <c r="C271" s="21" t="str">
        <f>VLOOKUP(A271, hash!A$2:B$500, 2, 0)</f>
        <v>#N/A</v>
      </c>
      <c r="D271" s="23">
        <f t="shared" si="2"/>
        <v>0</v>
      </c>
      <c r="F271" s="45"/>
      <c r="H271" s="45"/>
      <c r="J271" s="45"/>
    </row>
    <row r="272">
      <c r="B272" s="21">
        <f t="shared" si="3"/>
        <v>0</v>
      </c>
      <c r="C272" s="21" t="str">
        <f>VLOOKUP(A272, hash!A$2:B$500, 2, 0)</f>
        <v>#N/A</v>
      </c>
      <c r="D272" s="23">
        <f t="shared" si="2"/>
        <v>0</v>
      </c>
      <c r="F272" s="45"/>
      <c r="H272" s="45"/>
      <c r="J272" s="45"/>
    </row>
    <row r="273">
      <c r="B273" s="21">
        <f t="shared" si="3"/>
        <v>0</v>
      </c>
      <c r="C273" s="21" t="str">
        <f>VLOOKUP(A273, hash!A$2:B$500, 2, 0)</f>
        <v>#N/A</v>
      </c>
      <c r="D273" s="23">
        <f t="shared" si="2"/>
        <v>0</v>
      </c>
      <c r="F273" s="45"/>
      <c r="H273" s="45"/>
      <c r="J273" s="45"/>
    </row>
    <row r="274">
      <c r="B274" s="21">
        <f t="shared" si="3"/>
        <v>0</v>
      </c>
      <c r="C274" s="21" t="str">
        <f>VLOOKUP(A274, hash!A$2:B$500, 2, 0)</f>
        <v>#N/A</v>
      </c>
      <c r="D274" s="23">
        <f t="shared" si="2"/>
        <v>0</v>
      </c>
      <c r="F274" s="45"/>
      <c r="H274" s="45"/>
      <c r="J274" s="45"/>
    </row>
    <row r="275">
      <c r="B275" s="21">
        <f t="shared" si="3"/>
        <v>0</v>
      </c>
      <c r="C275" s="21" t="str">
        <f>VLOOKUP(A275, hash!A$2:B$500, 2, 0)</f>
        <v>#N/A</v>
      </c>
      <c r="D275" s="23">
        <f t="shared" si="2"/>
        <v>0</v>
      </c>
      <c r="F275" s="45"/>
      <c r="H275" s="45"/>
      <c r="J275" s="45"/>
    </row>
    <row r="276">
      <c r="B276" s="21">
        <f t="shared" si="3"/>
        <v>0</v>
      </c>
      <c r="C276" s="21" t="str">
        <f>VLOOKUP(A276, hash!A$2:B$500, 2, 0)</f>
        <v>#N/A</v>
      </c>
      <c r="D276" s="23">
        <f t="shared" si="2"/>
        <v>0</v>
      </c>
      <c r="F276" s="45"/>
      <c r="H276" s="45"/>
      <c r="J276" s="45"/>
    </row>
    <row r="277">
      <c r="B277" s="21">
        <f t="shared" si="3"/>
        <v>0</v>
      </c>
      <c r="C277" s="21" t="str">
        <f>VLOOKUP(A277, hash!A$2:B$500, 2, 0)</f>
        <v>#N/A</v>
      </c>
      <c r="D277" s="23">
        <f t="shared" si="2"/>
        <v>0</v>
      </c>
      <c r="F277" s="45"/>
      <c r="H277" s="45"/>
      <c r="J277" s="45"/>
    </row>
    <row r="278">
      <c r="B278" s="21">
        <f t="shared" si="3"/>
        <v>0</v>
      </c>
      <c r="C278" s="21" t="str">
        <f>VLOOKUP(A278, hash!A$2:B$500, 2, 0)</f>
        <v>#N/A</v>
      </c>
      <c r="D278" s="23">
        <f t="shared" si="2"/>
        <v>0</v>
      </c>
      <c r="F278" s="45"/>
      <c r="H278" s="45"/>
      <c r="J278" s="45"/>
    </row>
    <row r="279">
      <c r="B279" s="21">
        <f t="shared" si="3"/>
        <v>0</v>
      </c>
      <c r="C279" s="21" t="str">
        <f>VLOOKUP(A279, hash!A$2:B$500, 2, 0)</f>
        <v>#N/A</v>
      </c>
      <c r="D279" s="23">
        <f t="shared" si="2"/>
        <v>0</v>
      </c>
      <c r="F279" s="45"/>
      <c r="H279" s="45"/>
      <c r="J279" s="45"/>
    </row>
    <row r="280">
      <c r="B280" s="21">
        <f t="shared" si="3"/>
        <v>0</v>
      </c>
      <c r="C280" s="21" t="str">
        <f>VLOOKUP(A280, hash!A$2:B$500, 2, 0)</f>
        <v>#N/A</v>
      </c>
      <c r="D280" s="23">
        <f t="shared" si="2"/>
        <v>0</v>
      </c>
      <c r="F280" s="45"/>
      <c r="H280" s="45"/>
      <c r="J280" s="45"/>
    </row>
    <row r="281">
      <c r="B281" s="21">
        <f t="shared" si="3"/>
        <v>0</v>
      </c>
      <c r="C281" s="21" t="str">
        <f>VLOOKUP(A281, hash!A$2:B$500, 2, 0)</f>
        <v>#N/A</v>
      </c>
      <c r="D281" s="23">
        <f t="shared" si="2"/>
        <v>0</v>
      </c>
      <c r="F281" s="45"/>
      <c r="H281" s="45"/>
      <c r="J281" s="45"/>
    </row>
    <row r="282">
      <c r="B282" s="21">
        <f t="shared" si="3"/>
        <v>0</v>
      </c>
      <c r="C282" s="21" t="str">
        <f>VLOOKUP(A282, hash!A$2:B$500, 2, 0)</f>
        <v>#N/A</v>
      </c>
      <c r="D282" s="23">
        <f t="shared" si="2"/>
        <v>0</v>
      </c>
      <c r="F282" s="45"/>
      <c r="H282" s="45"/>
      <c r="J282" s="45"/>
    </row>
    <row r="283">
      <c r="B283" s="21">
        <f t="shared" si="3"/>
        <v>0</v>
      </c>
      <c r="C283" s="21" t="str">
        <f>VLOOKUP(A283, hash!A$2:B$500, 2, 0)</f>
        <v>#N/A</v>
      </c>
      <c r="D283" s="23">
        <f t="shared" si="2"/>
        <v>0</v>
      </c>
      <c r="F283" s="45"/>
      <c r="H283" s="45"/>
      <c r="J283" s="45"/>
    </row>
    <row r="284">
      <c r="B284" s="21">
        <f t="shared" si="3"/>
        <v>0</v>
      </c>
      <c r="C284" s="21" t="str">
        <f>VLOOKUP(A284, hash!A$2:B$500, 2, 0)</f>
        <v>#N/A</v>
      </c>
      <c r="D284" s="23">
        <f t="shared" si="2"/>
        <v>0</v>
      </c>
      <c r="F284" s="45"/>
      <c r="H284" s="45"/>
      <c r="J284" s="45"/>
    </row>
    <row r="285">
      <c r="B285" s="21">
        <f t="shared" si="3"/>
        <v>0</v>
      </c>
      <c r="C285" s="21" t="str">
        <f>VLOOKUP(A285, hash!A$2:B$500, 2, 0)</f>
        <v>#N/A</v>
      </c>
      <c r="D285" s="23">
        <f t="shared" si="2"/>
        <v>0</v>
      </c>
      <c r="F285" s="45"/>
      <c r="H285" s="45"/>
      <c r="J285" s="45"/>
    </row>
    <row r="286">
      <c r="B286" s="21">
        <f t="shared" si="3"/>
        <v>0</v>
      </c>
      <c r="C286" s="21" t="str">
        <f>VLOOKUP(A286, hash!A$2:B$500, 2, 0)</f>
        <v>#N/A</v>
      </c>
      <c r="D286" s="23">
        <f t="shared" si="2"/>
        <v>0</v>
      </c>
      <c r="F286" s="45"/>
      <c r="H286" s="45"/>
      <c r="J286" s="45"/>
    </row>
    <row r="287">
      <c r="B287" s="21">
        <f t="shared" si="3"/>
        <v>0</v>
      </c>
      <c r="C287" s="21" t="str">
        <f>VLOOKUP(A287, hash!A$2:B$500, 2, 0)</f>
        <v>#N/A</v>
      </c>
      <c r="D287" s="23">
        <f t="shared" si="2"/>
        <v>0</v>
      </c>
      <c r="F287" s="45"/>
      <c r="H287" s="45"/>
      <c r="J287" s="45"/>
    </row>
    <row r="288">
      <c r="B288" s="21">
        <f t="shared" si="3"/>
        <v>0</v>
      </c>
      <c r="C288" s="21" t="str">
        <f>VLOOKUP(A288, hash!A$2:B$500, 2, 0)</f>
        <v>#N/A</v>
      </c>
      <c r="D288" s="23">
        <f t="shared" si="2"/>
        <v>0</v>
      </c>
      <c r="F288" s="45"/>
      <c r="H288" s="45"/>
      <c r="J288" s="45"/>
    </row>
    <row r="289">
      <c r="B289" s="21">
        <f t="shared" si="3"/>
        <v>0</v>
      </c>
      <c r="C289" s="21" t="str">
        <f>VLOOKUP(A289, hash!A$2:B$500, 2, 0)</f>
        <v>#N/A</v>
      </c>
      <c r="D289" s="23">
        <f t="shared" si="2"/>
        <v>0</v>
      </c>
      <c r="F289" s="45"/>
      <c r="H289" s="45"/>
      <c r="J289" s="45"/>
    </row>
    <row r="290">
      <c r="B290" s="21">
        <f t="shared" si="3"/>
        <v>0</v>
      </c>
      <c r="C290" s="21" t="str">
        <f>VLOOKUP(A290, hash!A$2:B$500, 2, 0)</f>
        <v>#N/A</v>
      </c>
      <c r="D290" s="23">
        <f t="shared" si="2"/>
        <v>0</v>
      </c>
      <c r="F290" s="45"/>
      <c r="H290" s="45"/>
      <c r="J290" s="45"/>
    </row>
    <row r="291">
      <c r="B291" s="21">
        <f t="shared" si="3"/>
        <v>0</v>
      </c>
      <c r="C291" s="21" t="str">
        <f>VLOOKUP(A291, hash!A$2:B$500, 2, 0)</f>
        <v>#N/A</v>
      </c>
      <c r="D291" s="23">
        <f t="shared" si="2"/>
        <v>0</v>
      </c>
      <c r="F291" s="45"/>
      <c r="H291" s="45"/>
      <c r="J291" s="45"/>
    </row>
    <row r="292">
      <c r="B292" s="21">
        <f t="shared" si="3"/>
        <v>0</v>
      </c>
      <c r="C292" s="21" t="str">
        <f>VLOOKUP(A292, hash!A$2:B$500, 2, 0)</f>
        <v>#N/A</v>
      </c>
      <c r="D292" s="23">
        <f t="shared" si="2"/>
        <v>0</v>
      </c>
      <c r="F292" s="45"/>
      <c r="H292" s="45"/>
      <c r="J292" s="45"/>
    </row>
    <row r="293">
      <c r="B293" s="21">
        <f t="shared" si="3"/>
        <v>0</v>
      </c>
      <c r="C293" s="21" t="str">
        <f>VLOOKUP(A293, hash!A$2:B$500, 2, 0)</f>
        <v>#N/A</v>
      </c>
      <c r="D293" s="23">
        <f t="shared" si="2"/>
        <v>0</v>
      </c>
      <c r="F293" s="45"/>
      <c r="H293" s="45"/>
      <c r="J293" s="45"/>
    </row>
    <row r="294">
      <c r="B294" s="21">
        <f t="shared" si="3"/>
        <v>0</v>
      </c>
      <c r="C294" s="21" t="str">
        <f>VLOOKUP(A294, hash!A$2:B$500, 2, 0)</f>
        <v>#N/A</v>
      </c>
      <c r="D294" s="23">
        <f t="shared" si="2"/>
        <v>0</v>
      </c>
      <c r="F294" s="45"/>
      <c r="H294" s="45"/>
      <c r="J294" s="45"/>
    </row>
    <row r="295">
      <c r="B295" s="21">
        <f t="shared" si="3"/>
        <v>0</v>
      </c>
      <c r="C295" s="21" t="str">
        <f>VLOOKUP(A295, hash!A$2:B$500, 2, 0)</f>
        <v>#N/A</v>
      </c>
      <c r="D295" s="23">
        <f t="shared" si="2"/>
        <v>0</v>
      </c>
      <c r="F295" s="45"/>
      <c r="H295" s="45"/>
      <c r="J295" s="45"/>
    </row>
    <row r="296">
      <c r="B296" s="21">
        <f t="shared" si="3"/>
        <v>0</v>
      </c>
      <c r="C296" s="21" t="str">
        <f>VLOOKUP(A296, hash!A$2:B$500, 2, 0)</f>
        <v>#N/A</v>
      </c>
      <c r="D296" s="23">
        <f t="shared" si="2"/>
        <v>0</v>
      </c>
      <c r="F296" s="45"/>
      <c r="H296" s="45"/>
      <c r="J296" s="45"/>
    </row>
    <row r="297">
      <c r="B297" s="21">
        <f t="shared" si="3"/>
        <v>0</v>
      </c>
      <c r="C297" s="21" t="str">
        <f>VLOOKUP(A297, hash!A$2:B$500, 2, 0)</f>
        <v>#N/A</v>
      </c>
      <c r="D297" s="23">
        <f t="shared" si="2"/>
        <v>0</v>
      </c>
      <c r="F297" s="45"/>
      <c r="H297" s="45"/>
      <c r="J297" s="45"/>
    </row>
    <row r="298">
      <c r="B298" s="21">
        <f t="shared" si="3"/>
        <v>0</v>
      </c>
      <c r="C298" s="21" t="str">
        <f>VLOOKUP(A298, hash!A$2:B$500, 2, 0)</f>
        <v>#N/A</v>
      </c>
      <c r="D298" s="23">
        <f t="shared" si="2"/>
        <v>0</v>
      </c>
      <c r="F298" s="45"/>
      <c r="H298" s="45"/>
      <c r="J298" s="45"/>
    </row>
    <row r="299">
      <c r="B299" s="21">
        <f t="shared" si="3"/>
        <v>0</v>
      </c>
      <c r="C299" s="21" t="str">
        <f>VLOOKUP(A299, hash!A$2:B$500, 2, 0)</f>
        <v>#N/A</v>
      </c>
      <c r="D299" s="23">
        <f t="shared" si="2"/>
        <v>0</v>
      </c>
      <c r="F299" s="45"/>
      <c r="H299" s="45"/>
      <c r="J299" s="45"/>
    </row>
    <row r="300">
      <c r="B300" s="21">
        <f t="shared" si="3"/>
        <v>0</v>
      </c>
      <c r="C300" s="21" t="str">
        <f>VLOOKUP(A300, hash!A$2:B$500, 2, 0)</f>
        <v>#N/A</v>
      </c>
      <c r="D300" s="23">
        <f t="shared" si="2"/>
        <v>0</v>
      </c>
      <c r="F300" s="45"/>
      <c r="H300" s="45"/>
      <c r="J300" s="45"/>
    </row>
    <row r="301">
      <c r="B301" s="21">
        <f t="shared" si="3"/>
        <v>0</v>
      </c>
      <c r="C301" s="21" t="str">
        <f>VLOOKUP(A301, hash!A$2:B$500, 2, 0)</f>
        <v>#N/A</v>
      </c>
      <c r="D301" s="23">
        <f t="shared" si="2"/>
        <v>0</v>
      </c>
      <c r="F301" s="45"/>
      <c r="H301" s="45"/>
      <c r="J301" s="45"/>
    </row>
    <row r="302">
      <c r="B302" s="21">
        <f t="shared" si="3"/>
        <v>0</v>
      </c>
      <c r="C302" s="21" t="str">
        <f>VLOOKUP(A302, hash!A$2:B$500, 2, 0)</f>
        <v>#N/A</v>
      </c>
      <c r="D302" s="23">
        <f t="shared" si="2"/>
        <v>0</v>
      </c>
      <c r="F302" s="45"/>
      <c r="H302" s="45"/>
      <c r="J302" s="45"/>
    </row>
    <row r="303">
      <c r="B303" s="21">
        <f t="shared" si="3"/>
        <v>0</v>
      </c>
      <c r="C303" s="21" t="str">
        <f>VLOOKUP(A303, hash!A$2:B$500, 2, 0)</f>
        <v>#N/A</v>
      </c>
      <c r="D303" s="23">
        <f t="shared" si="2"/>
        <v>0</v>
      </c>
      <c r="F303" s="45"/>
      <c r="H303" s="45"/>
      <c r="J303" s="45"/>
    </row>
    <row r="304">
      <c r="B304" s="21">
        <f t="shared" si="3"/>
        <v>0</v>
      </c>
      <c r="C304" s="21" t="str">
        <f>VLOOKUP(A304, hash!A$2:B$500, 2, 0)</f>
        <v>#N/A</v>
      </c>
      <c r="D304" s="23">
        <f t="shared" si="2"/>
        <v>0</v>
      </c>
      <c r="F304" s="45"/>
      <c r="H304" s="45"/>
      <c r="J304" s="45"/>
    </row>
    <row r="305">
      <c r="B305" s="21">
        <f t="shared" si="3"/>
        <v>0</v>
      </c>
      <c r="C305" s="21" t="str">
        <f>VLOOKUP(A305, hash!A$2:B$500, 2, 0)</f>
        <v>#N/A</v>
      </c>
      <c r="D305" s="23">
        <f t="shared" si="2"/>
        <v>0</v>
      </c>
      <c r="F305" s="45"/>
      <c r="H305" s="45"/>
      <c r="J305" s="45"/>
    </row>
    <row r="306">
      <c r="B306" s="21">
        <f t="shared" si="3"/>
        <v>0</v>
      </c>
      <c r="C306" s="21" t="str">
        <f>VLOOKUP(A306, hash!A$2:B$500, 2, 0)</f>
        <v>#N/A</v>
      </c>
      <c r="D306" s="23">
        <f t="shared" si="2"/>
        <v>0</v>
      </c>
      <c r="F306" s="45"/>
      <c r="H306" s="45"/>
      <c r="J306" s="45"/>
    </row>
    <row r="307">
      <c r="B307" s="21">
        <f t="shared" si="3"/>
        <v>0</v>
      </c>
      <c r="C307" s="21" t="str">
        <f>VLOOKUP(A307, hash!A$2:B$500, 2, 0)</f>
        <v>#N/A</v>
      </c>
      <c r="D307" s="23">
        <f t="shared" si="2"/>
        <v>0</v>
      </c>
      <c r="F307" s="45"/>
      <c r="H307" s="45"/>
      <c r="J307" s="45"/>
    </row>
    <row r="308">
      <c r="B308" s="21">
        <f t="shared" si="3"/>
        <v>0</v>
      </c>
      <c r="C308" s="21" t="str">
        <f>VLOOKUP(A308, hash!A$2:B$500, 2, 0)</f>
        <v>#N/A</v>
      </c>
      <c r="D308" s="23">
        <f t="shared" si="2"/>
        <v>0</v>
      </c>
      <c r="F308" s="45"/>
      <c r="H308" s="45"/>
      <c r="J308" s="45"/>
    </row>
    <row r="309">
      <c r="B309" s="21">
        <f t="shared" si="3"/>
        <v>0</v>
      </c>
      <c r="C309" s="21" t="str">
        <f>VLOOKUP(A309, hash!A$2:B$500, 2, 0)</f>
        <v>#N/A</v>
      </c>
      <c r="D309" s="23">
        <f t="shared" si="2"/>
        <v>0</v>
      </c>
      <c r="F309" s="45"/>
      <c r="H309" s="45"/>
      <c r="J309" s="45"/>
    </row>
    <row r="310">
      <c r="B310" s="21">
        <f t="shared" si="3"/>
        <v>0</v>
      </c>
      <c r="C310" s="21" t="str">
        <f>VLOOKUP(A310, hash!A$2:B$500, 2, 0)</f>
        <v>#N/A</v>
      </c>
      <c r="D310" s="23">
        <f t="shared" si="2"/>
        <v>0</v>
      </c>
      <c r="F310" s="45"/>
      <c r="H310" s="45"/>
      <c r="J310" s="45"/>
    </row>
    <row r="311">
      <c r="B311" s="21">
        <f t="shared" si="3"/>
        <v>0</v>
      </c>
      <c r="C311" s="21" t="str">
        <f>VLOOKUP(A311, hash!A$2:B$500, 2, 0)</f>
        <v>#N/A</v>
      </c>
      <c r="D311" s="23">
        <f t="shared" si="2"/>
        <v>0</v>
      </c>
      <c r="F311" s="45"/>
      <c r="H311" s="45"/>
      <c r="J311" s="45"/>
    </row>
    <row r="312">
      <c r="B312" s="21">
        <f t="shared" si="3"/>
        <v>0</v>
      </c>
      <c r="C312" s="21" t="str">
        <f>VLOOKUP(A312, hash!A$2:B$500, 2, 0)</f>
        <v>#N/A</v>
      </c>
      <c r="D312" s="23">
        <f t="shared" si="2"/>
        <v>0</v>
      </c>
      <c r="F312" s="45"/>
      <c r="H312" s="45"/>
      <c r="J312" s="45"/>
    </row>
    <row r="313">
      <c r="B313" s="21">
        <f t="shared" si="3"/>
        <v>0</v>
      </c>
      <c r="C313" s="21" t="str">
        <f>VLOOKUP(A313, hash!A$2:B$500, 2, 0)</f>
        <v>#N/A</v>
      </c>
      <c r="D313" s="23">
        <f t="shared" si="2"/>
        <v>0</v>
      </c>
      <c r="F313" s="45"/>
      <c r="H313" s="45"/>
      <c r="J313" s="45"/>
    </row>
    <row r="314">
      <c r="B314" s="21">
        <f t="shared" si="3"/>
        <v>0</v>
      </c>
      <c r="C314" s="21" t="str">
        <f>VLOOKUP(A314, hash!A$2:B$500, 2, 0)</f>
        <v>#N/A</v>
      </c>
      <c r="D314" s="23">
        <f t="shared" si="2"/>
        <v>0</v>
      </c>
      <c r="F314" s="45"/>
      <c r="H314" s="45"/>
      <c r="J314" s="45"/>
    </row>
    <row r="315">
      <c r="B315" s="21">
        <f t="shared" si="3"/>
        <v>0</v>
      </c>
      <c r="C315" s="21" t="str">
        <f>VLOOKUP(A315, hash!A$2:B$500, 2, 0)</f>
        <v>#N/A</v>
      </c>
      <c r="D315" s="23">
        <f t="shared" si="2"/>
        <v>0</v>
      </c>
      <c r="F315" s="45"/>
      <c r="H315" s="45"/>
      <c r="J315" s="45"/>
    </row>
    <row r="316">
      <c r="B316" s="21">
        <f t="shared" si="3"/>
        <v>0</v>
      </c>
      <c r="C316" s="21" t="str">
        <f>VLOOKUP(A316, hash!A$2:B$500, 2, 0)</f>
        <v>#N/A</v>
      </c>
      <c r="D316" s="23">
        <f t="shared" si="2"/>
        <v>0</v>
      </c>
      <c r="F316" s="45"/>
      <c r="H316" s="45"/>
      <c r="J316" s="45"/>
    </row>
    <row r="317">
      <c r="B317" s="21">
        <f t="shared" si="3"/>
        <v>0</v>
      </c>
      <c r="C317" s="21" t="str">
        <f>VLOOKUP(A317, hash!A$2:B$500, 2, 0)</f>
        <v>#N/A</v>
      </c>
      <c r="D317" s="23">
        <f t="shared" si="2"/>
        <v>0</v>
      </c>
      <c r="F317" s="45"/>
      <c r="H317" s="45"/>
      <c r="J317" s="45"/>
    </row>
    <row r="318">
      <c r="B318" s="21">
        <f t="shared" si="3"/>
        <v>0</v>
      </c>
      <c r="C318" s="21" t="str">
        <f>VLOOKUP(A318, hash!A$2:B$500, 2, 0)</f>
        <v>#N/A</v>
      </c>
      <c r="D318" s="23">
        <f t="shared" si="2"/>
        <v>0</v>
      </c>
      <c r="F318" s="45"/>
      <c r="H318" s="45"/>
      <c r="J318" s="45"/>
    </row>
    <row r="319">
      <c r="B319" s="21">
        <f t="shared" si="3"/>
        <v>0</v>
      </c>
      <c r="C319" s="21" t="str">
        <f>VLOOKUP(A319, hash!A$2:B$500, 2, 0)</f>
        <v>#N/A</v>
      </c>
      <c r="D319" s="23">
        <f t="shared" si="2"/>
        <v>0</v>
      </c>
      <c r="F319" s="45"/>
      <c r="H319" s="45"/>
      <c r="J319" s="45"/>
    </row>
    <row r="320">
      <c r="B320" s="21">
        <f t="shared" si="3"/>
        <v>0</v>
      </c>
      <c r="C320" s="21" t="str">
        <f>VLOOKUP(A320, hash!A$2:B$500, 2, 0)</f>
        <v>#N/A</v>
      </c>
      <c r="D320" s="23">
        <f t="shared" si="2"/>
        <v>0</v>
      </c>
      <c r="F320" s="45"/>
      <c r="H320" s="45"/>
      <c r="J320" s="45"/>
    </row>
    <row r="321">
      <c r="B321" s="21">
        <f t="shared" si="3"/>
        <v>0</v>
      </c>
      <c r="C321" s="21" t="str">
        <f>VLOOKUP(A321, hash!A$2:B$500, 2, 0)</f>
        <v>#N/A</v>
      </c>
      <c r="D321" s="23">
        <f t="shared" si="2"/>
        <v>0</v>
      </c>
      <c r="F321" s="45"/>
      <c r="H321" s="45"/>
      <c r="J321" s="45"/>
    </row>
    <row r="322">
      <c r="B322" s="21">
        <f t="shared" si="3"/>
        <v>0</v>
      </c>
      <c r="C322" s="21" t="str">
        <f>VLOOKUP(A322, hash!A$2:B$500, 2, 0)</f>
        <v>#N/A</v>
      </c>
      <c r="D322" s="23">
        <f t="shared" si="2"/>
        <v>0</v>
      </c>
      <c r="F322" s="45"/>
      <c r="H322" s="45"/>
      <c r="J322" s="45"/>
    </row>
    <row r="323">
      <c r="B323" s="21">
        <f t="shared" si="3"/>
        <v>0</v>
      </c>
      <c r="C323" s="21" t="str">
        <f>VLOOKUP(A323, hash!A$2:B$500, 2, 0)</f>
        <v>#N/A</v>
      </c>
      <c r="D323" s="23">
        <f t="shared" si="2"/>
        <v>0</v>
      </c>
      <c r="F323" s="45"/>
      <c r="H323" s="45"/>
      <c r="J323" s="45"/>
    </row>
    <row r="324">
      <c r="B324" s="21">
        <f t="shared" si="3"/>
        <v>0</v>
      </c>
      <c r="C324" s="21" t="str">
        <f>VLOOKUP(A324, hash!A$2:B$500, 2, 0)</f>
        <v>#N/A</v>
      </c>
      <c r="D324" s="23">
        <f t="shared" si="2"/>
        <v>0</v>
      </c>
      <c r="F324" s="45"/>
      <c r="H324" s="45"/>
      <c r="J324" s="45"/>
    </row>
    <row r="325">
      <c r="B325" s="21">
        <f t="shared" si="3"/>
        <v>0</v>
      </c>
      <c r="C325" s="21" t="str">
        <f>VLOOKUP(A325, hash!A$2:B$500, 2, 0)</f>
        <v>#N/A</v>
      </c>
      <c r="D325" s="23">
        <f t="shared" si="2"/>
        <v>0</v>
      </c>
      <c r="F325" s="45"/>
      <c r="H325" s="45"/>
      <c r="J325" s="45"/>
    </row>
    <row r="326">
      <c r="B326" s="21">
        <f t="shared" si="3"/>
        <v>0</v>
      </c>
      <c r="C326" s="21" t="str">
        <f>VLOOKUP(A326, hash!A$2:B$500, 2, 0)</f>
        <v>#N/A</v>
      </c>
      <c r="D326" s="23">
        <f t="shared" si="2"/>
        <v>0</v>
      </c>
      <c r="F326" s="45"/>
      <c r="H326" s="45"/>
      <c r="J326" s="45"/>
    </row>
    <row r="327">
      <c r="B327" s="21">
        <f t="shared" si="3"/>
        <v>0</v>
      </c>
      <c r="C327" s="21" t="str">
        <f>VLOOKUP(A327, hash!A$2:B$500, 2, 0)</f>
        <v>#N/A</v>
      </c>
      <c r="D327" s="23">
        <f t="shared" si="2"/>
        <v>0</v>
      </c>
      <c r="F327" s="45"/>
      <c r="H327" s="45"/>
      <c r="J327" s="45"/>
    </row>
    <row r="328">
      <c r="B328" s="21">
        <f t="shared" si="3"/>
        <v>0</v>
      </c>
      <c r="C328" s="21" t="str">
        <f>VLOOKUP(A328, hash!A$2:B$500, 2, 0)</f>
        <v>#N/A</v>
      </c>
      <c r="D328" s="23">
        <f t="shared" si="2"/>
        <v>0</v>
      </c>
      <c r="F328" s="45"/>
      <c r="H328" s="45"/>
      <c r="J328" s="45"/>
    </row>
    <row r="329">
      <c r="B329" s="21">
        <f t="shared" si="3"/>
        <v>0</v>
      </c>
      <c r="C329" s="21" t="str">
        <f>VLOOKUP(A329, hash!A$2:B$500, 2, 0)</f>
        <v>#N/A</v>
      </c>
      <c r="D329" s="23">
        <f t="shared" si="2"/>
        <v>0</v>
      </c>
      <c r="F329" s="45"/>
      <c r="H329" s="45"/>
      <c r="J329" s="45"/>
    </row>
    <row r="330">
      <c r="B330" s="21">
        <f t="shared" si="3"/>
        <v>0</v>
      </c>
      <c r="C330" s="21" t="str">
        <f>VLOOKUP(A330, hash!A$2:B$500, 2, 0)</f>
        <v>#N/A</v>
      </c>
      <c r="D330" s="23">
        <f t="shared" si="2"/>
        <v>0</v>
      </c>
      <c r="F330" s="45"/>
      <c r="H330" s="45"/>
      <c r="J330" s="45"/>
    </row>
    <row r="331">
      <c r="B331" s="21">
        <f t="shared" si="3"/>
        <v>0</v>
      </c>
      <c r="C331" s="21" t="str">
        <f>VLOOKUP(A331, hash!A$2:B$500, 2, 0)</f>
        <v>#N/A</v>
      </c>
      <c r="D331" s="23">
        <f t="shared" si="2"/>
        <v>0</v>
      </c>
      <c r="F331" s="45"/>
      <c r="H331" s="45"/>
      <c r="J331" s="45"/>
    </row>
    <row r="332">
      <c r="B332" s="21">
        <f t="shared" si="3"/>
        <v>0</v>
      </c>
      <c r="C332" s="21" t="str">
        <f>VLOOKUP(A332, hash!A$2:B$500, 2, 0)</f>
        <v>#N/A</v>
      </c>
      <c r="D332" s="23">
        <f t="shared" si="2"/>
        <v>0</v>
      </c>
      <c r="F332" s="45"/>
      <c r="H332" s="45"/>
      <c r="J332" s="45"/>
    </row>
    <row r="333">
      <c r="B333" s="21">
        <f t="shared" si="3"/>
        <v>0</v>
      </c>
      <c r="C333" s="21" t="str">
        <f>VLOOKUP(A333, hash!A$2:B$500, 2, 0)</f>
        <v>#N/A</v>
      </c>
      <c r="D333" s="23">
        <f t="shared" si="2"/>
        <v>0</v>
      </c>
      <c r="F333" s="45"/>
      <c r="H333" s="45"/>
      <c r="J333" s="45"/>
    </row>
    <row r="334">
      <c r="B334" s="21">
        <f t="shared" si="3"/>
        <v>0</v>
      </c>
      <c r="C334" s="21" t="str">
        <f>VLOOKUP(A334, hash!A$2:B$500, 2, 0)</f>
        <v>#N/A</v>
      </c>
      <c r="D334" s="23">
        <f t="shared" si="2"/>
        <v>0</v>
      </c>
      <c r="F334" s="45"/>
      <c r="H334" s="45"/>
      <c r="J334" s="45"/>
    </row>
    <row r="335">
      <c r="B335" s="21">
        <f t="shared" si="3"/>
        <v>0</v>
      </c>
      <c r="C335" s="21" t="str">
        <f>VLOOKUP(A335, hash!A$2:B$500, 2, 0)</f>
        <v>#N/A</v>
      </c>
      <c r="D335" s="23">
        <f t="shared" si="2"/>
        <v>0</v>
      </c>
      <c r="F335" s="45"/>
      <c r="H335" s="45"/>
      <c r="J335" s="45"/>
    </row>
    <row r="336">
      <c r="B336" s="21">
        <f t="shared" si="3"/>
        <v>0</v>
      </c>
      <c r="C336" s="21" t="str">
        <f>VLOOKUP(A336, hash!A$2:B$500, 2, 0)</f>
        <v>#N/A</v>
      </c>
      <c r="D336" s="23">
        <f t="shared" si="2"/>
        <v>0</v>
      </c>
      <c r="F336" s="45"/>
      <c r="H336" s="45"/>
      <c r="J336" s="45"/>
    </row>
    <row r="337">
      <c r="B337" s="21">
        <f t="shared" si="3"/>
        <v>0</v>
      </c>
      <c r="C337" s="21" t="str">
        <f>VLOOKUP(A337, hash!A$2:B$500, 2, 0)</f>
        <v>#N/A</v>
      </c>
      <c r="D337" s="23">
        <f t="shared" si="2"/>
        <v>0</v>
      </c>
      <c r="F337" s="45"/>
      <c r="H337" s="45"/>
      <c r="J337" s="45"/>
    </row>
    <row r="338">
      <c r="B338" s="21">
        <f t="shared" si="3"/>
        <v>0</v>
      </c>
      <c r="C338" s="21" t="str">
        <f>VLOOKUP(A338, hash!A$2:B$500, 2, 0)</f>
        <v>#N/A</v>
      </c>
      <c r="D338" s="23">
        <f t="shared" si="2"/>
        <v>0</v>
      </c>
      <c r="F338" s="45"/>
      <c r="H338" s="45"/>
      <c r="J338" s="45"/>
    </row>
    <row r="339">
      <c r="B339" s="21">
        <f t="shared" si="3"/>
        <v>0</v>
      </c>
      <c r="C339" s="21" t="str">
        <f>VLOOKUP(A339, hash!A$2:B$500, 2, 0)</f>
        <v>#N/A</v>
      </c>
      <c r="D339" s="23">
        <f t="shared" si="2"/>
        <v>0</v>
      </c>
      <c r="F339" s="45"/>
      <c r="H339" s="45"/>
      <c r="J339" s="45"/>
    </row>
    <row r="340">
      <c r="B340" s="21">
        <f t="shared" si="3"/>
        <v>0</v>
      </c>
      <c r="C340" s="21" t="str">
        <f>VLOOKUP(A340, hash!A$2:B$500, 2, 0)</f>
        <v>#N/A</v>
      </c>
      <c r="D340" s="23">
        <f t="shared" si="2"/>
        <v>0</v>
      </c>
      <c r="F340" s="45"/>
      <c r="H340" s="45"/>
      <c r="J340" s="45"/>
    </row>
    <row r="341">
      <c r="B341" s="21">
        <f t="shared" si="3"/>
        <v>0</v>
      </c>
      <c r="C341" s="21" t="str">
        <f>VLOOKUP(A341, hash!A$2:B$500, 2, 0)</f>
        <v>#N/A</v>
      </c>
      <c r="D341" s="23">
        <f t="shared" si="2"/>
        <v>0</v>
      </c>
      <c r="F341" s="45"/>
      <c r="H341" s="45"/>
      <c r="J341" s="45"/>
    </row>
    <row r="342">
      <c r="B342" s="21">
        <f t="shared" si="3"/>
        <v>0</v>
      </c>
      <c r="C342" s="21" t="str">
        <f>VLOOKUP(A342, hash!A$2:B$500, 2, 0)</f>
        <v>#N/A</v>
      </c>
      <c r="D342" s="23">
        <f t="shared" si="2"/>
        <v>0</v>
      </c>
      <c r="F342" s="45"/>
      <c r="H342" s="45"/>
      <c r="J342" s="45"/>
    </row>
    <row r="343">
      <c r="B343" s="21">
        <f t="shared" si="3"/>
        <v>0</v>
      </c>
      <c r="C343" s="21" t="str">
        <f>VLOOKUP(A343, hash!A$2:B$500, 2, 0)</f>
        <v>#N/A</v>
      </c>
      <c r="D343" s="23">
        <f t="shared" si="2"/>
        <v>0</v>
      </c>
      <c r="F343" s="45"/>
      <c r="H343" s="45"/>
      <c r="J343" s="45"/>
    </row>
    <row r="344">
      <c r="B344" s="21">
        <f t="shared" si="3"/>
        <v>0</v>
      </c>
      <c r="C344" s="21" t="str">
        <f>VLOOKUP(A344, hash!A$2:B$500, 2, 0)</f>
        <v>#N/A</v>
      </c>
      <c r="D344" s="23">
        <f t="shared" si="2"/>
        <v>0</v>
      </c>
      <c r="F344" s="45"/>
      <c r="H344" s="45"/>
      <c r="J344" s="45"/>
    </row>
    <row r="345">
      <c r="B345" s="21">
        <f t="shared" si="3"/>
        <v>0</v>
      </c>
      <c r="C345" s="21" t="str">
        <f>VLOOKUP(A345, hash!A$2:B$500, 2, 0)</f>
        <v>#N/A</v>
      </c>
      <c r="D345" s="23">
        <f t="shared" si="2"/>
        <v>0</v>
      </c>
      <c r="F345" s="45"/>
      <c r="H345" s="45"/>
      <c r="J345" s="45"/>
    </row>
    <row r="346">
      <c r="B346" s="21">
        <f t="shared" si="3"/>
        <v>0</v>
      </c>
      <c r="C346" s="21" t="str">
        <f>VLOOKUP(A346, hash!A$2:B$500, 2, 0)</f>
        <v>#N/A</v>
      </c>
      <c r="D346" s="23">
        <f t="shared" si="2"/>
        <v>0</v>
      </c>
      <c r="F346" s="45"/>
      <c r="H346" s="45"/>
      <c r="J346" s="45"/>
    </row>
    <row r="347">
      <c r="B347" s="21">
        <f t="shared" si="3"/>
        <v>0</v>
      </c>
      <c r="C347" s="21" t="str">
        <f>VLOOKUP(A347, hash!A$2:B$500, 2, 0)</f>
        <v>#N/A</v>
      </c>
      <c r="D347" s="23">
        <f t="shared" si="2"/>
        <v>0</v>
      </c>
      <c r="F347" s="45"/>
      <c r="H347" s="45"/>
      <c r="J347" s="45"/>
    </row>
    <row r="348">
      <c r="B348" s="21">
        <f t="shared" si="3"/>
        <v>0</v>
      </c>
      <c r="C348" s="21" t="str">
        <f>VLOOKUP(A348, hash!A$2:B$500, 2, 0)</f>
        <v>#N/A</v>
      </c>
      <c r="D348" s="23">
        <f t="shared" si="2"/>
        <v>0</v>
      </c>
      <c r="F348" s="45"/>
      <c r="H348" s="45"/>
      <c r="J348" s="45"/>
    </row>
    <row r="349">
      <c r="B349" s="21">
        <f t="shared" si="3"/>
        <v>0</v>
      </c>
      <c r="C349" s="21" t="str">
        <f>VLOOKUP(A349, hash!A$2:B$500, 2, 0)</f>
        <v>#N/A</v>
      </c>
      <c r="D349" s="23">
        <f t="shared" si="2"/>
        <v>0</v>
      </c>
      <c r="F349" s="45"/>
      <c r="H349" s="45"/>
      <c r="J349" s="45"/>
    </row>
    <row r="350">
      <c r="B350" s="21">
        <f t="shared" si="3"/>
        <v>0</v>
      </c>
      <c r="C350" s="21" t="str">
        <f>VLOOKUP(A350, hash!A$2:B$500, 2, 0)</f>
        <v>#N/A</v>
      </c>
      <c r="D350" s="23">
        <f t="shared" si="2"/>
        <v>0</v>
      </c>
      <c r="F350" s="45"/>
      <c r="H350" s="45"/>
      <c r="J350" s="45"/>
    </row>
    <row r="351">
      <c r="B351" s="21">
        <f t="shared" si="3"/>
        <v>0</v>
      </c>
      <c r="C351" s="21" t="str">
        <f>VLOOKUP(A351, hash!A$2:B$500, 2, 0)</f>
        <v>#N/A</v>
      </c>
      <c r="D351" s="23">
        <f t="shared" si="2"/>
        <v>0</v>
      </c>
      <c r="F351" s="45"/>
      <c r="H351" s="45"/>
      <c r="J351" s="45"/>
    </row>
    <row r="352">
      <c r="B352" s="21">
        <f t="shared" si="3"/>
        <v>0</v>
      </c>
      <c r="C352" s="21" t="str">
        <f>VLOOKUP(A352, hash!A$2:B$500, 2, 0)</f>
        <v>#N/A</v>
      </c>
      <c r="D352" s="23">
        <f t="shared" si="2"/>
        <v>0</v>
      </c>
      <c r="F352" s="45"/>
      <c r="H352" s="45"/>
      <c r="J352" s="45"/>
    </row>
    <row r="353">
      <c r="B353" s="21">
        <f t="shared" si="3"/>
        <v>0</v>
      </c>
      <c r="C353" s="21" t="str">
        <f>VLOOKUP(A353, hash!A$2:B$500, 2, 0)</f>
        <v>#N/A</v>
      </c>
      <c r="D353" s="23">
        <f t="shared" si="2"/>
        <v>0</v>
      </c>
      <c r="F353" s="45"/>
      <c r="H353" s="45"/>
      <c r="J353" s="45"/>
    </row>
    <row r="354">
      <c r="B354" s="21">
        <f t="shared" si="3"/>
        <v>0</v>
      </c>
      <c r="C354" s="21" t="str">
        <f>VLOOKUP(A354, hash!A$2:B$500, 2, 0)</f>
        <v>#N/A</v>
      </c>
      <c r="D354" s="23">
        <f t="shared" si="2"/>
        <v>0</v>
      </c>
      <c r="F354" s="45"/>
      <c r="H354" s="45"/>
      <c r="J354" s="45"/>
    </row>
    <row r="355">
      <c r="B355" s="21">
        <f t="shared" si="3"/>
        <v>0</v>
      </c>
      <c r="C355" s="21" t="str">
        <f>VLOOKUP(A355, hash!A$2:B$500, 2, 0)</f>
        <v>#N/A</v>
      </c>
      <c r="D355" s="23">
        <f t="shared" si="2"/>
        <v>0</v>
      </c>
      <c r="F355" s="45"/>
      <c r="H355" s="45"/>
      <c r="J355" s="45"/>
    </row>
    <row r="356">
      <c r="B356" s="21">
        <f t="shared" si="3"/>
        <v>0</v>
      </c>
      <c r="C356" s="21" t="str">
        <f>VLOOKUP(A356, hash!A$2:B$500, 2, 0)</f>
        <v>#N/A</v>
      </c>
      <c r="D356" s="23">
        <f t="shared" si="2"/>
        <v>0</v>
      </c>
      <c r="F356" s="45"/>
      <c r="H356" s="45"/>
      <c r="J356" s="45"/>
    </row>
    <row r="357">
      <c r="B357" s="21">
        <f t="shared" si="3"/>
        <v>0</v>
      </c>
      <c r="C357" s="21" t="str">
        <f>VLOOKUP(A357, hash!A$2:B$500, 2, 0)</f>
        <v>#N/A</v>
      </c>
      <c r="D357" s="23">
        <f t="shared" si="2"/>
        <v>0</v>
      </c>
      <c r="F357" s="45"/>
      <c r="H357" s="45"/>
      <c r="J357" s="45"/>
    </row>
    <row r="358">
      <c r="B358" s="21">
        <f t="shared" si="3"/>
        <v>0</v>
      </c>
      <c r="C358" s="21" t="str">
        <f>VLOOKUP(A358, hash!A$2:B$500, 2, 0)</f>
        <v>#N/A</v>
      </c>
      <c r="D358" s="23">
        <f t="shared" si="2"/>
        <v>0</v>
      </c>
      <c r="F358" s="45"/>
      <c r="H358" s="45"/>
      <c r="J358" s="45"/>
    </row>
    <row r="359">
      <c r="B359" s="21">
        <f t="shared" si="3"/>
        <v>0</v>
      </c>
      <c r="C359" s="21" t="str">
        <f>VLOOKUP(A359, hash!A$2:B$500, 2, 0)</f>
        <v>#N/A</v>
      </c>
      <c r="D359" s="23">
        <f t="shared" si="2"/>
        <v>0</v>
      </c>
      <c r="F359" s="45"/>
      <c r="H359" s="45"/>
      <c r="J359" s="45"/>
    </row>
    <row r="360">
      <c r="B360" s="21">
        <f t="shared" si="3"/>
        <v>0</v>
      </c>
      <c r="C360" s="21" t="str">
        <f>VLOOKUP(A360, hash!A$2:B$500, 2, 0)</f>
        <v>#N/A</v>
      </c>
      <c r="D360" s="23">
        <f t="shared" si="2"/>
        <v>0</v>
      </c>
      <c r="F360" s="45"/>
      <c r="H360" s="45"/>
      <c r="J360" s="45"/>
    </row>
    <row r="361">
      <c r="B361" s="21">
        <f t="shared" si="3"/>
        <v>0</v>
      </c>
      <c r="C361" s="21" t="str">
        <f>VLOOKUP(A361, hash!A$2:B$500, 2, 0)</f>
        <v>#N/A</v>
      </c>
      <c r="D361" s="23">
        <f t="shared" si="2"/>
        <v>0</v>
      </c>
      <c r="F361" s="45"/>
      <c r="H361" s="45"/>
      <c r="J361" s="45"/>
    </row>
    <row r="362">
      <c r="B362" s="21">
        <f t="shared" si="3"/>
        <v>0</v>
      </c>
      <c r="C362" s="21" t="str">
        <f>VLOOKUP(A362, hash!A$2:B$500, 2, 0)</f>
        <v>#N/A</v>
      </c>
      <c r="D362" s="23">
        <f t="shared" si="2"/>
        <v>0</v>
      </c>
      <c r="F362" s="45"/>
      <c r="H362" s="45"/>
      <c r="J362" s="45"/>
    </row>
    <row r="363">
      <c r="B363" s="21">
        <f t="shared" si="3"/>
        <v>0</v>
      </c>
      <c r="C363" s="21" t="str">
        <f>VLOOKUP(A363, hash!A$2:B$500, 2, 0)</f>
        <v>#N/A</v>
      </c>
      <c r="D363" s="23">
        <f t="shared" si="2"/>
        <v>0</v>
      </c>
      <c r="F363" s="45"/>
      <c r="H363" s="45"/>
      <c r="J363" s="45"/>
    </row>
    <row r="364">
      <c r="B364" s="21">
        <f t="shared" si="3"/>
        <v>0</v>
      </c>
      <c r="C364" s="21" t="str">
        <f>VLOOKUP(A364, hash!A$2:B$500, 2, 0)</f>
        <v>#N/A</v>
      </c>
      <c r="D364" s="23">
        <f t="shared" si="2"/>
        <v>0</v>
      </c>
      <c r="F364" s="45"/>
      <c r="H364" s="45"/>
      <c r="J364" s="45"/>
    </row>
    <row r="365">
      <c r="B365" s="21">
        <f t="shared" si="3"/>
        <v>0</v>
      </c>
      <c r="C365" s="21" t="str">
        <f>VLOOKUP(A365, hash!A$2:B$500, 2, 0)</f>
        <v>#N/A</v>
      </c>
      <c r="D365" s="23">
        <f t="shared" si="2"/>
        <v>0</v>
      </c>
      <c r="F365" s="45"/>
      <c r="H365" s="45"/>
      <c r="J365" s="45"/>
    </row>
    <row r="366">
      <c r="B366" s="21">
        <f t="shared" si="3"/>
        <v>0</v>
      </c>
      <c r="C366" s="21" t="str">
        <f>VLOOKUP(A366, hash!A$2:B$500, 2, 0)</f>
        <v>#N/A</v>
      </c>
      <c r="D366" s="23">
        <f t="shared" si="2"/>
        <v>0</v>
      </c>
      <c r="F366" s="45"/>
      <c r="H366" s="45"/>
      <c r="J366" s="45"/>
    </row>
    <row r="367">
      <c r="B367" s="21">
        <f t="shared" si="3"/>
        <v>0</v>
      </c>
      <c r="C367" s="21" t="str">
        <f>VLOOKUP(A367, hash!A$2:B$500, 2, 0)</f>
        <v>#N/A</v>
      </c>
      <c r="D367" s="23">
        <f t="shared" si="2"/>
        <v>0</v>
      </c>
      <c r="F367" s="45"/>
      <c r="H367" s="45"/>
      <c r="J367" s="45"/>
    </row>
    <row r="368">
      <c r="B368" s="21">
        <f t="shared" si="3"/>
        <v>0</v>
      </c>
      <c r="C368" s="21" t="str">
        <f>VLOOKUP(A368, hash!A$2:B$500, 2, 0)</f>
        <v>#N/A</v>
      </c>
      <c r="D368" s="23">
        <f t="shared" si="2"/>
        <v>0</v>
      </c>
      <c r="F368" s="45"/>
      <c r="H368" s="45"/>
      <c r="J368" s="45"/>
    </row>
    <row r="369">
      <c r="B369" s="21">
        <f t="shared" si="3"/>
        <v>0</v>
      </c>
      <c r="C369" s="21" t="str">
        <f>VLOOKUP(A369, hash!A$2:B$500, 2, 0)</f>
        <v>#N/A</v>
      </c>
      <c r="D369" s="23">
        <f t="shared" si="2"/>
        <v>0</v>
      </c>
      <c r="F369" s="45"/>
      <c r="H369" s="45"/>
      <c r="J369" s="45"/>
    </row>
    <row r="370">
      <c r="B370" s="21">
        <f t="shared" si="3"/>
        <v>0</v>
      </c>
      <c r="C370" s="21" t="str">
        <f>VLOOKUP(A370, hash!A$2:B$500, 2, 0)</f>
        <v>#N/A</v>
      </c>
      <c r="D370" s="23">
        <f t="shared" si="2"/>
        <v>0</v>
      </c>
      <c r="F370" s="27"/>
      <c r="H370" s="45"/>
      <c r="J370" s="45"/>
    </row>
    <row r="371">
      <c r="B371" s="21">
        <f t="shared" si="3"/>
        <v>0</v>
      </c>
      <c r="C371" s="21" t="str">
        <f>VLOOKUP(A371, hash!A$2:B$500, 2, 0)</f>
        <v>#N/A</v>
      </c>
      <c r="D371" s="23">
        <f t="shared" si="2"/>
        <v>0</v>
      </c>
      <c r="F371" s="45"/>
      <c r="H371" s="45"/>
      <c r="J371" s="45"/>
    </row>
    <row r="372">
      <c r="B372" s="21">
        <f t="shared" si="3"/>
        <v>0</v>
      </c>
      <c r="C372" s="21" t="str">
        <f>VLOOKUP(A372, hash!A$2:B$500, 2, 0)</f>
        <v>#N/A</v>
      </c>
      <c r="D372" s="23">
        <f t="shared" si="2"/>
        <v>0</v>
      </c>
      <c r="F372" s="45"/>
      <c r="H372" s="27"/>
      <c r="J372" s="27"/>
    </row>
    <row r="373">
      <c r="B373" s="21">
        <f t="shared" si="3"/>
        <v>0</v>
      </c>
      <c r="C373" s="21" t="str">
        <f>VLOOKUP(A373, hash!A$2:B$500, 2, 0)</f>
        <v>#N/A</v>
      </c>
      <c r="D373" s="23">
        <f t="shared" si="2"/>
        <v>0</v>
      </c>
      <c r="F373" s="45"/>
      <c r="H373" s="45"/>
      <c r="J373" s="45"/>
    </row>
    <row r="374">
      <c r="B374" s="21">
        <f t="shared" si="3"/>
        <v>0</v>
      </c>
      <c r="C374" s="21" t="str">
        <f>VLOOKUP(A374, hash!A$2:B$500, 2, 0)</f>
        <v>#N/A</v>
      </c>
      <c r="D374" s="23">
        <f t="shared" si="2"/>
        <v>0</v>
      </c>
      <c r="F374" s="45"/>
      <c r="H374" s="45"/>
      <c r="J374" s="45"/>
    </row>
    <row r="375">
      <c r="B375" s="21">
        <f t="shared" si="3"/>
        <v>0</v>
      </c>
      <c r="C375" s="21" t="str">
        <f>VLOOKUP(A375, hash!A$2:B$500, 2, 0)</f>
        <v>#N/A</v>
      </c>
      <c r="D375" s="23">
        <f t="shared" si="2"/>
        <v>0</v>
      </c>
      <c r="F375" s="45"/>
      <c r="H375" s="45"/>
      <c r="J375" s="45"/>
    </row>
    <row r="376">
      <c r="B376" s="21">
        <f t="shared" si="3"/>
        <v>0</v>
      </c>
      <c r="C376" s="21" t="str">
        <f>VLOOKUP(A376, hash!A$2:B$500, 2, 0)</f>
        <v>#N/A</v>
      </c>
      <c r="D376" s="23">
        <f t="shared" si="2"/>
        <v>0</v>
      </c>
      <c r="F376" s="45"/>
      <c r="H376" s="45"/>
      <c r="J376" s="45"/>
    </row>
    <row r="377">
      <c r="B377" s="21">
        <f t="shared" si="3"/>
        <v>0</v>
      </c>
      <c r="C377" s="21" t="str">
        <f>VLOOKUP(A377, hash!A$2:B$500, 2, 0)</f>
        <v>#N/A</v>
      </c>
      <c r="D377" s="23">
        <f t="shared" si="2"/>
        <v>0</v>
      </c>
      <c r="F377" s="45"/>
      <c r="H377" s="45"/>
      <c r="J377" s="45"/>
    </row>
    <row r="378">
      <c r="B378" s="21">
        <f t="shared" si="3"/>
        <v>0</v>
      </c>
      <c r="C378" s="21" t="str">
        <f>VLOOKUP(A378, hash!A$2:B$500, 2, 0)</f>
        <v>#N/A</v>
      </c>
      <c r="D378" s="23">
        <f t="shared" si="2"/>
        <v>0</v>
      </c>
      <c r="F378" s="45"/>
      <c r="H378" s="45"/>
      <c r="J378" s="45"/>
    </row>
    <row r="379">
      <c r="B379" s="21">
        <f t="shared" si="3"/>
        <v>0</v>
      </c>
      <c r="C379" s="21" t="str">
        <f>VLOOKUP(A379, hash!A$2:B$500, 2, 0)</f>
        <v>#N/A</v>
      </c>
      <c r="D379" s="23">
        <f t="shared" si="2"/>
        <v>0</v>
      </c>
      <c r="F379" s="45"/>
      <c r="H379" s="45"/>
      <c r="J379" s="45"/>
    </row>
    <row r="380">
      <c r="B380" s="21">
        <f t="shared" si="3"/>
        <v>0</v>
      </c>
      <c r="C380" s="21" t="str">
        <f>VLOOKUP(A380, hash!A$2:B$500, 2, 0)</f>
        <v>#N/A</v>
      </c>
      <c r="D380" s="23">
        <f t="shared" si="2"/>
        <v>0</v>
      </c>
      <c r="F380" s="45"/>
      <c r="H380" s="45"/>
      <c r="J380" s="45"/>
    </row>
    <row r="381">
      <c r="B381" s="21">
        <f t="shared" si="3"/>
        <v>0</v>
      </c>
      <c r="C381" s="21" t="str">
        <f>VLOOKUP(A381, hash!A$2:B$500, 2, 0)</f>
        <v>#N/A</v>
      </c>
      <c r="D381" s="23">
        <f t="shared" si="2"/>
        <v>0</v>
      </c>
      <c r="F381" s="45"/>
      <c r="H381" s="45"/>
      <c r="J381" s="45"/>
    </row>
    <row r="382">
      <c r="B382" s="21">
        <f t="shared" si="3"/>
        <v>0</v>
      </c>
      <c r="C382" s="21" t="str">
        <f>VLOOKUP(A382, hash!A$2:B$500, 2, 0)</f>
        <v>#N/A</v>
      </c>
      <c r="D382" s="23">
        <f t="shared" si="2"/>
        <v>0</v>
      </c>
      <c r="F382" s="45"/>
      <c r="H382" s="45"/>
      <c r="J382" s="45"/>
    </row>
    <row r="383">
      <c r="B383" s="21">
        <f t="shared" si="3"/>
        <v>0</v>
      </c>
      <c r="C383" s="21" t="str">
        <f>VLOOKUP(A383, hash!A$2:B$500, 2, 0)</f>
        <v>#N/A</v>
      </c>
      <c r="D383" s="23">
        <f t="shared" si="2"/>
        <v>0</v>
      </c>
      <c r="F383" s="45"/>
      <c r="H383" s="45"/>
      <c r="J383" s="45"/>
    </row>
    <row r="384">
      <c r="B384" s="21">
        <f t="shared" si="3"/>
        <v>0</v>
      </c>
      <c r="C384" s="21" t="str">
        <f>VLOOKUP(A384, hash!A$2:B$500, 2, 0)</f>
        <v>#N/A</v>
      </c>
      <c r="D384" s="23">
        <f t="shared" si="2"/>
        <v>0</v>
      </c>
      <c r="F384" s="45"/>
      <c r="H384" s="45"/>
      <c r="J384" s="45"/>
    </row>
    <row r="385">
      <c r="B385" s="21">
        <f t="shared" si="3"/>
        <v>0</v>
      </c>
      <c r="C385" s="21" t="str">
        <f>VLOOKUP(A385, hash!A$2:B$500, 2, 0)</f>
        <v>#N/A</v>
      </c>
      <c r="D385" s="23">
        <f t="shared" si="2"/>
        <v>0</v>
      </c>
      <c r="F385" s="45"/>
      <c r="H385" s="45"/>
      <c r="J385" s="45"/>
    </row>
    <row r="386">
      <c r="B386" s="21">
        <f t="shared" si="3"/>
        <v>0</v>
      </c>
      <c r="C386" s="21" t="str">
        <f>VLOOKUP(A386, hash!A$2:B$500, 2, 0)</f>
        <v>#N/A</v>
      </c>
      <c r="D386" s="23">
        <f t="shared" si="2"/>
        <v>0</v>
      </c>
      <c r="F386" s="45"/>
      <c r="H386" s="45"/>
      <c r="J386" s="45"/>
    </row>
    <row r="387">
      <c r="B387" s="21">
        <f t="shared" si="3"/>
        <v>0</v>
      </c>
      <c r="C387" s="21" t="str">
        <f>VLOOKUP(A387, hash!A$2:B$500, 2, 0)</f>
        <v>#N/A</v>
      </c>
      <c r="D387" s="23">
        <f t="shared" si="2"/>
        <v>0</v>
      </c>
      <c r="F387" s="45"/>
      <c r="H387" s="45"/>
      <c r="J387" s="45"/>
    </row>
    <row r="388">
      <c r="B388" s="21">
        <f t="shared" si="3"/>
        <v>0</v>
      </c>
      <c r="C388" s="21" t="str">
        <f>VLOOKUP(A388, hash!A$2:B$500, 2, 0)</f>
        <v>#N/A</v>
      </c>
      <c r="D388" s="23">
        <f t="shared" si="2"/>
        <v>0</v>
      </c>
      <c r="F388" s="45"/>
      <c r="H388" s="45"/>
      <c r="J388" s="45"/>
    </row>
    <row r="389">
      <c r="B389" s="21">
        <f t="shared" si="3"/>
        <v>0</v>
      </c>
      <c r="C389" s="21" t="str">
        <f>VLOOKUP(A389, hash!A$2:B$500, 2, 0)</f>
        <v>#N/A</v>
      </c>
      <c r="D389" s="23">
        <f t="shared" si="2"/>
        <v>0</v>
      </c>
      <c r="F389" s="45"/>
      <c r="H389" s="45"/>
      <c r="J389" s="45"/>
    </row>
    <row r="390">
      <c r="B390" s="21">
        <f t="shared" si="3"/>
        <v>0</v>
      </c>
      <c r="C390" s="21" t="str">
        <f>VLOOKUP(A390, hash!A$2:B$500, 2, 0)</f>
        <v>#N/A</v>
      </c>
      <c r="D390" s="23">
        <f t="shared" si="2"/>
        <v>0</v>
      </c>
      <c r="F390" s="45"/>
      <c r="H390" s="45"/>
      <c r="J390" s="45"/>
    </row>
    <row r="391">
      <c r="B391" s="21">
        <f t="shared" si="3"/>
        <v>0</v>
      </c>
      <c r="C391" s="21" t="str">
        <f>VLOOKUP(A391, hash!A$2:B$500, 2, 0)</f>
        <v>#N/A</v>
      </c>
      <c r="D391" s="23">
        <f t="shared" si="2"/>
        <v>0</v>
      </c>
      <c r="F391" s="45"/>
      <c r="H391" s="45"/>
      <c r="J391" s="45"/>
    </row>
    <row r="392">
      <c r="B392" s="21">
        <f t="shared" si="3"/>
        <v>0</v>
      </c>
      <c r="C392" s="21" t="str">
        <f>VLOOKUP(A392, hash!A$2:B$500, 2, 0)</f>
        <v>#N/A</v>
      </c>
      <c r="D392" s="23">
        <f t="shared" si="2"/>
        <v>0</v>
      </c>
      <c r="F392" s="45"/>
      <c r="H392" s="45"/>
      <c r="J392" s="45"/>
    </row>
    <row r="393">
      <c r="B393" s="21">
        <f t="shared" si="3"/>
        <v>0</v>
      </c>
      <c r="C393" s="21" t="str">
        <f>VLOOKUP(A393, hash!A$2:B$500, 2, 0)</f>
        <v>#N/A</v>
      </c>
      <c r="D393" s="23">
        <f t="shared" si="2"/>
        <v>0</v>
      </c>
      <c r="F393" s="45"/>
      <c r="H393" s="45"/>
      <c r="J393" s="45"/>
    </row>
    <row r="394">
      <c r="B394" s="21">
        <f t="shared" si="3"/>
        <v>0</v>
      </c>
      <c r="C394" s="21" t="str">
        <f>VLOOKUP(A394, hash!A$2:B$500, 2, 0)</f>
        <v>#N/A</v>
      </c>
      <c r="D394" s="23">
        <f t="shared" si="2"/>
        <v>0</v>
      </c>
      <c r="F394" s="45"/>
      <c r="H394" s="45"/>
      <c r="J394" s="27"/>
    </row>
    <row r="395">
      <c r="B395" s="21">
        <f t="shared" si="3"/>
        <v>0</v>
      </c>
      <c r="C395" s="21" t="str">
        <f>VLOOKUP(A395, hash!A$2:B$500, 2, 0)</f>
        <v>#N/A</v>
      </c>
      <c r="D395" s="23">
        <f t="shared" si="2"/>
        <v>0</v>
      </c>
      <c r="F395" s="45"/>
      <c r="H395" s="27"/>
      <c r="J395" s="27"/>
    </row>
    <row r="396">
      <c r="B396" s="21">
        <f t="shared" si="3"/>
        <v>0</v>
      </c>
      <c r="C396" s="21" t="str">
        <f>VLOOKUP(A396, hash!A$2:B$500, 2, 0)</f>
        <v>#N/A</v>
      </c>
      <c r="D396" s="23">
        <f t="shared" si="2"/>
        <v>0</v>
      </c>
      <c r="F396" s="45"/>
      <c r="H396" s="45"/>
      <c r="J396" s="45"/>
    </row>
    <row r="397">
      <c r="B397" s="21">
        <f t="shared" si="3"/>
        <v>0</v>
      </c>
      <c r="C397" s="21" t="str">
        <f>VLOOKUP(A397, hash!A$2:B$500, 2, 0)</f>
        <v>#N/A</v>
      </c>
      <c r="D397" s="23">
        <f t="shared" si="2"/>
        <v>0</v>
      </c>
      <c r="F397" s="45"/>
      <c r="H397" s="45"/>
      <c r="J397" s="45"/>
    </row>
    <row r="398">
      <c r="B398" s="21">
        <f t="shared" si="3"/>
        <v>0</v>
      </c>
      <c r="C398" s="21" t="str">
        <f>VLOOKUP(A398, hash!A$2:B$500, 2, 0)</f>
        <v>#N/A</v>
      </c>
      <c r="D398" s="23">
        <f t="shared" si="2"/>
        <v>0</v>
      </c>
      <c r="F398" s="45"/>
      <c r="H398" s="45"/>
      <c r="J398" s="45"/>
    </row>
    <row r="399">
      <c r="B399" s="21">
        <f t="shared" si="3"/>
        <v>0</v>
      </c>
      <c r="C399" s="21" t="str">
        <f>VLOOKUP(A399, hash!A$2:B$500, 2, 0)</f>
        <v>#N/A</v>
      </c>
      <c r="D399" s="23">
        <f t="shared" si="2"/>
        <v>0</v>
      </c>
      <c r="F399" s="45"/>
      <c r="H399" s="45"/>
      <c r="J399" s="45"/>
    </row>
    <row r="400">
      <c r="B400" s="21">
        <f t="shared" si="3"/>
        <v>0</v>
      </c>
      <c r="C400" s="21" t="str">
        <f>VLOOKUP(A400, hash!A$2:B$500, 2, 0)</f>
        <v>#N/A</v>
      </c>
      <c r="D400" s="23">
        <f t="shared" si="2"/>
        <v>0</v>
      </c>
      <c r="F400" s="45"/>
      <c r="H400" s="45"/>
      <c r="J400" s="45"/>
    </row>
    <row r="401">
      <c r="B401" s="21">
        <f t="shared" si="3"/>
        <v>0</v>
      </c>
      <c r="C401" s="21" t="str">
        <f>VLOOKUP(A401, hash!A$2:B$500, 2, 0)</f>
        <v>#N/A</v>
      </c>
      <c r="D401" s="23">
        <f t="shared" si="2"/>
        <v>0</v>
      </c>
      <c r="F401" s="45"/>
      <c r="H401" s="45"/>
      <c r="J401" s="45"/>
    </row>
    <row r="402">
      <c r="B402" s="21">
        <f t="shared" si="3"/>
        <v>0</v>
      </c>
      <c r="C402" s="21" t="str">
        <f>VLOOKUP(A402, hash!A$2:B$500, 2, 0)</f>
        <v>#N/A</v>
      </c>
      <c r="D402" s="23">
        <f t="shared" si="2"/>
        <v>0</v>
      </c>
      <c r="F402" s="45"/>
      <c r="H402" s="45"/>
      <c r="J402" s="45"/>
    </row>
    <row r="403">
      <c r="B403" s="21">
        <f t="shared" si="3"/>
        <v>0</v>
      </c>
      <c r="C403" s="21" t="str">
        <f>VLOOKUP(A403, hash!A$2:B$500, 2, 0)</f>
        <v>#N/A</v>
      </c>
      <c r="D403" s="23">
        <f t="shared" si="2"/>
        <v>0</v>
      </c>
      <c r="F403" s="45"/>
      <c r="H403" s="45"/>
      <c r="J403" s="45"/>
    </row>
    <row r="404">
      <c r="B404" s="21">
        <f t="shared" si="3"/>
        <v>0</v>
      </c>
      <c r="C404" s="21" t="str">
        <f>VLOOKUP(A404, hash!A$2:B$500, 2, 0)</f>
        <v>#N/A</v>
      </c>
      <c r="D404" s="23">
        <f t="shared" si="2"/>
        <v>0</v>
      </c>
      <c r="F404" s="45"/>
      <c r="H404" s="45"/>
      <c r="J404" s="45"/>
    </row>
    <row r="405">
      <c r="B405" s="21">
        <f t="shared" si="3"/>
        <v>0</v>
      </c>
      <c r="C405" s="21" t="str">
        <f>VLOOKUP(A405, hash!A$2:B$500, 2, 0)</f>
        <v>#N/A</v>
      </c>
      <c r="D405" s="23">
        <f t="shared" si="2"/>
        <v>0</v>
      </c>
      <c r="F405" s="45"/>
      <c r="H405" s="45"/>
      <c r="J405" s="45"/>
    </row>
    <row r="406">
      <c r="B406" s="21">
        <f t="shared" si="3"/>
        <v>0</v>
      </c>
      <c r="C406" s="21" t="str">
        <f>VLOOKUP(A406, hash!A$2:B$500, 2, 0)</f>
        <v>#N/A</v>
      </c>
      <c r="D406" s="23">
        <f t="shared" si="2"/>
        <v>0</v>
      </c>
      <c r="F406" s="45"/>
      <c r="H406" s="45"/>
      <c r="J406" s="45"/>
    </row>
    <row r="407">
      <c r="B407" s="21">
        <f t="shared" si="3"/>
        <v>0</v>
      </c>
      <c r="C407" s="21" t="str">
        <f>VLOOKUP(A407, hash!A$2:B$500, 2, 0)</f>
        <v>#N/A</v>
      </c>
      <c r="D407" s="23">
        <f t="shared" si="2"/>
        <v>0</v>
      </c>
      <c r="F407" s="45"/>
      <c r="H407" s="45"/>
      <c r="J407" s="45"/>
    </row>
    <row r="408">
      <c r="B408" s="21">
        <f t="shared" si="3"/>
        <v>0</v>
      </c>
      <c r="C408" s="21" t="str">
        <f>VLOOKUP(A408, hash!A$2:B$500, 2, 0)</f>
        <v>#N/A</v>
      </c>
      <c r="D408" s="23">
        <f t="shared" si="2"/>
        <v>0</v>
      </c>
      <c r="F408" s="45"/>
      <c r="H408" s="45"/>
      <c r="J408" s="45"/>
    </row>
    <row r="409">
      <c r="B409" s="21">
        <f t="shared" si="3"/>
        <v>0</v>
      </c>
      <c r="C409" s="21" t="str">
        <f>VLOOKUP(A409, hash!A$2:B$500, 2, 0)</f>
        <v>#N/A</v>
      </c>
      <c r="D409" s="23">
        <f t="shared" si="2"/>
        <v>0</v>
      </c>
      <c r="F409" s="45"/>
      <c r="H409" s="45"/>
      <c r="J409" s="45"/>
    </row>
    <row r="410">
      <c r="B410" s="21">
        <f t="shared" si="3"/>
        <v>0</v>
      </c>
      <c r="C410" s="21" t="str">
        <f>VLOOKUP(A410, hash!A$2:B$500, 2, 0)</f>
        <v>#N/A</v>
      </c>
      <c r="D410" s="23">
        <f t="shared" si="2"/>
        <v>0</v>
      </c>
      <c r="F410" s="45"/>
      <c r="H410" s="45"/>
      <c r="J410" s="45"/>
    </row>
    <row r="411">
      <c r="B411" s="21">
        <f t="shared" si="3"/>
        <v>0</v>
      </c>
      <c r="C411" s="21" t="str">
        <f>VLOOKUP(A411, hash!A$2:B$500, 2, 0)</f>
        <v>#N/A</v>
      </c>
      <c r="D411" s="23">
        <f t="shared" si="2"/>
        <v>0</v>
      </c>
      <c r="F411" s="45"/>
      <c r="H411" s="45"/>
      <c r="J411" s="45"/>
    </row>
    <row r="412">
      <c r="B412" s="21">
        <f t="shared" si="3"/>
        <v>0</v>
      </c>
      <c r="C412" s="21" t="str">
        <f>VLOOKUP(A412, hash!A$2:B$500, 2, 0)</f>
        <v>#N/A</v>
      </c>
      <c r="D412" s="23">
        <f t="shared" si="2"/>
        <v>0</v>
      </c>
      <c r="F412" s="45"/>
      <c r="H412" s="45"/>
      <c r="J412" s="45"/>
    </row>
    <row r="413">
      <c r="B413" s="21">
        <f t="shared" si="3"/>
        <v>0</v>
      </c>
      <c r="C413" s="21" t="str">
        <f>VLOOKUP(A413, hash!A$2:B$500, 2, 0)</f>
        <v>#N/A</v>
      </c>
      <c r="D413" s="23">
        <f t="shared" si="2"/>
        <v>0</v>
      </c>
      <c r="F413" s="45"/>
      <c r="H413" s="45"/>
      <c r="J413" s="45"/>
    </row>
    <row r="414">
      <c r="B414" s="21">
        <f t="shared" si="3"/>
        <v>0</v>
      </c>
      <c r="C414" s="21" t="str">
        <f>VLOOKUP(A414, hash!A$2:B$500, 2, 0)</f>
        <v>#N/A</v>
      </c>
      <c r="D414" s="23">
        <f t="shared" si="2"/>
        <v>0</v>
      </c>
      <c r="F414" s="45"/>
      <c r="H414" s="45"/>
      <c r="J414" s="45"/>
    </row>
    <row r="415">
      <c r="B415" s="21">
        <f t="shared" si="3"/>
        <v>0</v>
      </c>
      <c r="C415" s="21" t="str">
        <f>VLOOKUP(A415, hash!A$2:B$500, 2, 0)</f>
        <v>#N/A</v>
      </c>
      <c r="D415" s="23">
        <f t="shared" si="2"/>
        <v>0</v>
      </c>
      <c r="F415" s="45"/>
      <c r="H415" s="45"/>
      <c r="J415" s="45"/>
    </row>
    <row r="416">
      <c r="B416" s="21">
        <f t="shared" si="3"/>
        <v>0</v>
      </c>
      <c r="C416" s="21" t="str">
        <f>VLOOKUP(A416, hash!A$2:B$500, 2, 0)</f>
        <v>#N/A</v>
      </c>
      <c r="D416" s="23">
        <f t="shared" si="2"/>
        <v>0</v>
      </c>
      <c r="F416" s="45"/>
      <c r="H416" s="45"/>
      <c r="J416" s="45"/>
    </row>
    <row r="417">
      <c r="B417" s="21">
        <f t="shared" si="3"/>
        <v>0</v>
      </c>
      <c r="C417" s="21" t="str">
        <f>VLOOKUP(A417, hash!A$2:B$500, 2, 0)</f>
        <v>#N/A</v>
      </c>
      <c r="D417" s="23">
        <f t="shared" si="2"/>
        <v>0</v>
      </c>
      <c r="F417" s="45"/>
      <c r="H417" s="45"/>
      <c r="J417" s="45"/>
    </row>
    <row r="418">
      <c r="B418" s="21">
        <f t="shared" si="3"/>
        <v>0</v>
      </c>
      <c r="C418" s="21" t="str">
        <f>VLOOKUP(A418, hash!A$2:B$500, 2, 0)</f>
        <v>#N/A</v>
      </c>
      <c r="D418" s="23">
        <f t="shared" si="2"/>
        <v>0</v>
      </c>
      <c r="F418" s="45"/>
      <c r="H418" s="45"/>
      <c r="J418" s="45"/>
    </row>
    <row r="419">
      <c r="B419" s="21">
        <f t="shared" si="3"/>
        <v>0</v>
      </c>
      <c r="C419" s="21" t="str">
        <f>VLOOKUP(A419, hash!A$2:B$500, 2, 0)</f>
        <v>#N/A</v>
      </c>
      <c r="D419" s="23">
        <f t="shared" si="2"/>
        <v>0</v>
      </c>
      <c r="F419" s="45"/>
      <c r="H419" s="45"/>
      <c r="J419" s="45"/>
    </row>
    <row r="420">
      <c r="B420" s="21">
        <f t="shared" si="3"/>
        <v>0</v>
      </c>
      <c r="C420" s="21" t="str">
        <f>VLOOKUP(A420, hash!A$2:B$500, 2, 0)</f>
        <v>#N/A</v>
      </c>
      <c r="D420" s="23">
        <f t="shared" si="2"/>
        <v>0</v>
      </c>
      <c r="F420" s="45"/>
      <c r="H420" s="45"/>
      <c r="J420" s="45"/>
    </row>
    <row r="421">
      <c r="B421" s="21">
        <f t="shared" si="3"/>
        <v>0</v>
      </c>
      <c r="C421" s="21" t="str">
        <f>VLOOKUP(A421, hash!A$2:B$500, 2, 0)</f>
        <v>#N/A</v>
      </c>
      <c r="D421" s="23">
        <f t="shared" si="2"/>
        <v>0</v>
      </c>
      <c r="F421" s="45"/>
      <c r="H421" s="45"/>
      <c r="J421" s="45"/>
    </row>
    <row r="422">
      <c r="B422" s="21">
        <f t="shared" si="3"/>
        <v>0</v>
      </c>
      <c r="C422" s="21" t="str">
        <f>VLOOKUP(A422, hash!A$2:B$500, 2, 0)</f>
        <v>#N/A</v>
      </c>
      <c r="D422" s="23">
        <f t="shared" si="2"/>
        <v>0</v>
      </c>
      <c r="F422" s="45"/>
      <c r="H422" s="45"/>
      <c r="J422" s="45"/>
    </row>
    <row r="423">
      <c r="B423" s="21">
        <f t="shared" si="3"/>
        <v>0</v>
      </c>
      <c r="C423" s="21" t="str">
        <f>VLOOKUP(A423, hash!A$2:B$500, 2, 0)</f>
        <v>#N/A</v>
      </c>
      <c r="D423" s="23">
        <f t="shared" si="2"/>
        <v>0</v>
      </c>
      <c r="F423" s="45"/>
      <c r="H423" s="45"/>
      <c r="J423" s="45"/>
    </row>
    <row r="424">
      <c r="B424" s="21">
        <f t="shared" si="3"/>
        <v>0</v>
      </c>
      <c r="C424" s="21" t="str">
        <f>VLOOKUP(A424, hash!A$2:B$500, 2, 0)</f>
        <v>#N/A</v>
      </c>
      <c r="D424" s="23">
        <f t="shared" si="2"/>
        <v>0</v>
      </c>
      <c r="F424" s="45"/>
      <c r="H424" s="45"/>
      <c r="J424" s="45"/>
    </row>
    <row r="425">
      <c r="B425" s="21">
        <f t="shared" si="3"/>
        <v>0</v>
      </c>
      <c r="C425" s="21" t="str">
        <f>VLOOKUP(A425, hash!A$2:B$500, 2, 0)</f>
        <v>#N/A</v>
      </c>
      <c r="D425" s="23">
        <f t="shared" si="2"/>
        <v>0</v>
      </c>
      <c r="F425" s="45"/>
      <c r="H425" s="45"/>
      <c r="J425" s="45"/>
    </row>
    <row r="426">
      <c r="B426" s="21">
        <f t="shared" si="3"/>
        <v>0</v>
      </c>
      <c r="C426" s="21" t="str">
        <f>VLOOKUP(A426, hash!A$2:B$500, 2, 0)</f>
        <v>#N/A</v>
      </c>
      <c r="D426" s="23">
        <f t="shared" si="2"/>
        <v>0</v>
      </c>
      <c r="F426" s="45"/>
      <c r="H426" s="45"/>
      <c r="J426" s="45"/>
    </row>
    <row r="427">
      <c r="B427" s="21">
        <f t="shared" si="3"/>
        <v>0</v>
      </c>
      <c r="C427" s="21" t="str">
        <f>VLOOKUP(A427, hash!A$2:B$500, 2, 0)</f>
        <v>#N/A</v>
      </c>
      <c r="D427" s="23">
        <f t="shared" si="2"/>
        <v>0</v>
      </c>
      <c r="F427" s="45"/>
      <c r="H427" s="45"/>
      <c r="J427" s="45"/>
    </row>
    <row r="428">
      <c r="B428" s="21">
        <f t="shared" si="3"/>
        <v>0</v>
      </c>
      <c r="C428" s="21" t="str">
        <f>VLOOKUP(A428, hash!A$2:B$500, 2, 0)</f>
        <v>#N/A</v>
      </c>
      <c r="D428" s="23">
        <f t="shared" si="2"/>
        <v>0</v>
      </c>
      <c r="F428" s="45"/>
      <c r="H428" s="45"/>
      <c r="J428" s="45"/>
    </row>
    <row r="429">
      <c r="B429" s="21">
        <f t="shared" si="3"/>
        <v>0</v>
      </c>
      <c r="C429" s="21" t="str">
        <f>VLOOKUP(A429, hash!A$2:B$500, 2, 0)</f>
        <v>#N/A</v>
      </c>
      <c r="D429" s="23">
        <f t="shared" si="2"/>
        <v>0</v>
      </c>
      <c r="F429" s="45"/>
      <c r="H429" s="45"/>
      <c r="J429" s="45"/>
    </row>
    <row r="430">
      <c r="B430" s="21">
        <f t="shared" si="3"/>
        <v>0</v>
      </c>
      <c r="C430" s="21" t="str">
        <f>VLOOKUP(A430, hash!A$2:B$500, 2, 0)</f>
        <v>#N/A</v>
      </c>
      <c r="D430" s="23">
        <f t="shared" si="2"/>
        <v>0</v>
      </c>
      <c r="F430" s="45"/>
      <c r="H430" s="45"/>
      <c r="J430" s="45"/>
    </row>
    <row r="431">
      <c r="B431" s="21">
        <f t="shared" si="3"/>
        <v>0</v>
      </c>
      <c r="C431" s="21" t="str">
        <f>VLOOKUP(A431, hash!A$2:B$500, 2, 0)</f>
        <v>#N/A</v>
      </c>
      <c r="D431" s="23">
        <f t="shared" si="2"/>
        <v>0</v>
      </c>
      <c r="F431" s="45"/>
      <c r="H431" s="45"/>
      <c r="J431" s="45"/>
    </row>
    <row r="432">
      <c r="B432" s="21">
        <f t="shared" si="3"/>
        <v>0</v>
      </c>
      <c r="C432" s="21" t="str">
        <f>VLOOKUP(A432, hash!A$2:B$500, 2, 0)</f>
        <v>#N/A</v>
      </c>
      <c r="D432" s="23">
        <f t="shared" si="2"/>
        <v>0</v>
      </c>
      <c r="F432" s="45"/>
      <c r="H432" s="45"/>
      <c r="J432" s="45"/>
    </row>
    <row r="433">
      <c r="B433" s="21">
        <f t="shared" si="3"/>
        <v>0</v>
      </c>
      <c r="C433" s="21" t="str">
        <f>VLOOKUP(A433, hash!A$2:B$500, 2, 0)</f>
        <v>#N/A</v>
      </c>
      <c r="D433" s="23">
        <f t="shared" si="2"/>
        <v>0</v>
      </c>
      <c r="F433" s="45"/>
      <c r="H433" s="45"/>
      <c r="J433" s="45"/>
    </row>
    <row r="434">
      <c r="B434" s="21">
        <f t="shared" si="3"/>
        <v>0</v>
      </c>
      <c r="C434" s="21" t="str">
        <f>VLOOKUP(A434, hash!A$2:B$500, 2, 0)</f>
        <v>#N/A</v>
      </c>
      <c r="D434" s="23">
        <f t="shared" si="2"/>
        <v>0</v>
      </c>
      <c r="F434" s="45"/>
      <c r="H434" s="45"/>
      <c r="J434" s="45"/>
    </row>
    <row r="435">
      <c r="B435" s="21">
        <f t="shared" si="3"/>
        <v>0</v>
      </c>
      <c r="C435" s="21" t="str">
        <f>VLOOKUP(A435, hash!A$2:B$500, 2, 0)</f>
        <v>#N/A</v>
      </c>
      <c r="D435" s="23">
        <f t="shared" si="2"/>
        <v>0</v>
      </c>
      <c r="F435" s="45"/>
      <c r="H435" s="45"/>
      <c r="J435" s="45"/>
    </row>
    <row r="436">
      <c r="B436" s="21">
        <f t="shared" si="3"/>
        <v>0</v>
      </c>
      <c r="C436" s="21" t="str">
        <f>VLOOKUP(A436, hash!A$2:B$500, 2, 0)</f>
        <v>#N/A</v>
      </c>
      <c r="D436" s="23">
        <f t="shared" si="2"/>
        <v>0</v>
      </c>
      <c r="F436" s="45"/>
      <c r="H436" s="45"/>
      <c r="J436" s="45"/>
    </row>
    <row r="437">
      <c r="B437" s="21">
        <f t="shared" si="3"/>
        <v>0</v>
      </c>
      <c r="C437" s="21" t="str">
        <f>VLOOKUP(A437, hash!A$2:B$500, 2, 0)</f>
        <v>#N/A</v>
      </c>
      <c r="D437" s="23">
        <f t="shared" si="2"/>
        <v>0</v>
      </c>
      <c r="F437" s="45"/>
      <c r="H437" s="45"/>
      <c r="J437" s="45"/>
    </row>
    <row r="438">
      <c r="B438" s="21">
        <f t="shared" si="3"/>
        <v>0</v>
      </c>
      <c r="C438" s="21" t="str">
        <f>VLOOKUP(A438, hash!A$2:B$500, 2, 0)</f>
        <v>#N/A</v>
      </c>
      <c r="D438" s="23">
        <f t="shared" si="2"/>
        <v>0</v>
      </c>
      <c r="F438" s="45"/>
      <c r="H438" s="45"/>
      <c r="J438" s="45"/>
    </row>
    <row r="439">
      <c r="B439" s="21">
        <f t="shared" si="3"/>
        <v>0</v>
      </c>
      <c r="C439" s="21" t="str">
        <f>VLOOKUP(A439, hash!A$2:B$500, 2, 0)</f>
        <v>#N/A</v>
      </c>
      <c r="D439" s="23">
        <f t="shared" si="2"/>
        <v>0</v>
      </c>
      <c r="F439" s="45"/>
      <c r="H439" s="45"/>
      <c r="J439" s="45"/>
    </row>
    <row r="440">
      <c r="B440" s="21">
        <f t="shared" si="3"/>
        <v>0</v>
      </c>
      <c r="C440" s="21" t="str">
        <f>VLOOKUP(A440, hash!A$2:B$500, 2, 0)</f>
        <v>#N/A</v>
      </c>
      <c r="D440" s="23">
        <f t="shared" si="2"/>
        <v>0</v>
      </c>
      <c r="F440" s="45"/>
      <c r="H440" s="45"/>
      <c r="J440" s="45"/>
    </row>
    <row r="441">
      <c r="B441" s="21">
        <f t="shared" si="3"/>
        <v>0</v>
      </c>
      <c r="C441" s="21" t="str">
        <f>VLOOKUP(A441, hash!A$2:B$500, 2, 0)</f>
        <v>#N/A</v>
      </c>
      <c r="D441" s="23">
        <f t="shared" si="2"/>
        <v>0</v>
      </c>
      <c r="F441" s="45"/>
      <c r="H441" s="45"/>
      <c r="J441" s="45"/>
    </row>
    <row r="442">
      <c r="B442" s="21">
        <f t="shared" si="3"/>
        <v>0</v>
      </c>
      <c r="C442" s="21" t="str">
        <f>VLOOKUP(A442, hash!A$2:B$500, 2, 0)</f>
        <v>#N/A</v>
      </c>
      <c r="D442" s="23">
        <f t="shared" si="2"/>
        <v>0</v>
      </c>
      <c r="F442" s="45"/>
      <c r="H442" s="45"/>
      <c r="J442" s="45"/>
    </row>
    <row r="443">
      <c r="B443" s="21">
        <f t="shared" si="3"/>
        <v>0</v>
      </c>
      <c r="C443" s="21" t="str">
        <f>VLOOKUP(A443, hash!A$2:B$500, 2, 0)</f>
        <v>#N/A</v>
      </c>
      <c r="D443" s="23">
        <f t="shared" si="2"/>
        <v>0</v>
      </c>
      <c r="F443" s="45"/>
      <c r="H443" s="45"/>
      <c r="J443" s="45"/>
    </row>
    <row r="444">
      <c r="B444" s="21">
        <f t="shared" si="3"/>
        <v>0</v>
      </c>
      <c r="C444" s="21" t="str">
        <f>VLOOKUP(A444, hash!A$2:B$500, 2, 0)</f>
        <v>#N/A</v>
      </c>
      <c r="D444" s="23">
        <f t="shared" si="2"/>
        <v>0</v>
      </c>
      <c r="F444" s="45"/>
      <c r="H444" s="45"/>
      <c r="J444" s="45"/>
    </row>
    <row r="445">
      <c r="B445" s="21">
        <f t="shared" si="3"/>
        <v>0</v>
      </c>
      <c r="C445" s="21" t="str">
        <f>VLOOKUP(A445, hash!A$2:B$500, 2, 0)</f>
        <v>#N/A</v>
      </c>
      <c r="D445" s="23">
        <f t="shared" si="2"/>
        <v>0</v>
      </c>
      <c r="F445" s="45"/>
      <c r="H445" s="45"/>
      <c r="J445" s="45"/>
    </row>
    <row r="446">
      <c r="B446" s="21">
        <f t="shared" si="3"/>
        <v>0</v>
      </c>
      <c r="C446" s="21" t="str">
        <f>VLOOKUP(A446, hash!A$2:B$500, 2, 0)</f>
        <v>#N/A</v>
      </c>
      <c r="D446" s="23">
        <f t="shared" si="2"/>
        <v>0</v>
      </c>
      <c r="F446" s="45"/>
      <c r="H446" s="45"/>
      <c r="J446" s="45"/>
    </row>
    <row r="447">
      <c r="B447" s="21">
        <f t="shared" si="3"/>
        <v>0</v>
      </c>
      <c r="C447" s="21" t="str">
        <f>VLOOKUP(A447, hash!A$2:B$500, 2, 0)</f>
        <v>#N/A</v>
      </c>
      <c r="D447" s="23">
        <f t="shared" si="2"/>
        <v>0</v>
      </c>
      <c r="F447" s="45"/>
      <c r="H447" s="45"/>
      <c r="J447" s="45"/>
    </row>
    <row r="448">
      <c r="B448" s="21">
        <f t="shared" si="3"/>
        <v>0</v>
      </c>
      <c r="C448" s="21" t="str">
        <f>VLOOKUP(A448, hash!A$2:B$500, 2, 0)</f>
        <v>#N/A</v>
      </c>
      <c r="D448" s="23">
        <f t="shared" si="2"/>
        <v>0</v>
      </c>
      <c r="F448" s="45"/>
      <c r="H448" s="45"/>
      <c r="J448" s="45"/>
    </row>
    <row r="449">
      <c r="B449" s="21">
        <f t="shared" si="3"/>
        <v>0</v>
      </c>
      <c r="C449" s="21" t="str">
        <f>VLOOKUP(A449, hash!A$2:B$500, 2, 0)</f>
        <v>#N/A</v>
      </c>
      <c r="D449" s="23">
        <f t="shared" si="2"/>
        <v>0</v>
      </c>
      <c r="F449" s="45"/>
      <c r="H449" s="45"/>
      <c r="J449" s="45"/>
    </row>
    <row r="450">
      <c r="B450" s="21">
        <f t="shared" si="3"/>
        <v>0</v>
      </c>
      <c r="C450" s="21" t="str">
        <f>VLOOKUP(A450, hash!A$2:B$500, 2, 0)</f>
        <v>#N/A</v>
      </c>
      <c r="D450" s="23">
        <f t="shared" si="2"/>
        <v>0</v>
      </c>
      <c r="F450" s="45"/>
      <c r="H450" s="45"/>
      <c r="J450" s="45"/>
    </row>
    <row r="451">
      <c r="B451" s="21">
        <f t="shared" si="3"/>
        <v>0</v>
      </c>
      <c r="C451" s="21" t="str">
        <f>VLOOKUP(A451, hash!A$2:B$500, 2, 0)</f>
        <v>#N/A</v>
      </c>
      <c r="D451" s="23">
        <f t="shared" si="2"/>
        <v>0</v>
      </c>
      <c r="F451" s="45"/>
      <c r="H451" s="45"/>
      <c r="J451" s="45"/>
    </row>
    <row r="452">
      <c r="B452" s="21">
        <f t="shared" si="3"/>
        <v>0</v>
      </c>
      <c r="C452" s="21" t="str">
        <f>VLOOKUP(A452, hash!A$2:B$500, 2, 0)</f>
        <v>#N/A</v>
      </c>
      <c r="D452" s="23">
        <f t="shared" si="2"/>
        <v>0</v>
      </c>
      <c r="F452" s="45"/>
      <c r="H452" s="45"/>
      <c r="J452" s="45"/>
    </row>
    <row r="453">
      <c r="B453" s="21">
        <f t="shared" si="3"/>
        <v>0</v>
      </c>
      <c r="C453" s="21" t="str">
        <f>VLOOKUP(A453, hash!A$2:B$500, 2, 0)</f>
        <v>#N/A</v>
      </c>
      <c r="D453" s="23">
        <f t="shared" si="2"/>
        <v>0</v>
      </c>
      <c r="F453" s="45"/>
      <c r="H453" s="45"/>
      <c r="J453" s="45"/>
    </row>
    <row r="454">
      <c r="B454" s="21">
        <f t="shared" si="3"/>
        <v>0</v>
      </c>
      <c r="C454" s="21" t="str">
        <f>VLOOKUP(A454, hash!A$2:B$500, 2, 0)</f>
        <v>#N/A</v>
      </c>
      <c r="D454" s="23">
        <f t="shared" si="2"/>
        <v>0</v>
      </c>
      <c r="F454" s="45"/>
      <c r="H454" s="45"/>
      <c r="J454" s="45"/>
    </row>
    <row r="455">
      <c r="B455" s="21">
        <f t="shared" si="3"/>
        <v>0</v>
      </c>
      <c r="C455" s="21" t="str">
        <f>VLOOKUP(A455, hash!A$2:B$500, 2, 0)</f>
        <v>#N/A</v>
      </c>
      <c r="D455" s="23">
        <f t="shared" si="2"/>
        <v>0</v>
      </c>
      <c r="F455" s="45"/>
      <c r="H455" s="45"/>
      <c r="J455" s="45"/>
    </row>
    <row r="456">
      <c r="B456" s="21">
        <f t="shared" si="3"/>
        <v>0</v>
      </c>
      <c r="C456" s="21" t="str">
        <f>VLOOKUP(A456, hash!A$2:B$500, 2, 0)</f>
        <v>#N/A</v>
      </c>
      <c r="D456" s="23">
        <f t="shared" si="2"/>
        <v>0</v>
      </c>
      <c r="F456" s="45"/>
      <c r="H456" s="45"/>
      <c r="J456" s="45"/>
    </row>
    <row r="457">
      <c r="B457" s="21">
        <f t="shared" si="3"/>
        <v>0</v>
      </c>
      <c r="C457" s="21" t="str">
        <f>VLOOKUP(A457, hash!A$2:B$500, 2, 0)</f>
        <v>#N/A</v>
      </c>
      <c r="D457" s="23">
        <f t="shared" si="2"/>
        <v>0</v>
      </c>
      <c r="F457" s="45"/>
      <c r="H457" s="45"/>
      <c r="J457" s="45"/>
    </row>
    <row r="458">
      <c r="B458" s="21">
        <f t="shared" si="3"/>
        <v>0</v>
      </c>
      <c r="C458" s="21" t="str">
        <f>VLOOKUP(A458, hash!A$2:B$500, 2, 0)</f>
        <v>#N/A</v>
      </c>
      <c r="D458" s="23">
        <f t="shared" si="2"/>
        <v>0</v>
      </c>
      <c r="F458" s="45"/>
      <c r="H458" s="45"/>
      <c r="J458" s="45"/>
    </row>
    <row r="459">
      <c r="B459" s="21">
        <f t="shared" si="3"/>
        <v>0</v>
      </c>
      <c r="C459" s="21" t="str">
        <f>VLOOKUP(A459, hash!A$2:B$500, 2, 0)</f>
        <v>#N/A</v>
      </c>
      <c r="D459" s="23">
        <f t="shared" si="2"/>
        <v>0</v>
      </c>
      <c r="F459" s="45"/>
      <c r="H459" s="45"/>
      <c r="J459" s="45"/>
    </row>
    <row r="460">
      <c r="B460" s="21">
        <f t="shared" si="3"/>
        <v>0</v>
      </c>
      <c r="C460" s="21" t="str">
        <f>VLOOKUP(A460, hash!A$2:B$500, 2, 0)</f>
        <v>#N/A</v>
      </c>
      <c r="D460" s="23">
        <f t="shared" si="2"/>
        <v>0</v>
      </c>
      <c r="F460" s="45"/>
      <c r="H460" s="45"/>
      <c r="J460" s="45"/>
    </row>
    <row r="461">
      <c r="B461" s="21">
        <f t="shared" si="3"/>
        <v>0</v>
      </c>
      <c r="C461" s="21" t="str">
        <f>VLOOKUP(A461, hash!A$2:B$500, 2, 0)</f>
        <v>#N/A</v>
      </c>
      <c r="D461" s="23">
        <f t="shared" si="2"/>
        <v>0</v>
      </c>
      <c r="F461" s="45"/>
      <c r="H461" s="45"/>
      <c r="J461" s="45"/>
    </row>
    <row r="462">
      <c r="B462" s="21">
        <f t="shared" si="3"/>
        <v>0</v>
      </c>
      <c r="C462" s="21" t="str">
        <f>VLOOKUP(A462, hash!A$2:B$500, 2, 0)</f>
        <v>#N/A</v>
      </c>
      <c r="D462" s="23">
        <f t="shared" si="2"/>
        <v>0</v>
      </c>
      <c r="F462" s="45"/>
      <c r="H462" s="45"/>
      <c r="J462" s="45"/>
    </row>
    <row r="463">
      <c r="B463" s="21">
        <f t="shared" si="3"/>
        <v>0</v>
      </c>
      <c r="C463" s="21" t="str">
        <f>VLOOKUP(A463, hash!A$2:B$500, 2, 0)</f>
        <v>#N/A</v>
      </c>
      <c r="D463" s="23">
        <f t="shared" si="2"/>
        <v>0</v>
      </c>
      <c r="F463" s="45"/>
      <c r="H463" s="45"/>
      <c r="J463" s="45"/>
    </row>
    <row r="464">
      <c r="B464" s="21">
        <f t="shared" si="3"/>
        <v>0</v>
      </c>
      <c r="C464" s="21" t="str">
        <f>VLOOKUP(A464, hash!A$2:B$500, 2, 0)</f>
        <v>#N/A</v>
      </c>
      <c r="D464" s="23">
        <f t="shared" si="2"/>
        <v>0</v>
      </c>
      <c r="F464" s="45"/>
      <c r="H464" s="45"/>
      <c r="J464" s="45"/>
    </row>
    <row r="465">
      <c r="B465" s="21">
        <f t="shared" si="3"/>
        <v>0</v>
      </c>
      <c r="C465" s="21" t="str">
        <f>VLOOKUP(A465, hash!A$2:B$500, 2, 0)</f>
        <v>#N/A</v>
      </c>
      <c r="D465" s="23">
        <f t="shared" si="2"/>
        <v>0</v>
      </c>
      <c r="F465" s="45"/>
      <c r="H465" s="45"/>
      <c r="J465" s="45"/>
    </row>
    <row r="466">
      <c r="B466" s="21">
        <f t="shared" si="3"/>
        <v>0</v>
      </c>
      <c r="C466" s="21" t="str">
        <f>VLOOKUP(A466, hash!A$2:B$500, 2, 0)</f>
        <v>#N/A</v>
      </c>
      <c r="D466" s="23">
        <f t="shared" si="2"/>
        <v>0</v>
      </c>
      <c r="F466" s="45"/>
      <c r="H466" s="45"/>
      <c r="J466" s="45"/>
    </row>
    <row r="467">
      <c r="B467" s="21">
        <f t="shared" si="3"/>
        <v>0</v>
      </c>
      <c r="C467" s="21" t="str">
        <f>VLOOKUP(A467, hash!A$2:B$500, 2, 0)</f>
        <v>#N/A</v>
      </c>
      <c r="D467" s="23">
        <f t="shared" si="2"/>
        <v>0</v>
      </c>
      <c r="F467" s="45"/>
      <c r="H467" s="45"/>
      <c r="J467" s="45"/>
    </row>
    <row r="468">
      <c r="B468" s="21">
        <f t="shared" si="3"/>
        <v>0</v>
      </c>
      <c r="C468" s="21" t="str">
        <f>VLOOKUP(A468, hash!A$2:B$500, 2, 0)</f>
        <v>#N/A</v>
      </c>
      <c r="D468" s="23">
        <f t="shared" si="2"/>
        <v>0</v>
      </c>
      <c r="F468" s="45"/>
      <c r="H468" s="45"/>
      <c r="J468" s="45"/>
    </row>
    <row r="469">
      <c r="B469" s="21">
        <f t="shared" si="3"/>
        <v>0</v>
      </c>
      <c r="C469" s="21" t="str">
        <f>VLOOKUP(A469, hash!A$2:B$500, 2, 0)</f>
        <v>#N/A</v>
      </c>
      <c r="D469" s="23">
        <f t="shared" si="2"/>
        <v>0</v>
      </c>
      <c r="F469" s="45"/>
      <c r="H469" s="45"/>
      <c r="J469" s="45"/>
    </row>
    <row r="470">
      <c r="D470" s="23"/>
      <c r="E470" s="38"/>
      <c r="F470" s="38"/>
      <c r="G470" s="38"/>
      <c r="H470" s="38"/>
      <c r="I470" s="38"/>
      <c r="J470" s="38"/>
    </row>
    <row r="471">
      <c r="E471" s="38"/>
      <c r="F471" s="38"/>
      <c r="G471" s="38"/>
      <c r="H471" s="38"/>
      <c r="I471" s="38"/>
      <c r="J471" s="38"/>
      <c r="L471" s="14"/>
    </row>
    <row r="472">
      <c r="E472" s="38"/>
      <c r="F472" s="38"/>
      <c r="G472" s="38"/>
      <c r="H472" s="38"/>
      <c r="I472" s="38"/>
      <c r="J472" s="38"/>
      <c r="L472" s="14"/>
    </row>
    <row r="473">
      <c r="E473" s="38"/>
      <c r="F473" s="38"/>
      <c r="G473" s="38"/>
      <c r="H473" s="38"/>
      <c r="I473" s="38"/>
      <c r="J473" s="38"/>
      <c r="L473" s="14"/>
    </row>
    <row r="474">
      <c r="E474" s="38"/>
      <c r="F474" s="38"/>
      <c r="G474" s="38"/>
      <c r="H474" s="38"/>
      <c r="I474" s="38"/>
      <c r="J474" s="38"/>
      <c r="L474" s="14"/>
    </row>
    <row r="475">
      <c r="E475" s="38"/>
      <c r="F475" s="38"/>
      <c r="G475" s="38"/>
      <c r="H475" s="38"/>
      <c r="I475" s="38"/>
      <c r="J475" s="38"/>
      <c r="L475" s="14"/>
    </row>
    <row r="476">
      <c r="E476" s="38"/>
      <c r="F476" s="38"/>
      <c r="G476" s="38"/>
      <c r="H476" s="38"/>
      <c r="I476" s="38"/>
      <c r="J476" s="38"/>
      <c r="L476" s="14"/>
    </row>
    <row r="477">
      <c r="E477" s="38"/>
      <c r="F477" s="38"/>
      <c r="G477" s="38"/>
      <c r="H477" s="38"/>
      <c r="I477" s="38"/>
      <c r="J477" s="38"/>
      <c r="L477" s="14"/>
    </row>
    <row r="478">
      <c r="E478" s="38"/>
      <c r="F478" s="38"/>
      <c r="G478" s="38"/>
      <c r="H478" s="38"/>
      <c r="I478" s="38"/>
      <c r="J478" s="38"/>
      <c r="L478" s="14"/>
    </row>
    <row r="479">
      <c r="E479" s="38"/>
      <c r="F479" s="38"/>
      <c r="G479" s="38"/>
      <c r="H479" s="38"/>
      <c r="I479" s="38"/>
      <c r="J479" s="38"/>
      <c r="L479" s="14"/>
    </row>
    <row r="480">
      <c r="E480" s="38"/>
      <c r="F480" s="38"/>
      <c r="G480" s="38"/>
      <c r="H480" s="38"/>
      <c r="I480" s="38"/>
      <c r="J480" s="38"/>
      <c r="L480" s="14"/>
    </row>
    <row r="481">
      <c r="E481" s="38"/>
      <c r="F481" s="38"/>
      <c r="G481" s="38"/>
      <c r="H481" s="38"/>
      <c r="I481" s="38"/>
      <c r="J481" s="38"/>
      <c r="L481" s="14"/>
    </row>
    <row r="482">
      <c r="E482" s="38"/>
      <c r="F482" s="38"/>
      <c r="G482" s="38"/>
      <c r="H482" s="38"/>
      <c r="I482" s="38"/>
      <c r="J482" s="38"/>
      <c r="L482" s="14"/>
    </row>
    <row r="483">
      <c r="E483" s="38"/>
      <c r="F483" s="38"/>
      <c r="G483" s="38"/>
      <c r="H483" s="38"/>
      <c r="I483" s="38"/>
      <c r="J483" s="38"/>
      <c r="L483" s="14"/>
    </row>
    <row r="484">
      <c r="E484" s="38"/>
      <c r="F484" s="38"/>
      <c r="G484" s="38"/>
      <c r="H484" s="38"/>
      <c r="I484" s="38"/>
      <c r="J484" s="38"/>
      <c r="L484" s="14"/>
    </row>
    <row r="485">
      <c r="E485" s="38"/>
      <c r="F485" s="38"/>
      <c r="G485" s="38"/>
      <c r="H485" s="38"/>
      <c r="I485" s="38"/>
      <c r="J485" s="38"/>
      <c r="L485" s="14"/>
    </row>
    <row r="486">
      <c r="E486" s="38"/>
      <c r="F486" s="38"/>
      <c r="G486" s="38"/>
      <c r="H486" s="38"/>
      <c r="I486" s="38"/>
      <c r="J486" s="38"/>
      <c r="L486" s="14"/>
    </row>
    <row r="487">
      <c r="E487" s="38"/>
      <c r="F487" s="38"/>
      <c r="G487" s="38"/>
      <c r="H487" s="38"/>
      <c r="I487" s="38"/>
      <c r="J487" s="38"/>
      <c r="L487" s="14"/>
    </row>
    <row r="488">
      <c r="E488" s="38"/>
      <c r="F488" s="38"/>
      <c r="G488" s="38"/>
      <c r="H488" s="38"/>
      <c r="I488" s="38"/>
      <c r="J488" s="38"/>
      <c r="L488" s="14"/>
    </row>
    <row r="489">
      <c r="E489" s="38"/>
      <c r="F489" s="38"/>
      <c r="G489" s="38"/>
      <c r="H489" s="38"/>
      <c r="I489" s="38"/>
      <c r="J489" s="38"/>
      <c r="L489" s="14"/>
    </row>
    <row r="490">
      <c r="E490" s="38"/>
      <c r="F490" s="38"/>
      <c r="G490" s="38"/>
      <c r="H490" s="38"/>
      <c r="I490" s="38"/>
      <c r="J490" s="38"/>
      <c r="L490" s="14"/>
    </row>
    <row r="491">
      <c r="E491" s="38"/>
      <c r="F491" s="38"/>
      <c r="G491" s="38"/>
      <c r="H491" s="38"/>
      <c r="I491" s="38"/>
      <c r="J491" s="38"/>
      <c r="L491" s="14"/>
    </row>
    <row r="492">
      <c r="E492" s="38"/>
      <c r="F492" s="38"/>
      <c r="G492" s="38"/>
      <c r="H492" s="38"/>
      <c r="I492" s="38"/>
      <c r="J492" s="38"/>
      <c r="L492" s="14"/>
    </row>
    <row r="493">
      <c r="E493" s="38"/>
      <c r="F493" s="38"/>
      <c r="G493" s="38"/>
      <c r="H493" s="38"/>
      <c r="I493" s="38"/>
      <c r="J493" s="38"/>
      <c r="L493" s="14"/>
    </row>
    <row r="494">
      <c r="E494" s="38"/>
      <c r="F494" s="38"/>
      <c r="G494" s="38"/>
      <c r="H494" s="38"/>
      <c r="I494" s="38"/>
      <c r="J494" s="38"/>
      <c r="L494" s="14"/>
    </row>
    <row r="495">
      <c r="E495" s="38"/>
      <c r="F495" s="38"/>
      <c r="G495" s="38"/>
      <c r="H495" s="38"/>
      <c r="I495" s="38"/>
      <c r="J495" s="38"/>
      <c r="L495" s="14"/>
    </row>
    <row r="496">
      <c r="E496" s="38"/>
      <c r="F496" s="38"/>
      <c r="G496" s="38"/>
      <c r="H496" s="38"/>
      <c r="I496" s="38"/>
      <c r="J496" s="38"/>
      <c r="L496" s="14"/>
    </row>
    <row r="497">
      <c r="E497" s="38"/>
      <c r="F497" s="38"/>
      <c r="G497" s="38"/>
      <c r="H497" s="38"/>
      <c r="I497" s="38"/>
      <c r="J497" s="38"/>
      <c r="L497" s="14"/>
    </row>
    <row r="498">
      <c r="E498" s="38"/>
      <c r="F498" s="38"/>
      <c r="G498" s="38"/>
      <c r="H498" s="38"/>
      <c r="I498" s="38"/>
      <c r="J498" s="38"/>
      <c r="L498" s="14"/>
    </row>
    <row r="499">
      <c r="E499" s="38"/>
      <c r="F499" s="38"/>
      <c r="G499" s="38"/>
      <c r="H499" s="38"/>
      <c r="I499" s="38"/>
      <c r="J499" s="38"/>
      <c r="L499" s="14"/>
    </row>
    <row r="500">
      <c r="E500" s="38"/>
      <c r="F500" s="38"/>
      <c r="G500" s="38"/>
      <c r="H500" s="38"/>
      <c r="I500" s="38"/>
      <c r="J500" s="38"/>
      <c r="L500" s="14"/>
    </row>
    <row r="501">
      <c r="E501" s="38"/>
      <c r="F501" s="38"/>
      <c r="G501" s="38"/>
      <c r="H501" s="38"/>
      <c r="I501" s="38"/>
      <c r="J501" s="38"/>
      <c r="L501" s="14"/>
    </row>
    <row r="502">
      <c r="E502" s="38"/>
      <c r="F502" s="38"/>
      <c r="G502" s="38"/>
      <c r="H502" s="38"/>
      <c r="I502" s="38"/>
      <c r="J502" s="38"/>
      <c r="L502" s="14"/>
    </row>
    <row r="503">
      <c r="E503" s="38"/>
      <c r="F503" s="38"/>
      <c r="G503" s="38"/>
      <c r="H503" s="38"/>
      <c r="I503" s="38"/>
      <c r="J503" s="38"/>
      <c r="L503" s="14"/>
    </row>
    <row r="504">
      <c r="E504" s="38"/>
      <c r="F504" s="38"/>
      <c r="G504" s="38"/>
      <c r="H504" s="38"/>
      <c r="I504" s="38"/>
      <c r="J504" s="38"/>
      <c r="L504" s="14"/>
    </row>
    <row r="505">
      <c r="E505" s="38"/>
      <c r="F505" s="38"/>
      <c r="G505" s="38"/>
      <c r="H505" s="38"/>
      <c r="I505" s="38"/>
      <c r="J505" s="38"/>
      <c r="L505" s="14"/>
    </row>
    <row r="506">
      <c r="E506" s="38"/>
      <c r="F506" s="38"/>
      <c r="G506" s="38"/>
      <c r="H506" s="38"/>
      <c r="I506" s="38"/>
      <c r="J506" s="38"/>
      <c r="L506" s="14"/>
    </row>
    <row r="507">
      <c r="E507" s="38"/>
      <c r="F507" s="38"/>
      <c r="G507" s="38"/>
      <c r="H507" s="38"/>
      <c r="I507" s="38"/>
      <c r="J507" s="38"/>
      <c r="L507" s="14"/>
    </row>
    <row r="508">
      <c r="E508" s="38"/>
      <c r="F508" s="38"/>
      <c r="G508" s="38"/>
      <c r="H508" s="38"/>
      <c r="I508" s="38"/>
      <c r="J508" s="38"/>
      <c r="L508" s="14"/>
    </row>
    <row r="509">
      <c r="E509" s="38"/>
      <c r="F509" s="38"/>
      <c r="G509" s="38"/>
      <c r="H509" s="38"/>
      <c r="I509" s="38"/>
      <c r="J509" s="38"/>
      <c r="L509" s="14"/>
    </row>
    <row r="510">
      <c r="E510" s="38"/>
      <c r="F510" s="38"/>
      <c r="G510" s="38"/>
      <c r="H510" s="38"/>
      <c r="I510" s="38"/>
      <c r="J510" s="38"/>
      <c r="L510" s="14"/>
    </row>
    <row r="511">
      <c r="E511" s="38"/>
      <c r="F511" s="38"/>
      <c r="G511" s="38"/>
      <c r="H511" s="38"/>
      <c r="I511" s="38"/>
      <c r="J511" s="38"/>
      <c r="L511" s="14"/>
    </row>
    <row r="512">
      <c r="E512" s="38"/>
      <c r="F512" s="38"/>
      <c r="G512" s="38"/>
      <c r="H512" s="38"/>
      <c r="I512" s="38"/>
      <c r="J512" s="38"/>
      <c r="L512" s="14"/>
    </row>
    <row r="513">
      <c r="E513" s="38"/>
      <c r="F513" s="38"/>
      <c r="G513" s="38"/>
      <c r="H513" s="38"/>
      <c r="I513" s="38"/>
      <c r="J513" s="38"/>
      <c r="L513" s="14"/>
    </row>
    <row r="514">
      <c r="E514" s="38"/>
      <c r="F514" s="38"/>
      <c r="G514" s="38"/>
      <c r="H514" s="38"/>
      <c r="I514" s="38"/>
      <c r="J514" s="38"/>
      <c r="L514" s="14"/>
    </row>
    <row r="515">
      <c r="E515" s="38"/>
      <c r="F515" s="38"/>
      <c r="G515" s="38"/>
      <c r="H515" s="38"/>
      <c r="I515" s="38"/>
      <c r="J515" s="38"/>
      <c r="L515" s="14"/>
    </row>
    <row r="516">
      <c r="E516" s="38"/>
      <c r="F516" s="38"/>
      <c r="G516" s="38"/>
      <c r="H516" s="38"/>
      <c r="I516" s="38"/>
      <c r="J516" s="38"/>
      <c r="L516" s="14"/>
    </row>
    <row r="517">
      <c r="E517" s="38"/>
      <c r="F517" s="38"/>
      <c r="G517" s="38"/>
      <c r="H517" s="38"/>
      <c r="I517" s="38"/>
      <c r="J517" s="38"/>
      <c r="L517" s="14"/>
    </row>
    <row r="518">
      <c r="E518" s="38"/>
      <c r="F518" s="38"/>
      <c r="G518" s="38"/>
      <c r="H518" s="38"/>
      <c r="I518" s="38"/>
      <c r="J518" s="38"/>
      <c r="L518" s="14"/>
    </row>
    <row r="519">
      <c r="E519" s="38"/>
      <c r="F519" s="38"/>
      <c r="G519" s="38"/>
      <c r="H519" s="38"/>
      <c r="I519" s="38"/>
      <c r="J519" s="38"/>
      <c r="L519" s="14"/>
    </row>
    <row r="520">
      <c r="E520" s="38"/>
      <c r="F520" s="38"/>
      <c r="G520" s="38"/>
      <c r="H520" s="38"/>
      <c r="I520" s="38"/>
      <c r="J520" s="38"/>
      <c r="L520" s="14"/>
    </row>
    <row r="521">
      <c r="E521" s="38"/>
      <c r="F521" s="38"/>
      <c r="G521" s="38"/>
      <c r="H521" s="38"/>
      <c r="I521" s="38"/>
      <c r="J521" s="38"/>
      <c r="L521" s="14"/>
    </row>
    <row r="522">
      <c r="E522" s="38"/>
      <c r="F522" s="38"/>
      <c r="G522" s="38"/>
      <c r="H522" s="38"/>
      <c r="I522" s="38"/>
      <c r="J522" s="38"/>
      <c r="L522" s="14"/>
    </row>
    <row r="523">
      <c r="E523" s="38"/>
      <c r="F523" s="38"/>
      <c r="G523" s="38"/>
      <c r="H523" s="38"/>
      <c r="I523" s="38"/>
      <c r="J523" s="38"/>
      <c r="L523" s="14"/>
    </row>
    <row r="524">
      <c r="E524" s="38"/>
      <c r="F524" s="38"/>
      <c r="G524" s="38"/>
      <c r="H524" s="38"/>
      <c r="I524" s="38"/>
      <c r="J524" s="38"/>
      <c r="L524" s="14"/>
    </row>
    <row r="525">
      <c r="E525" s="38"/>
      <c r="F525" s="38"/>
      <c r="G525" s="38"/>
      <c r="H525" s="38"/>
      <c r="I525" s="38"/>
      <c r="J525" s="38"/>
      <c r="L525" s="14"/>
    </row>
    <row r="526">
      <c r="E526" s="38"/>
      <c r="F526" s="38"/>
      <c r="G526" s="38"/>
      <c r="H526" s="38"/>
      <c r="I526" s="38"/>
      <c r="J526" s="38"/>
      <c r="L526" s="14"/>
    </row>
    <row r="527">
      <c r="E527" s="38"/>
      <c r="F527" s="38"/>
      <c r="G527" s="38"/>
      <c r="H527" s="38"/>
      <c r="I527" s="38"/>
      <c r="J527" s="38"/>
      <c r="L527" s="14"/>
    </row>
    <row r="528">
      <c r="E528" s="38"/>
      <c r="F528" s="38"/>
      <c r="G528" s="38"/>
      <c r="H528" s="38"/>
      <c r="I528" s="38"/>
      <c r="J528" s="38"/>
      <c r="L528" s="14"/>
    </row>
    <row r="529">
      <c r="E529" s="38"/>
      <c r="F529" s="38"/>
      <c r="G529" s="38"/>
      <c r="H529" s="38"/>
      <c r="I529" s="38"/>
      <c r="J529" s="38"/>
      <c r="L529" s="14"/>
    </row>
    <row r="530">
      <c r="E530" s="38"/>
      <c r="F530" s="38"/>
      <c r="G530" s="38"/>
      <c r="H530" s="38"/>
      <c r="I530" s="38"/>
      <c r="J530" s="38"/>
      <c r="L530" s="14"/>
    </row>
    <row r="531">
      <c r="E531" s="38"/>
      <c r="F531" s="38"/>
      <c r="G531" s="38"/>
      <c r="H531" s="38"/>
      <c r="I531" s="38"/>
      <c r="J531" s="38"/>
      <c r="L531" s="14"/>
    </row>
    <row r="532">
      <c r="E532" s="38"/>
      <c r="F532" s="38"/>
      <c r="G532" s="38"/>
      <c r="H532" s="38"/>
      <c r="I532" s="38"/>
      <c r="J532" s="38"/>
      <c r="L532" s="14"/>
    </row>
    <row r="533">
      <c r="E533" s="38"/>
      <c r="F533" s="38"/>
      <c r="G533" s="38"/>
      <c r="H533" s="38"/>
      <c r="I533" s="38"/>
      <c r="J533" s="38"/>
      <c r="L533" s="14"/>
    </row>
    <row r="534">
      <c r="E534" s="38"/>
      <c r="F534" s="38"/>
      <c r="G534" s="38"/>
      <c r="H534" s="38"/>
      <c r="I534" s="38"/>
      <c r="J534" s="38"/>
      <c r="L534" s="14"/>
    </row>
    <row r="535">
      <c r="E535" s="38"/>
      <c r="F535" s="38"/>
      <c r="G535" s="38"/>
      <c r="H535" s="38"/>
      <c r="I535" s="38"/>
      <c r="J535" s="38"/>
      <c r="L535" s="14"/>
    </row>
    <row r="536">
      <c r="E536" s="38"/>
      <c r="F536" s="38"/>
      <c r="G536" s="38"/>
      <c r="H536" s="38"/>
      <c r="I536" s="38"/>
      <c r="J536" s="38"/>
      <c r="L536" s="14"/>
    </row>
    <row r="537">
      <c r="E537" s="38"/>
      <c r="F537" s="38"/>
      <c r="G537" s="38"/>
      <c r="H537" s="38"/>
      <c r="I537" s="38"/>
      <c r="J537" s="38"/>
      <c r="L537" s="14"/>
    </row>
    <row r="538">
      <c r="E538" s="38"/>
      <c r="F538" s="38"/>
      <c r="G538" s="38"/>
      <c r="H538" s="38"/>
      <c r="I538" s="38"/>
      <c r="J538" s="38"/>
      <c r="L538" s="14"/>
    </row>
    <row r="539">
      <c r="E539" s="38"/>
      <c r="F539" s="38"/>
      <c r="G539" s="38"/>
      <c r="H539" s="38"/>
      <c r="I539" s="38"/>
      <c r="J539" s="38"/>
      <c r="L539" s="14"/>
    </row>
    <row r="540">
      <c r="E540" s="38"/>
      <c r="F540" s="38"/>
      <c r="G540" s="38"/>
      <c r="H540" s="38"/>
      <c r="I540" s="38"/>
      <c r="J540" s="38"/>
      <c r="L540" s="14"/>
    </row>
    <row r="541">
      <c r="E541" s="38"/>
      <c r="F541" s="38"/>
      <c r="G541" s="38"/>
      <c r="H541" s="38"/>
      <c r="I541" s="38"/>
      <c r="J541" s="38"/>
      <c r="L541" s="14"/>
    </row>
    <row r="542">
      <c r="E542" s="38"/>
      <c r="F542" s="38"/>
      <c r="G542" s="38"/>
      <c r="H542" s="38"/>
      <c r="I542" s="38"/>
      <c r="J542" s="38"/>
      <c r="L542" s="14"/>
    </row>
    <row r="543">
      <c r="E543" s="38"/>
      <c r="F543" s="38"/>
      <c r="G543" s="38"/>
      <c r="H543" s="38"/>
      <c r="I543" s="38"/>
      <c r="J543" s="38"/>
      <c r="L543" s="14"/>
    </row>
    <row r="544">
      <c r="E544" s="38"/>
      <c r="F544" s="38"/>
      <c r="G544" s="38"/>
      <c r="H544" s="38"/>
      <c r="I544" s="38"/>
      <c r="J544" s="38"/>
      <c r="L544" s="14"/>
    </row>
    <row r="545">
      <c r="E545" s="38"/>
      <c r="F545" s="38"/>
      <c r="G545" s="38"/>
      <c r="H545" s="38"/>
      <c r="I545" s="38"/>
      <c r="J545" s="38"/>
      <c r="L545" s="14"/>
    </row>
    <row r="546">
      <c r="E546" s="38"/>
      <c r="F546" s="38"/>
      <c r="G546" s="38"/>
      <c r="H546" s="38"/>
      <c r="I546" s="38"/>
      <c r="J546" s="38"/>
      <c r="L546" s="14"/>
    </row>
    <row r="547">
      <c r="E547" s="38"/>
      <c r="F547" s="38"/>
      <c r="G547" s="38"/>
      <c r="H547" s="38"/>
      <c r="I547" s="38"/>
      <c r="J547" s="38"/>
      <c r="L547" s="14"/>
    </row>
    <row r="548">
      <c r="E548" s="38"/>
      <c r="F548" s="38"/>
      <c r="G548" s="38"/>
      <c r="H548" s="38"/>
      <c r="I548" s="38"/>
      <c r="J548" s="38"/>
      <c r="L548" s="14"/>
    </row>
    <row r="549">
      <c r="E549" s="38"/>
      <c r="F549" s="38"/>
      <c r="G549" s="38"/>
      <c r="H549" s="38"/>
      <c r="I549" s="38"/>
      <c r="J549" s="38"/>
      <c r="L549" s="14"/>
    </row>
    <row r="550">
      <c r="E550" s="38"/>
      <c r="F550" s="38"/>
      <c r="G550" s="38"/>
      <c r="H550" s="38"/>
      <c r="I550" s="38"/>
      <c r="J550" s="38"/>
      <c r="L550" s="14"/>
    </row>
    <row r="551">
      <c r="E551" s="38"/>
      <c r="F551" s="38"/>
      <c r="G551" s="38"/>
      <c r="H551" s="38"/>
      <c r="I551" s="38"/>
      <c r="J551" s="38"/>
      <c r="L551" s="14"/>
    </row>
    <row r="552">
      <c r="E552" s="38"/>
      <c r="F552" s="38"/>
      <c r="G552" s="38"/>
      <c r="H552" s="38"/>
      <c r="I552" s="38"/>
      <c r="J552" s="38"/>
      <c r="L552" s="14"/>
    </row>
    <row r="553">
      <c r="E553" s="38"/>
      <c r="F553" s="38"/>
      <c r="G553" s="38"/>
      <c r="H553" s="38"/>
      <c r="I553" s="38"/>
      <c r="J553" s="38"/>
      <c r="L553" s="14"/>
    </row>
    <row r="554">
      <c r="E554" s="38"/>
      <c r="F554" s="38"/>
      <c r="G554" s="38"/>
      <c r="H554" s="38"/>
      <c r="I554" s="38"/>
      <c r="J554" s="38"/>
      <c r="L554" s="14"/>
    </row>
    <row r="555">
      <c r="E555" s="38"/>
      <c r="F555" s="38"/>
      <c r="G555" s="38"/>
      <c r="H555" s="38"/>
      <c r="I555" s="38"/>
      <c r="J555" s="38"/>
      <c r="L555" s="14"/>
    </row>
    <row r="556">
      <c r="E556" s="38"/>
      <c r="F556" s="38"/>
      <c r="G556" s="38"/>
      <c r="H556" s="38"/>
      <c r="I556" s="38"/>
      <c r="J556" s="38"/>
      <c r="L556" s="14"/>
    </row>
    <row r="557">
      <c r="E557" s="38"/>
      <c r="F557" s="38"/>
      <c r="G557" s="38"/>
      <c r="H557" s="38"/>
      <c r="I557" s="38"/>
      <c r="J557" s="38"/>
      <c r="L557" s="14"/>
    </row>
  </sheetData>
  <mergeCells count="1">
    <mergeCell ref="M2:N5"/>
  </mergeCells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 ht="15.75" customHeight="1">
      <c r="A1" s="14" t="s">
        <v>1</v>
      </c>
      <c r="B1" s="14" t="s">
        <v>499</v>
      </c>
      <c r="C1" s="14" t="s">
        <v>500</v>
      </c>
      <c r="D1" s="20" t="s">
        <v>501</v>
      </c>
      <c r="E1" s="14" t="s">
        <v>502</v>
      </c>
      <c r="F1" s="27" t="s">
        <v>503</v>
      </c>
      <c r="G1" s="14" t="s">
        <v>504</v>
      </c>
      <c r="H1" s="27" t="s">
        <v>505</v>
      </c>
      <c r="I1" s="14" t="s">
        <v>506</v>
      </c>
      <c r="J1" s="27" t="s">
        <v>507</v>
      </c>
      <c r="L1" s="46" t="s">
        <v>508</v>
      </c>
      <c r="M1" s="25" t="str">
        <f t="array" ref="M1">sum(large(D2:D1466,column(indirect("$A$1:" &amp;ADDRESS( 1, 12)))))/12</f>
        <v>#DIV/0!</v>
      </c>
      <c r="N1" s="47"/>
      <c r="O1" s="47"/>
      <c r="P1" s="47"/>
      <c r="Q1" s="47"/>
      <c r="R1" s="47"/>
    </row>
    <row r="2">
      <c r="A2" s="22" t="s">
        <v>8</v>
      </c>
      <c r="B2" s="21" t="str">
        <f>D2/M$1*2000</f>
        <v>#DIV/0!</v>
      </c>
      <c r="C2" s="21" t="str">
        <f>VLOOKUP(A2, hash!A$2:B$500, 2, 0)</f>
        <v>6322202c0aa8ba2dbc57c0a6</v>
      </c>
      <c r="D2" s="23" t="str">
        <f t="shared" ref="D2:D470" si="1">SUMPRODUCT(E2:J2,$M$4:$R$4)</f>
        <v>#DIV/0!</v>
      </c>
      <c r="F2" s="27"/>
      <c r="H2" s="27"/>
      <c r="J2" s="27"/>
      <c r="L2" s="47"/>
      <c r="M2" s="47" t="s">
        <v>502</v>
      </c>
      <c r="N2" s="47" t="s">
        <v>503</v>
      </c>
      <c r="O2" s="47" t="s">
        <v>504</v>
      </c>
      <c r="P2" s="47" t="s">
        <v>505</v>
      </c>
      <c r="Q2" s="47" t="s">
        <v>506</v>
      </c>
      <c r="R2" s="47" t="s">
        <v>507</v>
      </c>
    </row>
    <row r="3">
      <c r="A3" s="22" t="s">
        <v>558</v>
      </c>
      <c r="B3" s="14">
        <v>5000.0</v>
      </c>
      <c r="C3" s="21" t="str">
        <f>VLOOKUP(A3, hash!A$2:B$500, 2, 0)</f>
        <v>#N/A</v>
      </c>
      <c r="D3" s="23" t="str">
        <f t="shared" si="1"/>
        <v>#DIV/0!</v>
      </c>
      <c r="F3" s="45"/>
      <c r="H3" s="27"/>
      <c r="J3" s="45"/>
      <c r="L3" s="47" t="s">
        <v>559</v>
      </c>
      <c r="M3" s="25">
        <f t="shared" ref="M3:R3" si="2">SUM(E:E)</f>
        <v>0</v>
      </c>
      <c r="N3" s="25">
        <f t="shared" si="2"/>
        <v>0</v>
      </c>
      <c r="O3" s="25">
        <f t="shared" si="2"/>
        <v>0</v>
      </c>
      <c r="P3" s="25">
        <f t="shared" si="2"/>
        <v>0</v>
      </c>
      <c r="Q3" s="25">
        <f t="shared" si="2"/>
        <v>0</v>
      </c>
      <c r="R3" s="25">
        <f t="shared" si="2"/>
        <v>0</v>
      </c>
    </row>
    <row r="4">
      <c r="A4" s="22" t="s">
        <v>560</v>
      </c>
      <c r="B4" s="21" t="str">
        <f>D4/M$1*2000</f>
        <v>#DIV/0!</v>
      </c>
      <c r="C4" s="21" t="str">
        <f>VLOOKUP(A4, hash!A$2:B$500, 2, 0)</f>
        <v>#N/A</v>
      </c>
      <c r="D4" s="23" t="str">
        <f t="shared" si="1"/>
        <v>#DIV/0!</v>
      </c>
      <c r="F4" s="27"/>
      <c r="H4" s="27"/>
      <c r="J4" s="27"/>
      <c r="L4" s="47" t="s">
        <v>561</v>
      </c>
      <c r="M4" s="25" t="str">
        <f t="shared" ref="M4:R4" si="3">1+LN($M$8/M3)</f>
        <v>#DIV/0!</v>
      </c>
      <c r="N4" s="25" t="str">
        <f t="shared" si="3"/>
        <v>#DIV/0!</v>
      </c>
      <c r="O4" s="25" t="str">
        <f t="shared" si="3"/>
        <v>#DIV/0!</v>
      </c>
      <c r="P4" s="25" t="str">
        <f t="shared" si="3"/>
        <v>#DIV/0!</v>
      </c>
      <c r="Q4" s="25" t="str">
        <f t="shared" si="3"/>
        <v>#DIV/0!</v>
      </c>
      <c r="R4" s="25" t="str">
        <f t="shared" si="3"/>
        <v>#DIV/0!</v>
      </c>
    </row>
    <row r="5">
      <c r="A5" s="22" t="s">
        <v>562</v>
      </c>
      <c r="B5" s="14">
        <v>3000.0</v>
      </c>
      <c r="C5" s="21" t="str">
        <f>VLOOKUP(A5, hash!A$2:B$500, 2, 0)</f>
        <v>#N/A</v>
      </c>
      <c r="D5" s="23" t="str">
        <f t="shared" si="1"/>
        <v>#DIV/0!</v>
      </c>
      <c r="F5" s="27"/>
      <c r="H5" s="27"/>
      <c r="J5" s="27"/>
      <c r="L5" s="46"/>
      <c r="M5" s="25"/>
      <c r="N5" s="25"/>
      <c r="O5" s="25"/>
      <c r="P5" s="25"/>
      <c r="Q5" s="25"/>
      <c r="R5" s="25"/>
    </row>
    <row r="6">
      <c r="A6" s="22" t="s">
        <v>9</v>
      </c>
      <c r="B6" s="21" t="str">
        <f t="shared" ref="B6:B470" si="4">D6/M$1*2000</f>
        <v>#DIV/0!</v>
      </c>
      <c r="C6" s="21" t="str">
        <f>VLOOKUP(A6, hash!A$2:B$500, 2, 0)</f>
        <v>66e1e1237a8e6dc2aed3a642</v>
      </c>
      <c r="D6" s="23" t="str">
        <f t="shared" si="1"/>
        <v>#DIV/0!</v>
      </c>
      <c r="F6" s="27"/>
      <c r="H6" s="27"/>
      <c r="J6" s="27"/>
      <c r="L6" s="47"/>
      <c r="M6" s="25"/>
      <c r="N6" s="25"/>
      <c r="O6" s="25"/>
      <c r="P6" s="25"/>
      <c r="Q6" s="48"/>
      <c r="R6" s="25"/>
    </row>
    <row r="7">
      <c r="A7" s="22" t="s">
        <v>563</v>
      </c>
      <c r="B7" s="21" t="str">
        <f t="shared" si="4"/>
        <v>#DIV/0!</v>
      </c>
      <c r="C7" s="21" t="str">
        <f>VLOOKUP(A7, hash!A$2:B$500, 2, 0)</f>
        <v>#N/A</v>
      </c>
      <c r="D7" s="23" t="str">
        <f t="shared" si="1"/>
        <v>#DIV/0!</v>
      </c>
      <c r="F7" s="27"/>
      <c r="H7" s="27"/>
      <c r="J7" s="27"/>
      <c r="L7" s="47"/>
      <c r="M7" s="49" t="s">
        <v>564</v>
      </c>
      <c r="N7" s="25"/>
      <c r="O7" s="25"/>
      <c r="P7" s="25"/>
      <c r="Q7" s="50"/>
      <c r="R7" s="25"/>
    </row>
    <row r="8">
      <c r="A8" s="22" t="s">
        <v>10</v>
      </c>
      <c r="B8" s="21" t="str">
        <f t="shared" si="4"/>
        <v>#DIV/0!</v>
      </c>
      <c r="C8" s="21" t="str">
        <f>VLOOKUP(A8, hash!A$2:B$500, 2, 0)</f>
        <v>632220270aa8ba2dbc57c0a4</v>
      </c>
      <c r="D8" s="23" t="str">
        <f t="shared" si="1"/>
        <v>#DIV/0!</v>
      </c>
      <c r="F8" s="27"/>
      <c r="H8" s="27"/>
      <c r="J8" s="27"/>
      <c r="M8" s="14">
        <f>COUNTA(E2:E1497)</f>
        <v>0</v>
      </c>
    </row>
    <row r="9">
      <c r="A9" s="22" t="s">
        <v>565</v>
      </c>
      <c r="B9" s="21" t="str">
        <f t="shared" si="4"/>
        <v>#DIV/0!</v>
      </c>
      <c r="C9" s="21" t="str">
        <f>VLOOKUP(A9, hash!A$2:B$500, 2, 0)</f>
        <v>#N/A</v>
      </c>
      <c r="D9" s="23" t="str">
        <f t="shared" si="1"/>
        <v>#DIV/0!</v>
      </c>
      <c r="F9" s="27"/>
      <c r="H9" s="27"/>
      <c r="J9" s="27"/>
    </row>
    <row r="10">
      <c r="A10" s="22" t="s">
        <v>30</v>
      </c>
      <c r="B10" s="21" t="str">
        <f t="shared" si="4"/>
        <v>#DIV/0!</v>
      </c>
      <c r="C10" s="21" t="str">
        <f>VLOOKUP(A10, hash!A$2:B$500, 2, 0)</f>
        <v>6322236ef382c17890e6a3e1</v>
      </c>
      <c r="D10" s="23" t="str">
        <f t="shared" si="1"/>
        <v>#DIV/0!</v>
      </c>
      <c r="F10" s="27"/>
      <c r="H10" s="27"/>
      <c r="J10" s="27"/>
      <c r="Q10" s="21" t="str">
        <f>SUM(M4:R4)</f>
        <v>#DIV/0!</v>
      </c>
    </row>
    <row r="11">
      <c r="A11" s="22" t="s">
        <v>18</v>
      </c>
      <c r="B11" s="21" t="str">
        <f t="shared" si="4"/>
        <v>#DIV/0!</v>
      </c>
      <c r="C11" s="21" t="str">
        <f>VLOOKUP(A11, hash!A$2:B$500, 2, 0)</f>
        <v>6502003d1d8cbbbd315ad525</v>
      </c>
      <c r="D11" s="23" t="str">
        <f t="shared" si="1"/>
        <v>#DIV/0!</v>
      </c>
      <c r="F11" s="27"/>
      <c r="H11" s="27"/>
      <c r="J11" s="27"/>
      <c r="Q11" s="14" t="str">
        <f> 3377 / Q10 * R4</f>
        <v>#DIV/0!</v>
      </c>
    </row>
    <row r="12">
      <c r="A12" s="22" t="s">
        <v>566</v>
      </c>
      <c r="B12" s="21" t="str">
        <f t="shared" si="4"/>
        <v>#DIV/0!</v>
      </c>
      <c r="C12" s="21" t="str">
        <f>VLOOKUP(A12, hash!A$2:B$500, 2, 0)</f>
        <v>#N/A</v>
      </c>
      <c r="D12" s="23" t="str">
        <f t="shared" si="1"/>
        <v>#DIV/0!</v>
      </c>
      <c r="F12" s="27"/>
      <c r="H12" s="27"/>
      <c r="J12" s="27"/>
    </row>
    <row r="13">
      <c r="A13" s="22" t="s">
        <v>92</v>
      </c>
      <c r="B13" s="21" t="str">
        <f t="shared" si="4"/>
        <v>#DIV/0!</v>
      </c>
      <c r="C13" s="21" t="str">
        <f>VLOOKUP(A13, hash!A$2:B$500, 2, 0)</f>
        <v>66e1e12ae2fbdff8a0c35638</v>
      </c>
      <c r="D13" s="23" t="str">
        <f t="shared" si="1"/>
        <v>#DIV/0!</v>
      </c>
      <c r="F13" s="27"/>
      <c r="H13" s="27"/>
      <c r="J13" s="27"/>
    </row>
    <row r="14">
      <c r="A14" s="22" t="s">
        <v>15</v>
      </c>
      <c r="B14" s="21" t="str">
        <f t="shared" si="4"/>
        <v>#DIV/0!</v>
      </c>
      <c r="C14" s="21" t="str">
        <f>VLOOKUP(A14, hash!A$2:B$500, 2, 0)</f>
        <v>65020037540ba7cc68909a9b</v>
      </c>
      <c r="D14" s="23" t="str">
        <f t="shared" si="1"/>
        <v>#DIV/0!</v>
      </c>
      <c r="F14" s="27"/>
      <c r="H14" s="27"/>
      <c r="J14" s="27"/>
      <c r="M14" s="14" t="s">
        <v>567</v>
      </c>
    </row>
    <row r="15">
      <c r="A15" s="22" t="s">
        <v>430</v>
      </c>
      <c r="B15" s="21" t="str">
        <f t="shared" si="4"/>
        <v>#DIV/0!</v>
      </c>
      <c r="C15" s="21" t="str">
        <f>VLOOKUP(A15, hash!A$2:B$500, 2, 0)</f>
        <v>63222011e6a618b2a0444361</v>
      </c>
      <c r="D15" s="23" t="str">
        <f t="shared" si="1"/>
        <v>#DIV/0!</v>
      </c>
      <c r="F15" s="27"/>
      <c r="H15" s="27"/>
      <c r="J15" s="27"/>
      <c r="M15" s="21">
        <f>SUM(E2:J15)/12</f>
        <v>0</v>
      </c>
    </row>
    <row r="16">
      <c r="A16" s="22" t="s">
        <v>568</v>
      </c>
      <c r="B16" s="21" t="str">
        <f t="shared" si="4"/>
        <v>#DIV/0!</v>
      </c>
      <c r="C16" s="21" t="str">
        <f>VLOOKUP(A16, hash!A$2:B$500, 2, 0)</f>
        <v>#N/A</v>
      </c>
      <c r="D16" s="23" t="str">
        <f t="shared" si="1"/>
        <v>#DIV/0!</v>
      </c>
      <c r="F16" s="27"/>
      <c r="H16" s="27"/>
      <c r="J16" s="27"/>
    </row>
    <row r="17">
      <c r="A17" s="22" t="s">
        <v>569</v>
      </c>
      <c r="B17" s="21" t="str">
        <f t="shared" si="4"/>
        <v>#DIV/0!</v>
      </c>
      <c r="C17" s="21" t="str">
        <f>VLOOKUP(A17, hash!A$2:B$500, 2, 0)</f>
        <v>#N/A</v>
      </c>
      <c r="D17" s="23" t="str">
        <f t="shared" si="1"/>
        <v>#DIV/0!</v>
      </c>
      <c r="F17" s="27"/>
      <c r="H17" s="27"/>
      <c r="J17" s="27"/>
    </row>
    <row r="18">
      <c r="A18" s="22" t="s">
        <v>17</v>
      </c>
      <c r="B18" s="21" t="str">
        <f t="shared" si="4"/>
        <v>#DIV/0!</v>
      </c>
      <c r="C18" s="21" t="str">
        <f>VLOOKUP(A18, hash!A$2:B$500, 2, 0)</f>
        <v>65020bfc097ac3c9d063264d</v>
      </c>
      <c r="D18" s="23" t="str">
        <f t="shared" si="1"/>
        <v>#DIV/0!</v>
      </c>
      <c r="F18" s="27"/>
      <c r="H18" s="45"/>
      <c r="J18" s="45"/>
    </row>
    <row r="19">
      <c r="A19" s="22" t="s">
        <v>435</v>
      </c>
      <c r="B19" s="21" t="str">
        <f t="shared" si="4"/>
        <v>#DIV/0!</v>
      </c>
      <c r="C19" s="21" t="str">
        <f>VLOOKUP(A19, hash!A$2:B$500, 2, 0)</f>
        <v>63222a4c5bded5e4ff37ac1f</v>
      </c>
      <c r="D19" s="23" t="str">
        <f t="shared" si="1"/>
        <v>#DIV/0!</v>
      </c>
      <c r="F19" s="27"/>
      <c r="H19" s="27"/>
      <c r="J19" s="27"/>
    </row>
    <row r="20">
      <c r="A20" s="22" t="s">
        <v>11</v>
      </c>
      <c r="B20" s="21" t="str">
        <f t="shared" si="4"/>
        <v>#DIV/0!</v>
      </c>
      <c r="C20" s="21" t="str">
        <f>VLOOKUP(A20, hash!A$2:B$500, 2, 0)</f>
        <v>6502005e1d8cbbbd315ad52c</v>
      </c>
      <c r="D20" s="23" t="str">
        <f t="shared" si="1"/>
        <v>#DIV/0!</v>
      </c>
      <c r="F20" s="27"/>
      <c r="H20" s="27"/>
      <c r="J20" s="27"/>
    </row>
    <row r="21">
      <c r="A21" s="22" t="s">
        <v>45</v>
      </c>
      <c r="B21" s="21" t="str">
        <f t="shared" si="4"/>
        <v>#DIV/0!</v>
      </c>
      <c r="C21" s="21" t="str">
        <f>VLOOKUP(A21, hash!A$2:B$500, 2, 0)</f>
        <v>66e1ed8d1129889a3e2c24ab</v>
      </c>
      <c r="D21" s="23" t="str">
        <f t="shared" si="1"/>
        <v>#DIV/0!</v>
      </c>
      <c r="F21" s="27"/>
      <c r="H21" s="27"/>
      <c r="J21" s="27"/>
    </row>
    <row r="22">
      <c r="A22" s="22" t="s">
        <v>298</v>
      </c>
      <c r="B22" s="21" t="str">
        <f t="shared" si="4"/>
        <v>#DIV/0!</v>
      </c>
      <c r="C22" s="21" t="str">
        <f>VLOOKUP(A22, hash!A$2:B$500, 2, 0)</f>
        <v>66e1e12be2fbdff8a0c35639</v>
      </c>
      <c r="D22" s="23" t="str">
        <f t="shared" si="1"/>
        <v>#DIV/0!</v>
      </c>
      <c r="F22" s="27"/>
      <c r="H22" s="27"/>
      <c r="J22" s="27"/>
    </row>
    <row r="23">
      <c r="A23" s="22" t="s">
        <v>432</v>
      </c>
      <c r="B23" s="21" t="str">
        <f t="shared" si="4"/>
        <v>#DIV/0!</v>
      </c>
      <c r="C23" s="21" t="str">
        <f>VLOOKUP(A23, hash!A$2:B$500, 2, 0)</f>
        <v>632220620aa8ba2dbc57c0ab</v>
      </c>
      <c r="D23" s="23" t="str">
        <f t="shared" si="1"/>
        <v>#DIV/0!</v>
      </c>
      <c r="F23" s="27"/>
      <c r="H23" s="27"/>
      <c r="J23" s="27"/>
      <c r="L23" s="47"/>
      <c r="M23" s="25"/>
      <c r="N23" s="25"/>
      <c r="O23" s="25"/>
      <c r="P23" s="25"/>
      <c r="Q23" s="25"/>
      <c r="R23" s="25"/>
    </row>
    <row r="24">
      <c r="A24" s="22" t="s">
        <v>14</v>
      </c>
      <c r="B24" s="21" t="str">
        <f t="shared" si="4"/>
        <v>#DIV/0!</v>
      </c>
      <c r="C24" s="21" t="str">
        <f>VLOOKUP(A24, hash!A$2:B$500, 2, 0)</f>
        <v>66e1e10f7a8e6dc2aed3a63c</v>
      </c>
      <c r="D24" s="23" t="str">
        <f t="shared" si="1"/>
        <v>#DIV/0!</v>
      </c>
      <c r="F24" s="27"/>
      <c r="H24" s="27"/>
      <c r="J24" s="27"/>
    </row>
    <row r="25">
      <c r="A25" s="22" t="s">
        <v>61</v>
      </c>
      <c r="B25" s="21" t="str">
        <f t="shared" si="4"/>
        <v>#DIV/0!</v>
      </c>
      <c r="C25" s="21" t="str">
        <f>VLOOKUP(A25, hash!A$2:B$500, 2, 0)</f>
        <v>65020c0f8f2b101294bb3dae</v>
      </c>
      <c r="D25" s="23" t="str">
        <f t="shared" si="1"/>
        <v>#DIV/0!</v>
      </c>
      <c r="F25" s="27"/>
      <c r="H25" s="27"/>
      <c r="J25" s="27"/>
    </row>
    <row r="26">
      <c r="A26" s="22" t="s">
        <v>441</v>
      </c>
      <c r="B26" s="21" t="str">
        <f t="shared" si="4"/>
        <v>#DIV/0!</v>
      </c>
      <c r="C26" s="21" t="str">
        <f>VLOOKUP(A26, hash!A$2:B$500, 2, 0)</f>
        <v>632220596d021b5cf508ccd5</v>
      </c>
      <c r="D26" s="23" t="str">
        <f t="shared" si="1"/>
        <v>#DIV/0!</v>
      </c>
      <c r="F26" s="27"/>
      <c r="H26" s="27"/>
      <c r="J26" s="27"/>
    </row>
    <row r="27">
      <c r="A27" s="22" t="s">
        <v>442</v>
      </c>
      <c r="B27" s="21" t="str">
        <f t="shared" si="4"/>
        <v>#DIV/0!</v>
      </c>
      <c r="C27" s="21" t="str">
        <f>VLOOKUP(A27, hash!A$2:B$500, 2, 0)</f>
        <v>632220710aa8ba2dbc57c0ac</v>
      </c>
      <c r="D27" s="23" t="str">
        <f t="shared" si="1"/>
        <v>#DIV/0!</v>
      </c>
      <c r="F27" s="27"/>
      <c r="H27" s="27"/>
      <c r="J27" s="27"/>
    </row>
    <row r="28">
      <c r="A28" s="22" t="s">
        <v>434</v>
      </c>
      <c r="B28" s="21" t="str">
        <f t="shared" si="4"/>
        <v>#DIV/0!</v>
      </c>
      <c r="C28" s="21" t="str">
        <f>VLOOKUP(A28, hash!A$2:B$500, 2, 0)</f>
        <v>63222083cfccb655ce1f3a74</v>
      </c>
      <c r="D28" s="23" t="str">
        <f t="shared" si="1"/>
        <v>#DIV/0!</v>
      </c>
      <c r="F28" s="27"/>
      <c r="H28" s="27"/>
      <c r="J28" s="27"/>
    </row>
    <row r="29">
      <c r="A29" s="22" t="s">
        <v>570</v>
      </c>
      <c r="B29" s="21" t="str">
        <f t="shared" si="4"/>
        <v>#DIV/0!</v>
      </c>
      <c r="C29" s="21" t="str">
        <f>VLOOKUP(A29, hash!A$2:B$500, 2, 0)</f>
        <v>#N/A</v>
      </c>
      <c r="D29" s="23" t="str">
        <f t="shared" si="1"/>
        <v>#DIV/0!</v>
      </c>
      <c r="F29" s="45"/>
      <c r="H29" s="45"/>
      <c r="J29" s="45"/>
    </row>
    <row r="30">
      <c r="A30" s="24" t="s">
        <v>13</v>
      </c>
      <c r="B30" s="21" t="str">
        <f t="shared" si="4"/>
        <v>#DIV/0!</v>
      </c>
      <c r="C30" s="21" t="str">
        <f>VLOOKUP(A30, hash!A$2:B$500, 2, 0)</f>
        <v>65020be78f2b101294bb3da8</v>
      </c>
      <c r="D30" s="23" t="str">
        <f t="shared" si="1"/>
        <v>#DIV/0!</v>
      </c>
      <c r="F30" s="27"/>
      <c r="H30" s="27"/>
      <c r="J30" s="27"/>
    </row>
    <row r="31">
      <c r="A31" s="22" t="s">
        <v>39</v>
      </c>
      <c r="B31" s="21" t="str">
        <f t="shared" si="4"/>
        <v>#DIV/0!</v>
      </c>
      <c r="C31" s="21" t="str">
        <f>VLOOKUP(A31, hash!A$2:B$500, 2, 0)</f>
        <v>6594377be0f4f63927a8ce26</v>
      </c>
      <c r="D31" s="23" t="str">
        <f t="shared" si="1"/>
        <v>#DIV/0!</v>
      </c>
      <c r="F31" s="27"/>
      <c r="H31" s="27"/>
      <c r="J31" s="27"/>
    </row>
    <row r="32">
      <c r="A32" s="22" t="s">
        <v>29</v>
      </c>
      <c r="B32" s="21" t="str">
        <f t="shared" si="4"/>
        <v>#DIV/0!</v>
      </c>
      <c r="C32" s="21" t="str">
        <f>VLOOKUP(A32, hash!A$2:B$500, 2, 0)</f>
        <v>66e1e1659bdd593ffcd624e6</v>
      </c>
      <c r="D32" s="23" t="str">
        <f t="shared" si="1"/>
        <v>#DIV/0!</v>
      </c>
      <c r="F32" s="27"/>
      <c r="H32" s="27"/>
      <c r="J32" s="27"/>
    </row>
    <row r="33">
      <c r="A33" s="22" t="s">
        <v>40</v>
      </c>
      <c r="B33" s="21" t="str">
        <f t="shared" si="4"/>
        <v>#DIV/0!</v>
      </c>
      <c r="C33" s="21" t="str">
        <f>VLOOKUP(A33, hash!A$2:B$500, 2, 0)</f>
        <v>65020bed03dd812a55d3a207</v>
      </c>
      <c r="D33" s="23" t="str">
        <f t="shared" si="1"/>
        <v>#DIV/0!</v>
      </c>
      <c r="F33" s="27"/>
      <c r="H33" s="27"/>
      <c r="J33" s="27"/>
    </row>
    <row r="34">
      <c r="A34" s="22" t="s">
        <v>86</v>
      </c>
      <c r="B34" s="21" t="str">
        <f t="shared" si="4"/>
        <v>#DIV/0!</v>
      </c>
      <c r="C34" s="21" t="str">
        <f>VLOOKUP(A34, hash!A$2:B$500, 2, 0)</f>
        <v>65020c05097ac3c9d0632651</v>
      </c>
      <c r="D34" s="23" t="str">
        <f t="shared" si="1"/>
        <v>#DIV/0!</v>
      </c>
      <c r="F34" s="27"/>
      <c r="H34" s="27"/>
      <c r="J34" s="27"/>
    </row>
    <row r="35">
      <c r="A35" s="22" t="s">
        <v>42</v>
      </c>
      <c r="B35" s="21" t="str">
        <f t="shared" si="4"/>
        <v>#DIV/0!</v>
      </c>
      <c r="C35" s="21" t="str">
        <f>VLOOKUP(A35, hash!A$2:B$500, 2, 0)</f>
        <v>66e1e102a61e89c7c68f6e2f</v>
      </c>
      <c r="D35" s="23" t="str">
        <f t="shared" si="1"/>
        <v>#DIV/0!</v>
      </c>
      <c r="F35" s="27"/>
      <c r="H35" s="27"/>
      <c r="J35" s="27"/>
    </row>
    <row r="36">
      <c r="A36" s="22" t="s">
        <v>21</v>
      </c>
      <c r="B36" s="21" t="str">
        <f t="shared" si="4"/>
        <v>#DIV/0!</v>
      </c>
      <c r="C36" s="21" t="str">
        <f>VLOOKUP(A36, hash!A$2:B$500, 2, 0)</f>
        <v>63222da0116f680d68804fa7</v>
      </c>
      <c r="D36" s="23" t="str">
        <f t="shared" si="1"/>
        <v>#DIV/0!</v>
      </c>
      <c r="F36" s="27"/>
      <c r="H36" s="27"/>
      <c r="J36" s="27"/>
    </row>
    <row r="37">
      <c r="A37" s="22" t="s">
        <v>99</v>
      </c>
      <c r="B37" s="21" t="str">
        <f t="shared" si="4"/>
        <v>#DIV/0!</v>
      </c>
      <c r="C37" s="21" t="str">
        <f>VLOOKUP(A37, hash!A$2:B$500, 2, 0)</f>
        <v>66e1e1107315471e09f2b5b1</v>
      </c>
      <c r="D37" s="23" t="str">
        <f t="shared" si="1"/>
        <v>#DIV/0!</v>
      </c>
      <c r="F37" s="27"/>
      <c r="H37" s="27"/>
      <c r="J37" s="27"/>
    </row>
    <row r="38">
      <c r="A38" s="22" t="s">
        <v>293</v>
      </c>
      <c r="B38" s="21" t="str">
        <f t="shared" si="4"/>
        <v>#DIV/0!</v>
      </c>
      <c r="C38" s="21" t="str">
        <f>VLOOKUP(A38, hash!A$2:B$500, 2, 0)</f>
        <v>66e1e125e2fbdff8a0c35635</v>
      </c>
      <c r="D38" s="23" t="str">
        <f t="shared" si="1"/>
        <v>#DIV/0!</v>
      </c>
      <c r="F38" s="27"/>
      <c r="H38" s="27"/>
      <c r="J38" s="27"/>
    </row>
    <row r="39">
      <c r="A39" s="22" t="s">
        <v>303</v>
      </c>
      <c r="B39" s="21" t="str">
        <f t="shared" si="4"/>
        <v>#DIV/0!</v>
      </c>
      <c r="C39" s="21" t="str">
        <f>VLOOKUP(A39, hash!A$2:B$500, 2, 0)</f>
        <v>66e1e137db315cbd40043fc5</v>
      </c>
      <c r="D39" s="23" t="str">
        <f t="shared" si="1"/>
        <v>#DIV/0!</v>
      </c>
      <c r="F39" s="27"/>
      <c r="H39" s="27"/>
      <c r="J39" s="27"/>
    </row>
    <row r="40">
      <c r="A40" s="22" t="s">
        <v>305</v>
      </c>
      <c r="B40" s="21" t="str">
        <f t="shared" si="4"/>
        <v>#DIV/0!</v>
      </c>
      <c r="C40" s="21" t="str">
        <f>VLOOKUP(A40, hash!A$2:B$500, 2, 0)</f>
        <v>66e1e141f0db8f5922c91d90</v>
      </c>
      <c r="D40" s="23" t="str">
        <f t="shared" si="1"/>
        <v>#DIV/0!</v>
      </c>
      <c r="F40" s="27"/>
      <c r="H40" s="27"/>
      <c r="J40" s="27"/>
    </row>
    <row r="41">
      <c r="A41" s="22" t="s">
        <v>306</v>
      </c>
      <c r="B41" s="21" t="str">
        <f t="shared" si="4"/>
        <v>#DIV/0!</v>
      </c>
      <c r="C41" s="21" t="str">
        <f>VLOOKUP(A41, hash!A$2:B$500, 2, 0)</f>
        <v>66e1e143db315cbd40043fcb</v>
      </c>
      <c r="D41" s="23" t="str">
        <f t="shared" si="1"/>
        <v>#DIV/0!</v>
      </c>
      <c r="F41" s="27"/>
      <c r="H41" s="27"/>
      <c r="J41" s="27"/>
    </row>
    <row r="42">
      <c r="A42" s="22" t="s">
        <v>312</v>
      </c>
      <c r="B42" s="21" t="str">
        <f t="shared" si="4"/>
        <v>#DIV/0!</v>
      </c>
      <c r="C42" s="21" t="str">
        <f>VLOOKUP(A42, hash!A$2:B$500, 2, 0)</f>
        <v>66e1ed841129889a3e2c24a8</v>
      </c>
      <c r="D42" s="23" t="str">
        <f t="shared" si="1"/>
        <v>#DIV/0!</v>
      </c>
      <c r="F42" s="27"/>
      <c r="H42" s="27"/>
      <c r="J42" s="27"/>
    </row>
    <row r="43">
      <c r="A43" s="22" t="s">
        <v>346</v>
      </c>
      <c r="B43" s="21" t="str">
        <f t="shared" si="4"/>
        <v>#DIV/0!</v>
      </c>
      <c r="C43" s="21" t="str">
        <f>VLOOKUP(A43, hash!A$2:B$500, 2, 0)</f>
        <v>66eb1c19a526292217381272</v>
      </c>
      <c r="D43" s="23" t="str">
        <f t="shared" si="1"/>
        <v>#DIV/0!</v>
      </c>
      <c r="F43" s="27"/>
      <c r="H43" s="27"/>
      <c r="J43" s="27"/>
    </row>
    <row r="44">
      <c r="A44" s="22" t="s">
        <v>140</v>
      </c>
      <c r="B44" s="21" t="str">
        <f t="shared" si="4"/>
        <v>#DIV/0!</v>
      </c>
      <c r="C44" s="21" t="str">
        <f>VLOOKUP(A44, hash!A$2:B$500, 2, 0)</f>
        <v>6502001596a576d9fa03f98e</v>
      </c>
      <c r="D44" s="23" t="str">
        <f t="shared" si="1"/>
        <v>#DIV/0!</v>
      </c>
      <c r="F44" s="27"/>
      <c r="H44" s="27"/>
      <c r="J44" s="27"/>
    </row>
    <row r="45">
      <c r="A45" s="22" t="s">
        <v>96</v>
      </c>
      <c r="B45" s="21" t="str">
        <f t="shared" si="4"/>
        <v>#DIV/0!</v>
      </c>
      <c r="C45" s="21" t="str">
        <f>VLOOKUP(A45, hash!A$2:B$500, 2, 0)</f>
        <v>65020be28f2b101294bb3da3</v>
      </c>
      <c r="D45" s="23" t="str">
        <f t="shared" si="1"/>
        <v>#DIV/0!</v>
      </c>
      <c r="F45" s="27"/>
      <c r="H45" s="27"/>
      <c r="J45" s="27"/>
    </row>
    <row r="46">
      <c r="A46" s="22" t="s">
        <v>571</v>
      </c>
      <c r="B46" s="21" t="str">
        <f t="shared" si="4"/>
        <v>#DIV/0!</v>
      </c>
      <c r="C46" s="21" t="str">
        <f>VLOOKUP(A46, hash!A$2:B$500, 2, 0)</f>
        <v>#N/A</v>
      </c>
      <c r="D46" s="23" t="str">
        <f t="shared" si="1"/>
        <v>#DIV/0!</v>
      </c>
      <c r="F46" s="27"/>
      <c r="H46" s="27"/>
      <c r="J46" s="27"/>
    </row>
    <row r="47">
      <c r="A47" s="22" t="s">
        <v>572</v>
      </c>
      <c r="B47" s="21" t="str">
        <f t="shared" si="4"/>
        <v>#DIV/0!</v>
      </c>
      <c r="C47" s="21" t="str">
        <f>VLOOKUP(A47, hash!A$2:B$500, 2, 0)</f>
        <v>#N/A</v>
      </c>
      <c r="D47" s="23" t="str">
        <f t="shared" si="1"/>
        <v>#DIV/0!</v>
      </c>
      <c r="F47" s="27"/>
      <c r="H47" s="27"/>
      <c r="J47" s="27"/>
    </row>
    <row r="48">
      <c r="A48" s="22" t="s">
        <v>573</v>
      </c>
      <c r="B48" s="21" t="str">
        <f t="shared" si="4"/>
        <v>#DIV/0!</v>
      </c>
      <c r="C48" s="21" t="str">
        <f>VLOOKUP(A48, hash!A$2:B$500, 2, 0)</f>
        <v>#N/A</v>
      </c>
      <c r="D48" s="23" t="str">
        <f t="shared" si="1"/>
        <v>#DIV/0!</v>
      </c>
      <c r="F48" s="45"/>
      <c r="H48" s="27"/>
      <c r="J48" s="45"/>
    </row>
    <row r="49">
      <c r="A49" s="22" t="s">
        <v>437</v>
      </c>
      <c r="B49" s="21" t="str">
        <f t="shared" si="4"/>
        <v>#DIV/0!</v>
      </c>
      <c r="C49" s="21" t="str">
        <f>VLOOKUP(A49, hash!A$2:B$500, 2, 0)</f>
        <v>63221ff90aa8ba2dbc57c0a2</v>
      </c>
      <c r="D49" s="23" t="str">
        <f t="shared" si="1"/>
        <v>#DIV/0!</v>
      </c>
      <c r="F49" s="27"/>
      <c r="H49" s="27"/>
      <c r="J49" s="45"/>
    </row>
    <row r="50">
      <c r="A50" s="22" t="s">
        <v>431</v>
      </c>
      <c r="B50" s="21" t="str">
        <f t="shared" si="4"/>
        <v>#DIV/0!</v>
      </c>
      <c r="C50" s="21" t="str">
        <f>VLOOKUP(A50, hash!A$2:B$500, 2, 0)</f>
        <v>6322202a0aa8ba2dbc57c0a5</v>
      </c>
      <c r="D50" s="23" t="str">
        <f t="shared" si="1"/>
        <v>#DIV/0!</v>
      </c>
      <c r="F50" s="27"/>
      <c r="H50" s="27"/>
      <c r="J50" s="27"/>
    </row>
    <row r="51">
      <c r="A51" s="22" t="s">
        <v>438</v>
      </c>
      <c r="B51" s="21" t="str">
        <f t="shared" si="4"/>
        <v>#DIV/0!</v>
      </c>
      <c r="C51" s="21" t="str">
        <f>VLOOKUP(A51, hash!A$2:B$500, 2, 0)</f>
        <v>6322202f81b57daeeb478dd1</v>
      </c>
      <c r="D51" s="23" t="str">
        <f t="shared" si="1"/>
        <v>#DIV/0!</v>
      </c>
      <c r="F51" s="27"/>
      <c r="H51" s="27"/>
      <c r="J51" s="27"/>
    </row>
    <row r="52">
      <c r="A52" s="22" t="s">
        <v>439</v>
      </c>
      <c r="B52" s="21" t="str">
        <f t="shared" si="4"/>
        <v>#DIV/0!</v>
      </c>
      <c r="C52" s="21" t="str">
        <f>VLOOKUP(A52, hash!A$2:B$500, 2, 0)</f>
        <v>632220300aa8ba2dbc57c0a7</v>
      </c>
      <c r="D52" s="23" t="str">
        <f t="shared" si="1"/>
        <v>#DIV/0!</v>
      </c>
      <c r="F52" s="45"/>
      <c r="H52" s="45"/>
      <c r="J52" s="45"/>
    </row>
    <row r="53">
      <c r="A53" s="22" t="s">
        <v>433</v>
      </c>
      <c r="B53" s="21" t="str">
        <f t="shared" si="4"/>
        <v>#DIV/0!</v>
      </c>
      <c r="C53" s="21" t="str">
        <f>VLOOKUP(A53, hash!A$2:B$500, 2, 0)</f>
        <v>6322203581b57daeeb478dd2</v>
      </c>
      <c r="D53" s="23" t="str">
        <f t="shared" si="1"/>
        <v>#DIV/0!</v>
      </c>
      <c r="F53" s="45"/>
      <c r="H53" s="45"/>
      <c r="J53" s="45"/>
    </row>
    <row r="54">
      <c r="A54" s="22" t="s">
        <v>440</v>
      </c>
      <c r="B54" s="21" t="str">
        <f t="shared" si="4"/>
        <v>#DIV/0!</v>
      </c>
      <c r="C54" s="21" t="str">
        <f>VLOOKUP(A54, hash!A$2:B$500, 2, 0)</f>
        <v>632220580aa8ba2dbc57c0a9</v>
      </c>
      <c r="D54" s="23" t="str">
        <f t="shared" si="1"/>
        <v>#DIV/0!</v>
      </c>
      <c r="F54" s="45"/>
      <c r="H54" s="45"/>
      <c r="J54" s="45"/>
    </row>
    <row r="55">
      <c r="A55" s="22" t="s">
        <v>574</v>
      </c>
      <c r="B55" s="21" t="str">
        <f t="shared" si="4"/>
        <v>#DIV/0!</v>
      </c>
      <c r="C55" s="21" t="str">
        <f>VLOOKUP(A55, hash!A$2:B$500, 2, 0)</f>
        <v>#N/A</v>
      </c>
      <c r="D55" s="23" t="str">
        <f t="shared" si="1"/>
        <v>#DIV/0!</v>
      </c>
      <c r="F55" s="45"/>
      <c r="H55" s="45"/>
      <c r="J55" s="45"/>
    </row>
    <row r="56">
      <c r="A56" s="22" t="s">
        <v>575</v>
      </c>
      <c r="B56" s="21" t="str">
        <f t="shared" si="4"/>
        <v>#DIV/0!</v>
      </c>
      <c r="C56" s="21" t="str">
        <f>VLOOKUP(A56, hash!A$2:B$500, 2, 0)</f>
        <v>#N/A</v>
      </c>
      <c r="D56" s="23" t="str">
        <f t="shared" si="1"/>
        <v>#DIV/0!</v>
      </c>
      <c r="F56" s="27"/>
      <c r="H56" s="45"/>
      <c r="J56" s="45"/>
    </row>
    <row r="57">
      <c r="A57" s="22" t="s">
        <v>576</v>
      </c>
      <c r="B57" s="21" t="str">
        <f t="shared" si="4"/>
        <v>#DIV/0!</v>
      </c>
      <c r="C57" s="21" t="str">
        <f>VLOOKUP(A57, hash!A$2:B$500, 2, 0)</f>
        <v>#N/A</v>
      </c>
      <c r="D57" s="23" t="str">
        <f t="shared" si="1"/>
        <v>#DIV/0!</v>
      </c>
      <c r="F57" s="45"/>
      <c r="H57" s="45"/>
      <c r="J57" s="45"/>
    </row>
    <row r="58">
      <c r="A58" s="22" t="s">
        <v>577</v>
      </c>
      <c r="B58" s="21" t="str">
        <f t="shared" si="4"/>
        <v>#DIV/0!</v>
      </c>
      <c r="C58" s="21" t="str">
        <f>VLOOKUP(A58, hash!A$2:B$500, 2, 0)</f>
        <v>#N/A</v>
      </c>
      <c r="D58" s="23" t="str">
        <f t="shared" si="1"/>
        <v>#DIV/0!</v>
      </c>
      <c r="F58" s="45"/>
      <c r="H58" s="45"/>
      <c r="J58" s="45"/>
    </row>
    <row r="59">
      <c r="A59" s="22" t="s">
        <v>443</v>
      </c>
      <c r="B59" s="21" t="str">
        <f t="shared" si="4"/>
        <v>#DIV/0!</v>
      </c>
      <c r="C59" s="21" t="str">
        <f>VLOOKUP(A59, hash!A$2:B$500, 2, 0)</f>
        <v>6322211bf382c17890e6a3dd</v>
      </c>
      <c r="D59" s="23" t="str">
        <f t="shared" si="1"/>
        <v>#DIV/0!</v>
      </c>
      <c r="F59" s="45"/>
      <c r="H59" s="45"/>
      <c r="J59" s="45"/>
    </row>
    <row r="60">
      <c r="A60" s="22" t="s">
        <v>444</v>
      </c>
      <c r="B60" s="21" t="str">
        <f t="shared" si="4"/>
        <v>#DIV/0!</v>
      </c>
      <c r="C60" s="21" t="str">
        <f>VLOOKUP(A60, hash!A$2:B$500, 2, 0)</f>
        <v>63222123f382c17890e6a3de</v>
      </c>
      <c r="D60" s="23" t="str">
        <f t="shared" si="1"/>
        <v>#DIV/0!</v>
      </c>
      <c r="F60" s="45"/>
      <c r="H60" s="45"/>
      <c r="J60" s="45"/>
    </row>
    <row r="61">
      <c r="A61" s="22" t="s">
        <v>445</v>
      </c>
      <c r="B61" s="21" t="str">
        <f t="shared" si="4"/>
        <v>#DIV/0!</v>
      </c>
      <c r="C61" s="21" t="str">
        <f>VLOOKUP(A61, hash!A$2:B$500, 2, 0)</f>
        <v>632222c3f382c17890e6a3e0</v>
      </c>
      <c r="D61" s="23" t="str">
        <f t="shared" si="1"/>
        <v>#DIV/0!</v>
      </c>
      <c r="F61" s="45"/>
      <c r="H61" s="45"/>
      <c r="J61" s="45"/>
    </row>
    <row r="62">
      <c r="A62" s="22" t="s">
        <v>446</v>
      </c>
      <c r="B62" s="21" t="str">
        <f t="shared" si="4"/>
        <v>#DIV/0!</v>
      </c>
      <c r="C62" s="21" t="str">
        <f>VLOOKUP(A62, hash!A$2:B$500, 2, 0)</f>
        <v>63222372f382c17890e6a3e2</v>
      </c>
      <c r="D62" s="23" t="str">
        <f t="shared" si="1"/>
        <v>#DIV/0!</v>
      </c>
      <c r="F62" s="45"/>
      <c r="H62" s="45"/>
      <c r="J62" s="45"/>
    </row>
    <row r="63">
      <c r="A63" s="22" t="s">
        <v>447</v>
      </c>
      <c r="B63" s="21" t="str">
        <f t="shared" si="4"/>
        <v>#DIV/0!</v>
      </c>
      <c r="C63" s="21" t="str">
        <f>VLOOKUP(A63, hash!A$2:B$500, 2, 0)</f>
        <v>632223746d021b5cf508ccde</v>
      </c>
      <c r="D63" s="23" t="str">
        <f t="shared" si="1"/>
        <v>#DIV/0!</v>
      </c>
      <c r="F63" s="45"/>
      <c r="H63" s="45"/>
      <c r="J63" s="45"/>
    </row>
    <row r="64">
      <c r="A64" s="22" t="s">
        <v>448</v>
      </c>
      <c r="B64" s="21" t="str">
        <f t="shared" si="4"/>
        <v>#DIV/0!</v>
      </c>
      <c r="C64" s="21" t="str">
        <f>VLOOKUP(A64, hash!A$2:B$500, 2, 0)</f>
        <v>6322239b6d021b5cf508cce5</v>
      </c>
      <c r="D64" s="23" t="str">
        <f t="shared" si="1"/>
        <v>#DIV/0!</v>
      </c>
      <c r="F64" s="45"/>
      <c r="H64" s="45"/>
      <c r="J64" s="45"/>
    </row>
    <row r="65">
      <c r="A65" s="22" t="s">
        <v>449</v>
      </c>
      <c r="B65" s="21" t="str">
        <f t="shared" si="4"/>
        <v>#DIV/0!</v>
      </c>
      <c r="C65" s="21" t="str">
        <f>VLOOKUP(A65, hash!A$2:B$500, 2, 0)</f>
        <v>632223a1d53b2d7ef1d3746d</v>
      </c>
      <c r="D65" s="23" t="str">
        <f t="shared" si="1"/>
        <v>#DIV/0!</v>
      </c>
      <c r="F65" s="45"/>
      <c r="H65" s="45"/>
      <c r="J65" s="45"/>
    </row>
    <row r="66">
      <c r="A66" s="22" t="s">
        <v>450</v>
      </c>
      <c r="B66" s="21" t="str">
        <f t="shared" si="4"/>
        <v>#DIV/0!</v>
      </c>
      <c r="C66" s="21" t="str">
        <f>VLOOKUP(A66, hash!A$2:B$500, 2, 0)</f>
        <v>632223bdd53b2d7ef1d3746e</v>
      </c>
      <c r="D66" s="23" t="str">
        <f t="shared" si="1"/>
        <v>#DIV/0!</v>
      </c>
      <c r="F66" s="45"/>
      <c r="H66" s="45"/>
      <c r="J66" s="45"/>
    </row>
    <row r="67">
      <c r="A67" s="22" t="s">
        <v>451</v>
      </c>
      <c r="B67" s="21" t="str">
        <f t="shared" si="4"/>
        <v>#DIV/0!</v>
      </c>
      <c r="C67" s="21" t="str">
        <f>VLOOKUP(A67, hash!A$2:B$500, 2, 0)</f>
        <v>632223e585532e9bb23b7f01</v>
      </c>
      <c r="D67" s="23" t="str">
        <f t="shared" si="1"/>
        <v>#DIV/0!</v>
      </c>
      <c r="F67" s="45"/>
      <c r="H67" s="45"/>
      <c r="J67" s="45"/>
    </row>
    <row r="68">
      <c r="A68" s="22" t="s">
        <v>452</v>
      </c>
      <c r="B68" s="21" t="str">
        <f t="shared" si="4"/>
        <v>#DIV/0!</v>
      </c>
      <c r="C68" s="21" t="str">
        <f>VLOOKUP(A68, hash!A$2:B$500, 2, 0)</f>
        <v>632226f3d53b2d7ef1d37472</v>
      </c>
      <c r="D68" s="23" t="str">
        <f t="shared" si="1"/>
        <v>#DIV/0!</v>
      </c>
      <c r="F68" s="45"/>
      <c r="H68" s="45"/>
      <c r="J68" s="45"/>
    </row>
    <row r="69">
      <c r="A69" s="22" t="s">
        <v>453</v>
      </c>
      <c r="B69" s="21" t="str">
        <f t="shared" si="4"/>
        <v>#DIV/0!</v>
      </c>
      <c r="C69" s="21" t="str">
        <f>VLOOKUP(A69, hash!A$2:B$500, 2, 0)</f>
        <v>63222960d53b2d7ef1d37476</v>
      </c>
      <c r="D69" s="23" t="str">
        <f t="shared" si="1"/>
        <v>#DIV/0!</v>
      </c>
      <c r="F69" s="45"/>
      <c r="H69" s="45"/>
      <c r="J69" s="45"/>
    </row>
    <row r="70">
      <c r="A70" s="22" t="s">
        <v>578</v>
      </c>
      <c r="B70" s="21" t="str">
        <f t="shared" si="4"/>
        <v>#DIV/0!</v>
      </c>
      <c r="C70" s="21" t="str">
        <f>VLOOKUP(A70, hash!A$2:B$500, 2, 0)</f>
        <v>#N/A</v>
      </c>
      <c r="D70" s="23" t="str">
        <f t="shared" si="1"/>
        <v>#DIV/0!</v>
      </c>
      <c r="F70" s="27"/>
      <c r="H70" s="27"/>
      <c r="J70" s="27"/>
    </row>
    <row r="71">
      <c r="A71" s="22" t="s">
        <v>454</v>
      </c>
      <c r="B71" s="21" t="str">
        <f t="shared" si="4"/>
        <v>#DIV/0!</v>
      </c>
      <c r="C71" s="21" t="str">
        <f>VLOOKUP(A71, hash!A$2:B$500, 2, 0)</f>
        <v>632229c19832ea0dea0e2dcf</v>
      </c>
      <c r="D71" s="23" t="str">
        <f t="shared" si="1"/>
        <v>#DIV/0!</v>
      </c>
      <c r="F71" s="45"/>
      <c r="H71" s="45"/>
      <c r="J71" s="45"/>
    </row>
    <row r="72">
      <c r="A72" s="22" t="s">
        <v>455</v>
      </c>
      <c r="B72" s="21" t="str">
        <f t="shared" si="4"/>
        <v>#DIV/0!</v>
      </c>
      <c r="C72" s="21" t="str">
        <f>VLOOKUP(A72, hash!A$2:B$500, 2, 0)</f>
        <v>63222a025bded5e4ff37ac1e</v>
      </c>
      <c r="D72" s="23" t="str">
        <f t="shared" si="1"/>
        <v>#DIV/0!</v>
      </c>
      <c r="F72" s="45"/>
      <c r="H72" s="45"/>
      <c r="J72" s="45"/>
    </row>
    <row r="73">
      <c r="A73" s="22" t="s">
        <v>579</v>
      </c>
      <c r="B73" s="21" t="str">
        <f t="shared" si="4"/>
        <v>#DIV/0!</v>
      </c>
      <c r="C73" s="21" t="str">
        <f>VLOOKUP(A73, hash!A$2:B$500, 2, 0)</f>
        <v>#N/A</v>
      </c>
      <c r="D73" s="23" t="str">
        <f t="shared" si="1"/>
        <v>#DIV/0!</v>
      </c>
      <c r="F73" s="45"/>
      <c r="H73" s="45"/>
      <c r="J73" s="45"/>
    </row>
    <row r="74">
      <c r="A74" s="22" t="s">
        <v>580</v>
      </c>
      <c r="B74" s="21" t="str">
        <f t="shared" si="4"/>
        <v>#DIV/0!</v>
      </c>
      <c r="C74" s="21" t="str">
        <f>VLOOKUP(A74, hash!A$2:B$500, 2, 0)</f>
        <v>#N/A</v>
      </c>
      <c r="D74" s="23" t="str">
        <f t="shared" si="1"/>
        <v>#DIV/0!</v>
      </c>
      <c r="F74" s="45"/>
      <c r="H74" s="45"/>
      <c r="J74" s="45"/>
    </row>
    <row r="75">
      <c r="A75" s="22" t="s">
        <v>581</v>
      </c>
      <c r="B75" s="21" t="str">
        <f t="shared" si="4"/>
        <v>#DIV/0!</v>
      </c>
      <c r="C75" s="21" t="str">
        <f>VLOOKUP(A75, hash!A$2:B$500, 2, 0)</f>
        <v>#N/A</v>
      </c>
      <c r="D75" s="23" t="str">
        <f t="shared" si="1"/>
        <v>#DIV/0!</v>
      </c>
      <c r="F75" s="27"/>
      <c r="H75" s="27"/>
      <c r="J75" s="27"/>
    </row>
    <row r="76">
      <c r="A76" s="22" t="s">
        <v>456</v>
      </c>
      <c r="B76" s="21" t="str">
        <f t="shared" si="4"/>
        <v>#DIV/0!</v>
      </c>
      <c r="C76" s="21" t="str">
        <f>VLOOKUP(A76, hash!A$2:B$500, 2, 0)</f>
        <v>63222a9ced58d92b843f7cb0</v>
      </c>
      <c r="D76" s="23" t="str">
        <f t="shared" si="1"/>
        <v>#DIV/0!</v>
      </c>
      <c r="F76" s="45"/>
      <c r="H76" s="45"/>
      <c r="J76" s="45"/>
    </row>
    <row r="77">
      <c r="A77" s="22" t="s">
        <v>457</v>
      </c>
      <c r="B77" s="21" t="str">
        <f t="shared" si="4"/>
        <v>#DIV/0!</v>
      </c>
      <c r="C77" s="21" t="str">
        <f>VLOOKUP(A77, hash!A$2:B$500, 2, 0)</f>
        <v>63222ae4562da848b695b87f</v>
      </c>
      <c r="D77" s="23" t="str">
        <f t="shared" si="1"/>
        <v>#DIV/0!</v>
      </c>
      <c r="F77" s="45"/>
      <c r="H77" s="45"/>
      <c r="J77" s="45"/>
    </row>
    <row r="78">
      <c r="A78" s="22" t="s">
        <v>582</v>
      </c>
      <c r="B78" s="21" t="str">
        <f t="shared" si="4"/>
        <v>#DIV/0!</v>
      </c>
      <c r="C78" s="21" t="str">
        <f>VLOOKUP(A78, hash!A$2:B$500, 2, 0)</f>
        <v>#N/A</v>
      </c>
      <c r="D78" s="23" t="str">
        <f t="shared" si="1"/>
        <v>#DIV/0!</v>
      </c>
      <c r="F78" s="27"/>
      <c r="H78" s="27"/>
      <c r="J78" s="27"/>
    </row>
    <row r="79">
      <c r="A79" s="22" t="s">
        <v>583</v>
      </c>
      <c r="B79" s="21" t="str">
        <f t="shared" si="4"/>
        <v>#DIV/0!</v>
      </c>
      <c r="C79" s="21" t="str">
        <f>VLOOKUP(A79, hash!A$2:B$500, 2, 0)</f>
        <v>#N/A</v>
      </c>
      <c r="D79" s="23" t="str">
        <f t="shared" si="1"/>
        <v>#DIV/0!</v>
      </c>
      <c r="F79" s="45"/>
      <c r="H79" s="45"/>
      <c r="J79" s="45"/>
    </row>
    <row r="80">
      <c r="A80" s="22" t="s">
        <v>584</v>
      </c>
      <c r="B80" s="21" t="str">
        <f t="shared" si="4"/>
        <v>#DIV/0!</v>
      </c>
      <c r="C80" s="21" t="str">
        <f>VLOOKUP(A80, hash!A$2:B$500, 2, 0)</f>
        <v>#N/A</v>
      </c>
      <c r="D80" s="23" t="str">
        <f t="shared" si="1"/>
        <v>#DIV/0!</v>
      </c>
      <c r="F80" s="45"/>
      <c r="H80" s="45"/>
      <c r="J80" s="45"/>
    </row>
    <row r="81">
      <c r="A81" s="22" t="s">
        <v>34</v>
      </c>
      <c r="B81" s="21" t="str">
        <f t="shared" si="4"/>
        <v>#DIV/0!</v>
      </c>
      <c r="C81" s="21" t="str">
        <f>VLOOKUP(A81, hash!A$2:B$500, 2, 0)</f>
        <v>63222c2fed58d92b843f7cbf</v>
      </c>
      <c r="D81" s="23" t="str">
        <f t="shared" si="1"/>
        <v>#DIV/0!</v>
      </c>
      <c r="F81" s="27"/>
      <c r="H81" s="27"/>
      <c r="J81" s="27"/>
    </row>
    <row r="82">
      <c r="A82" s="22" t="s">
        <v>458</v>
      </c>
      <c r="B82" s="21" t="str">
        <f t="shared" si="4"/>
        <v>#DIV/0!</v>
      </c>
      <c r="C82" s="21" t="str">
        <f>VLOOKUP(A82, hash!A$2:B$500, 2, 0)</f>
        <v>63222d94ed58d92b843f7cc0</v>
      </c>
      <c r="D82" s="23" t="str">
        <f t="shared" si="1"/>
        <v>#DIV/0!</v>
      </c>
      <c r="F82" s="45"/>
      <c r="H82" s="45"/>
      <c r="J82" s="45"/>
    </row>
    <row r="83">
      <c r="A83" s="22" t="s">
        <v>459</v>
      </c>
      <c r="B83" s="21" t="str">
        <f t="shared" si="4"/>
        <v>#DIV/0!</v>
      </c>
      <c r="C83" s="21" t="str">
        <f>VLOOKUP(A83, hash!A$2:B$500, 2, 0)</f>
        <v>63222da4562da848b695b882</v>
      </c>
      <c r="D83" s="23" t="str">
        <f t="shared" si="1"/>
        <v>#DIV/0!</v>
      </c>
      <c r="F83" s="45"/>
      <c r="H83" s="45"/>
      <c r="J83" s="45"/>
    </row>
    <row r="84">
      <c r="A84" s="22" t="s">
        <v>585</v>
      </c>
      <c r="B84" s="21" t="str">
        <f t="shared" si="4"/>
        <v>#DIV/0!</v>
      </c>
      <c r="C84" s="21" t="str">
        <f>VLOOKUP(A84, hash!A$2:B$500, 2, 0)</f>
        <v>#N/A</v>
      </c>
      <c r="D84" s="23" t="str">
        <f t="shared" si="1"/>
        <v>#DIV/0!</v>
      </c>
      <c r="F84" s="45"/>
      <c r="H84" s="45"/>
      <c r="J84" s="45"/>
    </row>
    <row r="85">
      <c r="A85" s="22" t="s">
        <v>460</v>
      </c>
      <c r="B85" s="21" t="str">
        <f t="shared" si="4"/>
        <v>#DIV/0!</v>
      </c>
      <c r="C85" s="21" t="str">
        <f>VLOOKUP(A85, hash!A$2:B$500, 2, 0)</f>
        <v>63222dc6a729a8363c093b6b</v>
      </c>
      <c r="D85" s="23" t="str">
        <f t="shared" si="1"/>
        <v>#DIV/0!</v>
      </c>
      <c r="F85" s="45"/>
      <c r="H85" s="45"/>
      <c r="J85" s="45"/>
    </row>
    <row r="86">
      <c r="A86" s="22" t="s">
        <v>436</v>
      </c>
      <c r="B86" s="21" t="str">
        <f t="shared" si="4"/>
        <v>#DIV/0!</v>
      </c>
      <c r="C86" s="21" t="str">
        <f>VLOOKUP(A86, hash!A$2:B$500, 2, 0)</f>
        <v>63222dd4a729a8363c093b6d</v>
      </c>
      <c r="D86" s="23" t="str">
        <f t="shared" si="1"/>
        <v>#DIV/0!</v>
      </c>
      <c r="F86" s="45"/>
      <c r="H86" s="27"/>
      <c r="J86" s="27"/>
    </row>
    <row r="87">
      <c r="A87" s="22" t="s">
        <v>461</v>
      </c>
      <c r="B87" s="21" t="str">
        <f t="shared" si="4"/>
        <v>#DIV/0!</v>
      </c>
      <c r="C87" s="21" t="str">
        <f>VLOOKUP(A87, hash!A$2:B$500, 2, 0)</f>
        <v>63222dd7a729a8363c093b6e</v>
      </c>
      <c r="D87" s="23" t="str">
        <f t="shared" si="1"/>
        <v>#DIV/0!</v>
      </c>
      <c r="F87" s="45"/>
      <c r="H87" s="45"/>
      <c r="J87" s="45"/>
    </row>
    <row r="88">
      <c r="A88" s="22" t="s">
        <v>462</v>
      </c>
      <c r="B88" s="21" t="str">
        <f t="shared" si="4"/>
        <v>#DIV/0!</v>
      </c>
      <c r="C88" s="21" t="str">
        <f>VLOOKUP(A88, hash!A$2:B$500, 2, 0)</f>
        <v>63222deca729a8363c093b71</v>
      </c>
      <c r="D88" s="23" t="str">
        <f t="shared" si="1"/>
        <v>#DIV/0!</v>
      </c>
      <c r="F88" s="45"/>
      <c r="H88" s="45"/>
      <c r="J88" s="45"/>
    </row>
    <row r="89">
      <c r="A89" s="22" t="s">
        <v>463</v>
      </c>
      <c r="B89" s="21" t="str">
        <f t="shared" si="4"/>
        <v>#DIV/0!</v>
      </c>
      <c r="C89" s="21" t="str">
        <f>VLOOKUP(A89, hash!A$2:B$500, 2, 0)</f>
        <v>63222e10ed58d92b843f7cca</v>
      </c>
      <c r="D89" s="23" t="str">
        <f t="shared" si="1"/>
        <v>#DIV/0!</v>
      </c>
      <c r="F89" s="45"/>
      <c r="H89" s="45"/>
      <c r="J89" s="45"/>
    </row>
    <row r="90">
      <c r="A90" s="22" t="s">
        <v>464</v>
      </c>
      <c r="B90" s="21" t="str">
        <f t="shared" si="4"/>
        <v>#DIV/0!</v>
      </c>
      <c r="C90" s="21" t="str">
        <f>VLOOKUP(A90, hash!A$2:B$500, 2, 0)</f>
        <v>63222e35ed58d92b843f7ccd</v>
      </c>
      <c r="D90" s="23" t="str">
        <f t="shared" si="1"/>
        <v>#DIV/0!</v>
      </c>
      <c r="F90" s="45"/>
      <c r="H90" s="45"/>
      <c r="J90" s="45"/>
    </row>
    <row r="91">
      <c r="A91" s="22" t="s">
        <v>465</v>
      </c>
      <c r="B91" s="21" t="str">
        <f t="shared" si="4"/>
        <v>#DIV/0!</v>
      </c>
      <c r="C91" s="21" t="str">
        <f>VLOOKUP(A91, hash!A$2:B$500, 2, 0)</f>
        <v>63222e3a116f680d68804fa8</v>
      </c>
      <c r="D91" s="23" t="str">
        <f t="shared" si="1"/>
        <v>#DIV/0!</v>
      </c>
      <c r="F91" s="45"/>
      <c r="H91" s="45"/>
      <c r="J91" s="45"/>
    </row>
    <row r="92">
      <c r="A92" s="22" t="s">
        <v>466</v>
      </c>
      <c r="B92" s="21" t="str">
        <f t="shared" si="4"/>
        <v>#DIV/0!</v>
      </c>
      <c r="C92" s="21" t="str">
        <f>VLOOKUP(A92, hash!A$2:B$500, 2, 0)</f>
        <v>63222fa8562da848b695b887</v>
      </c>
      <c r="D92" s="23" t="str">
        <f t="shared" si="1"/>
        <v>#DIV/0!</v>
      </c>
      <c r="F92" s="45"/>
      <c r="H92" s="45"/>
      <c r="J92" s="45"/>
    </row>
    <row r="93">
      <c r="A93" s="22" t="s">
        <v>586</v>
      </c>
      <c r="B93" s="21" t="str">
        <f t="shared" si="4"/>
        <v>#DIV/0!</v>
      </c>
      <c r="C93" s="21" t="str">
        <f>VLOOKUP(A93, hash!A$2:B$500, 2, 0)</f>
        <v>#N/A</v>
      </c>
      <c r="D93" s="23" t="str">
        <f t="shared" si="1"/>
        <v>#DIV/0!</v>
      </c>
      <c r="F93" s="45"/>
      <c r="H93" s="45"/>
      <c r="J93" s="45"/>
    </row>
    <row r="94">
      <c r="A94" s="22" t="s">
        <v>467</v>
      </c>
      <c r="B94" s="21" t="str">
        <f t="shared" si="4"/>
        <v>#DIV/0!</v>
      </c>
      <c r="C94" s="21" t="str">
        <f>VLOOKUP(A94, hash!A$2:B$500, 2, 0)</f>
        <v>6329051b0c14e4fbd2ecace8</v>
      </c>
      <c r="D94" s="23" t="str">
        <f t="shared" si="1"/>
        <v>#DIV/0!</v>
      </c>
      <c r="F94" s="45"/>
      <c r="H94" s="45"/>
      <c r="J94" s="45"/>
    </row>
    <row r="95">
      <c r="A95" s="22" t="s">
        <v>468</v>
      </c>
      <c r="B95" s="21" t="str">
        <f t="shared" si="4"/>
        <v>#DIV/0!</v>
      </c>
      <c r="C95" s="21" t="str">
        <f>VLOOKUP(A95, hash!A$2:B$500, 2, 0)</f>
        <v>632b580f43e430c49f17d5dc</v>
      </c>
      <c r="D95" s="23" t="str">
        <f t="shared" si="1"/>
        <v>#DIV/0!</v>
      </c>
      <c r="F95" s="45"/>
      <c r="H95" s="45"/>
      <c r="J95" s="45"/>
    </row>
    <row r="96">
      <c r="A96" s="22" t="s">
        <v>469</v>
      </c>
      <c r="B96" s="21" t="str">
        <f t="shared" si="4"/>
        <v>#DIV/0!</v>
      </c>
      <c r="C96" s="21" t="str">
        <f>VLOOKUP(A96, hash!A$2:B$500, 2, 0)</f>
        <v>632b58290801926c6f0d9a37</v>
      </c>
      <c r="D96" s="23" t="str">
        <f t="shared" si="1"/>
        <v>#DIV/0!</v>
      </c>
      <c r="F96" s="45"/>
      <c r="H96" s="45"/>
      <c r="J96" s="45"/>
    </row>
    <row r="97">
      <c r="A97" s="22" t="s">
        <v>470</v>
      </c>
      <c r="B97" s="21" t="str">
        <f t="shared" si="4"/>
        <v>#DIV/0!</v>
      </c>
      <c r="C97" s="21" t="str">
        <f>VLOOKUP(A97, hash!A$2:B$500, 2, 0)</f>
        <v>632b5867c396d0088321be3a</v>
      </c>
      <c r="D97" s="23" t="str">
        <f t="shared" si="1"/>
        <v>#DIV/0!</v>
      </c>
      <c r="F97" s="45"/>
      <c r="H97" s="45"/>
      <c r="J97" s="45"/>
    </row>
    <row r="98">
      <c r="A98" s="22" t="s">
        <v>587</v>
      </c>
      <c r="B98" s="21" t="str">
        <f t="shared" si="4"/>
        <v>#DIV/0!</v>
      </c>
      <c r="C98" s="21" t="str">
        <f>VLOOKUP(A98, hash!A$2:B$500, 2, 0)</f>
        <v>#N/A</v>
      </c>
      <c r="D98" s="23" t="str">
        <f t="shared" si="1"/>
        <v>#DIV/0!</v>
      </c>
      <c r="F98" s="45"/>
      <c r="H98" s="45"/>
      <c r="J98" s="45"/>
    </row>
    <row r="99">
      <c r="A99" s="22" t="s">
        <v>471</v>
      </c>
      <c r="B99" s="21" t="str">
        <f t="shared" si="4"/>
        <v>#DIV/0!</v>
      </c>
      <c r="C99" s="21" t="str">
        <f>VLOOKUP(A99, hash!A$2:B$500, 2, 0)</f>
        <v>632b592764f599396d113b28</v>
      </c>
      <c r="D99" s="23" t="str">
        <f t="shared" si="1"/>
        <v>#DIV/0!</v>
      </c>
      <c r="F99" s="45"/>
      <c r="H99" s="45"/>
      <c r="J99" s="45"/>
    </row>
    <row r="100">
      <c r="A100" s="22" t="s">
        <v>588</v>
      </c>
      <c r="B100" s="21" t="str">
        <f t="shared" si="4"/>
        <v>#DIV/0!</v>
      </c>
      <c r="C100" s="21" t="str">
        <f>VLOOKUP(A100, hash!A$2:B$500, 2, 0)</f>
        <v>#N/A</v>
      </c>
      <c r="D100" s="23" t="str">
        <f t="shared" si="1"/>
        <v>#DIV/0!</v>
      </c>
      <c r="F100" s="45"/>
      <c r="H100" s="45"/>
      <c r="J100" s="45"/>
    </row>
    <row r="101">
      <c r="A101" s="22" t="s">
        <v>589</v>
      </c>
      <c r="B101" s="21" t="str">
        <f t="shared" si="4"/>
        <v>#DIV/0!</v>
      </c>
      <c r="C101" s="21" t="str">
        <f>VLOOKUP(A101, hash!A$2:B$500, 2, 0)</f>
        <v>#N/A</v>
      </c>
      <c r="D101" s="23" t="str">
        <f t="shared" si="1"/>
        <v>#DIV/0!</v>
      </c>
      <c r="F101" s="45"/>
      <c r="H101" s="45"/>
      <c r="J101" s="45"/>
    </row>
    <row r="102">
      <c r="A102" s="22" t="s">
        <v>590</v>
      </c>
      <c r="B102" s="21" t="str">
        <f t="shared" si="4"/>
        <v>#DIV/0!</v>
      </c>
      <c r="C102" s="21" t="str">
        <f>VLOOKUP(A102, hash!A$2:B$500, 2, 0)</f>
        <v>#N/A</v>
      </c>
      <c r="D102" s="23" t="str">
        <f t="shared" si="1"/>
        <v>#DIV/0!</v>
      </c>
      <c r="F102" s="45"/>
      <c r="H102" s="45"/>
      <c r="J102" s="45"/>
    </row>
    <row r="103">
      <c r="A103" s="22" t="s">
        <v>591</v>
      </c>
      <c r="B103" s="21" t="str">
        <f t="shared" si="4"/>
        <v>#DIV/0!</v>
      </c>
      <c r="C103" s="21" t="str">
        <f>VLOOKUP(A103, hash!A$2:B$500, 2, 0)</f>
        <v>#N/A</v>
      </c>
      <c r="D103" s="23" t="str">
        <f t="shared" si="1"/>
        <v>#DIV/0!</v>
      </c>
      <c r="F103" s="45"/>
      <c r="H103" s="45"/>
      <c r="J103" s="45"/>
    </row>
    <row r="104">
      <c r="A104" s="22" t="s">
        <v>592</v>
      </c>
      <c r="B104" s="21" t="str">
        <f t="shared" si="4"/>
        <v>#DIV/0!</v>
      </c>
      <c r="C104" s="21" t="str">
        <f>VLOOKUP(A104, hash!A$2:B$500, 2, 0)</f>
        <v>#N/A</v>
      </c>
      <c r="D104" s="23" t="str">
        <f t="shared" si="1"/>
        <v>#DIV/0!</v>
      </c>
      <c r="F104" s="45"/>
      <c r="H104" s="45"/>
      <c r="J104" s="45"/>
    </row>
    <row r="105">
      <c r="A105" s="22" t="s">
        <v>472</v>
      </c>
      <c r="B105" s="21" t="str">
        <f t="shared" si="4"/>
        <v>#DIV/0!</v>
      </c>
      <c r="C105" s="21" t="str">
        <f>VLOOKUP(A105, hash!A$2:B$500, 2, 0)</f>
        <v>632b659ebfb5f9d04c8cca40</v>
      </c>
      <c r="D105" s="23" t="str">
        <f t="shared" si="1"/>
        <v>#DIV/0!</v>
      </c>
      <c r="F105" s="45"/>
      <c r="H105" s="45"/>
      <c r="J105" s="45"/>
    </row>
    <row r="106">
      <c r="A106" s="22" t="s">
        <v>473</v>
      </c>
      <c r="B106" s="21" t="str">
        <f t="shared" si="4"/>
        <v>#DIV/0!</v>
      </c>
      <c r="C106" s="21" t="str">
        <f>VLOOKUP(A106, hash!A$2:B$500, 2, 0)</f>
        <v>63332820dde72043c98a24b0</v>
      </c>
      <c r="D106" s="23" t="str">
        <f t="shared" si="1"/>
        <v>#DIV/0!</v>
      </c>
      <c r="F106" s="45"/>
      <c r="H106" s="45"/>
      <c r="J106" s="45"/>
    </row>
    <row r="107">
      <c r="A107" s="22" t="s">
        <v>474</v>
      </c>
      <c r="B107" s="21" t="str">
        <f t="shared" si="4"/>
        <v>#DIV/0!</v>
      </c>
      <c r="C107" s="21" t="str">
        <f>VLOOKUP(A107, hash!A$2:B$500, 2, 0)</f>
        <v>6334930daf5a29e196628f54</v>
      </c>
      <c r="D107" s="23" t="str">
        <f t="shared" si="1"/>
        <v>#DIV/0!</v>
      </c>
      <c r="F107" s="45"/>
      <c r="H107" s="45"/>
      <c r="J107" s="45"/>
    </row>
    <row r="108">
      <c r="A108" s="22" t="s">
        <v>593</v>
      </c>
      <c r="B108" s="21" t="str">
        <f t="shared" si="4"/>
        <v>#DIV/0!</v>
      </c>
      <c r="C108" s="21" t="str">
        <f>VLOOKUP(A108, hash!A$2:B$500, 2, 0)</f>
        <v>#N/A</v>
      </c>
      <c r="D108" s="23" t="str">
        <f t="shared" si="1"/>
        <v>#DIV/0!</v>
      </c>
      <c r="F108" s="45"/>
      <c r="H108" s="45"/>
      <c r="J108" s="45"/>
    </row>
    <row r="109">
      <c r="A109" s="22" t="s">
        <v>510</v>
      </c>
      <c r="B109" s="21" t="str">
        <f t="shared" si="4"/>
        <v>#DIV/0!</v>
      </c>
      <c r="C109" s="21" t="str">
        <f>VLOOKUP(A109, hash!A$2:B$500, 2, 0)</f>
        <v>6334931c5db42318c75b941a</v>
      </c>
      <c r="D109" s="23" t="str">
        <f t="shared" si="1"/>
        <v>#DIV/0!</v>
      </c>
      <c r="F109" s="45"/>
      <c r="H109" s="45"/>
      <c r="J109" s="45"/>
    </row>
    <row r="110">
      <c r="A110" s="22" t="s">
        <v>475</v>
      </c>
      <c r="B110" s="21" t="str">
        <f t="shared" si="4"/>
        <v>#DIV/0!</v>
      </c>
      <c r="C110" s="21" t="str">
        <f>VLOOKUP(A110, hash!A$2:B$500, 2, 0)</f>
        <v>6334934ee801712b31d25536</v>
      </c>
      <c r="D110" s="23" t="str">
        <f t="shared" si="1"/>
        <v>#DIV/0!</v>
      </c>
      <c r="F110" s="45"/>
      <c r="H110" s="45"/>
      <c r="J110" s="45"/>
    </row>
    <row r="111">
      <c r="A111" s="22" t="s">
        <v>476</v>
      </c>
      <c r="B111" s="21" t="str">
        <f t="shared" si="4"/>
        <v>#DIV/0!</v>
      </c>
      <c r="C111" s="21" t="str">
        <f>VLOOKUP(A111, hash!A$2:B$500, 2, 0)</f>
        <v>63349f8e3a8dbca7ef791374</v>
      </c>
      <c r="D111" s="23" t="str">
        <f t="shared" si="1"/>
        <v>#DIV/0!</v>
      </c>
      <c r="F111" s="45"/>
      <c r="H111" s="45"/>
      <c r="J111" s="45"/>
    </row>
    <row r="112">
      <c r="A112" s="22" t="s">
        <v>594</v>
      </c>
      <c r="B112" s="21" t="str">
        <f t="shared" si="4"/>
        <v>#DIV/0!</v>
      </c>
      <c r="C112" s="21" t="str">
        <f>VLOOKUP(A112, hash!A$2:B$500, 2, 0)</f>
        <v>#N/A</v>
      </c>
      <c r="D112" s="23" t="str">
        <f t="shared" si="1"/>
        <v>#DIV/0!</v>
      </c>
      <c r="F112" s="27"/>
      <c r="H112" s="45"/>
      <c r="J112" s="45"/>
    </row>
    <row r="113">
      <c r="A113" s="22" t="s">
        <v>477</v>
      </c>
      <c r="B113" s="21" t="str">
        <f t="shared" si="4"/>
        <v>#DIV/0!</v>
      </c>
      <c r="C113" s="21" t="str">
        <f>VLOOKUP(A113, hash!A$2:B$500, 2, 0)</f>
        <v>63349f9a3a8dbca7ef791375</v>
      </c>
      <c r="D113" s="23" t="str">
        <f t="shared" si="1"/>
        <v>#DIV/0!</v>
      </c>
      <c r="F113" s="45"/>
      <c r="H113" s="45"/>
      <c r="J113" s="45"/>
    </row>
    <row r="114">
      <c r="A114" s="22" t="s">
        <v>478</v>
      </c>
      <c r="B114" s="21" t="str">
        <f t="shared" si="4"/>
        <v>#DIV/0!</v>
      </c>
      <c r="C114" s="21" t="str">
        <f>VLOOKUP(A114, hash!A$2:B$500, 2, 0)</f>
        <v>633b2944907d3b0ce904b02f</v>
      </c>
      <c r="D114" s="23" t="str">
        <f t="shared" si="1"/>
        <v>#DIV/0!</v>
      </c>
      <c r="F114" s="45"/>
      <c r="H114" s="45"/>
      <c r="J114" s="45"/>
    </row>
    <row r="115">
      <c r="A115" s="22" t="s">
        <v>595</v>
      </c>
      <c r="B115" s="21" t="str">
        <f t="shared" si="4"/>
        <v>#DIV/0!</v>
      </c>
      <c r="C115" s="21" t="str">
        <f>VLOOKUP(A115, hash!A$2:B$500, 2, 0)</f>
        <v>#N/A</v>
      </c>
      <c r="D115" s="23" t="str">
        <f t="shared" si="1"/>
        <v>#DIV/0!</v>
      </c>
      <c r="F115" s="45"/>
      <c r="H115" s="45"/>
      <c r="J115" s="45"/>
    </row>
    <row r="116">
      <c r="A116" s="22" t="s">
        <v>479</v>
      </c>
      <c r="B116" s="21" t="str">
        <f t="shared" si="4"/>
        <v>#DIV/0!</v>
      </c>
      <c r="C116" s="21" t="str">
        <f>VLOOKUP(A116, hash!A$2:B$500, 2, 0)</f>
        <v>633b296e907d3b0ce904b03b</v>
      </c>
      <c r="D116" s="23" t="str">
        <f t="shared" si="1"/>
        <v>#DIV/0!</v>
      </c>
      <c r="F116" s="45"/>
      <c r="H116" s="45"/>
      <c r="J116" s="45"/>
    </row>
    <row r="117">
      <c r="A117" s="22" t="s">
        <v>596</v>
      </c>
      <c r="B117" s="21" t="str">
        <f t="shared" si="4"/>
        <v>#DIV/0!</v>
      </c>
      <c r="C117" s="21" t="str">
        <f>VLOOKUP(A117, hash!A$2:B$500, 2, 0)</f>
        <v>#N/A</v>
      </c>
      <c r="D117" s="23" t="str">
        <f t="shared" si="1"/>
        <v>#DIV/0!</v>
      </c>
      <c r="F117" s="45"/>
      <c r="H117" s="45"/>
      <c r="J117" s="27"/>
    </row>
    <row r="118">
      <c r="A118" s="22" t="s">
        <v>480</v>
      </c>
      <c r="B118" s="21" t="str">
        <f t="shared" si="4"/>
        <v>#DIV/0!</v>
      </c>
      <c r="C118" s="21" t="str">
        <f>VLOOKUP(A118, hash!A$2:B$500, 2, 0)</f>
        <v>633b33dde2076b371abb58dd</v>
      </c>
      <c r="D118" s="23" t="str">
        <f t="shared" si="1"/>
        <v>#DIV/0!</v>
      </c>
      <c r="F118" s="45"/>
      <c r="H118" s="45"/>
      <c r="J118" s="45"/>
    </row>
    <row r="119">
      <c r="A119" s="22" t="s">
        <v>481</v>
      </c>
      <c r="B119" s="21" t="str">
        <f t="shared" si="4"/>
        <v>#DIV/0!</v>
      </c>
      <c r="C119" s="21" t="str">
        <f>VLOOKUP(A119, hash!A$2:B$500, 2, 0)</f>
        <v>633b36b4e2076b371abb58ed</v>
      </c>
      <c r="D119" s="23" t="str">
        <f t="shared" si="1"/>
        <v>#DIV/0!</v>
      </c>
      <c r="F119" s="45"/>
      <c r="H119" s="45"/>
      <c r="J119" s="45"/>
    </row>
    <row r="120">
      <c r="A120" s="22" t="s">
        <v>597</v>
      </c>
      <c r="B120" s="21" t="str">
        <f t="shared" si="4"/>
        <v>#DIV/0!</v>
      </c>
      <c r="C120" s="21" t="str">
        <f>VLOOKUP(A120, hash!A$2:B$500, 2, 0)</f>
        <v>#N/A</v>
      </c>
      <c r="D120" s="23" t="str">
        <f t="shared" si="1"/>
        <v>#DIV/0!</v>
      </c>
      <c r="F120" s="45"/>
      <c r="H120" s="45"/>
      <c r="J120" s="45"/>
    </row>
    <row r="121">
      <c r="A121" s="22" t="s">
        <v>598</v>
      </c>
      <c r="B121" s="21" t="str">
        <f t="shared" si="4"/>
        <v>#DIV/0!</v>
      </c>
      <c r="C121" s="21" t="str">
        <f>VLOOKUP(A121, hash!A$2:B$500, 2, 0)</f>
        <v>#N/A</v>
      </c>
      <c r="D121" s="23" t="str">
        <f t="shared" si="1"/>
        <v>#DIV/0!</v>
      </c>
      <c r="F121" s="45"/>
      <c r="H121" s="45"/>
      <c r="J121" s="45"/>
    </row>
    <row r="122">
      <c r="A122" s="22" t="s">
        <v>599</v>
      </c>
      <c r="B122" s="21" t="str">
        <f t="shared" si="4"/>
        <v>#DIV/0!</v>
      </c>
      <c r="C122" s="21" t="str">
        <f>VLOOKUP(A122, hash!A$2:B$500, 2, 0)</f>
        <v>#N/A</v>
      </c>
      <c r="D122" s="23" t="str">
        <f t="shared" si="1"/>
        <v>#DIV/0!</v>
      </c>
      <c r="F122" s="45"/>
      <c r="H122" s="45"/>
      <c r="J122" s="45"/>
    </row>
    <row r="123">
      <c r="A123" s="22" t="s">
        <v>600</v>
      </c>
      <c r="B123" s="21" t="str">
        <f t="shared" si="4"/>
        <v>#DIV/0!</v>
      </c>
      <c r="C123" s="21" t="str">
        <f>VLOOKUP(A123, hash!A$2:B$500, 2, 0)</f>
        <v>#N/A</v>
      </c>
      <c r="D123" s="23" t="str">
        <f t="shared" si="1"/>
        <v>#DIV/0!</v>
      </c>
      <c r="F123" s="45"/>
      <c r="H123" s="45"/>
      <c r="J123" s="45"/>
    </row>
    <row r="124">
      <c r="A124" s="22" t="s">
        <v>601</v>
      </c>
      <c r="B124" s="21" t="str">
        <f t="shared" si="4"/>
        <v>#DIV/0!</v>
      </c>
      <c r="C124" s="21" t="str">
        <f>VLOOKUP(A124, hash!A$2:B$500, 2, 0)</f>
        <v>#N/A</v>
      </c>
      <c r="D124" s="23" t="str">
        <f t="shared" si="1"/>
        <v>#DIV/0!</v>
      </c>
      <c r="F124" s="45"/>
      <c r="H124" s="45"/>
      <c r="J124" s="45"/>
    </row>
    <row r="125">
      <c r="A125" s="22" t="s">
        <v>482</v>
      </c>
      <c r="B125" s="21" t="str">
        <f t="shared" si="4"/>
        <v>#DIV/0!</v>
      </c>
      <c r="C125" s="21" t="str">
        <f>VLOOKUP(A125, hash!A$2:B$500, 2, 0)</f>
        <v>634ebd057dcff4d8aaf60ecd</v>
      </c>
      <c r="D125" s="23" t="str">
        <f t="shared" si="1"/>
        <v>#DIV/0!</v>
      </c>
      <c r="F125" s="45"/>
      <c r="H125" s="45"/>
      <c r="J125" s="45"/>
    </row>
    <row r="126">
      <c r="A126" s="22" t="s">
        <v>483</v>
      </c>
      <c r="B126" s="21" t="str">
        <f t="shared" si="4"/>
        <v>#DIV/0!</v>
      </c>
      <c r="C126" s="21" t="str">
        <f>VLOOKUP(A126, hash!A$2:B$500, 2, 0)</f>
        <v>6350260e6b84e6835b7bdb10</v>
      </c>
      <c r="D126" s="23" t="str">
        <f t="shared" si="1"/>
        <v>#DIV/0!</v>
      </c>
      <c r="F126" s="45"/>
      <c r="H126" s="45"/>
      <c r="J126" s="45"/>
    </row>
    <row r="127">
      <c r="A127" s="22" t="s">
        <v>484</v>
      </c>
      <c r="B127" s="21" t="str">
        <f t="shared" si="4"/>
        <v>#DIV/0!</v>
      </c>
      <c r="C127" s="21" t="str">
        <f>VLOOKUP(A127, hash!A$2:B$500, 2, 0)</f>
        <v>635041d40aaa9d7642b16a2a</v>
      </c>
      <c r="D127" s="23" t="str">
        <f t="shared" si="1"/>
        <v>#DIV/0!</v>
      </c>
      <c r="F127" s="45"/>
      <c r="H127" s="45"/>
      <c r="J127" s="45"/>
    </row>
    <row r="128">
      <c r="A128" s="22" t="s">
        <v>485</v>
      </c>
      <c r="B128" s="21" t="str">
        <f t="shared" si="4"/>
        <v>#DIV/0!</v>
      </c>
      <c r="C128" s="21" t="str">
        <f>VLOOKUP(A128, hash!A$2:B$500, 2, 0)</f>
        <v>63504cfc4e941e57f7932609</v>
      </c>
      <c r="D128" s="23" t="str">
        <f t="shared" si="1"/>
        <v>#DIV/0!</v>
      </c>
      <c r="F128" s="45"/>
      <c r="H128" s="45"/>
      <c r="J128" s="45"/>
    </row>
    <row r="129">
      <c r="A129" s="22" t="s">
        <v>486</v>
      </c>
      <c r="B129" s="21" t="str">
        <f t="shared" si="4"/>
        <v>#DIV/0!</v>
      </c>
      <c r="C129" s="21" t="str">
        <f>VLOOKUP(A129, hash!A$2:B$500, 2, 0)</f>
        <v>63504d21680a31686694f409</v>
      </c>
      <c r="D129" s="23" t="str">
        <f t="shared" si="1"/>
        <v>#DIV/0!</v>
      </c>
      <c r="F129" s="45"/>
      <c r="H129" s="45"/>
      <c r="J129" s="45"/>
    </row>
    <row r="130">
      <c r="A130" s="22" t="s">
        <v>487</v>
      </c>
      <c r="B130" s="21" t="str">
        <f t="shared" si="4"/>
        <v>#DIV/0!</v>
      </c>
      <c r="C130" s="21" t="str">
        <f>VLOOKUP(A130, hash!A$2:B$500, 2, 0)</f>
        <v>63504d993b59fc8152ddcd16</v>
      </c>
      <c r="D130" s="23" t="str">
        <f t="shared" si="1"/>
        <v>#DIV/0!</v>
      </c>
      <c r="F130" s="45"/>
      <c r="H130" s="45"/>
      <c r="J130" s="45"/>
    </row>
    <row r="131">
      <c r="A131" s="22" t="s">
        <v>488</v>
      </c>
      <c r="B131" s="21" t="str">
        <f t="shared" si="4"/>
        <v>#DIV/0!</v>
      </c>
      <c r="C131" s="21" t="str">
        <f>VLOOKUP(A131, hash!A$2:B$500, 2, 0)</f>
        <v>63504f2bf3c9b5fc221a8b0b</v>
      </c>
      <c r="D131" s="23" t="str">
        <f t="shared" si="1"/>
        <v>#DIV/0!</v>
      </c>
      <c r="F131" s="45"/>
      <c r="H131" s="45"/>
      <c r="J131" s="45"/>
    </row>
    <row r="132">
      <c r="A132" s="22" t="s">
        <v>489</v>
      </c>
      <c r="B132" s="21" t="str">
        <f t="shared" si="4"/>
        <v>#DIV/0!</v>
      </c>
      <c r="C132" s="21" t="str">
        <f>VLOOKUP(A132, hash!A$2:B$500, 2, 0)</f>
        <v>63505039f3c9b5fc221a8b11</v>
      </c>
      <c r="D132" s="23" t="str">
        <f t="shared" si="1"/>
        <v>#DIV/0!</v>
      </c>
      <c r="F132" s="45"/>
      <c r="H132" s="45"/>
      <c r="J132" s="45"/>
    </row>
    <row r="133">
      <c r="A133" s="22" t="s">
        <v>490</v>
      </c>
      <c r="B133" s="21" t="str">
        <f t="shared" si="4"/>
        <v>#DIV/0!</v>
      </c>
      <c r="C133" s="21" t="str">
        <f>VLOOKUP(A133, hash!A$2:B$500, 2, 0)</f>
        <v>6350508cf3c9b5fc221a8b14</v>
      </c>
      <c r="D133" s="23" t="str">
        <f t="shared" si="1"/>
        <v>#DIV/0!</v>
      </c>
      <c r="F133" s="45"/>
      <c r="H133" s="45"/>
      <c r="J133" s="45"/>
    </row>
    <row r="134">
      <c r="A134" s="22" t="s">
        <v>491</v>
      </c>
      <c r="B134" s="21" t="str">
        <f t="shared" si="4"/>
        <v>#DIV/0!</v>
      </c>
      <c r="C134" s="21" t="str">
        <f>VLOOKUP(A134, hash!A$2:B$500, 2, 0)</f>
        <v>635052bcd5280881c6468696</v>
      </c>
      <c r="D134" s="23" t="str">
        <f t="shared" si="1"/>
        <v>#DIV/0!</v>
      </c>
      <c r="F134" s="45"/>
      <c r="H134" s="45"/>
      <c r="J134" s="45"/>
    </row>
    <row r="135">
      <c r="A135" s="22" t="s">
        <v>492</v>
      </c>
      <c r="B135" s="21" t="str">
        <f t="shared" si="4"/>
        <v>#DIV/0!</v>
      </c>
      <c r="C135" s="21" t="str">
        <f>VLOOKUP(A135, hash!A$2:B$500, 2, 0)</f>
        <v>635053873b59fc8152ddcd3f</v>
      </c>
      <c r="D135" s="23" t="str">
        <f t="shared" si="1"/>
        <v>#DIV/0!</v>
      </c>
      <c r="F135" s="45"/>
      <c r="H135" s="45"/>
      <c r="J135" s="45"/>
    </row>
    <row r="136">
      <c r="A136" s="22" t="s">
        <v>493</v>
      </c>
      <c r="B136" s="21" t="str">
        <f t="shared" si="4"/>
        <v>#DIV/0!</v>
      </c>
      <c r="C136" s="21" t="str">
        <f>VLOOKUP(A136, hash!A$2:B$500, 2, 0)</f>
        <v>6350549ca87d74ab21f25e75</v>
      </c>
      <c r="D136" s="23" t="str">
        <f t="shared" si="1"/>
        <v>#DIV/0!</v>
      </c>
      <c r="F136" s="45"/>
      <c r="H136" s="45"/>
      <c r="J136" s="45"/>
    </row>
    <row r="137">
      <c r="A137" s="22" t="s">
        <v>602</v>
      </c>
      <c r="B137" s="21" t="str">
        <f t="shared" si="4"/>
        <v>#DIV/0!</v>
      </c>
      <c r="C137" s="21" t="str">
        <f>VLOOKUP(A137, hash!A$2:B$500, 2, 0)</f>
        <v>#N/A</v>
      </c>
      <c r="D137" s="23" t="str">
        <f t="shared" si="1"/>
        <v>#DIV/0!</v>
      </c>
      <c r="F137" s="45"/>
      <c r="H137" s="45"/>
      <c r="J137" s="45"/>
    </row>
    <row r="138">
      <c r="A138" s="22" t="s">
        <v>494</v>
      </c>
      <c r="B138" s="21" t="str">
        <f t="shared" si="4"/>
        <v>#DIV/0!</v>
      </c>
      <c r="C138" s="21" t="str">
        <f>VLOOKUP(A138, hash!A$2:B$500, 2, 0)</f>
        <v>63529e993c9eeacf2b95884e</v>
      </c>
      <c r="D138" s="23" t="str">
        <f t="shared" si="1"/>
        <v>#DIV/0!</v>
      </c>
      <c r="F138" s="45"/>
      <c r="H138" s="45"/>
      <c r="J138" s="45"/>
    </row>
    <row r="139">
      <c r="A139" s="22" t="s">
        <v>495</v>
      </c>
      <c r="B139" s="21" t="str">
        <f t="shared" si="4"/>
        <v>#DIV/0!</v>
      </c>
      <c r="C139" s="21" t="str">
        <f>VLOOKUP(A139, hash!A$2:B$500, 2, 0)</f>
        <v>63597cb9a9e578282a60ad9d</v>
      </c>
      <c r="D139" s="23" t="str">
        <f t="shared" si="1"/>
        <v>#DIV/0!</v>
      </c>
      <c r="F139" s="45"/>
      <c r="H139" s="45"/>
      <c r="J139" s="45"/>
    </row>
    <row r="140">
      <c r="A140" s="22" t="s">
        <v>603</v>
      </c>
      <c r="B140" s="21" t="str">
        <f t="shared" si="4"/>
        <v>#DIV/0!</v>
      </c>
      <c r="C140" s="21" t="str">
        <f>VLOOKUP(A140, hash!A$2:B$500, 2, 0)</f>
        <v>#N/A</v>
      </c>
      <c r="D140" s="23" t="str">
        <f t="shared" si="1"/>
        <v>#DIV/0!</v>
      </c>
      <c r="F140" s="45"/>
      <c r="H140" s="45"/>
      <c r="J140" s="45"/>
    </row>
    <row r="141">
      <c r="A141" s="22" t="s">
        <v>101</v>
      </c>
      <c r="B141" s="21" t="str">
        <f t="shared" si="4"/>
        <v>#DIV/0!</v>
      </c>
      <c r="C141" s="21" t="str">
        <f>VLOOKUP(A141, hash!A$2:B$500, 2, 0)</f>
        <v>6362864bd6615019231bd3fc</v>
      </c>
      <c r="D141" s="23" t="str">
        <f t="shared" si="1"/>
        <v>#DIV/0!</v>
      </c>
      <c r="F141" s="45"/>
      <c r="H141" s="45"/>
      <c r="J141" s="45"/>
    </row>
    <row r="142">
      <c r="A142" s="22" t="s">
        <v>102</v>
      </c>
      <c r="B142" s="21" t="str">
        <f t="shared" si="4"/>
        <v>#DIV/0!</v>
      </c>
      <c r="C142" s="21" t="str">
        <f>VLOOKUP(A142, hash!A$2:B$500, 2, 0)</f>
        <v>6362b77fe777ad6bbb240412</v>
      </c>
      <c r="D142" s="23" t="str">
        <f t="shared" si="1"/>
        <v>#DIV/0!</v>
      </c>
      <c r="F142" s="45"/>
      <c r="H142" s="45"/>
      <c r="J142" s="45"/>
    </row>
    <row r="143">
      <c r="A143" s="22" t="s">
        <v>604</v>
      </c>
      <c r="B143" s="21" t="str">
        <f t="shared" si="4"/>
        <v>#DIV/0!</v>
      </c>
      <c r="C143" s="21" t="str">
        <f>VLOOKUP(A143, hash!A$2:B$500, 2, 0)</f>
        <v>#N/A</v>
      </c>
      <c r="D143" s="23" t="str">
        <f t="shared" si="1"/>
        <v>#DIV/0!</v>
      </c>
      <c r="F143" s="45"/>
      <c r="H143" s="45"/>
      <c r="J143" s="45"/>
    </row>
    <row r="144">
      <c r="A144" s="22" t="s">
        <v>103</v>
      </c>
      <c r="B144" s="21" t="str">
        <f t="shared" si="4"/>
        <v>#DIV/0!</v>
      </c>
      <c r="C144" s="21" t="str">
        <f>VLOOKUP(A144, hash!A$2:B$500, 2, 0)</f>
        <v>6376b58661fba9785d07416f</v>
      </c>
      <c r="D144" s="23" t="str">
        <f t="shared" si="1"/>
        <v>#DIV/0!</v>
      </c>
      <c r="F144" s="45"/>
      <c r="H144" s="45"/>
      <c r="J144" s="45"/>
    </row>
    <row r="145">
      <c r="A145" s="22" t="s">
        <v>605</v>
      </c>
      <c r="B145" s="21" t="str">
        <f t="shared" si="4"/>
        <v>#DIV/0!</v>
      </c>
      <c r="C145" s="21" t="str">
        <f>VLOOKUP(A145, hash!A$2:B$500, 2, 0)</f>
        <v>#N/A</v>
      </c>
      <c r="D145" s="23" t="str">
        <f t="shared" si="1"/>
        <v>#DIV/0!</v>
      </c>
      <c r="F145" s="45"/>
      <c r="H145" s="45"/>
      <c r="J145" s="45"/>
    </row>
    <row r="146">
      <c r="A146" s="22" t="s">
        <v>606</v>
      </c>
      <c r="B146" s="21" t="str">
        <f t="shared" si="4"/>
        <v>#DIV/0!</v>
      </c>
      <c r="C146" s="21" t="str">
        <f>VLOOKUP(A146, hash!A$2:B$500, 2, 0)</f>
        <v>#N/A</v>
      </c>
      <c r="D146" s="23" t="str">
        <f t="shared" si="1"/>
        <v>#DIV/0!</v>
      </c>
      <c r="F146" s="45"/>
      <c r="H146" s="45"/>
      <c r="J146" s="45"/>
    </row>
    <row r="147">
      <c r="A147" s="22" t="s">
        <v>104</v>
      </c>
      <c r="B147" s="21" t="str">
        <f t="shared" si="4"/>
        <v>#DIV/0!</v>
      </c>
      <c r="C147" s="21" t="str">
        <f>VLOOKUP(A147, hash!A$2:B$500, 2, 0)</f>
        <v>6387bb73c1e51a839dd5a996</v>
      </c>
      <c r="D147" s="23" t="str">
        <f t="shared" si="1"/>
        <v>#DIV/0!</v>
      </c>
      <c r="F147" s="45"/>
      <c r="H147" s="45"/>
      <c r="J147" s="45"/>
    </row>
    <row r="148">
      <c r="A148" s="22" t="s">
        <v>105</v>
      </c>
      <c r="B148" s="21" t="str">
        <f t="shared" si="4"/>
        <v>#DIV/0!</v>
      </c>
      <c r="C148" s="21" t="str">
        <f>VLOOKUP(A148, hash!A$2:B$500, 2, 0)</f>
        <v>6387bbc6c1e51a839dd5a9a4</v>
      </c>
      <c r="D148" s="23" t="str">
        <f t="shared" si="1"/>
        <v>#DIV/0!</v>
      </c>
      <c r="F148" s="45"/>
      <c r="H148" s="45"/>
      <c r="J148" s="45"/>
    </row>
    <row r="149">
      <c r="A149" s="22" t="s">
        <v>106</v>
      </c>
      <c r="B149" s="21" t="str">
        <f t="shared" si="4"/>
        <v>#DIV/0!</v>
      </c>
      <c r="C149" s="21" t="str">
        <f>VLOOKUP(A149, hash!A$2:B$500, 2, 0)</f>
        <v>639a2e9e3b748bad962c153c</v>
      </c>
      <c r="D149" s="23" t="str">
        <f t="shared" si="1"/>
        <v>#DIV/0!</v>
      </c>
      <c r="F149" s="45"/>
      <c r="H149" s="45"/>
      <c r="J149" s="45"/>
    </row>
    <row r="150">
      <c r="A150" s="22" t="s">
        <v>107</v>
      </c>
      <c r="B150" s="21" t="str">
        <f t="shared" si="4"/>
        <v>#DIV/0!</v>
      </c>
      <c r="C150" s="21" t="str">
        <f>VLOOKUP(A150, hash!A$2:B$500, 2, 0)</f>
        <v>63b5d35a964a47f092354843</v>
      </c>
      <c r="D150" s="23" t="str">
        <f t="shared" si="1"/>
        <v>#DIV/0!</v>
      </c>
      <c r="F150" s="45"/>
      <c r="H150" s="45"/>
      <c r="J150" s="45"/>
    </row>
    <row r="151">
      <c r="A151" s="22" t="s">
        <v>108</v>
      </c>
      <c r="B151" s="21" t="str">
        <f t="shared" si="4"/>
        <v>#DIV/0!</v>
      </c>
      <c r="C151" s="21" t="str">
        <f>VLOOKUP(A151, hash!A$2:B$500, 2, 0)</f>
        <v>63c833ef38ef4ba2f7bbe919</v>
      </c>
      <c r="D151" s="23" t="str">
        <f t="shared" si="1"/>
        <v>#DIV/0!</v>
      </c>
      <c r="F151" s="45"/>
      <c r="H151" s="45"/>
      <c r="J151" s="45"/>
    </row>
    <row r="152">
      <c r="A152" s="22" t="s">
        <v>109</v>
      </c>
      <c r="B152" s="21" t="str">
        <f t="shared" si="4"/>
        <v>#DIV/0!</v>
      </c>
      <c r="C152" s="21" t="str">
        <f>VLOOKUP(A152, hash!A$2:B$500, 2, 0)</f>
        <v>63c8473f511ce7e89481b00b</v>
      </c>
      <c r="D152" s="23" t="str">
        <f t="shared" si="1"/>
        <v>#DIV/0!</v>
      </c>
      <c r="F152" s="45"/>
      <c r="H152" s="45"/>
      <c r="J152" s="45"/>
    </row>
    <row r="153">
      <c r="A153" s="22" t="s">
        <v>110</v>
      </c>
      <c r="B153" s="21" t="str">
        <f t="shared" si="4"/>
        <v>#DIV/0!</v>
      </c>
      <c r="C153" s="21" t="str">
        <f>VLOOKUP(A153, hash!A$2:B$500, 2, 0)</f>
        <v>63c8477b67bbb48b24b073b9</v>
      </c>
      <c r="D153" s="23" t="str">
        <f t="shared" si="1"/>
        <v>#DIV/0!</v>
      </c>
      <c r="F153" s="45"/>
      <c r="H153" s="45"/>
      <c r="J153" s="45"/>
    </row>
    <row r="154">
      <c r="A154" s="22" t="s">
        <v>607</v>
      </c>
      <c r="B154" s="21" t="str">
        <f t="shared" si="4"/>
        <v>#DIV/0!</v>
      </c>
      <c r="C154" s="21" t="str">
        <f>VLOOKUP(A154, hash!A$2:B$500, 2, 0)</f>
        <v>#N/A</v>
      </c>
      <c r="D154" s="23" t="str">
        <f t="shared" si="1"/>
        <v>#DIV/0!</v>
      </c>
      <c r="F154" s="45"/>
      <c r="H154" s="45"/>
      <c r="J154" s="45"/>
    </row>
    <row r="155">
      <c r="A155" s="22" t="s">
        <v>608</v>
      </c>
      <c r="B155" s="21" t="str">
        <f t="shared" si="4"/>
        <v>#DIV/0!</v>
      </c>
      <c r="C155" s="21" t="str">
        <f>VLOOKUP(A155, hash!A$2:B$500, 2, 0)</f>
        <v>#N/A</v>
      </c>
      <c r="D155" s="23" t="str">
        <f t="shared" si="1"/>
        <v>#DIV/0!</v>
      </c>
      <c r="F155" s="45"/>
      <c r="H155" s="45"/>
      <c r="J155" s="45"/>
    </row>
    <row r="156">
      <c r="A156" s="22" t="s">
        <v>111</v>
      </c>
      <c r="B156" s="21" t="str">
        <f t="shared" si="4"/>
        <v>#DIV/0!</v>
      </c>
      <c r="C156" s="21" t="str">
        <f>VLOOKUP(A156, hash!A$2:B$500, 2, 0)</f>
        <v>63dabd0663f6b9aef34df313</v>
      </c>
      <c r="D156" s="23" t="str">
        <f t="shared" si="1"/>
        <v>#DIV/0!</v>
      </c>
      <c r="F156" s="45"/>
      <c r="H156" s="45"/>
      <c r="J156" s="45"/>
    </row>
    <row r="157">
      <c r="A157" s="22" t="s">
        <v>112</v>
      </c>
      <c r="B157" s="21" t="str">
        <f t="shared" si="4"/>
        <v>#DIV/0!</v>
      </c>
      <c r="C157" s="21" t="str">
        <f>VLOOKUP(A157, hash!A$2:B$500, 2, 0)</f>
        <v>63dabd3d9dab57a89c8ed2ec</v>
      </c>
      <c r="D157" s="23" t="str">
        <f t="shared" si="1"/>
        <v>#DIV/0!</v>
      </c>
      <c r="F157" s="45"/>
      <c r="H157" s="45"/>
      <c r="J157" s="45"/>
    </row>
    <row r="158">
      <c r="A158" s="22" t="s">
        <v>609</v>
      </c>
      <c r="B158" s="21" t="str">
        <f t="shared" si="4"/>
        <v>#DIV/0!</v>
      </c>
      <c r="C158" s="21" t="str">
        <f>VLOOKUP(A158, hash!A$2:B$500, 2, 0)</f>
        <v>#N/A</v>
      </c>
      <c r="D158" s="23" t="str">
        <f t="shared" si="1"/>
        <v>#DIV/0!</v>
      </c>
      <c r="F158" s="45"/>
      <c r="H158" s="45"/>
      <c r="J158" s="45"/>
    </row>
    <row r="159">
      <c r="A159" s="22" t="s">
        <v>113</v>
      </c>
      <c r="B159" s="21" t="str">
        <f t="shared" si="4"/>
        <v>#DIV/0!</v>
      </c>
      <c r="C159" s="21" t="str">
        <f>VLOOKUP(A159, hash!A$2:B$500, 2, 0)</f>
        <v>63ddd5541cf7a4a53455fa2b</v>
      </c>
      <c r="D159" s="23" t="str">
        <f t="shared" si="1"/>
        <v>#DIV/0!</v>
      </c>
      <c r="F159" s="45"/>
      <c r="H159" s="45"/>
      <c r="J159" s="45"/>
    </row>
    <row r="160">
      <c r="A160" s="22" t="s">
        <v>610</v>
      </c>
      <c r="B160" s="21" t="str">
        <f t="shared" si="4"/>
        <v>#DIV/0!</v>
      </c>
      <c r="C160" s="21" t="str">
        <f>VLOOKUP(A160, hash!A$2:B$500, 2, 0)</f>
        <v>#N/A</v>
      </c>
      <c r="D160" s="23" t="str">
        <f t="shared" si="1"/>
        <v>#DIV/0!</v>
      </c>
      <c r="F160" s="45"/>
      <c r="H160" s="45"/>
      <c r="J160" s="45"/>
    </row>
    <row r="161">
      <c r="A161" s="22" t="s">
        <v>114</v>
      </c>
      <c r="B161" s="21" t="str">
        <f t="shared" si="4"/>
        <v>#DIV/0!</v>
      </c>
      <c r="C161" s="21" t="str">
        <f>VLOOKUP(A161, hash!A$2:B$500, 2, 0)</f>
        <v>63ed3c20ba3040bfda3dc990</v>
      </c>
      <c r="D161" s="23" t="str">
        <f t="shared" si="1"/>
        <v>#DIV/0!</v>
      </c>
      <c r="F161" s="45"/>
      <c r="H161" s="45"/>
      <c r="J161" s="45"/>
    </row>
    <row r="162">
      <c r="A162" s="22" t="s">
        <v>115</v>
      </c>
      <c r="B162" s="21" t="str">
        <f t="shared" si="4"/>
        <v>#DIV/0!</v>
      </c>
      <c r="C162" s="21" t="str">
        <f>VLOOKUP(A162, hash!A$2:B$500, 2, 0)</f>
        <v>63f67889c8ff9ace793384df</v>
      </c>
      <c r="D162" s="23" t="str">
        <f t="shared" si="1"/>
        <v>#DIV/0!</v>
      </c>
      <c r="F162" s="45"/>
      <c r="H162" s="45"/>
      <c r="J162" s="45"/>
    </row>
    <row r="163">
      <c r="A163" s="22" t="s">
        <v>116</v>
      </c>
      <c r="B163" s="21" t="str">
        <f t="shared" si="4"/>
        <v>#DIV/0!</v>
      </c>
      <c r="C163" s="21" t="str">
        <f>VLOOKUP(A163, hash!A$2:B$500, 2, 0)</f>
        <v>63f67911eb2d54539e475aef</v>
      </c>
      <c r="D163" s="23" t="str">
        <f t="shared" si="1"/>
        <v>#DIV/0!</v>
      </c>
      <c r="F163" s="45"/>
      <c r="H163" s="45"/>
      <c r="J163" s="45"/>
    </row>
    <row r="164">
      <c r="A164" s="22" t="s">
        <v>611</v>
      </c>
      <c r="B164" s="21" t="str">
        <f t="shared" si="4"/>
        <v>#DIV/0!</v>
      </c>
      <c r="C164" s="21" t="str">
        <f>VLOOKUP(A164, hash!A$2:B$500, 2, 0)</f>
        <v>#N/A</v>
      </c>
      <c r="D164" s="23" t="str">
        <f t="shared" si="1"/>
        <v>#DIV/0!</v>
      </c>
      <c r="F164" s="45"/>
      <c r="H164" s="45"/>
      <c r="J164" s="45"/>
    </row>
    <row r="165">
      <c r="A165" s="22" t="s">
        <v>612</v>
      </c>
      <c r="B165" s="21" t="str">
        <f t="shared" si="4"/>
        <v>#DIV/0!</v>
      </c>
      <c r="C165" s="21" t="str">
        <f>VLOOKUP(A165, hash!A$2:B$500, 2, 0)</f>
        <v>#N/A</v>
      </c>
      <c r="D165" s="23" t="str">
        <f t="shared" si="1"/>
        <v>#DIV/0!</v>
      </c>
      <c r="F165" s="45"/>
      <c r="H165" s="45"/>
      <c r="J165" s="45"/>
    </row>
    <row r="166">
      <c r="A166" s="22" t="s">
        <v>117</v>
      </c>
      <c r="B166" s="21" t="str">
        <f t="shared" si="4"/>
        <v>#DIV/0!</v>
      </c>
      <c r="C166" s="21" t="str">
        <f>VLOOKUP(A166, hash!A$2:B$500, 2, 0)</f>
        <v>64120eb5cd7bcbc0e50f33da</v>
      </c>
      <c r="D166" s="23" t="str">
        <f t="shared" si="1"/>
        <v>#DIV/0!</v>
      </c>
      <c r="F166" s="45"/>
      <c r="H166" s="45"/>
      <c r="J166" s="45"/>
    </row>
    <row r="167">
      <c r="A167" s="22" t="s">
        <v>118</v>
      </c>
      <c r="B167" s="21" t="str">
        <f t="shared" si="4"/>
        <v>#DIV/0!</v>
      </c>
      <c r="C167" s="21" t="str">
        <f>VLOOKUP(A167, hash!A$2:B$500, 2, 0)</f>
        <v>64403390f40f176b87a687a7</v>
      </c>
      <c r="D167" s="23" t="str">
        <f t="shared" si="1"/>
        <v>#DIV/0!</v>
      </c>
      <c r="F167" s="45"/>
      <c r="H167" s="45"/>
      <c r="J167" s="45"/>
    </row>
    <row r="168">
      <c r="A168" s="22" t="s">
        <v>119</v>
      </c>
      <c r="B168" s="21" t="str">
        <f t="shared" si="4"/>
        <v>#DIV/0!</v>
      </c>
      <c r="C168" s="21" t="str">
        <f>VLOOKUP(A168, hash!A$2:B$500, 2, 0)</f>
        <v>64403395ea1fa9a912edb699</v>
      </c>
      <c r="D168" s="23" t="str">
        <f t="shared" si="1"/>
        <v>#DIV/0!</v>
      </c>
      <c r="F168" s="45"/>
      <c r="H168" s="45"/>
      <c r="J168" s="51"/>
    </row>
    <row r="169">
      <c r="A169" s="22" t="s">
        <v>120</v>
      </c>
      <c r="B169" s="21" t="str">
        <f t="shared" si="4"/>
        <v>#DIV/0!</v>
      </c>
      <c r="C169" s="21" t="str">
        <f>VLOOKUP(A169, hash!A$2:B$500, 2, 0)</f>
        <v>64403399ea1fa9a912edb69a</v>
      </c>
      <c r="D169" s="23" t="str">
        <f t="shared" si="1"/>
        <v>#DIV/0!</v>
      </c>
      <c r="F169" s="45"/>
      <c r="H169" s="45"/>
      <c r="J169" s="45"/>
    </row>
    <row r="170">
      <c r="A170" s="22" t="s">
        <v>121</v>
      </c>
      <c r="B170" s="21" t="str">
        <f t="shared" si="4"/>
        <v>#DIV/0!</v>
      </c>
      <c r="C170" s="21" t="str">
        <f>VLOOKUP(A170, hash!A$2:B$500, 2, 0)</f>
        <v>644033a6ea1fa9a912edb69b</v>
      </c>
      <c r="D170" s="23" t="str">
        <f t="shared" si="1"/>
        <v>#DIV/0!</v>
      </c>
      <c r="F170" s="45"/>
      <c r="H170" s="45"/>
      <c r="J170" s="45"/>
    </row>
    <row r="171">
      <c r="A171" s="22" t="s">
        <v>122</v>
      </c>
      <c r="B171" s="21" t="str">
        <f t="shared" si="4"/>
        <v>#DIV/0!</v>
      </c>
      <c r="C171" s="21" t="str">
        <f>VLOOKUP(A171, hash!A$2:B$500, 2, 0)</f>
        <v>6440343c3d99f5a46dd56558</v>
      </c>
      <c r="D171" s="23" t="str">
        <f t="shared" si="1"/>
        <v>#DIV/0!</v>
      </c>
      <c r="F171" s="45"/>
      <c r="H171" s="45"/>
      <c r="J171" s="45"/>
    </row>
    <row r="172">
      <c r="A172" s="22" t="s">
        <v>123</v>
      </c>
      <c r="B172" s="21" t="str">
        <f t="shared" si="4"/>
        <v>#DIV/0!</v>
      </c>
      <c r="C172" s="21" t="str">
        <f>VLOOKUP(A172, hash!A$2:B$500, 2, 0)</f>
        <v>644034954fa829a66b219e95</v>
      </c>
      <c r="D172" s="23" t="str">
        <f t="shared" si="1"/>
        <v>#DIV/0!</v>
      </c>
      <c r="F172" s="45"/>
      <c r="H172" s="45"/>
      <c r="J172" s="45"/>
    </row>
    <row r="173">
      <c r="A173" s="22" t="s">
        <v>124</v>
      </c>
      <c r="B173" s="21" t="str">
        <f t="shared" si="4"/>
        <v>#DIV/0!</v>
      </c>
      <c r="C173" s="21" t="str">
        <f>VLOOKUP(A173, hash!A$2:B$500, 2, 0)</f>
        <v>6451565d77ece8ad709943e6</v>
      </c>
      <c r="D173" s="23" t="str">
        <f t="shared" si="1"/>
        <v>#DIV/0!</v>
      </c>
      <c r="F173" s="45"/>
      <c r="H173" s="45"/>
      <c r="J173" s="45"/>
    </row>
    <row r="174">
      <c r="A174" s="22" t="s">
        <v>125</v>
      </c>
      <c r="B174" s="21" t="str">
        <f t="shared" si="4"/>
        <v>#DIV/0!</v>
      </c>
      <c r="C174" s="21" t="str">
        <f>VLOOKUP(A174, hash!A$2:B$500, 2, 0)</f>
        <v>6451566b3e57b23a771eb77e</v>
      </c>
      <c r="D174" s="23" t="str">
        <f t="shared" si="1"/>
        <v>#DIV/0!</v>
      </c>
      <c r="F174" s="45"/>
      <c r="H174" s="45"/>
      <c r="J174" s="45"/>
    </row>
    <row r="175">
      <c r="A175" s="22" t="s">
        <v>126</v>
      </c>
      <c r="B175" s="21" t="str">
        <f t="shared" si="4"/>
        <v>#DIV/0!</v>
      </c>
      <c r="C175" s="21" t="str">
        <f>VLOOKUP(A175, hash!A$2:B$500, 2, 0)</f>
        <v>64515f40d1db94b82bde4768</v>
      </c>
      <c r="D175" s="23" t="str">
        <f t="shared" si="1"/>
        <v>#DIV/0!</v>
      </c>
      <c r="F175" s="45"/>
      <c r="H175" s="45"/>
      <c r="J175" s="45"/>
    </row>
    <row r="176">
      <c r="A176" s="22" t="s">
        <v>56</v>
      </c>
      <c r="B176" s="21" t="str">
        <f t="shared" si="4"/>
        <v>#DIV/0!</v>
      </c>
      <c r="C176" s="21" t="str">
        <f>VLOOKUP(A176, hash!A$2:B$500, 2, 0)</f>
        <v>64515f804c53122bd367c958</v>
      </c>
      <c r="D176" s="23" t="str">
        <f t="shared" si="1"/>
        <v>#DIV/0!</v>
      </c>
      <c r="F176" s="27"/>
      <c r="H176" s="27"/>
      <c r="J176" s="27"/>
    </row>
    <row r="177">
      <c r="A177" s="22" t="s">
        <v>613</v>
      </c>
      <c r="B177" s="21" t="str">
        <f t="shared" si="4"/>
        <v>#DIV/0!</v>
      </c>
      <c r="C177" s="21" t="str">
        <f>VLOOKUP(A177, hash!A$2:B$500, 2, 0)</f>
        <v>#N/A</v>
      </c>
      <c r="D177" s="23" t="str">
        <f t="shared" si="1"/>
        <v>#DIV/0!</v>
      </c>
      <c r="F177" s="45"/>
      <c r="H177" s="45"/>
      <c r="J177" s="45"/>
    </row>
    <row r="178">
      <c r="A178" s="22" t="s">
        <v>127</v>
      </c>
      <c r="B178" s="21" t="str">
        <f t="shared" si="4"/>
        <v>#DIV/0!</v>
      </c>
      <c r="C178" s="21" t="str">
        <f>VLOOKUP(A178, hash!A$2:B$500, 2, 0)</f>
        <v>6501ffd91d8cbbbd315ad51c</v>
      </c>
      <c r="D178" s="23" t="str">
        <f t="shared" si="1"/>
        <v>#DIV/0!</v>
      </c>
      <c r="F178" s="45"/>
      <c r="H178" s="45"/>
      <c r="J178" s="45"/>
    </row>
    <row r="179">
      <c r="A179" s="22" t="s">
        <v>128</v>
      </c>
      <c r="B179" s="21" t="str">
        <f t="shared" si="4"/>
        <v>#DIV/0!</v>
      </c>
      <c r="C179" s="21" t="str">
        <f>VLOOKUP(A179, hash!A$2:B$500, 2, 0)</f>
        <v>6501ffe41d8cbbbd315ad51d</v>
      </c>
      <c r="D179" s="23" t="str">
        <f t="shared" si="1"/>
        <v>#DIV/0!</v>
      </c>
      <c r="F179" s="45"/>
      <c r="H179" s="45"/>
      <c r="J179" s="45"/>
    </row>
    <row r="180">
      <c r="A180" s="22" t="s">
        <v>129</v>
      </c>
      <c r="B180" s="21" t="str">
        <f t="shared" si="4"/>
        <v>#DIV/0!</v>
      </c>
      <c r="C180" s="21" t="str">
        <f>VLOOKUP(A180, hash!A$2:B$500, 2, 0)</f>
        <v>6501fff01d8cbbbd315ad51f</v>
      </c>
      <c r="D180" s="23" t="str">
        <f t="shared" si="1"/>
        <v>#DIV/0!</v>
      </c>
      <c r="F180" s="45"/>
      <c r="H180" s="45"/>
      <c r="J180" s="45"/>
    </row>
    <row r="181">
      <c r="A181" s="22" t="s">
        <v>130</v>
      </c>
      <c r="B181" s="21" t="str">
        <f t="shared" si="4"/>
        <v>#DIV/0!</v>
      </c>
      <c r="C181" s="21" t="str">
        <f>VLOOKUP(A181, hash!A$2:B$500, 2, 0)</f>
        <v>6501fff296a576d9fa03f986</v>
      </c>
      <c r="D181" s="23" t="str">
        <f t="shared" si="1"/>
        <v>#DIV/0!</v>
      </c>
      <c r="F181" s="45"/>
      <c r="H181" s="45"/>
      <c r="J181" s="45"/>
    </row>
    <row r="182">
      <c r="A182" s="22" t="s">
        <v>131</v>
      </c>
      <c r="B182" s="21" t="str">
        <f t="shared" si="4"/>
        <v>#DIV/0!</v>
      </c>
      <c r="C182" s="21" t="str">
        <f>VLOOKUP(A182, hash!A$2:B$500, 2, 0)</f>
        <v>6501fffc96a576d9fa03f988</v>
      </c>
      <c r="D182" s="23" t="str">
        <f t="shared" si="1"/>
        <v>#DIV/0!</v>
      </c>
      <c r="F182" s="45"/>
      <c r="H182" s="45"/>
      <c r="J182" s="45"/>
    </row>
    <row r="183">
      <c r="A183" s="22" t="s">
        <v>132</v>
      </c>
      <c r="B183" s="21" t="str">
        <f t="shared" si="4"/>
        <v>#DIV/0!</v>
      </c>
      <c r="C183" s="21" t="str">
        <f>VLOOKUP(A183, hash!A$2:B$500, 2, 0)</f>
        <v>6501fffd96a576d9fa03f989</v>
      </c>
      <c r="D183" s="23" t="str">
        <f t="shared" si="1"/>
        <v>#DIV/0!</v>
      </c>
      <c r="F183" s="45"/>
      <c r="H183" s="45"/>
      <c r="J183" s="45"/>
    </row>
    <row r="184">
      <c r="A184" s="22" t="s">
        <v>133</v>
      </c>
      <c r="B184" s="21" t="str">
        <f t="shared" si="4"/>
        <v>#DIV/0!</v>
      </c>
      <c r="C184" s="21" t="str">
        <f>VLOOKUP(A184, hash!A$2:B$500, 2, 0)</f>
        <v>6502000096a576d9fa03f98a</v>
      </c>
      <c r="D184" s="23" t="str">
        <f t="shared" si="1"/>
        <v>#DIV/0!</v>
      </c>
      <c r="F184" s="45"/>
      <c r="H184" s="45"/>
      <c r="J184" s="45"/>
    </row>
    <row r="185">
      <c r="A185" s="22" t="s">
        <v>134</v>
      </c>
      <c r="B185" s="21" t="str">
        <f t="shared" si="4"/>
        <v>#DIV/0!</v>
      </c>
      <c r="C185" s="21" t="str">
        <f>VLOOKUP(A185, hash!A$2:B$500, 2, 0)</f>
        <v>6502000196a576d9fa03f98b</v>
      </c>
      <c r="D185" s="23" t="str">
        <f t="shared" si="1"/>
        <v>#DIV/0!</v>
      </c>
      <c r="F185" s="27"/>
      <c r="H185" s="27"/>
      <c r="J185" s="27"/>
    </row>
    <row r="186">
      <c r="A186" s="22" t="s">
        <v>135</v>
      </c>
      <c r="B186" s="21" t="str">
        <f t="shared" si="4"/>
        <v>#DIV/0!</v>
      </c>
      <c r="C186" s="21" t="str">
        <f>VLOOKUP(A186, hash!A$2:B$500, 2, 0)</f>
        <v>65020008540ba7cc68909a94</v>
      </c>
      <c r="D186" s="23" t="str">
        <f t="shared" si="1"/>
        <v>#DIV/0!</v>
      </c>
      <c r="F186" s="45"/>
      <c r="H186" s="45"/>
      <c r="J186" s="45"/>
    </row>
    <row r="187">
      <c r="A187" s="22" t="s">
        <v>136</v>
      </c>
      <c r="B187" s="21" t="str">
        <f t="shared" si="4"/>
        <v>#DIV/0!</v>
      </c>
      <c r="C187" s="21" t="str">
        <f>VLOOKUP(A187, hash!A$2:B$500, 2, 0)</f>
        <v>6502000b1d8cbbbd315ad521</v>
      </c>
      <c r="D187" s="23" t="str">
        <f t="shared" si="1"/>
        <v>#DIV/0!</v>
      </c>
      <c r="F187" s="45"/>
      <c r="H187" s="45"/>
      <c r="J187" s="45"/>
    </row>
    <row r="188">
      <c r="A188" s="22" t="s">
        <v>137</v>
      </c>
      <c r="B188" s="21" t="str">
        <f t="shared" si="4"/>
        <v>#DIV/0!</v>
      </c>
      <c r="C188" s="21" t="str">
        <f>VLOOKUP(A188, hash!A$2:B$500, 2, 0)</f>
        <v>65020010540ba7cc68909a95</v>
      </c>
      <c r="D188" s="23" t="str">
        <f t="shared" si="1"/>
        <v>#DIV/0!</v>
      </c>
      <c r="F188" s="45"/>
      <c r="H188" s="45"/>
      <c r="J188" s="45"/>
    </row>
    <row r="189">
      <c r="A189" s="22" t="s">
        <v>138</v>
      </c>
      <c r="B189" s="21" t="str">
        <f t="shared" si="4"/>
        <v>#DIV/0!</v>
      </c>
      <c r="C189" s="21" t="str">
        <f>VLOOKUP(A189, hash!A$2:B$500, 2, 0)</f>
        <v>6502001196a576d9fa03f98c</v>
      </c>
      <c r="D189" s="23" t="str">
        <f t="shared" si="1"/>
        <v>#DIV/0!</v>
      </c>
      <c r="F189" s="45"/>
      <c r="H189" s="45"/>
      <c r="J189" s="45"/>
    </row>
    <row r="190">
      <c r="A190" s="22" t="s">
        <v>139</v>
      </c>
      <c r="B190" s="21" t="str">
        <f t="shared" si="4"/>
        <v>#DIV/0!</v>
      </c>
      <c r="C190" s="21" t="str">
        <f>VLOOKUP(A190, hash!A$2:B$500, 2, 0)</f>
        <v>6502001196a576d9fa03f98d</v>
      </c>
      <c r="D190" s="23" t="str">
        <f t="shared" si="1"/>
        <v>#DIV/0!</v>
      </c>
      <c r="F190" s="45"/>
      <c r="H190" s="45"/>
      <c r="J190" s="45"/>
    </row>
    <row r="191">
      <c r="A191" s="22" t="s">
        <v>141</v>
      </c>
      <c r="B191" s="21" t="str">
        <f t="shared" si="4"/>
        <v>#DIV/0!</v>
      </c>
      <c r="C191" s="21" t="str">
        <f>VLOOKUP(A191, hash!A$2:B$500, 2, 0)</f>
        <v>6502001d540ba7cc68909a96</v>
      </c>
      <c r="D191" s="23" t="str">
        <f t="shared" si="1"/>
        <v>#DIV/0!</v>
      </c>
      <c r="F191" s="45"/>
      <c r="H191" s="45"/>
      <c r="J191" s="45"/>
    </row>
    <row r="192">
      <c r="A192" s="22" t="s">
        <v>142</v>
      </c>
      <c r="B192" s="21" t="str">
        <f t="shared" si="4"/>
        <v>#DIV/0!</v>
      </c>
      <c r="C192" s="21" t="str">
        <f>VLOOKUP(A192, hash!A$2:B$500, 2, 0)</f>
        <v>6502001f96a576d9fa03f991</v>
      </c>
      <c r="D192" s="23" t="str">
        <f t="shared" si="1"/>
        <v>#DIV/0!</v>
      </c>
      <c r="F192" s="45"/>
      <c r="H192" s="45"/>
      <c r="J192" s="45"/>
    </row>
    <row r="193">
      <c r="A193" s="22" t="s">
        <v>143</v>
      </c>
      <c r="B193" s="21" t="str">
        <f t="shared" si="4"/>
        <v>#DIV/0!</v>
      </c>
      <c r="C193" s="21" t="str">
        <f>VLOOKUP(A193, hash!A$2:B$500, 2, 0)</f>
        <v>6502002296a576d9fa03f993</v>
      </c>
      <c r="D193" s="23" t="str">
        <f t="shared" si="1"/>
        <v>#DIV/0!</v>
      </c>
      <c r="F193" s="45"/>
      <c r="H193" s="45"/>
      <c r="J193" s="45"/>
    </row>
    <row r="194">
      <c r="A194" s="22" t="s">
        <v>144</v>
      </c>
      <c r="B194" s="21" t="str">
        <f t="shared" si="4"/>
        <v>#DIV/0!</v>
      </c>
      <c r="C194" s="21" t="str">
        <f>VLOOKUP(A194, hash!A$2:B$500, 2, 0)</f>
        <v>6502002396a576d9fa03f994</v>
      </c>
      <c r="D194" s="23" t="str">
        <f t="shared" si="1"/>
        <v>#DIV/0!</v>
      </c>
      <c r="F194" s="45"/>
      <c r="H194" s="45"/>
      <c r="J194" s="45"/>
    </row>
    <row r="195">
      <c r="A195" s="22" t="s">
        <v>94</v>
      </c>
      <c r="B195" s="21" t="str">
        <f t="shared" si="4"/>
        <v>#DIV/0!</v>
      </c>
      <c r="C195" s="21" t="str">
        <f>VLOOKUP(A195, hash!A$2:B$500, 2, 0)</f>
        <v>6502002b1d8cbbbd315ad524</v>
      </c>
      <c r="D195" s="23" t="str">
        <f t="shared" si="1"/>
        <v>#DIV/0!</v>
      </c>
      <c r="F195" s="45"/>
      <c r="H195" s="45"/>
      <c r="J195" s="45"/>
    </row>
    <row r="196">
      <c r="A196" s="22" t="s">
        <v>95</v>
      </c>
      <c r="B196" s="21" t="str">
        <f t="shared" si="4"/>
        <v>#DIV/0!</v>
      </c>
      <c r="C196" s="21" t="str">
        <f>VLOOKUP(A196, hash!A$2:B$500, 2, 0)</f>
        <v>6502002d96a576d9fa03f999</v>
      </c>
      <c r="D196" s="23" t="str">
        <f t="shared" si="1"/>
        <v>#DIV/0!</v>
      </c>
      <c r="F196" s="27"/>
      <c r="H196" s="27"/>
      <c r="J196" s="27"/>
    </row>
    <row r="197">
      <c r="A197" s="22" t="s">
        <v>145</v>
      </c>
      <c r="B197" s="21" t="str">
        <f t="shared" si="4"/>
        <v>#DIV/0!</v>
      </c>
      <c r="C197" s="21" t="str">
        <f>VLOOKUP(A197, hash!A$2:B$500, 2, 0)</f>
        <v>6502003c96a576d9fa03f99d</v>
      </c>
      <c r="D197" s="23" t="str">
        <f t="shared" si="1"/>
        <v>#DIV/0!</v>
      </c>
      <c r="F197" s="45"/>
      <c r="H197" s="45"/>
      <c r="J197" s="45"/>
    </row>
    <row r="198">
      <c r="A198" s="22" t="s">
        <v>614</v>
      </c>
      <c r="B198" s="21" t="str">
        <f t="shared" si="4"/>
        <v>#DIV/0!</v>
      </c>
      <c r="C198" s="21" t="str">
        <f>VLOOKUP(A198, hash!A$2:B$500, 2, 0)</f>
        <v>#N/A</v>
      </c>
      <c r="D198" s="23" t="str">
        <f t="shared" si="1"/>
        <v>#DIV/0!</v>
      </c>
      <c r="F198" s="45"/>
      <c r="H198" s="45"/>
      <c r="J198" s="45"/>
    </row>
    <row r="199">
      <c r="A199" s="22" t="s">
        <v>146</v>
      </c>
      <c r="B199" s="21" t="str">
        <f t="shared" si="4"/>
        <v>#DIV/0!</v>
      </c>
      <c r="C199" s="21" t="str">
        <f>VLOOKUP(A199, hash!A$2:B$500, 2, 0)</f>
        <v>6502003d57ae167867eac21c</v>
      </c>
      <c r="D199" s="23" t="str">
        <f t="shared" si="1"/>
        <v>#DIV/0!</v>
      </c>
      <c r="F199" s="27"/>
      <c r="H199" s="27"/>
      <c r="J199" s="27"/>
    </row>
    <row r="200">
      <c r="A200" s="22" t="s">
        <v>147</v>
      </c>
      <c r="B200" s="21" t="str">
        <f t="shared" si="4"/>
        <v>#DIV/0!</v>
      </c>
      <c r="C200" s="21" t="str">
        <f>VLOOKUP(A200, hash!A$2:B$500, 2, 0)</f>
        <v>65020041540ba7cc68909aa3</v>
      </c>
      <c r="D200" s="23" t="str">
        <f t="shared" si="1"/>
        <v>#DIV/0!</v>
      </c>
      <c r="F200" s="45"/>
      <c r="H200" s="45"/>
      <c r="J200" s="45"/>
    </row>
    <row r="201">
      <c r="A201" s="22" t="s">
        <v>615</v>
      </c>
      <c r="B201" s="21" t="str">
        <f t="shared" si="4"/>
        <v>#DIV/0!</v>
      </c>
      <c r="C201" s="21" t="str">
        <f>VLOOKUP(A201, hash!A$2:B$500, 2, 0)</f>
        <v>#N/A</v>
      </c>
      <c r="D201" s="23" t="str">
        <f t="shared" si="1"/>
        <v>#DIV/0!</v>
      </c>
      <c r="F201" s="45"/>
      <c r="H201" s="45"/>
      <c r="J201" s="45"/>
    </row>
    <row r="202">
      <c r="A202" s="22" t="s">
        <v>148</v>
      </c>
      <c r="B202" s="21" t="str">
        <f t="shared" si="4"/>
        <v>#DIV/0!</v>
      </c>
      <c r="C202" s="21" t="str">
        <f>VLOOKUP(A202, hash!A$2:B$500, 2, 0)</f>
        <v>650200481d8cbbbd315ad528</v>
      </c>
      <c r="D202" s="23" t="str">
        <f t="shared" si="1"/>
        <v>#DIV/0!</v>
      </c>
      <c r="F202" s="45"/>
      <c r="H202" s="45"/>
      <c r="J202" s="45"/>
    </row>
    <row r="203">
      <c r="A203" s="22" t="s">
        <v>149</v>
      </c>
      <c r="B203" s="21" t="str">
        <f t="shared" si="4"/>
        <v>#DIV/0!</v>
      </c>
      <c r="C203" s="21" t="str">
        <f>VLOOKUP(A203, hash!A$2:B$500, 2, 0)</f>
        <v>6502004f1d8cbbbd315ad52a</v>
      </c>
      <c r="D203" s="23" t="str">
        <f t="shared" si="1"/>
        <v>#DIV/0!</v>
      </c>
      <c r="F203" s="45"/>
      <c r="H203" s="45"/>
      <c r="J203" s="45"/>
    </row>
    <row r="204">
      <c r="A204" s="22" t="s">
        <v>616</v>
      </c>
      <c r="B204" s="21" t="str">
        <f t="shared" si="4"/>
        <v>#DIV/0!</v>
      </c>
      <c r="C204" s="21" t="str">
        <f>VLOOKUP(A204, hash!A$2:B$500, 2, 0)</f>
        <v>#N/A</v>
      </c>
      <c r="D204" s="23" t="str">
        <f t="shared" si="1"/>
        <v>#DIV/0!</v>
      </c>
      <c r="F204" s="45"/>
      <c r="H204" s="45"/>
      <c r="J204" s="45"/>
    </row>
    <row r="205">
      <c r="A205" s="22" t="s">
        <v>150</v>
      </c>
      <c r="B205" s="21" t="str">
        <f t="shared" si="4"/>
        <v>#DIV/0!</v>
      </c>
      <c r="C205" s="21" t="str">
        <f>VLOOKUP(A205, hash!A$2:B$500, 2, 0)</f>
        <v>6502005118c31aadb7469b1a</v>
      </c>
      <c r="D205" s="23" t="str">
        <f t="shared" si="1"/>
        <v>#DIV/0!</v>
      </c>
      <c r="F205" s="27"/>
      <c r="H205" s="27"/>
      <c r="J205" s="27"/>
    </row>
    <row r="206">
      <c r="A206" s="22" t="s">
        <v>151</v>
      </c>
      <c r="B206" s="21" t="str">
        <f t="shared" si="4"/>
        <v>#DIV/0!</v>
      </c>
      <c r="C206" s="21" t="str">
        <f>VLOOKUP(A206, hash!A$2:B$500, 2, 0)</f>
        <v>650200601d8cbbbd315ad52d</v>
      </c>
      <c r="D206" s="23" t="str">
        <f t="shared" si="1"/>
        <v>#DIV/0!</v>
      </c>
      <c r="F206" s="45"/>
      <c r="H206" s="45"/>
      <c r="J206" s="45"/>
    </row>
    <row r="207">
      <c r="A207" s="22" t="s">
        <v>152</v>
      </c>
      <c r="B207" s="21" t="str">
        <f t="shared" si="4"/>
        <v>#DIV/0!</v>
      </c>
      <c r="C207" s="21" t="str">
        <f>VLOOKUP(A207, hash!A$2:B$500, 2, 0)</f>
        <v>6502007218c31aadb7469b1d</v>
      </c>
      <c r="D207" s="23" t="str">
        <f t="shared" si="1"/>
        <v>#DIV/0!</v>
      </c>
      <c r="F207" s="45"/>
      <c r="H207" s="45"/>
      <c r="J207" s="45"/>
    </row>
    <row r="208">
      <c r="A208" s="22" t="s">
        <v>19</v>
      </c>
      <c r="B208" s="21" t="str">
        <f t="shared" si="4"/>
        <v>#DIV/0!</v>
      </c>
      <c r="C208" s="21" t="str">
        <f>VLOOKUP(A208, hash!A$2:B$500, 2, 0)</f>
        <v>6502007357ae167867eac223</v>
      </c>
      <c r="D208" s="23" t="str">
        <f t="shared" si="1"/>
        <v>#DIV/0!</v>
      </c>
      <c r="F208" s="27"/>
      <c r="H208" s="27"/>
      <c r="J208" s="27"/>
    </row>
    <row r="209">
      <c r="A209" s="22" t="s">
        <v>153</v>
      </c>
      <c r="B209" s="21" t="str">
        <f t="shared" si="4"/>
        <v>#DIV/0!</v>
      </c>
      <c r="C209" s="21" t="str">
        <f>VLOOKUP(A209, hash!A$2:B$500, 2, 0)</f>
        <v>6502007618c31aadb7469b1f</v>
      </c>
      <c r="D209" s="23" t="str">
        <f t="shared" si="1"/>
        <v>#DIV/0!</v>
      </c>
      <c r="F209" s="45"/>
      <c r="H209" s="45"/>
      <c r="J209" s="45"/>
    </row>
    <row r="210">
      <c r="A210" s="22" t="s">
        <v>617</v>
      </c>
      <c r="B210" s="21" t="str">
        <f t="shared" si="4"/>
        <v>#DIV/0!</v>
      </c>
      <c r="C210" s="21" t="str">
        <f>VLOOKUP(A210, hash!A$2:B$500, 2, 0)</f>
        <v>#N/A</v>
      </c>
      <c r="D210" s="23" t="str">
        <f t="shared" si="1"/>
        <v>#DIV/0!</v>
      </c>
      <c r="F210" s="45"/>
      <c r="H210" s="45"/>
      <c r="J210" s="45"/>
    </row>
    <row r="211">
      <c r="A211" s="22" t="s">
        <v>154</v>
      </c>
      <c r="B211" s="21" t="str">
        <f t="shared" si="4"/>
        <v>#DIV/0!</v>
      </c>
      <c r="C211" s="21" t="str">
        <f>VLOOKUP(A211, hash!A$2:B$500, 2, 0)</f>
        <v>6502008357ae167867eac228</v>
      </c>
      <c r="D211" s="23" t="str">
        <f t="shared" si="1"/>
        <v>#DIV/0!</v>
      </c>
      <c r="F211" s="45"/>
      <c r="H211" s="45"/>
      <c r="J211" s="45"/>
    </row>
    <row r="212">
      <c r="A212" s="22" t="s">
        <v>155</v>
      </c>
      <c r="B212" s="21" t="str">
        <f t="shared" si="4"/>
        <v>#DIV/0!</v>
      </c>
      <c r="C212" s="21" t="str">
        <f>VLOOKUP(A212, hash!A$2:B$500, 2, 0)</f>
        <v>650200931d8cbbbd315ad536</v>
      </c>
      <c r="D212" s="23" t="str">
        <f t="shared" si="1"/>
        <v>#DIV/0!</v>
      </c>
      <c r="F212" s="45"/>
      <c r="H212" s="45"/>
      <c r="J212" s="45"/>
    </row>
    <row r="213">
      <c r="A213" s="22" t="s">
        <v>156</v>
      </c>
      <c r="B213" s="21" t="str">
        <f t="shared" si="4"/>
        <v>#DIV/0!</v>
      </c>
      <c r="C213" s="21" t="str">
        <f>VLOOKUP(A213, hash!A$2:B$500, 2, 0)</f>
        <v>65020bcc03dd812a55d3a1fd</v>
      </c>
      <c r="D213" s="23" t="str">
        <f t="shared" si="1"/>
        <v>#DIV/0!</v>
      </c>
      <c r="F213" s="45"/>
      <c r="H213" s="45"/>
      <c r="J213" s="45"/>
    </row>
    <row r="214">
      <c r="A214" s="22" t="s">
        <v>157</v>
      </c>
      <c r="B214" s="21" t="str">
        <f t="shared" si="4"/>
        <v>#DIV/0!</v>
      </c>
      <c r="C214" s="21" t="str">
        <f>VLOOKUP(A214, hash!A$2:B$500, 2, 0)</f>
        <v>65020bcd03dd812a55d3a1fe</v>
      </c>
      <c r="D214" s="23" t="str">
        <f t="shared" si="1"/>
        <v>#DIV/0!</v>
      </c>
      <c r="F214" s="45"/>
      <c r="H214" s="45"/>
      <c r="J214" s="45"/>
    </row>
    <row r="215">
      <c r="A215" s="22" t="s">
        <v>158</v>
      </c>
      <c r="B215" s="21" t="str">
        <f t="shared" si="4"/>
        <v>#DIV/0!</v>
      </c>
      <c r="C215" s="21" t="str">
        <f>VLOOKUP(A215, hash!A$2:B$500, 2, 0)</f>
        <v>65020bcf8f2b101294bb3da0</v>
      </c>
      <c r="D215" s="23" t="str">
        <f t="shared" si="1"/>
        <v>#DIV/0!</v>
      </c>
      <c r="F215" s="45"/>
      <c r="H215" s="45"/>
      <c r="J215" s="45"/>
    </row>
    <row r="216">
      <c r="A216" s="22" t="s">
        <v>159</v>
      </c>
      <c r="B216" s="21" t="str">
        <f t="shared" si="4"/>
        <v>#DIV/0!</v>
      </c>
      <c r="C216" s="21" t="str">
        <f>VLOOKUP(A216, hash!A$2:B$500, 2, 0)</f>
        <v>65020bd28f2b101294bb3da1</v>
      </c>
      <c r="D216" s="23" t="str">
        <f t="shared" si="1"/>
        <v>#DIV/0!</v>
      </c>
      <c r="F216" s="45"/>
      <c r="H216" s="45"/>
      <c r="J216" s="45"/>
    </row>
    <row r="217">
      <c r="A217" s="22" t="s">
        <v>160</v>
      </c>
      <c r="B217" s="21" t="str">
        <f t="shared" si="4"/>
        <v>#DIV/0!</v>
      </c>
      <c r="C217" s="21" t="str">
        <f>VLOOKUP(A217, hash!A$2:B$500, 2, 0)</f>
        <v>65020bd203dd812a55d3a1ff</v>
      </c>
      <c r="D217" s="23" t="str">
        <f t="shared" si="1"/>
        <v>#DIV/0!</v>
      </c>
      <c r="F217" s="45"/>
      <c r="H217" s="45"/>
      <c r="J217" s="45"/>
    </row>
    <row r="218">
      <c r="A218" s="22" t="s">
        <v>161</v>
      </c>
      <c r="B218" s="21" t="str">
        <f t="shared" si="4"/>
        <v>#DIV/0!</v>
      </c>
      <c r="C218" s="21" t="str">
        <f>VLOOKUP(A218, hash!A$2:B$500, 2, 0)</f>
        <v>65020bd2967e3c86d1681e9e</v>
      </c>
      <c r="D218" s="23" t="str">
        <f t="shared" si="1"/>
        <v>#DIV/0!</v>
      </c>
      <c r="F218" s="45"/>
      <c r="H218" s="45"/>
      <c r="J218" s="45"/>
    </row>
    <row r="219">
      <c r="A219" s="22" t="s">
        <v>93</v>
      </c>
      <c r="B219" s="21" t="str">
        <f t="shared" si="4"/>
        <v>#DIV/0!</v>
      </c>
      <c r="C219" s="21" t="str">
        <f>VLOOKUP(A219, hash!A$2:B$500, 2, 0)</f>
        <v>65020bd203dd812a55d3a200</v>
      </c>
      <c r="D219" s="23" t="str">
        <f t="shared" si="1"/>
        <v>#DIV/0!</v>
      </c>
      <c r="F219" s="27"/>
      <c r="H219" s="27"/>
      <c r="J219" s="27"/>
    </row>
    <row r="220">
      <c r="A220" s="22" t="s">
        <v>162</v>
      </c>
      <c r="B220" s="21" t="str">
        <f t="shared" si="4"/>
        <v>#DIV/0!</v>
      </c>
      <c r="C220" s="21" t="str">
        <f>VLOOKUP(A220, hash!A$2:B$500, 2, 0)</f>
        <v>65020bdb03dd812a55d3a202</v>
      </c>
      <c r="D220" s="23" t="str">
        <f t="shared" si="1"/>
        <v>#DIV/0!</v>
      </c>
      <c r="F220" s="45"/>
      <c r="H220" s="45"/>
      <c r="J220" s="45"/>
    </row>
    <row r="221">
      <c r="A221" s="22" t="s">
        <v>163</v>
      </c>
      <c r="B221" s="21" t="str">
        <f t="shared" si="4"/>
        <v>#DIV/0!</v>
      </c>
      <c r="C221" s="21" t="str">
        <f>VLOOKUP(A221, hash!A$2:B$500, 2, 0)</f>
        <v>65020bde03dd812a55d3a203</v>
      </c>
      <c r="D221" s="23" t="str">
        <f t="shared" si="1"/>
        <v>#DIV/0!</v>
      </c>
      <c r="F221" s="45"/>
      <c r="H221" s="45"/>
      <c r="J221" s="45"/>
    </row>
    <row r="222">
      <c r="A222" s="22" t="s">
        <v>164</v>
      </c>
      <c r="B222" s="21" t="str">
        <f t="shared" si="4"/>
        <v>#DIV/0!</v>
      </c>
      <c r="C222" s="21" t="str">
        <f>VLOOKUP(A222, hash!A$2:B$500, 2, 0)</f>
        <v>65020be303dd812a55d3a205</v>
      </c>
      <c r="D222" s="23" t="str">
        <f t="shared" si="1"/>
        <v>#DIV/0!</v>
      </c>
      <c r="F222" s="45"/>
      <c r="H222" s="45"/>
      <c r="J222" s="45"/>
    </row>
    <row r="223">
      <c r="A223" s="22" t="s">
        <v>165</v>
      </c>
      <c r="B223" s="21" t="str">
        <f t="shared" si="4"/>
        <v>#DIV/0!</v>
      </c>
      <c r="C223" s="21" t="str">
        <f>VLOOKUP(A223, hash!A$2:B$500, 2, 0)</f>
        <v>65020be48f2b101294bb3da4</v>
      </c>
      <c r="D223" s="23" t="str">
        <f t="shared" si="1"/>
        <v>#DIV/0!</v>
      </c>
      <c r="F223" s="45"/>
      <c r="H223" s="45"/>
      <c r="J223" s="45"/>
    </row>
    <row r="224">
      <c r="A224" s="22" t="s">
        <v>166</v>
      </c>
      <c r="B224" s="21" t="str">
        <f t="shared" si="4"/>
        <v>#DIV/0!</v>
      </c>
      <c r="C224" s="21" t="str">
        <f>VLOOKUP(A224, hash!A$2:B$500, 2, 0)</f>
        <v>65020be58f2b101294bb3da6</v>
      </c>
      <c r="D224" s="23" t="str">
        <f t="shared" si="1"/>
        <v>#DIV/0!</v>
      </c>
      <c r="F224" s="45"/>
      <c r="H224" s="45"/>
      <c r="J224" s="45"/>
    </row>
    <row r="225">
      <c r="A225" s="22" t="s">
        <v>167</v>
      </c>
      <c r="B225" s="21" t="str">
        <f t="shared" si="4"/>
        <v>#DIV/0!</v>
      </c>
      <c r="C225" s="21" t="str">
        <f>VLOOKUP(A225, hash!A$2:B$500, 2, 0)</f>
        <v>65020be68f2b101294bb3da7</v>
      </c>
      <c r="D225" s="23" t="str">
        <f t="shared" si="1"/>
        <v>#DIV/0!</v>
      </c>
      <c r="F225" s="45"/>
      <c r="H225" s="45"/>
      <c r="J225" s="45"/>
    </row>
    <row r="226">
      <c r="A226" s="24" t="s">
        <v>618</v>
      </c>
      <c r="B226" s="21" t="str">
        <f t="shared" si="4"/>
        <v>#DIV/0!</v>
      </c>
      <c r="C226" s="21" t="str">
        <f>VLOOKUP(A226, hash!A$2:B$500, 2, 0)</f>
        <v>#N/A</v>
      </c>
      <c r="D226" s="23" t="str">
        <f t="shared" si="1"/>
        <v>#DIV/0!</v>
      </c>
      <c r="F226" s="45"/>
      <c r="H226" s="45"/>
      <c r="J226" s="45"/>
    </row>
    <row r="227">
      <c r="A227" s="22" t="s">
        <v>168</v>
      </c>
      <c r="B227" s="21" t="str">
        <f t="shared" si="4"/>
        <v>#DIV/0!</v>
      </c>
      <c r="C227" s="21" t="str">
        <f>VLOOKUP(A227, hash!A$2:B$500, 2, 0)</f>
        <v>65020bec8f2b101294bb3da9</v>
      </c>
      <c r="D227" s="23" t="str">
        <f t="shared" si="1"/>
        <v>#DIV/0!</v>
      </c>
      <c r="F227" s="45"/>
      <c r="H227" s="45"/>
      <c r="J227" s="45"/>
    </row>
    <row r="228">
      <c r="A228" s="22" t="s">
        <v>169</v>
      </c>
      <c r="B228" s="21" t="str">
        <f t="shared" si="4"/>
        <v>#DIV/0!</v>
      </c>
      <c r="C228" s="21" t="str">
        <f>VLOOKUP(A228, hash!A$2:B$500, 2, 0)</f>
        <v>65020bf103dd812a55d3a208</v>
      </c>
      <c r="D228" s="23" t="str">
        <f t="shared" si="1"/>
        <v>#DIV/0!</v>
      </c>
      <c r="F228" s="45"/>
      <c r="H228" s="45"/>
      <c r="J228" s="45"/>
    </row>
    <row r="229">
      <c r="A229" s="22" t="s">
        <v>170</v>
      </c>
      <c r="B229" s="21" t="str">
        <f t="shared" si="4"/>
        <v>#DIV/0!</v>
      </c>
      <c r="C229" s="21" t="str">
        <f>VLOOKUP(A229, hash!A$2:B$500, 2, 0)</f>
        <v>65020bf203dd812a55d3a209</v>
      </c>
      <c r="D229" s="23" t="str">
        <f t="shared" si="1"/>
        <v>#DIV/0!</v>
      </c>
      <c r="F229" s="45"/>
      <c r="H229" s="45"/>
      <c r="J229" s="45"/>
    </row>
    <row r="230">
      <c r="A230" s="22" t="s">
        <v>171</v>
      </c>
      <c r="B230" s="21" t="str">
        <f t="shared" si="4"/>
        <v>#DIV/0!</v>
      </c>
      <c r="C230" s="21" t="str">
        <f>VLOOKUP(A230, hash!A$2:B$500, 2, 0)</f>
        <v>65020bf603dd812a55d3a20a</v>
      </c>
      <c r="D230" s="23" t="str">
        <f t="shared" si="1"/>
        <v>#DIV/0!</v>
      </c>
      <c r="F230" s="45"/>
      <c r="H230" s="45"/>
      <c r="J230" s="45"/>
    </row>
    <row r="231">
      <c r="A231" s="22" t="s">
        <v>172</v>
      </c>
      <c r="B231" s="21" t="str">
        <f t="shared" si="4"/>
        <v>#DIV/0!</v>
      </c>
      <c r="C231" s="21" t="str">
        <f>VLOOKUP(A231, hash!A$2:B$500, 2, 0)</f>
        <v>65020bf8097ac3c9d063264a</v>
      </c>
      <c r="D231" s="23" t="str">
        <f t="shared" si="1"/>
        <v>#DIV/0!</v>
      </c>
      <c r="F231" s="45"/>
      <c r="H231" s="45"/>
      <c r="J231" s="45"/>
    </row>
    <row r="232">
      <c r="A232" s="22" t="s">
        <v>619</v>
      </c>
      <c r="B232" s="21" t="str">
        <f t="shared" si="4"/>
        <v>#DIV/0!</v>
      </c>
      <c r="C232" s="21" t="str">
        <f>VLOOKUP(A232, hash!A$2:B$500, 2, 0)</f>
        <v>#N/A</v>
      </c>
      <c r="D232" s="23" t="str">
        <f t="shared" si="1"/>
        <v>#DIV/0!</v>
      </c>
      <c r="F232" s="45"/>
      <c r="H232" s="45"/>
      <c r="J232" s="45"/>
    </row>
    <row r="233">
      <c r="A233" s="22" t="s">
        <v>173</v>
      </c>
      <c r="B233" s="21" t="str">
        <f t="shared" si="4"/>
        <v>#DIV/0!</v>
      </c>
      <c r="C233" s="21" t="str">
        <f>VLOOKUP(A233, hash!A$2:B$500, 2, 0)</f>
        <v>65020bfb097ac3c9d063264c</v>
      </c>
      <c r="D233" s="23" t="str">
        <f t="shared" si="1"/>
        <v>#DIV/0!</v>
      </c>
      <c r="F233" s="27"/>
      <c r="H233" s="27"/>
      <c r="J233" s="27"/>
    </row>
    <row r="234">
      <c r="A234" s="22" t="s">
        <v>174</v>
      </c>
      <c r="B234" s="21" t="str">
        <f t="shared" si="4"/>
        <v>#DIV/0!</v>
      </c>
      <c r="C234" s="21" t="str">
        <f>VLOOKUP(A234, hash!A$2:B$500, 2, 0)</f>
        <v>65020bfc097ac3c9d063264e</v>
      </c>
      <c r="D234" s="23" t="str">
        <f t="shared" si="1"/>
        <v>#DIV/0!</v>
      </c>
      <c r="F234" s="45"/>
      <c r="H234" s="45"/>
      <c r="J234" s="45"/>
    </row>
    <row r="235">
      <c r="A235" s="22" t="s">
        <v>23</v>
      </c>
      <c r="B235" s="21" t="str">
        <f t="shared" si="4"/>
        <v>#DIV/0!</v>
      </c>
      <c r="C235" s="21" t="str">
        <f>VLOOKUP(A235, hash!A$2:B$500, 2, 0)</f>
        <v>65020bfe097ac3c9d063264f</v>
      </c>
      <c r="D235" s="23" t="str">
        <f t="shared" si="1"/>
        <v>#DIV/0!</v>
      </c>
      <c r="F235" s="27"/>
      <c r="H235" s="27"/>
      <c r="J235" s="27"/>
    </row>
    <row r="236">
      <c r="A236" s="22" t="s">
        <v>175</v>
      </c>
      <c r="B236" s="21" t="str">
        <f t="shared" si="4"/>
        <v>#DIV/0!</v>
      </c>
      <c r="C236" s="21" t="str">
        <f>VLOOKUP(A236, hash!A$2:B$500, 2, 0)</f>
        <v>65020c00097ac3c9d0632650</v>
      </c>
      <c r="D236" s="23" t="str">
        <f t="shared" si="1"/>
        <v>#DIV/0!</v>
      </c>
      <c r="F236" s="45"/>
      <c r="H236" s="45"/>
      <c r="J236" s="45"/>
    </row>
    <row r="237">
      <c r="A237" s="22" t="s">
        <v>176</v>
      </c>
      <c r="B237" s="21" t="str">
        <f t="shared" si="4"/>
        <v>#DIV/0!</v>
      </c>
      <c r="C237" s="21" t="str">
        <f>VLOOKUP(A237, hash!A$2:B$500, 2, 0)</f>
        <v>65020c058f2b101294bb3daa</v>
      </c>
      <c r="D237" s="23" t="str">
        <f t="shared" si="1"/>
        <v>#DIV/0!</v>
      </c>
      <c r="F237" s="45"/>
      <c r="H237" s="45"/>
      <c r="J237" s="45"/>
    </row>
    <row r="238">
      <c r="A238" s="22" t="s">
        <v>177</v>
      </c>
      <c r="B238" s="21" t="str">
        <f t="shared" si="4"/>
        <v>#DIV/0!</v>
      </c>
      <c r="C238" s="21" t="str">
        <f>VLOOKUP(A238, hash!A$2:B$500, 2, 0)</f>
        <v>65020c068f2b101294bb3dab</v>
      </c>
      <c r="D238" s="23" t="str">
        <f t="shared" si="1"/>
        <v>#DIV/0!</v>
      </c>
      <c r="F238" s="45"/>
      <c r="H238" s="45"/>
      <c r="J238" s="45"/>
    </row>
    <row r="239">
      <c r="A239" s="22" t="s">
        <v>178</v>
      </c>
      <c r="B239" s="21" t="str">
        <f t="shared" si="4"/>
        <v>#DIV/0!</v>
      </c>
      <c r="C239" s="21" t="str">
        <f>VLOOKUP(A239, hash!A$2:B$500, 2, 0)</f>
        <v>65020c06097ac3c9d0632652</v>
      </c>
      <c r="D239" s="23" t="str">
        <f t="shared" si="1"/>
        <v>#DIV/0!</v>
      </c>
      <c r="F239" s="45"/>
      <c r="H239" s="45"/>
      <c r="J239" s="45"/>
    </row>
    <row r="240">
      <c r="A240" s="22" t="s">
        <v>179</v>
      </c>
      <c r="B240" s="21" t="str">
        <f t="shared" si="4"/>
        <v>#DIV/0!</v>
      </c>
      <c r="C240" s="21" t="str">
        <f>VLOOKUP(A240, hash!A$2:B$500, 2, 0)</f>
        <v>65020c088f2b101294bb3dad</v>
      </c>
      <c r="D240" s="23" t="str">
        <f t="shared" si="1"/>
        <v>#DIV/0!</v>
      </c>
      <c r="F240" s="27"/>
      <c r="H240" s="27"/>
      <c r="J240" s="27"/>
    </row>
    <row r="241">
      <c r="A241" s="22" t="s">
        <v>180</v>
      </c>
      <c r="B241" s="21" t="str">
        <f t="shared" si="4"/>
        <v>#DIV/0!</v>
      </c>
      <c r="C241" s="21" t="str">
        <f>VLOOKUP(A241, hash!A$2:B$500, 2, 0)</f>
        <v>65020c0f03dd812a55d3a20d</v>
      </c>
      <c r="D241" s="23" t="str">
        <f t="shared" si="1"/>
        <v>#DIV/0!</v>
      </c>
      <c r="F241" s="45"/>
      <c r="H241" s="45"/>
      <c r="J241" s="45"/>
    </row>
    <row r="242">
      <c r="A242" s="22" t="s">
        <v>181</v>
      </c>
      <c r="B242" s="21" t="str">
        <f t="shared" si="4"/>
        <v>#DIV/0!</v>
      </c>
      <c r="C242" s="21" t="str">
        <f>VLOOKUP(A242, hash!A$2:B$500, 2, 0)</f>
        <v>65020c158f2b101294bb3daf</v>
      </c>
      <c r="D242" s="23" t="str">
        <f t="shared" si="1"/>
        <v>#DIV/0!</v>
      </c>
      <c r="F242" s="45"/>
      <c r="H242" s="45"/>
      <c r="J242" s="45"/>
    </row>
    <row r="243">
      <c r="A243" s="22" t="s">
        <v>182</v>
      </c>
      <c r="B243" s="21" t="str">
        <f t="shared" si="4"/>
        <v>#DIV/0!</v>
      </c>
      <c r="C243" s="21" t="str">
        <f>VLOOKUP(A243, hash!A$2:B$500, 2, 0)</f>
        <v>65020c188f2b101294bb3db0</v>
      </c>
      <c r="D243" s="23" t="str">
        <f t="shared" si="1"/>
        <v>#DIV/0!</v>
      </c>
      <c r="F243" s="45"/>
      <c r="H243" s="45"/>
      <c r="J243" s="45"/>
    </row>
    <row r="244">
      <c r="A244" s="22" t="s">
        <v>620</v>
      </c>
      <c r="B244" s="21" t="str">
        <f t="shared" si="4"/>
        <v>#DIV/0!</v>
      </c>
      <c r="C244" s="21" t="str">
        <f>VLOOKUP(A244, hash!A$2:B$500, 2, 0)</f>
        <v>#N/A</v>
      </c>
      <c r="D244" s="23" t="str">
        <f t="shared" si="1"/>
        <v>#DIV/0!</v>
      </c>
      <c r="F244" s="45"/>
      <c r="H244" s="45"/>
      <c r="J244" s="45"/>
    </row>
    <row r="245">
      <c r="A245" s="22" t="s">
        <v>183</v>
      </c>
      <c r="B245" s="21" t="str">
        <f t="shared" si="4"/>
        <v>#DIV/0!</v>
      </c>
      <c r="C245" s="21" t="str">
        <f>VLOOKUP(A245, hash!A$2:B$500, 2, 0)</f>
        <v>65020c5b097ac3c9d0632661</v>
      </c>
      <c r="D245" s="23" t="str">
        <f t="shared" si="1"/>
        <v>#DIV/0!</v>
      </c>
      <c r="F245" s="45"/>
      <c r="H245" s="45"/>
      <c r="J245" s="45"/>
    </row>
    <row r="246">
      <c r="A246" s="22" t="s">
        <v>184</v>
      </c>
      <c r="B246" s="21" t="str">
        <f t="shared" si="4"/>
        <v>#DIV/0!</v>
      </c>
      <c r="C246" s="21" t="str">
        <f>VLOOKUP(A246, hash!A$2:B$500, 2, 0)</f>
        <v>65020cea8f2b101294bb3dbe</v>
      </c>
      <c r="D246" s="23" t="str">
        <f t="shared" si="1"/>
        <v>#DIV/0!</v>
      </c>
      <c r="F246" s="45"/>
      <c r="H246" s="45"/>
      <c r="J246" s="45"/>
    </row>
    <row r="247">
      <c r="A247" s="22" t="s">
        <v>185</v>
      </c>
      <c r="B247" s="21" t="str">
        <f t="shared" si="4"/>
        <v>#DIV/0!</v>
      </c>
      <c r="C247" s="21" t="str">
        <f>VLOOKUP(A247, hash!A$2:B$500, 2, 0)</f>
        <v>65020d4b097ac3c9d063266a</v>
      </c>
      <c r="D247" s="23" t="str">
        <f t="shared" si="1"/>
        <v>#DIV/0!</v>
      </c>
      <c r="F247" s="45"/>
      <c r="H247" s="45"/>
      <c r="J247" s="45"/>
    </row>
    <row r="248">
      <c r="A248" s="22" t="s">
        <v>88</v>
      </c>
      <c r="B248" s="21" t="str">
        <f t="shared" si="4"/>
        <v>#DIV/0!</v>
      </c>
      <c r="C248" s="21" t="str">
        <f>VLOOKUP(A248, hash!A$2:B$500, 2, 0)</f>
        <v>65020d65097ac3c9d063266d</v>
      </c>
      <c r="D248" s="23" t="str">
        <f t="shared" si="1"/>
        <v>#DIV/0!</v>
      </c>
      <c r="F248" s="27"/>
      <c r="H248" s="27"/>
      <c r="J248" s="27"/>
    </row>
    <row r="249">
      <c r="A249" s="22" t="s">
        <v>186</v>
      </c>
      <c r="B249" s="21" t="str">
        <f t="shared" si="4"/>
        <v>#DIV/0!</v>
      </c>
      <c r="C249" s="21" t="str">
        <f>VLOOKUP(A249, hash!A$2:B$500, 2, 0)</f>
        <v>65044a78c61c6a809dc7166a</v>
      </c>
      <c r="D249" s="23" t="str">
        <f t="shared" si="1"/>
        <v>#DIV/0!</v>
      </c>
      <c r="F249" s="45"/>
      <c r="H249" s="45"/>
      <c r="J249" s="45"/>
    </row>
    <row r="250">
      <c r="A250" s="22" t="s">
        <v>187</v>
      </c>
      <c r="B250" s="21" t="str">
        <f t="shared" si="4"/>
        <v>#DIV/0!</v>
      </c>
      <c r="C250" s="21" t="str">
        <f>VLOOKUP(A250, hash!A$2:B$500, 2, 0)</f>
        <v>650b3a05831593811cfcd7a6</v>
      </c>
      <c r="D250" s="23" t="str">
        <f t="shared" si="1"/>
        <v>#DIV/0!</v>
      </c>
      <c r="F250" s="45"/>
      <c r="H250" s="45"/>
      <c r="J250" s="45"/>
    </row>
    <row r="251">
      <c r="A251" s="22" t="s">
        <v>188</v>
      </c>
      <c r="B251" s="21" t="str">
        <f t="shared" si="4"/>
        <v>#DIV/0!</v>
      </c>
      <c r="C251" s="21" t="str">
        <f>VLOOKUP(A251, hash!A$2:B$500, 2, 0)</f>
        <v>650b3a079d801acd9fe283a1</v>
      </c>
      <c r="D251" s="23" t="str">
        <f t="shared" si="1"/>
        <v>#DIV/0!</v>
      </c>
      <c r="F251" s="45"/>
      <c r="H251" s="45"/>
      <c r="J251" s="45"/>
    </row>
    <row r="252">
      <c r="A252" s="22" t="s">
        <v>189</v>
      </c>
      <c r="B252" s="21" t="str">
        <f t="shared" si="4"/>
        <v>#DIV/0!</v>
      </c>
      <c r="C252" s="21" t="str">
        <f>VLOOKUP(A252, hash!A$2:B$500, 2, 0)</f>
        <v>650b3a09ed7955a527757145</v>
      </c>
      <c r="D252" s="23" t="str">
        <f t="shared" si="1"/>
        <v>#DIV/0!</v>
      </c>
      <c r="F252" s="45"/>
      <c r="H252" s="45"/>
      <c r="J252" s="45"/>
    </row>
    <row r="253">
      <c r="A253" s="22" t="s">
        <v>190</v>
      </c>
      <c r="B253" s="21" t="str">
        <f t="shared" si="4"/>
        <v>#DIV/0!</v>
      </c>
      <c r="C253" s="21" t="str">
        <f>VLOOKUP(A253, hash!A$2:B$500, 2, 0)</f>
        <v>650b3a0ded7955a527757147</v>
      </c>
      <c r="D253" s="23" t="str">
        <f t="shared" si="1"/>
        <v>#DIV/0!</v>
      </c>
      <c r="F253" s="45"/>
      <c r="H253" s="45"/>
      <c r="J253" s="45"/>
    </row>
    <row r="254">
      <c r="A254" s="22" t="s">
        <v>191</v>
      </c>
      <c r="B254" s="21" t="str">
        <f t="shared" si="4"/>
        <v>#DIV/0!</v>
      </c>
      <c r="C254" s="21" t="str">
        <f>VLOOKUP(A254, hash!A$2:B$500, 2, 0)</f>
        <v>650b3a0eacb6c663527423b7</v>
      </c>
      <c r="D254" s="23" t="str">
        <f t="shared" si="1"/>
        <v>#DIV/0!</v>
      </c>
      <c r="F254" s="45"/>
      <c r="H254" s="45"/>
      <c r="J254" s="45"/>
    </row>
    <row r="255">
      <c r="A255" s="22" t="s">
        <v>192</v>
      </c>
      <c r="B255" s="21" t="str">
        <f t="shared" si="4"/>
        <v>#DIV/0!</v>
      </c>
      <c r="C255" s="21" t="str">
        <f>VLOOKUP(A255, hash!A$2:B$500, 2, 0)</f>
        <v>650b3a0e9d801acd9fe283a2</v>
      </c>
      <c r="D255" s="23" t="str">
        <f t="shared" si="1"/>
        <v>#DIV/0!</v>
      </c>
      <c r="F255" s="45"/>
      <c r="H255" s="45"/>
      <c r="J255" s="45"/>
    </row>
    <row r="256">
      <c r="A256" s="22" t="s">
        <v>193</v>
      </c>
      <c r="B256" s="21" t="str">
        <f t="shared" si="4"/>
        <v>#DIV/0!</v>
      </c>
      <c r="C256" s="21" t="str">
        <f>VLOOKUP(A256, hash!A$2:B$500, 2, 0)</f>
        <v>650b3a15ed7955a527757149</v>
      </c>
      <c r="D256" s="23" t="str">
        <f t="shared" si="1"/>
        <v>#DIV/0!</v>
      </c>
      <c r="F256" s="45"/>
      <c r="H256" s="45"/>
      <c r="J256" s="45"/>
    </row>
    <row r="257">
      <c r="A257" s="22" t="s">
        <v>194</v>
      </c>
      <c r="B257" s="21" t="str">
        <f t="shared" si="4"/>
        <v>#DIV/0!</v>
      </c>
      <c r="C257" s="21" t="str">
        <f>VLOOKUP(A257, hash!A$2:B$500, 2, 0)</f>
        <v>650b3a1ced7955a52775714b</v>
      </c>
      <c r="D257" s="23" t="str">
        <f t="shared" si="1"/>
        <v>#DIV/0!</v>
      </c>
      <c r="F257" s="45"/>
      <c r="H257" s="45"/>
      <c r="J257" s="45"/>
    </row>
    <row r="258">
      <c r="A258" s="22" t="s">
        <v>195</v>
      </c>
      <c r="B258" s="21" t="str">
        <f t="shared" si="4"/>
        <v>#DIV/0!</v>
      </c>
      <c r="C258" s="21" t="str">
        <f>VLOOKUP(A258, hash!A$2:B$500, 2, 0)</f>
        <v>650b3a9e41c634acd2e8f3d0</v>
      </c>
      <c r="D258" s="23" t="str">
        <f t="shared" si="1"/>
        <v>#DIV/0!</v>
      </c>
      <c r="F258" s="45"/>
      <c r="H258" s="45"/>
      <c r="J258" s="45"/>
    </row>
    <row r="259">
      <c r="A259" s="22" t="s">
        <v>196</v>
      </c>
      <c r="B259" s="21" t="str">
        <f t="shared" si="4"/>
        <v>#DIV/0!</v>
      </c>
      <c r="C259" s="21" t="str">
        <f>VLOOKUP(A259, hash!A$2:B$500, 2, 0)</f>
        <v>650b40c463d8964b8e363b3b</v>
      </c>
      <c r="D259" s="23" t="str">
        <f t="shared" si="1"/>
        <v>#DIV/0!</v>
      </c>
      <c r="F259" s="45"/>
      <c r="H259" s="45"/>
      <c r="J259" s="45"/>
    </row>
    <row r="260">
      <c r="A260" s="22" t="s">
        <v>197</v>
      </c>
      <c r="B260" s="21" t="str">
        <f t="shared" si="4"/>
        <v>#DIV/0!</v>
      </c>
      <c r="C260" s="21" t="str">
        <f>VLOOKUP(A260, hash!A$2:B$500, 2, 0)</f>
        <v>650b40ce63d8964b8e363b3d</v>
      </c>
      <c r="D260" s="23" t="str">
        <f t="shared" si="1"/>
        <v>#DIV/0!</v>
      </c>
      <c r="F260" s="45"/>
      <c r="H260" s="45"/>
      <c r="J260" s="45"/>
    </row>
    <row r="261">
      <c r="A261" s="22" t="s">
        <v>198</v>
      </c>
      <c r="B261" s="21" t="str">
        <f t="shared" si="4"/>
        <v>#DIV/0!</v>
      </c>
      <c r="C261" s="21" t="str">
        <f>VLOOKUP(A261, hash!A$2:B$500, 2, 0)</f>
        <v>650b446c63d8964b8e363b40</v>
      </c>
      <c r="D261" s="23" t="str">
        <f t="shared" si="1"/>
        <v>#DIV/0!</v>
      </c>
      <c r="F261" s="45"/>
      <c r="H261" s="45"/>
      <c r="J261" s="45"/>
    </row>
    <row r="262">
      <c r="A262" s="22" t="s">
        <v>199</v>
      </c>
      <c r="B262" s="21" t="str">
        <f t="shared" si="4"/>
        <v>#DIV/0!</v>
      </c>
      <c r="C262" s="21" t="str">
        <f>VLOOKUP(A262, hash!A$2:B$500, 2, 0)</f>
        <v>650b44847b17d110a03d7208</v>
      </c>
      <c r="D262" s="23" t="str">
        <f t="shared" si="1"/>
        <v>#DIV/0!</v>
      </c>
      <c r="F262" s="45"/>
      <c r="H262" s="45"/>
      <c r="J262" s="45"/>
    </row>
    <row r="263">
      <c r="A263" s="22" t="s">
        <v>200</v>
      </c>
      <c r="B263" s="21" t="str">
        <f t="shared" si="4"/>
        <v>#DIV/0!</v>
      </c>
      <c r="C263" s="21" t="str">
        <f>VLOOKUP(A263, hash!A$2:B$500, 2, 0)</f>
        <v>650b44997b17d110a03d7209</v>
      </c>
      <c r="D263" s="23" t="str">
        <f t="shared" si="1"/>
        <v>#DIV/0!</v>
      </c>
      <c r="F263" s="45"/>
      <c r="H263" s="45"/>
      <c r="J263" s="45"/>
    </row>
    <row r="264">
      <c r="A264" s="22" t="s">
        <v>201</v>
      </c>
      <c r="B264" s="21" t="str">
        <f t="shared" si="4"/>
        <v>#DIV/0!</v>
      </c>
      <c r="C264" s="21" t="str">
        <f>VLOOKUP(A264, hash!A$2:B$500, 2, 0)</f>
        <v>650b45dd0df4236622e51063</v>
      </c>
      <c r="D264" s="23" t="str">
        <f t="shared" si="1"/>
        <v>#DIV/0!</v>
      </c>
      <c r="F264" s="45"/>
      <c r="H264" s="45"/>
      <c r="J264" s="45"/>
    </row>
    <row r="265">
      <c r="A265" s="22" t="s">
        <v>202</v>
      </c>
      <c r="B265" s="21" t="str">
        <f t="shared" si="4"/>
        <v>#DIV/0!</v>
      </c>
      <c r="C265" s="21" t="str">
        <f>VLOOKUP(A265, hash!A$2:B$500, 2, 0)</f>
        <v>650b461a1798582bd25e6f14</v>
      </c>
      <c r="D265" s="23" t="str">
        <f t="shared" si="1"/>
        <v>#DIV/0!</v>
      </c>
      <c r="F265" s="45"/>
      <c r="H265" s="45"/>
      <c r="J265" s="45"/>
    </row>
    <row r="266">
      <c r="A266" s="22" t="s">
        <v>203</v>
      </c>
      <c r="B266" s="21" t="str">
        <f t="shared" si="4"/>
        <v>#DIV/0!</v>
      </c>
      <c r="C266" s="21" t="str">
        <f>VLOOKUP(A266, hash!A$2:B$500, 2, 0)</f>
        <v>650b466f0ebdcd576cc45c6f</v>
      </c>
      <c r="D266" s="23" t="str">
        <f t="shared" si="1"/>
        <v>#DIV/0!</v>
      </c>
      <c r="F266" s="45"/>
      <c r="H266" s="45"/>
      <c r="J266" s="45"/>
    </row>
    <row r="267">
      <c r="A267" s="22" t="s">
        <v>204</v>
      </c>
      <c r="B267" s="21" t="str">
        <f t="shared" si="4"/>
        <v>#DIV/0!</v>
      </c>
      <c r="C267" s="21" t="str">
        <f>VLOOKUP(A267, hash!A$2:B$500, 2, 0)</f>
        <v>650b46820ebdcd576cc45c70</v>
      </c>
      <c r="D267" s="23" t="str">
        <f t="shared" si="1"/>
        <v>#DIV/0!</v>
      </c>
      <c r="F267" s="45"/>
      <c r="H267" s="45"/>
      <c r="J267" s="45"/>
    </row>
    <row r="268">
      <c r="A268" s="22" t="s">
        <v>205</v>
      </c>
      <c r="B268" s="21" t="str">
        <f t="shared" si="4"/>
        <v>#DIV/0!</v>
      </c>
      <c r="C268" s="21" t="str">
        <f>VLOOKUP(A268, hash!A$2:B$500, 2, 0)</f>
        <v>650b477d7b17d110a03d7221</v>
      </c>
      <c r="D268" s="23" t="str">
        <f t="shared" si="1"/>
        <v>#DIV/0!</v>
      </c>
      <c r="F268" s="45"/>
      <c r="H268" s="45"/>
      <c r="J268" s="45"/>
    </row>
    <row r="269">
      <c r="A269" s="22" t="s">
        <v>621</v>
      </c>
      <c r="B269" s="21" t="str">
        <f t="shared" si="4"/>
        <v>#DIV/0!</v>
      </c>
      <c r="C269" s="21" t="str">
        <f>VLOOKUP(A269, hash!A$2:B$500, 2, 0)</f>
        <v>#N/A</v>
      </c>
      <c r="D269" s="23" t="str">
        <f t="shared" si="1"/>
        <v>#DIV/0!</v>
      </c>
      <c r="F269" s="45"/>
      <c r="H269" s="45"/>
      <c r="J269" s="45"/>
    </row>
    <row r="270">
      <c r="A270" s="22" t="s">
        <v>206</v>
      </c>
      <c r="B270" s="21" t="str">
        <f t="shared" si="4"/>
        <v>#DIV/0!</v>
      </c>
      <c r="C270" s="21" t="str">
        <f>VLOOKUP(A270, hash!A$2:B$500, 2, 0)</f>
        <v>651473b073ba37322a56bc86</v>
      </c>
      <c r="D270" s="23" t="str">
        <f t="shared" si="1"/>
        <v>#DIV/0!</v>
      </c>
      <c r="F270" s="45"/>
      <c r="H270" s="45"/>
      <c r="J270" s="45"/>
    </row>
    <row r="271">
      <c r="A271" s="22" t="s">
        <v>207</v>
      </c>
      <c r="B271" s="21" t="str">
        <f t="shared" si="4"/>
        <v>#DIV/0!</v>
      </c>
      <c r="C271" s="21" t="str">
        <f>VLOOKUP(A271, hash!A$2:B$500, 2, 0)</f>
        <v>6514746bcb3856acbe2e045e</v>
      </c>
      <c r="D271" s="23" t="str">
        <f t="shared" si="1"/>
        <v>#DIV/0!</v>
      </c>
      <c r="F271" s="45"/>
      <c r="H271" s="45"/>
      <c r="J271" s="45"/>
    </row>
    <row r="272">
      <c r="A272" s="22" t="s">
        <v>208</v>
      </c>
      <c r="B272" s="21" t="str">
        <f t="shared" si="4"/>
        <v>#DIV/0!</v>
      </c>
      <c r="C272" s="21" t="str">
        <f>VLOOKUP(A272, hash!A$2:B$500, 2, 0)</f>
        <v>651474adbad0d569bbd8c620</v>
      </c>
      <c r="D272" s="23" t="str">
        <f t="shared" si="1"/>
        <v>#DIV/0!</v>
      </c>
      <c r="F272" s="45"/>
      <c r="H272" s="45"/>
      <c r="J272" s="45"/>
    </row>
    <row r="273">
      <c r="A273" s="22" t="s">
        <v>622</v>
      </c>
      <c r="B273" s="21" t="str">
        <f t="shared" si="4"/>
        <v>#DIV/0!</v>
      </c>
      <c r="C273" s="21" t="str">
        <f>VLOOKUP(A273, hash!A$2:B$500, 2, 0)</f>
        <v>#N/A</v>
      </c>
      <c r="D273" s="23" t="str">
        <f t="shared" si="1"/>
        <v>#DIV/0!</v>
      </c>
      <c r="F273" s="45"/>
      <c r="H273" s="45"/>
      <c r="J273" s="45"/>
    </row>
    <row r="274">
      <c r="A274" s="22" t="s">
        <v>209</v>
      </c>
      <c r="B274" s="21" t="str">
        <f t="shared" si="4"/>
        <v>#DIV/0!</v>
      </c>
      <c r="C274" s="21" t="str">
        <f>VLOOKUP(A274, hash!A$2:B$500, 2, 0)</f>
        <v>651480e5b25a8777756c8277</v>
      </c>
      <c r="D274" s="23" t="str">
        <f t="shared" si="1"/>
        <v>#DIV/0!</v>
      </c>
      <c r="F274" s="45"/>
      <c r="H274" s="45"/>
      <c r="J274" s="45"/>
    </row>
    <row r="275">
      <c r="A275" s="22" t="s">
        <v>210</v>
      </c>
      <c r="B275" s="21" t="str">
        <f t="shared" si="4"/>
        <v>#DIV/0!</v>
      </c>
      <c r="C275" s="21" t="str">
        <f>VLOOKUP(A275, hash!A$2:B$500, 2, 0)</f>
        <v>651621a7755b5ba7402891b3</v>
      </c>
      <c r="D275" s="23" t="str">
        <f t="shared" si="1"/>
        <v>#DIV/0!</v>
      </c>
      <c r="F275" s="45"/>
      <c r="H275" s="45"/>
      <c r="J275" s="45"/>
    </row>
    <row r="276">
      <c r="A276" s="22" t="s">
        <v>12</v>
      </c>
      <c r="B276" s="21" t="str">
        <f t="shared" si="4"/>
        <v>#DIV/0!</v>
      </c>
      <c r="C276" s="21" t="str">
        <f>VLOOKUP(A276, hash!A$2:B$500, 2, 0)</f>
        <v>651dadf4a69631c34bde617f</v>
      </c>
      <c r="D276" s="23" t="str">
        <f t="shared" si="1"/>
        <v>#DIV/0!</v>
      </c>
      <c r="F276" s="27"/>
      <c r="H276" s="27"/>
      <c r="J276" s="27"/>
    </row>
    <row r="277">
      <c r="A277" s="22" t="s">
        <v>211</v>
      </c>
      <c r="B277" s="21" t="str">
        <f t="shared" si="4"/>
        <v>#DIV/0!</v>
      </c>
      <c r="C277" s="21" t="str">
        <f>VLOOKUP(A277, hash!A$2:B$500, 2, 0)</f>
        <v>651daf0edc9060f76fe584c7</v>
      </c>
      <c r="D277" s="23" t="str">
        <f t="shared" si="1"/>
        <v>#DIV/0!</v>
      </c>
      <c r="F277" s="45"/>
      <c r="H277" s="45"/>
      <c r="J277" s="45"/>
    </row>
    <row r="278">
      <c r="A278" s="22" t="s">
        <v>212</v>
      </c>
      <c r="B278" s="21" t="str">
        <f t="shared" si="4"/>
        <v>#DIV/0!</v>
      </c>
      <c r="C278" s="21" t="str">
        <f>VLOOKUP(A278, hash!A$2:B$500, 2, 0)</f>
        <v>651db9af9dea57c7cb020129</v>
      </c>
      <c r="D278" s="23" t="str">
        <f t="shared" si="1"/>
        <v>#DIV/0!</v>
      </c>
      <c r="F278" s="27"/>
      <c r="H278" s="27"/>
      <c r="J278" s="27"/>
    </row>
    <row r="279">
      <c r="A279" s="22" t="s">
        <v>213</v>
      </c>
      <c r="B279" s="21" t="str">
        <f t="shared" si="4"/>
        <v>#DIV/0!</v>
      </c>
      <c r="C279" s="21" t="str">
        <f>VLOOKUP(A279, hash!A$2:B$500, 2, 0)</f>
        <v>651dbad69dea57c7cb020139</v>
      </c>
      <c r="D279" s="23" t="str">
        <f t="shared" si="1"/>
        <v>#DIV/0!</v>
      </c>
      <c r="F279" s="45"/>
      <c r="H279" s="45"/>
      <c r="J279" s="45"/>
    </row>
    <row r="280">
      <c r="A280" s="22" t="s">
        <v>214</v>
      </c>
      <c r="B280" s="21" t="str">
        <f t="shared" si="4"/>
        <v>#DIV/0!</v>
      </c>
      <c r="C280" s="21" t="str">
        <f>VLOOKUP(A280, hash!A$2:B$500, 2, 0)</f>
        <v>651dbae7d54b632818878f41</v>
      </c>
      <c r="D280" s="23" t="str">
        <f t="shared" si="1"/>
        <v>#DIV/0!</v>
      </c>
      <c r="F280" s="45"/>
      <c r="H280" s="45"/>
      <c r="J280" s="45"/>
    </row>
    <row r="281">
      <c r="A281" s="22" t="s">
        <v>215</v>
      </c>
      <c r="B281" s="21" t="str">
        <f t="shared" si="4"/>
        <v>#DIV/0!</v>
      </c>
      <c r="C281" s="21" t="str">
        <f>VLOOKUP(A281, hash!A$2:B$500, 2, 0)</f>
        <v>651dbb15d54b632818878f43</v>
      </c>
      <c r="D281" s="23" t="str">
        <f t="shared" si="1"/>
        <v>#DIV/0!</v>
      </c>
      <c r="F281" s="45"/>
      <c r="H281" s="45"/>
      <c r="J281" s="45"/>
    </row>
    <row r="282">
      <c r="A282" s="22" t="s">
        <v>216</v>
      </c>
      <c r="B282" s="21" t="str">
        <f t="shared" si="4"/>
        <v>#DIV/0!</v>
      </c>
      <c r="C282" s="21" t="str">
        <f>VLOOKUP(A282, hash!A$2:B$500, 2, 0)</f>
        <v>651dbb299dea57c7cb020142</v>
      </c>
      <c r="D282" s="23" t="str">
        <f t="shared" si="1"/>
        <v>#DIV/0!</v>
      </c>
      <c r="F282" s="45"/>
      <c r="H282" s="45"/>
      <c r="J282" s="45"/>
    </row>
    <row r="283">
      <c r="A283" s="22" t="s">
        <v>217</v>
      </c>
      <c r="B283" s="21" t="str">
        <f t="shared" si="4"/>
        <v>#DIV/0!</v>
      </c>
      <c r="C283" s="21" t="str">
        <f>VLOOKUP(A283, hash!A$2:B$500, 2, 0)</f>
        <v>651dbb3f9dea57c7cb020143</v>
      </c>
      <c r="D283" s="23" t="str">
        <f t="shared" si="1"/>
        <v>#DIV/0!</v>
      </c>
      <c r="F283" s="45"/>
      <c r="H283" s="45"/>
      <c r="J283" s="45"/>
    </row>
    <row r="284">
      <c r="A284" s="22" t="s">
        <v>218</v>
      </c>
      <c r="B284" s="21" t="str">
        <f t="shared" si="4"/>
        <v>#DIV/0!</v>
      </c>
      <c r="C284" s="21" t="str">
        <f>VLOOKUP(A284, hash!A$2:B$500, 2, 0)</f>
        <v>651dbc99ca156cc80367f4eb</v>
      </c>
      <c r="D284" s="23" t="str">
        <f t="shared" si="1"/>
        <v>#DIV/0!</v>
      </c>
      <c r="F284" s="45"/>
      <c r="H284" s="45"/>
      <c r="J284" s="45"/>
    </row>
    <row r="285">
      <c r="A285" s="22" t="s">
        <v>623</v>
      </c>
      <c r="B285" s="21" t="str">
        <f t="shared" si="4"/>
        <v>#DIV/0!</v>
      </c>
      <c r="C285" s="21" t="str">
        <f>VLOOKUP(A285, hash!A$2:B$500, 2, 0)</f>
        <v>#N/A</v>
      </c>
      <c r="D285" s="23" t="str">
        <f t="shared" si="1"/>
        <v>#DIV/0!</v>
      </c>
      <c r="F285" s="45"/>
      <c r="H285" s="45"/>
      <c r="J285" s="45"/>
    </row>
    <row r="286">
      <c r="A286" s="22" t="s">
        <v>219</v>
      </c>
      <c r="B286" s="21" t="str">
        <f t="shared" si="4"/>
        <v>#DIV/0!</v>
      </c>
      <c r="C286" s="21" t="str">
        <f>VLOOKUP(A286, hash!A$2:B$500, 2, 0)</f>
        <v>652403893fc5d4c9ab851009</v>
      </c>
      <c r="D286" s="23" t="str">
        <f t="shared" si="1"/>
        <v>#DIV/0!</v>
      </c>
      <c r="F286" s="27"/>
      <c r="H286" s="27"/>
      <c r="J286" s="27"/>
    </row>
    <row r="287">
      <c r="A287" s="22" t="s">
        <v>220</v>
      </c>
      <c r="B287" s="21" t="str">
        <f t="shared" si="4"/>
        <v>#DIV/0!</v>
      </c>
      <c r="C287" s="21" t="str">
        <f>VLOOKUP(A287, hash!A$2:B$500, 2, 0)</f>
        <v>6530232bcf7c5adcfb301ec7</v>
      </c>
      <c r="D287" s="23" t="str">
        <f t="shared" si="1"/>
        <v>#DIV/0!</v>
      </c>
      <c r="F287" s="45"/>
      <c r="H287" s="45"/>
      <c r="J287" s="45"/>
    </row>
    <row r="288">
      <c r="A288" s="22" t="s">
        <v>221</v>
      </c>
      <c r="B288" s="21" t="str">
        <f t="shared" si="4"/>
        <v>#DIV/0!</v>
      </c>
      <c r="C288" s="21" t="str">
        <f>VLOOKUP(A288, hash!A$2:B$500, 2, 0)</f>
        <v>65302e080e286366617e4629</v>
      </c>
      <c r="D288" s="23" t="str">
        <f t="shared" si="1"/>
        <v>#DIV/0!</v>
      </c>
      <c r="F288" s="45"/>
      <c r="H288" s="45"/>
      <c r="J288" s="45"/>
    </row>
    <row r="289">
      <c r="A289" s="22" t="s">
        <v>222</v>
      </c>
      <c r="B289" s="21" t="str">
        <f t="shared" si="4"/>
        <v>#DIV/0!</v>
      </c>
      <c r="C289" s="21" t="str">
        <f>VLOOKUP(A289, hash!A$2:B$500, 2, 0)</f>
        <v>65395d6799af0b0f3444fd51</v>
      </c>
      <c r="D289" s="23" t="str">
        <f t="shared" si="1"/>
        <v>#DIV/0!</v>
      </c>
      <c r="F289" s="27"/>
      <c r="H289" s="27"/>
      <c r="J289" s="27"/>
    </row>
    <row r="290">
      <c r="A290" s="22" t="s">
        <v>223</v>
      </c>
      <c r="B290" s="21" t="str">
        <f t="shared" si="4"/>
        <v>#DIV/0!</v>
      </c>
      <c r="C290" s="21" t="str">
        <f>VLOOKUP(A290, hash!A$2:B$500, 2, 0)</f>
        <v>6539689ac8f6bb22aba878d1</v>
      </c>
      <c r="D290" s="23" t="str">
        <f t="shared" si="1"/>
        <v>#DIV/0!</v>
      </c>
      <c r="F290" s="45"/>
      <c r="H290" s="45"/>
      <c r="J290" s="45"/>
    </row>
    <row r="291">
      <c r="A291" s="22" t="s">
        <v>224</v>
      </c>
      <c r="B291" s="21" t="str">
        <f t="shared" si="4"/>
        <v>#DIV/0!</v>
      </c>
      <c r="C291" s="21" t="str">
        <f>VLOOKUP(A291, hash!A$2:B$500, 2, 0)</f>
        <v>6542987e2bee7559f37bee8d</v>
      </c>
      <c r="D291" s="23" t="str">
        <f t="shared" si="1"/>
        <v>#DIV/0!</v>
      </c>
      <c r="F291" s="45"/>
      <c r="H291" s="45"/>
      <c r="J291" s="45"/>
    </row>
    <row r="292">
      <c r="A292" s="22" t="s">
        <v>225</v>
      </c>
      <c r="B292" s="21" t="str">
        <f t="shared" si="4"/>
        <v>#DIV/0!</v>
      </c>
      <c r="C292" s="21" t="str">
        <f>VLOOKUP(A292, hash!A$2:B$500, 2, 0)</f>
        <v>65429927208c9c77b87ab693</v>
      </c>
      <c r="D292" s="23" t="str">
        <f t="shared" si="1"/>
        <v>#DIV/0!</v>
      </c>
      <c r="F292" s="45"/>
      <c r="H292" s="45"/>
      <c r="J292" s="45"/>
    </row>
    <row r="293">
      <c r="A293" s="22" t="s">
        <v>226</v>
      </c>
      <c r="B293" s="21" t="str">
        <f t="shared" si="4"/>
        <v>#DIV/0!</v>
      </c>
      <c r="C293" s="21" t="str">
        <f>VLOOKUP(A293, hash!A$2:B$500, 2, 0)</f>
        <v>654a6fba5f40f5f7b7c97164</v>
      </c>
      <c r="D293" s="23" t="str">
        <f t="shared" si="1"/>
        <v>#DIV/0!</v>
      </c>
      <c r="F293" s="45"/>
      <c r="H293" s="45"/>
      <c r="J293" s="45"/>
    </row>
    <row r="294">
      <c r="A294" s="22" t="s">
        <v>227</v>
      </c>
      <c r="B294" s="21" t="str">
        <f t="shared" si="4"/>
        <v>#DIV/0!</v>
      </c>
      <c r="C294" s="21" t="str">
        <f>VLOOKUP(A294, hash!A$2:B$500, 2, 0)</f>
        <v>65551bef3234b9c505dd527e</v>
      </c>
      <c r="D294" s="23" t="str">
        <f t="shared" si="1"/>
        <v>#DIV/0!</v>
      </c>
      <c r="F294" s="45"/>
      <c r="H294" s="45"/>
      <c r="J294" s="45"/>
    </row>
    <row r="295">
      <c r="A295" s="22" t="s">
        <v>228</v>
      </c>
      <c r="B295" s="21" t="str">
        <f t="shared" si="4"/>
        <v>#DIV/0!</v>
      </c>
      <c r="C295" s="21" t="str">
        <f>VLOOKUP(A295, hash!A$2:B$500, 2, 0)</f>
        <v>655528e7b6dffbe82fb08e97</v>
      </c>
      <c r="D295" s="23" t="str">
        <f t="shared" si="1"/>
        <v>#DIV/0!</v>
      </c>
      <c r="F295" s="45"/>
      <c r="H295" s="45"/>
      <c r="J295" s="45"/>
    </row>
    <row r="296">
      <c r="A296" s="22" t="s">
        <v>624</v>
      </c>
      <c r="B296" s="21" t="str">
        <f t="shared" si="4"/>
        <v>#DIV/0!</v>
      </c>
      <c r="C296" s="21" t="str">
        <f>VLOOKUP(A296, hash!A$2:B$500, 2, 0)</f>
        <v>#N/A</v>
      </c>
      <c r="D296" s="23" t="str">
        <f t="shared" si="1"/>
        <v>#DIV/0!</v>
      </c>
      <c r="F296" s="45"/>
      <c r="H296" s="45"/>
      <c r="J296" s="45"/>
    </row>
    <row r="297">
      <c r="A297" s="22" t="s">
        <v>229</v>
      </c>
      <c r="B297" s="21" t="str">
        <f t="shared" si="4"/>
        <v>#DIV/0!</v>
      </c>
      <c r="C297" s="21" t="str">
        <f>VLOOKUP(A297, hash!A$2:B$500, 2, 0)</f>
        <v>655bb33eff8d447e7d019f70</v>
      </c>
      <c r="D297" s="23" t="str">
        <f t="shared" si="1"/>
        <v>#DIV/0!</v>
      </c>
      <c r="F297" s="45"/>
      <c r="H297" s="45"/>
      <c r="J297" s="45"/>
    </row>
    <row r="298">
      <c r="A298" s="22" t="s">
        <v>230</v>
      </c>
      <c r="B298" s="21" t="str">
        <f t="shared" si="4"/>
        <v>#DIV/0!</v>
      </c>
      <c r="C298" s="21" t="str">
        <f>VLOOKUP(A298, hash!A$2:B$500, 2, 0)</f>
        <v>655bc0057093eb94b1c6cc92</v>
      </c>
      <c r="D298" s="23" t="str">
        <f t="shared" si="1"/>
        <v>#DIV/0!</v>
      </c>
      <c r="F298" s="45"/>
      <c r="H298" s="45"/>
      <c r="J298" s="45"/>
    </row>
    <row r="299">
      <c r="A299" s="22" t="s">
        <v>231</v>
      </c>
      <c r="B299" s="21" t="str">
        <f t="shared" si="4"/>
        <v>#DIV/0!</v>
      </c>
      <c r="C299" s="21" t="str">
        <f>VLOOKUP(A299, hash!A$2:B$500, 2, 0)</f>
        <v>655bc0097093eb94b1c6cc93</v>
      </c>
      <c r="D299" s="23" t="str">
        <f t="shared" si="1"/>
        <v>#DIV/0!</v>
      </c>
      <c r="F299" s="45"/>
      <c r="H299" s="45"/>
      <c r="J299" s="45"/>
    </row>
    <row r="300">
      <c r="A300" s="22" t="s">
        <v>625</v>
      </c>
      <c r="B300" s="21" t="str">
        <f t="shared" si="4"/>
        <v>#DIV/0!</v>
      </c>
      <c r="C300" s="21" t="str">
        <f>VLOOKUP(A300, hash!A$2:B$500, 2, 0)</f>
        <v>#N/A</v>
      </c>
      <c r="D300" s="23" t="str">
        <f t="shared" si="1"/>
        <v>#DIV/0!</v>
      </c>
      <c r="F300" s="45"/>
      <c r="H300" s="45"/>
      <c r="J300" s="45"/>
    </row>
    <row r="301">
      <c r="A301" s="22" t="s">
        <v>232</v>
      </c>
      <c r="B301" s="21" t="str">
        <f t="shared" si="4"/>
        <v>#DIV/0!</v>
      </c>
      <c r="C301" s="21" t="str">
        <f>VLOOKUP(A301, hash!A$2:B$500, 2, 0)</f>
        <v>6595977fb46b00d2f83c52c5</v>
      </c>
      <c r="D301" s="23" t="str">
        <f t="shared" si="1"/>
        <v>#DIV/0!</v>
      </c>
      <c r="F301" s="45"/>
      <c r="H301" s="45"/>
      <c r="J301" s="45"/>
    </row>
    <row r="302">
      <c r="A302" s="22" t="s">
        <v>233</v>
      </c>
      <c r="B302" s="21" t="str">
        <f t="shared" si="4"/>
        <v>#DIV/0!</v>
      </c>
      <c r="C302" s="21" t="str">
        <f>VLOOKUP(A302, hash!A$2:B$500, 2, 0)</f>
        <v>6595b65ec49a903206004ba0</v>
      </c>
      <c r="D302" s="23" t="str">
        <f t="shared" si="1"/>
        <v>#DIV/0!</v>
      </c>
      <c r="F302" s="45"/>
      <c r="H302" s="45"/>
      <c r="J302" s="45"/>
    </row>
    <row r="303">
      <c r="A303" s="22" t="s">
        <v>234</v>
      </c>
      <c r="B303" s="21" t="str">
        <f t="shared" si="4"/>
        <v>#DIV/0!</v>
      </c>
      <c r="C303" s="21" t="str">
        <f>VLOOKUP(A303, hash!A$2:B$500, 2, 0)</f>
        <v>6595bf45b775f9fc5a64da54</v>
      </c>
      <c r="D303" s="23" t="str">
        <f t="shared" si="1"/>
        <v>#DIV/0!</v>
      </c>
      <c r="F303" s="45"/>
      <c r="H303" s="45"/>
      <c r="J303" s="45"/>
    </row>
    <row r="304">
      <c r="A304" s="22" t="s">
        <v>235</v>
      </c>
      <c r="B304" s="21" t="str">
        <f t="shared" si="4"/>
        <v>#DIV/0!</v>
      </c>
      <c r="C304" s="21" t="str">
        <f>VLOOKUP(A304, hash!A$2:B$500, 2, 0)</f>
        <v>6595c208b775f9fc5a64da66</v>
      </c>
      <c r="D304" s="23" t="str">
        <f t="shared" si="1"/>
        <v>#DIV/0!</v>
      </c>
      <c r="F304" s="45"/>
      <c r="H304" s="45"/>
      <c r="J304" s="45"/>
    </row>
    <row r="305">
      <c r="A305" s="22" t="s">
        <v>236</v>
      </c>
      <c r="B305" s="21" t="str">
        <f t="shared" si="4"/>
        <v>#DIV/0!</v>
      </c>
      <c r="C305" s="21" t="str">
        <f>VLOOKUP(A305, hash!A$2:B$500, 2, 0)</f>
        <v>6595c23e2fa1031babec0ce3</v>
      </c>
      <c r="D305" s="23" t="str">
        <f t="shared" si="1"/>
        <v>#DIV/0!</v>
      </c>
      <c r="F305" s="45"/>
      <c r="H305" s="45"/>
      <c r="J305" s="45"/>
    </row>
    <row r="306">
      <c r="A306" s="22" t="s">
        <v>237</v>
      </c>
      <c r="B306" s="21" t="str">
        <f t="shared" si="4"/>
        <v>#DIV/0!</v>
      </c>
      <c r="C306" s="21" t="str">
        <f>VLOOKUP(A306, hash!A$2:B$500, 2, 0)</f>
        <v>6595c391cd5b972b6b680d1b</v>
      </c>
      <c r="D306" s="23" t="str">
        <f t="shared" si="1"/>
        <v>#DIV/0!</v>
      </c>
      <c r="F306" s="45"/>
      <c r="H306" s="45"/>
      <c r="J306" s="45"/>
    </row>
    <row r="307">
      <c r="A307" s="22" t="s">
        <v>626</v>
      </c>
      <c r="B307" s="21" t="str">
        <f t="shared" si="4"/>
        <v>#DIV/0!</v>
      </c>
      <c r="C307" s="21" t="str">
        <f>VLOOKUP(A307, hash!A$2:B$500, 2, 0)</f>
        <v>#N/A</v>
      </c>
      <c r="D307" s="23" t="str">
        <f t="shared" si="1"/>
        <v>#DIV/0!</v>
      </c>
      <c r="F307" s="45"/>
      <c r="H307" s="45"/>
      <c r="J307" s="45"/>
    </row>
    <row r="308">
      <c r="A308" s="22" t="s">
        <v>627</v>
      </c>
      <c r="B308" s="21" t="str">
        <f t="shared" si="4"/>
        <v>#DIV/0!</v>
      </c>
      <c r="C308" s="21" t="str">
        <f>VLOOKUP(A308, hash!A$2:B$500, 2, 0)</f>
        <v>#N/A</v>
      </c>
      <c r="D308" s="23" t="str">
        <f t="shared" si="1"/>
        <v>#DIV/0!</v>
      </c>
      <c r="F308" s="45"/>
      <c r="H308" s="45"/>
      <c r="J308" s="45"/>
    </row>
    <row r="309">
      <c r="A309" s="22" t="s">
        <v>628</v>
      </c>
      <c r="B309" s="21" t="str">
        <f t="shared" si="4"/>
        <v>#DIV/0!</v>
      </c>
      <c r="C309" s="21" t="str">
        <f>VLOOKUP(A309, hash!A$2:B$500, 2, 0)</f>
        <v>#N/A</v>
      </c>
      <c r="D309" s="23" t="str">
        <f t="shared" si="1"/>
        <v>#DIV/0!</v>
      </c>
      <c r="F309" s="45"/>
      <c r="H309" s="45"/>
      <c r="J309" s="45"/>
    </row>
    <row r="310">
      <c r="A310" s="22" t="s">
        <v>238</v>
      </c>
      <c r="B310" s="21" t="str">
        <f t="shared" si="4"/>
        <v>#DIV/0!</v>
      </c>
      <c r="C310" s="21" t="str">
        <f>VLOOKUP(A310, hash!A$2:B$500, 2, 0)</f>
        <v>65ba9f33f33e907d7c81d87a</v>
      </c>
      <c r="D310" s="23" t="str">
        <f t="shared" si="1"/>
        <v>#DIV/0!</v>
      </c>
      <c r="F310" s="45"/>
      <c r="H310" s="45"/>
      <c r="J310" s="45"/>
    </row>
    <row r="311">
      <c r="A311" s="22" t="s">
        <v>239</v>
      </c>
      <c r="B311" s="21" t="str">
        <f t="shared" si="4"/>
        <v>#DIV/0!</v>
      </c>
      <c r="C311" s="21" t="str">
        <f>VLOOKUP(A311, hash!A$2:B$500, 2, 0)</f>
        <v>65baa01d2b367c7ed72fe8b9</v>
      </c>
      <c r="D311" s="23" t="str">
        <f t="shared" si="1"/>
        <v>#DIV/0!</v>
      </c>
      <c r="F311" s="45"/>
      <c r="H311" s="45"/>
      <c r="J311" s="45"/>
    </row>
    <row r="312">
      <c r="A312" s="22" t="s">
        <v>629</v>
      </c>
      <c r="B312" s="21" t="str">
        <f t="shared" si="4"/>
        <v>#DIV/0!</v>
      </c>
      <c r="C312" s="21" t="str">
        <f>VLOOKUP(A312, hash!A$2:B$500, 2, 0)</f>
        <v>#N/A</v>
      </c>
      <c r="D312" s="23" t="str">
        <f t="shared" si="1"/>
        <v>#DIV/0!</v>
      </c>
      <c r="F312" s="45"/>
      <c r="H312" s="45"/>
      <c r="J312" s="45"/>
    </row>
    <row r="313">
      <c r="A313" s="22" t="s">
        <v>240</v>
      </c>
      <c r="B313" s="21" t="str">
        <f t="shared" si="4"/>
        <v>#DIV/0!</v>
      </c>
      <c r="C313" s="21" t="str">
        <f>VLOOKUP(A313, hash!A$2:B$500, 2, 0)</f>
        <v>65baa01e2b367c7ed72fe8bb</v>
      </c>
      <c r="D313" s="23" t="str">
        <f t="shared" si="1"/>
        <v>#DIV/0!</v>
      </c>
      <c r="F313" s="45"/>
      <c r="H313" s="45"/>
      <c r="J313" s="45"/>
    </row>
    <row r="314">
      <c r="A314" s="22" t="s">
        <v>630</v>
      </c>
      <c r="B314" s="21" t="str">
        <f t="shared" si="4"/>
        <v>#DIV/0!</v>
      </c>
      <c r="C314" s="21" t="str">
        <f>VLOOKUP(A314, hash!A$2:B$500, 2, 0)</f>
        <v>#N/A</v>
      </c>
      <c r="D314" s="23" t="str">
        <f t="shared" si="1"/>
        <v>#DIV/0!</v>
      </c>
      <c r="F314" s="45"/>
      <c r="H314" s="45"/>
      <c r="J314" s="45"/>
    </row>
    <row r="315">
      <c r="A315" s="22" t="s">
        <v>631</v>
      </c>
      <c r="B315" s="21" t="str">
        <f t="shared" si="4"/>
        <v>#DIV/0!</v>
      </c>
      <c r="C315" s="21" t="str">
        <f>VLOOKUP(A315, hash!A$2:B$500, 2, 0)</f>
        <v>#N/A</v>
      </c>
      <c r="D315" s="23" t="str">
        <f t="shared" si="1"/>
        <v>#DIV/0!</v>
      </c>
      <c r="F315" s="45"/>
      <c r="H315" s="45"/>
      <c r="J315" s="45"/>
    </row>
    <row r="316">
      <c r="A316" s="22" t="s">
        <v>241</v>
      </c>
      <c r="B316" s="21" t="str">
        <f t="shared" si="4"/>
        <v>#DIV/0!</v>
      </c>
      <c r="C316" s="21" t="str">
        <f>VLOOKUP(A316, hash!A$2:B$500, 2, 0)</f>
        <v>65baa03da330104d5ca80be5</v>
      </c>
      <c r="D316" s="23" t="str">
        <f t="shared" si="1"/>
        <v>#DIV/0!</v>
      </c>
      <c r="F316" s="45"/>
      <c r="H316" s="45"/>
      <c r="J316" s="45"/>
    </row>
    <row r="317">
      <c r="A317" s="22" t="s">
        <v>632</v>
      </c>
      <c r="B317" s="21" t="str">
        <f t="shared" si="4"/>
        <v>#DIV/0!</v>
      </c>
      <c r="C317" s="21" t="str">
        <f>VLOOKUP(A317, hash!A$2:B$500, 2, 0)</f>
        <v>#N/A</v>
      </c>
      <c r="D317" s="23" t="str">
        <f t="shared" si="1"/>
        <v>#DIV/0!</v>
      </c>
      <c r="F317" s="45"/>
      <c r="H317" s="45"/>
      <c r="J317" s="45"/>
    </row>
    <row r="318">
      <c r="A318" s="22" t="s">
        <v>633</v>
      </c>
      <c r="B318" s="21" t="str">
        <f t="shared" si="4"/>
        <v>#DIV/0!</v>
      </c>
      <c r="C318" s="21" t="str">
        <f>VLOOKUP(A318, hash!A$2:B$500, 2, 0)</f>
        <v>#N/A</v>
      </c>
      <c r="D318" s="23" t="str">
        <f t="shared" si="1"/>
        <v>#DIV/0!</v>
      </c>
      <c r="F318" s="45"/>
      <c r="H318" s="45"/>
      <c r="J318" s="45"/>
    </row>
    <row r="319">
      <c r="A319" s="22" t="s">
        <v>242</v>
      </c>
      <c r="B319" s="21" t="str">
        <f t="shared" si="4"/>
        <v>#DIV/0!</v>
      </c>
      <c r="C319" s="21" t="str">
        <f>VLOOKUP(A319, hash!A$2:B$500, 2, 0)</f>
        <v>65baadabac6fa639d08b8070</v>
      </c>
      <c r="D319" s="23" t="str">
        <f t="shared" si="1"/>
        <v>#DIV/0!</v>
      </c>
      <c r="F319" s="45"/>
      <c r="H319" s="45"/>
      <c r="J319" s="45"/>
    </row>
    <row r="320">
      <c r="A320" s="22" t="s">
        <v>243</v>
      </c>
      <c r="B320" s="21" t="str">
        <f t="shared" si="4"/>
        <v>#DIV/0!</v>
      </c>
      <c r="C320" s="21" t="str">
        <f>VLOOKUP(A320, hash!A$2:B$500, 2, 0)</f>
        <v>65baadd90004ffbc54b03ece</v>
      </c>
      <c r="D320" s="23" t="str">
        <f t="shared" si="1"/>
        <v>#DIV/0!</v>
      </c>
      <c r="F320" s="45"/>
      <c r="H320" s="45"/>
      <c r="J320" s="45"/>
    </row>
    <row r="321">
      <c r="A321" s="22" t="s">
        <v>244</v>
      </c>
      <c r="B321" s="21" t="str">
        <f t="shared" si="4"/>
        <v>#DIV/0!</v>
      </c>
      <c r="C321" s="21" t="str">
        <f>VLOOKUP(A321, hash!A$2:B$500, 2, 0)</f>
        <v>65baadf10004ffbc54b03ed0</v>
      </c>
      <c r="D321" s="23" t="str">
        <f t="shared" si="1"/>
        <v>#DIV/0!</v>
      </c>
      <c r="F321" s="45"/>
      <c r="H321" s="45"/>
      <c r="J321" s="45"/>
    </row>
    <row r="322">
      <c r="A322" s="22" t="s">
        <v>245</v>
      </c>
      <c r="B322" s="21" t="str">
        <f t="shared" si="4"/>
        <v>#DIV/0!</v>
      </c>
      <c r="C322" s="21" t="str">
        <f>VLOOKUP(A322, hash!A$2:B$500, 2, 0)</f>
        <v>65bab1380004ffbc54b03ee7</v>
      </c>
      <c r="D322" s="23" t="str">
        <f t="shared" si="1"/>
        <v>#DIV/0!</v>
      </c>
      <c r="F322" s="45"/>
      <c r="H322" s="45"/>
      <c r="J322" s="45"/>
    </row>
    <row r="323">
      <c r="A323" s="22" t="s">
        <v>246</v>
      </c>
      <c r="B323" s="21" t="str">
        <f t="shared" si="4"/>
        <v>#DIV/0!</v>
      </c>
      <c r="C323" s="21" t="str">
        <f>VLOOKUP(A323, hash!A$2:B$500, 2, 0)</f>
        <v>65bab52de7bd7da7ace0d1c3</v>
      </c>
      <c r="D323" s="23" t="str">
        <f t="shared" si="1"/>
        <v>#DIV/0!</v>
      </c>
      <c r="F323" s="45"/>
      <c r="H323" s="45"/>
      <c r="J323" s="45"/>
    </row>
    <row r="324">
      <c r="A324" s="22" t="s">
        <v>247</v>
      </c>
      <c r="B324" s="21" t="str">
        <f t="shared" si="4"/>
        <v>#DIV/0!</v>
      </c>
      <c r="C324" s="21" t="str">
        <f>VLOOKUP(A324, hash!A$2:B$500, 2, 0)</f>
        <v>65bb2c752930129875dd966e</v>
      </c>
      <c r="D324" s="23" t="str">
        <f t="shared" si="1"/>
        <v>#DIV/0!</v>
      </c>
      <c r="F324" s="45"/>
      <c r="H324" s="45"/>
      <c r="J324" s="45"/>
    </row>
    <row r="325">
      <c r="A325" s="22" t="s">
        <v>248</v>
      </c>
      <c r="B325" s="21" t="str">
        <f t="shared" si="4"/>
        <v>#DIV/0!</v>
      </c>
      <c r="C325" s="21" t="str">
        <f>VLOOKUP(A325, hash!A$2:B$500, 2, 0)</f>
        <v>65c3d9c7d68ebf8c5aaf9473</v>
      </c>
      <c r="D325" s="23" t="str">
        <f t="shared" si="1"/>
        <v>#DIV/0!</v>
      </c>
      <c r="F325" s="45"/>
      <c r="H325" s="45"/>
      <c r="J325" s="45"/>
    </row>
    <row r="326">
      <c r="A326" s="22" t="s">
        <v>249</v>
      </c>
      <c r="B326" s="21" t="str">
        <f t="shared" si="4"/>
        <v>#DIV/0!</v>
      </c>
      <c r="C326" s="21" t="str">
        <f>VLOOKUP(A326, hash!A$2:B$500, 2, 0)</f>
        <v>65c3db43dc2e959b628fb2d3</v>
      </c>
      <c r="D326" s="23" t="str">
        <f t="shared" si="1"/>
        <v>#DIV/0!</v>
      </c>
      <c r="F326" s="45"/>
      <c r="H326" s="45"/>
      <c r="J326" s="45"/>
    </row>
    <row r="327">
      <c r="A327" s="22" t="s">
        <v>250</v>
      </c>
      <c r="B327" s="21" t="str">
        <f t="shared" si="4"/>
        <v>#DIV/0!</v>
      </c>
      <c r="C327" s="21" t="str">
        <f>VLOOKUP(A327, hash!A$2:B$500, 2, 0)</f>
        <v>65c3e17176cb308ec1a40c91</v>
      </c>
      <c r="D327" s="23" t="str">
        <f t="shared" si="1"/>
        <v>#DIV/0!</v>
      </c>
      <c r="F327" s="45"/>
      <c r="H327" s="45"/>
      <c r="J327" s="45"/>
    </row>
    <row r="328">
      <c r="A328" s="22" t="s">
        <v>251</v>
      </c>
      <c r="B328" s="21" t="str">
        <f t="shared" si="4"/>
        <v>#DIV/0!</v>
      </c>
      <c r="C328" s="21" t="str">
        <f>VLOOKUP(A328, hash!A$2:B$500, 2, 0)</f>
        <v>65c3e474f24067cac00a6560</v>
      </c>
      <c r="D328" s="23" t="str">
        <f t="shared" si="1"/>
        <v>#DIV/0!</v>
      </c>
      <c r="F328" s="45"/>
      <c r="H328" s="45"/>
      <c r="J328" s="45"/>
    </row>
    <row r="329">
      <c r="A329" s="22" t="s">
        <v>252</v>
      </c>
      <c r="B329" s="21" t="str">
        <f t="shared" si="4"/>
        <v>#DIV/0!</v>
      </c>
      <c r="C329" s="21" t="str">
        <f>VLOOKUP(A329, hash!A$2:B$500, 2, 0)</f>
        <v>65c3e7519c89c663f1bf9f3a</v>
      </c>
      <c r="D329" s="23" t="str">
        <f t="shared" si="1"/>
        <v>#DIV/0!</v>
      </c>
      <c r="F329" s="45"/>
      <c r="H329" s="45"/>
      <c r="J329" s="45"/>
    </row>
    <row r="330">
      <c r="A330" s="22" t="s">
        <v>253</v>
      </c>
      <c r="B330" s="21" t="str">
        <f t="shared" si="4"/>
        <v>#DIV/0!</v>
      </c>
      <c r="C330" s="21" t="str">
        <f>VLOOKUP(A330, hash!A$2:B$500, 2, 0)</f>
        <v>65c404d5adbf166dfd681f4c</v>
      </c>
      <c r="D330" s="23" t="str">
        <f t="shared" si="1"/>
        <v>#DIV/0!</v>
      </c>
      <c r="F330" s="45"/>
      <c r="H330" s="45"/>
      <c r="J330" s="45"/>
    </row>
    <row r="331">
      <c r="A331" s="22" t="s">
        <v>254</v>
      </c>
      <c r="B331" s="21" t="str">
        <f t="shared" si="4"/>
        <v>#DIV/0!</v>
      </c>
      <c r="C331" s="21" t="str">
        <f>VLOOKUP(A331, hash!A$2:B$500, 2, 0)</f>
        <v>65c452c7bdf2b49b06b9f1e8</v>
      </c>
      <c r="D331" s="23" t="str">
        <f t="shared" si="1"/>
        <v>#DIV/0!</v>
      </c>
      <c r="F331" s="45"/>
      <c r="H331" s="45"/>
      <c r="J331" s="45"/>
    </row>
    <row r="332">
      <c r="A332" s="22" t="s">
        <v>634</v>
      </c>
      <c r="B332" s="21" t="str">
        <f t="shared" si="4"/>
        <v>#DIV/0!</v>
      </c>
      <c r="C332" s="21" t="str">
        <f>VLOOKUP(A332, hash!A$2:B$500, 2, 0)</f>
        <v>#N/A</v>
      </c>
      <c r="D332" s="23" t="str">
        <f t="shared" si="1"/>
        <v>#DIV/0!</v>
      </c>
      <c r="F332" s="45"/>
      <c r="H332" s="45"/>
      <c r="J332" s="45"/>
    </row>
    <row r="333">
      <c r="A333" s="22" t="s">
        <v>635</v>
      </c>
      <c r="B333" s="21" t="str">
        <f t="shared" si="4"/>
        <v>#DIV/0!</v>
      </c>
      <c r="C333" s="21" t="str">
        <f>VLOOKUP(A333, hash!A$2:B$500, 2, 0)</f>
        <v>#N/A</v>
      </c>
      <c r="D333" s="23" t="str">
        <f t="shared" si="1"/>
        <v>#DIV/0!</v>
      </c>
      <c r="F333" s="45"/>
      <c r="H333" s="45"/>
      <c r="J333" s="45"/>
    </row>
    <row r="334">
      <c r="A334" s="22" t="s">
        <v>636</v>
      </c>
      <c r="B334" s="21" t="str">
        <f t="shared" si="4"/>
        <v>#DIV/0!</v>
      </c>
      <c r="C334" s="21" t="str">
        <f>VLOOKUP(A334, hash!A$2:B$500, 2, 0)</f>
        <v>#N/A</v>
      </c>
      <c r="D334" s="23" t="str">
        <f t="shared" si="1"/>
        <v>#DIV/0!</v>
      </c>
      <c r="F334" s="45"/>
      <c r="H334" s="45"/>
      <c r="J334" s="45"/>
    </row>
    <row r="335">
      <c r="A335" s="22" t="s">
        <v>637</v>
      </c>
      <c r="B335" s="21" t="str">
        <f t="shared" si="4"/>
        <v>#DIV/0!</v>
      </c>
      <c r="C335" s="21" t="str">
        <f>VLOOKUP(A335, hash!A$2:B$500, 2, 0)</f>
        <v>#N/A</v>
      </c>
      <c r="D335" s="23" t="str">
        <f t="shared" si="1"/>
        <v>#DIV/0!</v>
      </c>
      <c r="F335" s="45"/>
      <c r="H335" s="45"/>
      <c r="J335" s="45"/>
    </row>
    <row r="336">
      <c r="A336" s="22" t="s">
        <v>255</v>
      </c>
      <c r="B336" s="21" t="str">
        <f t="shared" si="4"/>
        <v>#DIV/0!</v>
      </c>
      <c r="C336" s="21" t="str">
        <f>VLOOKUP(A336, hash!A$2:B$500, 2, 0)</f>
        <v>65cd13d251407ce2e1c4e690</v>
      </c>
      <c r="D336" s="23" t="str">
        <f t="shared" si="1"/>
        <v>#DIV/0!</v>
      </c>
      <c r="F336" s="45"/>
      <c r="H336" s="45"/>
      <c r="J336" s="45"/>
    </row>
    <row r="337">
      <c r="A337" s="22" t="s">
        <v>256</v>
      </c>
      <c r="B337" s="21" t="str">
        <f t="shared" si="4"/>
        <v>#DIV/0!</v>
      </c>
      <c r="C337" s="21" t="str">
        <f>VLOOKUP(A337, hash!A$2:B$500, 2, 0)</f>
        <v>65cd13f6adf37a1fed1cd455</v>
      </c>
      <c r="D337" s="23" t="str">
        <f t="shared" si="1"/>
        <v>#DIV/0!</v>
      </c>
      <c r="F337" s="45"/>
      <c r="H337" s="45"/>
      <c r="J337" s="45"/>
    </row>
    <row r="338">
      <c r="A338" s="22" t="s">
        <v>638</v>
      </c>
      <c r="B338" s="21" t="str">
        <f t="shared" si="4"/>
        <v>#DIV/0!</v>
      </c>
      <c r="C338" s="21" t="str">
        <f>VLOOKUP(A338, hash!A$2:B$500, 2, 0)</f>
        <v>#N/A</v>
      </c>
      <c r="D338" s="23" t="str">
        <f t="shared" si="1"/>
        <v>#DIV/0!</v>
      </c>
      <c r="F338" s="45"/>
      <c r="H338" s="45"/>
      <c r="J338" s="45"/>
    </row>
    <row r="339">
      <c r="A339" s="22" t="s">
        <v>257</v>
      </c>
      <c r="B339" s="21" t="str">
        <f t="shared" si="4"/>
        <v>#DIV/0!</v>
      </c>
      <c r="C339" s="21" t="str">
        <f>VLOOKUP(A339, hash!A$2:B$500, 2, 0)</f>
        <v>65cd2a48c6e20b3c3d4798b8</v>
      </c>
      <c r="D339" s="23" t="str">
        <f t="shared" si="1"/>
        <v>#DIV/0!</v>
      </c>
      <c r="F339" s="45"/>
      <c r="H339" s="45"/>
      <c r="J339" s="45"/>
    </row>
    <row r="340">
      <c r="A340" s="22" t="s">
        <v>258</v>
      </c>
      <c r="B340" s="21" t="str">
        <f t="shared" si="4"/>
        <v>#DIV/0!</v>
      </c>
      <c r="C340" s="21" t="str">
        <f>VLOOKUP(A340, hash!A$2:B$500, 2, 0)</f>
        <v>65d65a5fe2aa0ab4944e133f</v>
      </c>
      <c r="D340" s="23" t="str">
        <f t="shared" si="1"/>
        <v>#DIV/0!</v>
      </c>
      <c r="F340" s="45"/>
      <c r="H340" s="45"/>
      <c r="J340" s="45"/>
    </row>
    <row r="341">
      <c r="A341" s="22" t="s">
        <v>259</v>
      </c>
      <c r="B341" s="21" t="str">
        <f t="shared" si="4"/>
        <v>#DIV/0!</v>
      </c>
      <c r="C341" s="21" t="str">
        <f>VLOOKUP(A341, hash!A$2:B$500, 2, 0)</f>
        <v>65d65b94ec98c933c1065a3c</v>
      </c>
      <c r="D341" s="23" t="str">
        <f t="shared" si="1"/>
        <v>#DIV/0!</v>
      </c>
      <c r="F341" s="45"/>
      <c r="H341" s="45"/>
      <c r="J341" s="45"/>
    </row>
    <row r="342">
      <c r="A342" s="22" t="s">
        <v>260</v>
      </c>
      <c r="B342" s="21" t="str">
        <f t="shared" si="4"/>
        <v>#DIV/0!</v>
      </c>
      <c r="C342" s="21" t="str">
        <f>VLOOKUP(A342, hash!A$2:B$500, 2, 0)</f>
        <v>65d65bdbec98c933c1065a41</v>
      </c>
      <c r="D342" s="23" t="str">
        <f t="shared" si="1"/>
        <v>#DIV/0!</v>
      </c>
      <c r="F342" s="45"/>
      <c r="H342" s="45"/>
      <c r="J342" s="45"/>
    </row>
    <row r="343">
      <c r="A343" s="22" t="s">
        <v>261</v>
      </c>
      <c r="B343" s="21" t="str">
        <f t="shared" si="4"/>
        <v>#DIV/0!</v>
      </c>
      <c r="C343" s="21" t="str">
        <f>VLOOKUP(A343, hash!A$2:B$500, 2, 0)</f>
        <v>65d65beaec98c933c1065a42</v>
      </c>
      <c r="D343" s="23" t="str">
        <f t="shared" si="1"/>
        <v>#DIV/0!</v>
      </c>
      <c r="F343" s="45"/>
      <c r="H343" s="45"/>
      <c r="J343" s="45"/>
    </row>
    <row r="344">
      <c r="A344" s="22" t="s">
        <v>262</v>
      </c>
      <c r="B344" s="21" t="str">
        <f t="shared" si="4"/>
        <v>#DIV/0!</v>
      </c>
      <c r="C344" s="21" t="str">
        <f>VLOOKUP(A344, hash!A$2:B$500, 2, 0)</f>
        <v>65d65befec98c933c1065a43</v>
      </c>
      <c r="D344" s="23" t="str">
        <f t="shared" si="1"/>
        <v>#DIV/0!</v>
      </c>
      <c r="F344" s="45"/>
      <c r="H344" s="45"/>
      <c r="J344" s="45"/>
    </row>
    <row r="345">
      <c r="A345" s="22" t="s">
        <v>263</v>
      </c>
      <c r="B345" s="21" t="str">
        <f t="shared" si="4"/>
        <v>#DIV/0!</v>
      </c>
      <c r="C345" s="21" t="str">
        <f>VLOOKUP(A345, hash!A$2:B$500, 2, 0)</f>
        <v>65fb2f31f305810d3c392009</v>
      </c>
      <c r="D345" s="23" t="str">
        <f t="shared" si="1"/>
        <v>#DIV/0!</v>
      </c>
      <c r="F345" s="45"/>
      <c r="H345" s="45"/>
      <c r="J345" s="45"/>
    </row>
    <row r="346">
      <c r="A346" s="22" t="s">
        <v>639</v>
      </c>
      <c r="B346" s="21" t="str">
        <f t="shared" si="4"/>
        <v>#DIV/0!</v>
      </c>
      <c r="C346" s="21" t="str">
        <f>VLOOKUP(A346, hash!A$2:B$500, 2, 0)</f>
        <v>#N/A</v>
      </c>
      <c r="D346" s="23" t="str">
        <f t="shared" si="1"/>
        <v>#DIV/0!</v>
      </c>
      <c r="F346" s="45"/>
      <c r="H346" s="45"/>
      <c r="J346" s="45"/>
    </row>
    <row r="347">
      <c r="A347" s="22" t="s">
        <v>264</v>
      </c>
      <c r="B347" s="21" t="str">
        <f t="shared" si="4"/>
        <v>#DIV/0!</v>
      </c>
      <c r="C347" s="21" t="str">
        <f>VLOOKUP(A347, hash!A$2:B$500, 2, 0)</f>
        <v>661437cbd0884a240a6505ae</v>
      </c>
      <c r="D347" s="23" t="str">
        <f t="shared" si="1"/>
        <v>#DIV/0!</v>
      </c>
      <c r="F347" s="45"/>
      <c r="H347" s="45"/>
      <c r="J347" s="45"/>
    </row>
    <row r="348">
      <c r="A348" s="22" t="s">
        <v>265</v>
      </c>
      <c r="B348" s="21" t="str">
        <f t="shared" si="4"/>
        <v>#DIV/0!</v>
      </c>
      <c r="C348" s="21" t="str">
        <f>VLOOKUP(A348, hash!A$2:B$500, 2, 0)</f>
        <v>66144853927e0e420e0cbc96</v>
      </c>
      <c r="D348" s="23" t="str">
        <f t="shared" si="1"/>
        <v>#DIV/0!</v>
      </c>
      <c r="F348" s="45"/>
      <c r="H348" s="45"/>
      <c r="J348" s="45"/>
    </row>
    <row r="349">
      <c r="A349" s="22" t="s">
        <v>266</v>
      </c>
      <c r="B349" s="21" t="str">
        <f t="shared" si="4"/>
        <v>#DIV/0!</v>
      </c>
      <c r="C349" s="21" t="str">
        <f>VLOOKUP(A349, hash!A$2:B$500, 2, 0)</f>
        <v>6614485b927e0e420e0cbc97</v>
      </c>
      <c r="D349" s="23" t="str">
        <f t="shared" si="1"/>
        <v>#DIV/0!</v>
      </c>
      <c r="F349" s="45"/>
      <c r="H349" s="45"/>
      <c r="J349" s="45"/>
    </row>
    <row r="350">
      <c r="A350" s="22" t="s">
        <v>267</v>
      </c>
      <c r="B350" s="21" t="str">
        <f t="shared" si="4"/>
        <v>#DIV/0!</v>
      </c>
      <c r="C350" s="21" t="str">
        <f>VLOOKUP(A350, hash!A$2:B$500, 2, 0)</f>
        <v>6614485f927e0e420e0cbc99</v>
      </c>
      <c r="D350" s="23" t="str">
        <f t="shared" si="1"/>
        <v>#DIV/0!</v>
      </c>
      <c r="F350" s="45"/>
      <c r="H350" s="45"/>
      <c r="J350" s="45"/>
    </row>
    <row r="351">
      <c r="A351" s="22" t="s">
        <v>640</v>
      </c>
      <c r="B351" s="21" t="str">
        <f t="shared" si="4"/>
        <v>#DIV/0!</v>
      </c>
      <c r="C351" s="21" t="str">
        <f>VLOOKUP(A351, hash!A$2:B$500, 2, 0)</f>
        <v>#N/A</v>
      </c>
      <c r="D351" s="23" t="str">
        <f t="shared" si="1"/>
        <v>#DIV/0!</v>
      </c>
      <c r="F351" s="45"/>
      <c r="H351" s="45"/>
      <c r="J351" s="45"/>
    </row>
    <row r="352">
      <c r="A352" s="22" t="s">
        <v>641</v>
      </c>
      <c r="B352" s="21" t="str">
        <f t="shared" si="4"/>
        <v>#DIV/0!</v>
      </c>
      <c r="C352" s="21" t="str">
        <f>VLOOKUP(A352, hash!A$2:B$500, 2, 0)</f>
        <v>#N/A</v>
      </c>
      <c r="D352" s="23" t="str">
        <f t="shared" si="1"/>
        <v>#DIV/0!</v>
      </c>
      <c r="F352" s="45"/>
      <c r="H352" s="45"/>
      <c r="J352" s="45"/>
    </row>
    <row r="353">
      <c r="A353" s="22" t="s">
        <v>268</v>
      </c>
      <c r="B353" s="21" t="str">
        <f t="shared" si="4"/>
        <v>#DIV/0!</v>
      </c>
      <c r="C353" s="21" t="str">
        <f>VLOOKUP(A353, hash!A$2:B$500, 2, 0)</f>
        <v>662950e951eb7e9e714289d0</v>
      </c>
      <c r="D353" s="23" t="str">
        <f t="shared" si="1"/>
        <v>#DIV/0!</v>
      </c>
      <c r="F353" s="45"/>
      <c r="H353" s="45"/>
      <c r="J353" s="45"/>
    </row>
    <row r="354">
      <c r="A354" s="22" t="s">
        <v>269</v>
      </c>
      <c r="B354" s="21" t="str">
        <f t="shared" si="4"/>
        <v>#DIV/0!</v>
      </c>
      <c r="C354" s="21" t="str">
        <f>VLOOKUP(A354, hash!A$2:B$500, 2, 0)</f>
        <v>66328a4fa55f727a8c1b9f8b</v>
      </c>
      <c r="D354" s="23" t="str">
        <f t="shared" si="1"/>
        <v>#DIV/0!</v>
      </c>
      <c r="F354" s="45"/>
      <c r="H354" s="45"/>
      <c r="J354" s="45"/>
    </row>
    <row r="355">
      <c r="A355" s="22" t="s">
        <v>270</v>
      </c>
      <c r="B355" s="21" t="str">
        <f t="shared" si="4"/>
        <v>#DIV/0!</v>
      </c>
      <c r="C355" s="21" t="str">
        <f>VLOOKUP(A355, hash!A$2:B$500, 2, 0)</f>
        <v>66328a501875b701f3af072f</v>
      </c>
      <c r="D355" s="23" t="str">
        <f t="shared" si="1"/>
        <v>#DIV/0!</v>
      </c>
      <c r="F355" s="45"/>
      <c r="H355" s="45"/>
      <c r="J355" s="45"/>
    </row>
    <row r="356">
      <c r="A356" s="22" t="s">
        <v>271</v>
      </c>
      <c r="B356" s="21" t="str">
        <f t="shared" si="4"/>
        <v>#DIV/0!</v>
      </c>
      <c r="C356" s="21" t="str">
        <f>VLOOKUP(A356, hash!A$2:B$500, 2, 0)</f>
        <v>663a810cfd55cc6d42fc3373</v>
      </c>
      <c r="D356" s="23" t="str">
        <f t="shared" si="1"/>
        <v>#DIV/0!</v>
      </c>
      <c r="F356" s="45"/>
      <c r="H356" s="45"/>
      <c r="J356" s="45"/>
    </row>
    <row r="357">
      <c r="A357" s="22" t="s">
        <v>272</v>
      </c>
      <c r="B357" s="21" t="str">
        <f t="shared" si="4"/>
        <v>#DIV/0!</v>
      </c>
      <c r="C357" s="21" t="str">
        <f>VLOOKUP(A357, hash!A$2:B$500, 2, 0)</f>
        <v>66450a83df126c7d8f1e547c</v>
      </c>
      <c r="D357" s="23" t="str">
        <f t="shared" si="1"/>
        <v>#DIV/0!</v>
      </c>
      <c r="F357" s="27"/>
      <c r="H357" s="27"/>
      <c r="J357" s="27"/>
    </row>
    <row r="358">
      <c r="A358" s="22" t="s">
        <v>273</v>
      </c>
      <c r="B358" s="21" t="str">
        <f t="shared" si="4"/>
        <v>#DIV/0!</v>
      </c>
      <c r="C358" s="21" t="str">
        <f>VLOOKUP(A358, hash!A$2:B$500, 2, 0)</f>
        <v>664e3a49317dec867b3ddb30</v>
      </c>
      <c r="D358" s="23" t="str">
        <f t="shared" si="1"/>
        <v>#DIV/0!</v>
      </c>
      <c r="F358" s="45"/>
      <c r="H358" s="45"/>
      <c r="J358" s="45"/>
    </row>
    <row r="359">
      <c r="A359" s="22" t="s">
        <v>274</v>
      </c>
      <c r="B359" s="21" t="str">
        <f t="shared" si="4"/>
        <v>#DIV/0!</v>
      </c>
      <c r="C359" s="21" t="str">
        <f>VLOOKUP(A359, hash!A$2:B$500, 2, 0)</f>
        <v>664e45f07cadce18e9e94600</v>
      </c>
      <c r="D359" s="23" t="str">
        <f t="shared" si="1"/>
        <v>#DIV/0!</v>
      </c>
      <c r="F359" s="45"/>
      <c r="H359" s="45"/>
      <c r="J359" s="45"/>
    </row>
    <row r="360">
      <c r="A360" s="22" t="s">
        <v>275</v>
      </c>
      <c r="B360" s="21" t="str">
        <f t="shared" si="4"/>
        <v>#DIV/0!</v>
      </c>
      <c r="C360" s="21" t="str">
        <f>VLOOKUP(A360, hash!A$2:B$500, 2, 0)</f>
        <v>665773d4af4d86d206115ffb</v>
      </c>
      <c r="D360" s="23" t="str">
        <f t="shared" si="1"/>
        <v>#DIV/0!</v>
      </c>
      <c r="F360" s="45"/>
      <c r="H360" s="45"/>
      <c r="J360" s="45"/>
    </row>
    <row r="361">
      <c r="A361" s="22" t="s">
        <v>642</v>
      </c>
      <c r="B361" s="21" t="str">
        <f t="shared" si="4"/>
        <v>#DIV/0!</v>
      </c>
      <c r="C361" s="21" t="str">
        <f>VLOOKUP(A361, hash!A$2:B$500, 2, 0)</f>
        <v>#N/A</v>
      </c>
      <c r="D361" s="23" t="str">
        <f t="shared" si="1"/>
        <v>#DIV/0!</v>
      </c>
      <c r="F361" s="45"/>
      <c r="H361" s="45"/>
      <c r="J361" s="45"/>
    </row>
    <row r="362">
      <c r="A362" s="22" t="s">
        <v>643</v>
      </c>
      <c r="B362" s="21" t="str">
        <f t="shared" si="4"/>
        <v>#DIV/0!</v>
      </c>
      <c r="C362" s="21" t="str">
        <f>VLOOKUP(A362, hash!A$2:B$500, 2, 0)</f>
        <v>#N/A</v>
      </c>
      <c r="D362" s="23" t="str">
        <f t="shared" si="1"/>
        <v>#DIV/0!</v>
      </c>
      <c r="F362" s="45"/>
      <c r="H362" s="45"/>
      <c r="J362" s="45"/>
    </row>
    <row r="363">
      <c r="A363" s="22" t="s">
        <v>276</v>
      </c>
      <c r="B363" s="21" t="str">
        <f t="shared" si="4"/>
        <v>#DIV/0!</v>
      </c>
      <c r="C363" s="21" t="str">
        <f>VLOOKUP(A363, hash!A$2:B$500, 2, 0)</f>
        <v>66cac517e3728ef7a173d5b4</v>
      </c>
      <c r="D363" s="23" t="str">
        <f t="shared" si="1"/>
        <v>#DIV/0!</v>
      </c>
      <c r="F363" s="45"/>
      <c r="H363" s="45"/>
      <c r="J363" s="45"/>
    </row>
    <row r="364">
      <c r="A364" s="22" t="s">
        <v>277</v>
      </c>
      <c r="B364" s="21" t="str">
        <f t="shared" si="4"/>
        <v>#DIV/0!</v>
      </c>
      <c r="C364" s="21" t="str">
        <f>VLOOKUP(A364, hash!A$2:B$500, 2, 0)</f>
        <v>66d4dfe22c49b6570be6d76d</v>
      </c>
      <c r="D364" s="23" t="str">
        <f t="shared" si="1"/>
        <v>#DIV/0!</v>
      </c>
      <c r="F364" s="27"/>
      <c r="H364" s="27"/>
      <c r="J364" s="27"/>
    </row>
    <row r="365">
      <c r="A365" s="22" t="s">
        <v>278</v>
      </c>
      <c r="B365" s="21" t="str">
        <f t="shared" si="4"/>
        <v>#DIV/0!</v>
      </c>
      <c r="C365" s="21" t="str">
        <f>VLOOKUP(A365, hash!A$2:B$500, 2, 0)</f>
        <v>66db0378ada861be3f1186a3</v>
      </c>
      <c r="D365" s="23" t="str">
        <f t="shared" si="1"/>
        <v>#DIV/0!</v>
      </c>
      <c r="F365" s="45"/>
      <c r="H365" s="45"/>
      <c r="J365" s="45"/>
    </row>
    <row r="366">
      <c r="A366" s="22" t="s">
        <v>279</v>
      </c>
      <c r="B366" s="21" t="str">
        <f t="shared" si="4"/>
        <v>#DIV/0!</v>
      </c>
      <c r="C366" s="21" t="str">
        <f>VLOOKUP(A366, hash!A$2:B$500, 2, 0)</f>
        <v>66dfaa6ed25069720af3c493</v>
      </c>
      <c r="D366" s="23" t="str">
        <f t="shared" si="1"/>
        <v>#DIV/0!</v>
      </c>
      <c r="F366" s="27"/>
      <c r="H366" s="27"/>
      <c r="J366" s="27"/>
    </row>
    <row r="367">
      <c r="A367" s="22" t="s">
        <v>280</v>
      </c>
      <c r="B367" s="21" t="str">
        <f t="shared" si="4"/>
        <v>#DIV/0!</v>
      </c>
      <c r="C367" s="21" t="str">
        <f>VLOOKUP(A367, hash!A$2:B$500, 2, 0)</f>
        <v>66e1e0ef855f2a7e8fb837e2</v>
      </c>
      <c r="D367" s="23" t="str">
        <f t="shared" si="1"/>
        <v>#DIV/0!</v>
      </c>
      <c r="F367" s="45"/>
      <c r="H367" s="45"/>
      <c r="J367" s="45"/>
    </row>
    <row r="368">
      <c r="A368" s="22" t="s">
        <v>281</v>
      </c>
      <c r="B368" s="21" t="str">
        <f t="shared" si="4"/>
        <v>#DIV/0!</v>
      </c>
      <c r="C368" s="21" t="str">
        <f>VLOOKUP(A368, hash!A$2:B$500, 2, 0)</f>
        <v>66e1e0fe855f2a7e8fb837e3</v>
      </c>
      <c r="D368" s="23" t="str">
        <f t="shared" si="1"/>
        <v>#DIV/0!</v>
      </c>
      <c r="F368" s="45"/>
      <c r="H368" s="45"/>
      <c r="J368" s="45"/>
    </row>
    <row r="369">
      <c r="A369" s="22" t="s">
        <v>282</v>
      </c>
      <c r="B369" s="21" t="str">
        <f t="shared" si="4"/>
        <v>#DIV/0!</v>
      </c>
      <c r="C369" s="21" t="str">
        <f>VLOOKUP(A369, hash!A$2:B$500, 2, 0)</f>
        <v>66e1e105a61e89c7c68f6e30</v>
      </c>
      <c r="D369" s="23" t="str">
        <f t="shared" si="1"/>
        <v>#DIV/0!</v>
      </c>
      <c r="F369" s="45"/>
      <c r="H369" s="45"/>
      <c r="J369" s="45"/>
    </row>
    <row r="370">
      <c r="A370" s="22" t="s">
        <v>60</v>
      </c>
      <c r="B370" s="21" t="str">
        <f t="shared" si="4"/>
        <v>#DIV/0!</v>
      </c>
      <c r="C370" s="21" t="str">
        <f>VLOOKUP(A370, hash!A$2:B$500, 2, 0)</f>
        <v>66e1e105db315cbd40043fc1</v>
      </c>
      <c r="D370" s="23" t="str">
        <f t="shared" si="1"/>
        <v>#DIV/0!</v>
      </c>
      <c r="F370" s="27"/>
      <c r="H370" s="27"/>
      <c r="J370" s="27"/>
    </row>
    <row r="371">
      <c r="A371" s="22" t="s">
        <v>43</v>
      </c>
      <c r="B371" s="21" t="str">
        <f t="shared" si="4"/>
        <v>#DIV/0!</v>
      </c>
      <c r="C371" s="21" t="str">
        <f>VLOOKUP(A371, hash!A$2:B$500, 2, 0)</f>
        <v>66e1e108a61e89c7c68f6e31</v>
      </c>
      <c r="D371" s="23" t="str">
        <f t="shared" si="1"/>
        <v>#DIV/0!</v>
      </c>
      <c r="F371" s="27"/>
      <c r="H371" s="27"/>
      <c r="J371" s="27"/>
    </row>
    <row r="372">
      <c r="A372" s="22" t="s">
        <v>283</v>
      </c>
      <c r="B372" s="21" t="str">
        <f t="shared" si="4"/>
        <v>#DIV/0!</v>
      </c>
      <c r="C372" s="21" t="str">
        <f>VLOOKUP(A372, hash!A$2:B$500, 2, 0)</f>
        <v>66e1e10bdb315cbd40043fc3</v>
      </c>
      <c r="D372" s="23" t="str">
        <f t="shared" si="1"/>
        <v>#DIV/0!</v>
      </c>
      <c r="F372" s="45"/>
      <c r="H372" s="45"/>
      <c r="J372" s="45"/>
    </row>
    <row r="373">
      <c r="A373" s="22" t="s">
        <v>89</v>
      </c>
      <c r="B373" s="21" t="str">
        <f t="shared" si="4"/>
        <v>#DIV/0!</v>
      </c>
      <c r="C373" s="21" t="str">
        <f>VLOOKUP(A373, hash!A$2:B$500, 2, 0)</f>
        <v>66e1e10cdb315cbd40043fc4</v>
      </c>
      <c r="D373" s="23" t="str">
        <f t="shared" si="1"/>
        <v>#DIV/0!</v>
      </c>
      <c r="F373" s="27"/>
      <c r="H373" s="27"/>
      <c r="J373" s="27"/>
    </row>
    <row r="374">
      <c r="A374" s="22" t="s">
        <v>284</v>
      </c>
      <c r="B374" s="21" t="str">
        <f t="shared" si="4"/>
        <v>#DIV/0!</v>
      </c>
      <c r="C374" s="21" t="str">
        <f>VLOOKUP(A374, hash!A$2:B$500, 2, 0)</f>
        <v>66e1e111f0db8f5922c91d81</v>
      </c>
      <c r="D374" s="23" t="str">
        <f t="shared" si="1"/>
        <v>#DIV/0!</v>
      </c>
      <c r="F374" s="45"/>
      <c r="H374" s="45"/>
      <c r="J374" s="45"/>
    </row>
    <row r="375">
      <c r="A375" s="22" t="s">
        <v>285</v>
      </c>
      <c r="B375" s="21" t="str">
        <f t="shared" si="4"/>
        <v>#DIV/0!</v>
      </c>
      <c r="C375" s="21" t="str">
        <f>VLOOKUP(A375, hash!A$2:B$500, 2, 0)</f>
        <v>66e1e116f0db8f5922c91d82</v>
      </c>
      <c r="D375" s="23" t="str">
        <f t="shared" si="1"/>
        <v>#DIV/0!</v>
      </c>
      <c r="F375" s="45"/>
      <c r="H375" s="45"/>
      <c r="J375" s="45"/>
    </row>
    <row r="376">
      <c r="A376" s="22" t="s">
        <v>286</v>
      </c>
      <c r="B376" s="21" t="str">
        <f t="shared" si="4"/>
        <v>#DIV/0!</v>
      </c>
      <c r="C376" s="21" t="str">
        <f>VLOOKUP(A376, hash!A$2:B$500, 2, 0)</f>
        <v>66e1e1187a8e6dc2aed3a63d</v>
      </c>
      <c r="D376" s="23" t="str">
        <f t="shared" si="1"/>
        <v>#DIV/0!</v>
      </c>
      <c r="F376" s="45"/>
      <c r="H376" s="45"/>
      <c r="J376" s="45"/>
    </row>
    <row r="377">
      <c r="A377" s="22" t="s">
        <v>287</v>
      </c>
      <c r="B377" s="21" t="str">
        <f t="shared" si="4"/>
        <v>#DIV/0!</v>
      </c>
      <c r="C377" s="21" t="str">
        <f>VLOOKUP(A377, hash!A$2:B$500, 2, 0)</f>
        <v>66e1e119f0db8f5922c91d83</v>
      </c>
      <c r="D377" s="23" t="str">
        <f t="shared" si="1"/>
        <v>#DIV/0!</v>
      </c>
      <c r="F377" s="45"/>
      <c r="H377" s="45"/>
      <c r="J377" s="45"/>
    </row>
    <row r="378">
      <c r="A378" s="22" t="s">
        <v>288</v>
      </c>
      <c r="B378" s="21" t="str">
        <f t="shared" si="4"/>
        <v>#DIV/0!</v>
      </c>
      <c r="C378" s="21" t="str">
        <f>VLOOKUP(A378, hash!A$2:B$500, 2, 0)</f>
        <v>66e1e11f45950d34f313912f</v>
      </c>
      <c r="D378" s="23" t="str">
        <f t="shared" si="1"/>
        <v>#DIV/0!</v>
      </c>
      <c r="F378" s="45"/>
      <c r="H378" s="45"/>
      <c r="J378" s="45"/>
    </row>
    <row r="379">
      <c r="A379" s="22" t="s">
        <v>100</v>
      </c>
      <c r="B379" s="21" t="str">
        <f t="shared" si="4"/>
        <v>#DIV/0!</v>
      </c>
      <c r="C379" s="21" t="str">
        <f>VLOOKUP(A379, hash!A$2:B$500, 2, 0)</f>
        <v>66e1e1207a8e6dc2aed3a63e</v>
      </c>
      <c r="D379" s="23" t="str">
        <f t="shared" si="1"/>
        <v>#DIV/0!</v>
      </c>
      <c r="F379" s="27"/>
      <c r="H379" s="27"/>
      <c r="J379" s="27"/>
    </row>
    <row r="380">
      <c r="A380" s="22" t="s">
        <v>289</v>
      </c>
      <c r="B380" s="21" t="str">
        <f t="shared" si="4"/>
        <v>#DIV/0!</v>
      </c>
      <c r="C380" s="21" t="str">
        <f>VLOOKUP(A380, hash!A$2:B$500, 2, 0)</f>
        <v>66e1e1217a8e6dc2aed3a63f</v>
      </c>
      <c r="D380" s="23" t="str">
        <f t="shared" si="1"/>
        <v>#DIV/0!</v>
      </c>
      <c r="F380" s="45"/>
      <c r="H380" s="45"/>
      <c r="J380" s="45"/>
    </row>
    <row r="381">
      <c r="A381" s="22" t="s">
        <v>290</v>
      </c>
      <c r="B381" s="21" t="str">
        <f t="shared" si="4"/>
        <v>#DIV/0!</v>
      </c>
      <c r="C381" s="21" t="str">
        <f>VLOOKUP(A381, hash!A$2:B$500, 2, 0)</f>
        <v>66e1e1227a8e6dc2aed3a640</v>
      </c>
      <c r="D381" s="23" t="str">
        <f t="shared" si="1"/>
        <v>#DIV/0!</v>
      </c>
      <c r="F381" s="27"/>
      <c r="H381" s="27"/>
      <c r="J381" s="27"/>
    </row>
    <row r="382">
      <c r="A382" s="22" t="s">
        <v>50</v>
      </c>
      <c r="B382" s="21" t="str">
        <f t="shared" si="4"/>
        <v>#DIV/0!</v>
      </c>
      <c r="C382" s="21" t="str">
        <f>VLOOKUP(A382, hash!A$2:B$500, 2, 0)</f>
        <v>66e1e1227a8e6dc2aed3a641</v>
      </c>
      <c r="D382" s="23" t="str">
        <f t="shared" si="1"/>
        <v>#DIV/0!</v>
      </c>
      <c r="F382" s="45"/>
      <c r="H382" s="45"/>
      <c r="J382" s="45"/>
    </row>
    <row r="383">
      <c r="A383" s="22" t="s">
        <v>291</v>
      </c>
      <c r="B383" s="21" t="str">
        <f t="shared" si="4"/>
        <v>#DIV/0!</v>
      </c>
      <c r="C383" s="21" t="str">
        <f>VLOOKUP(A383, hash!A$2:B$500, 2, 0)</f>
        <v>66e1e122e2fbdff8a0c35634</v>
      </c>
      <c r="D383" s="23" t="str">
        <f t="shared" si="1"/>
        <v>#DIV/0!</v>
      </c>
      <c r="F383" s="27"/>
      <c r="H383" s="27"/>
      <c r="J383" s="27"/>
    </row>
    <row r="384">
      <c r="A384" s="22" t="s">
        <v>292</v>
      </c>
      <c r="B384" s="21" t="str">
        <f t="shared" si="4"/>
        <v>#DIV/0!</v>
      </c>
      <c r="C384" s="21" t="str">
        <f>VLOOKUP(A384, hash!A$2:B$500, 2, 0)</f>
        <v>66e1e1257a8e6dc2aed3a643</v>
      </c>
      <c r="D384" s="23" t="str">
        <f t="shared" si="1"/>
        <v>#DIV/0!</v>
      </c>
      <c r="F384" s="45"/>
      <c r="H384" s="45"/>
      <c r="J384" s="45"/>
    </row>
    <row r="385">
      <c r="A385" s="22" t="s">
        <v>44</v>
      </c>
      <c r="B385" s="21" t="str">
        <f t="shared" si="4"/>
        <v>#DIV/0!</v>
      </c>
      <c r="C385" s="21" t="str">
        <f>VLOOKUP(A385, hash!A$2:B$500, 2, 0)</f>
        <v>66e1e125f0db8f5922c91d84</v>
      </c>
      <c r="D385" s="23" t="str">
        <f t="shared" si="1"/>
        <v>#DIV/0!</v>
      </c>
      <c r="F385" s="27"/>
      <c r="H385" s="27"/>
      <c r="J385" s="27"/>
    </row>
    <row r="386">
      <c r="A386" s="22" t="s">
        <v>33</v>
      </c>
      <c r="B386" s="21" t="str">
        <f t="shared" si="4"/>
        <v>#DIV/0!</v>
      </c>
      <c r="C386" s="21" t="str">
        <f>VLOOKUP(A386, hash!A$2:B$500, 2, 0)</f>
        <v>66e1e126f0db8f5922c91d85</v>
      </c>
      <c r="D386" s="23" t="str">
        <f t="shared" si="1"/>
        <v>#DIV/0!</v>
      </c>
      <c r="F386" s="27"/>
      <c r="H386" s="27"/>
      <c r="J386" s="27"/>
    </row>
    <row r="387">
      <c r="A387" s="22" t="s">
        <v>16</v>
      </c>
      <c r="B387" s="21" t="str">
        <f t="shared" si="4"/>
        <v>#DIV/0!</v>
      </c>
      <c r="C387" s="21" t="str">
        <f>VLOOKUP(A387, hash!A$2:B$500, 2, 0)</f>
        <v>66e1e1267a8e6dc2aed3a644</v>
      </c>
      <c r="D387" s="23" t="str">
        <f t="shared" si="1"/>
        <v>#DIV/0!</v>
      </c>
      <c r="F387" s="45"/>
      <c r="H387" s="45"/>
      <c r="J387" s="45"/>
    </row>
    <row r="388">
      <c r="A388" s="24" t="s">
        <v>24</v>
      </c>
      <c r="B388" s="21" t="str">
        <f t="shared" si="4"/>
        <v>#DIV/0!</v>
      </c>
      <c r="C388" s="21" t="str">
        <f>VLOOKUP(A388, hash!A$2:B$500, 2, 0)</f>
        <v>66e1e1277a8e6dc2aed3a645</v>
      </c>
      <c r="D388" s="23" t="str">
        <f t="shared" si="1"/>
        <v>#DIV/0!</v>
      </c>
      <c r="F388" s="27"/>
      <c r="H388" s="27"/>
      <c r="J388" s="27"/>
    </row>
    <row r="389">
      <c r="A389" s="22" t="s">
        <v>294</v>
      </c>
      <c r="B389" s="21" t="str">
        <f t="shared" si="4"/>
        <v>#DIV/0!</v>
      </c>
      <c r="C389" s="21" t="str">
        <f>VLOOKUP(A389, hash!A$2:B$500, 2, 0)</f>
        <v>66e1e127e2fbdff8a0c35636</v>
      </c>
      <c r="D389" s="23" t="str">
        <f t="shared" si="1"/>
        <v>#DIV/0!</v>
      </c>
      <c r="F389" s="45"/>
      <c r="H389" s="45"/>
      <c r="J389" s="45"/>
    </row>
    <row r="390">
      <c r="A390" s="22" t="s">
        <v>295</v>
      </c>
      <c r="B390" s="21" t="str">
        <f t="shared" si="4"/>
        <v>#DIV/0!</v>
      </c>
      <c r="C390" s="21" t="str">
        <f>VLOOKUP(A390, hash!A$2:B$500, 2, 0)</f>
        <v>66e1e128f0db8f5922c91d86</v>
      </c>
      <c r="D390" s="23" t="str">
        <f t="shared" si="1"/>
        <v>#DIV/0!</v>
      </c>
      <c r="F390" s="45"/>
      <c r="H390" s="45"/>
      <c r="J390" s="45"/>
    </row>
    <row r="391">
      <c r="A391" s="22" t="s">
        <v>296</v>
      </c>
      <c r="B391" s="21" t="str">
        <f t="shared" si="4"/>
        <v>#DIV/0!</v>
      </c>
      <c r="C391" s="21" t="str">
        <f>VLOOKUP(A391, hash!A$2:B$500, 2, 0)</f>
        <v>66e1e129f0db8f5922c91d87</v>
      </c>
      <c r="D391" s="23" t="str">
        <f t="shared" si="1"/>
        <v>#DIV/0!</v>
      </c>
      <c r="F391" s="45"/>
      <c r="H391" s="45"/>
      <c r="J391" s="45"/>
    </row>
    <row r="392">
      <c r="A392" s="22" t="s">
        <v>62</v>
      </c>
      <c r="B392" s="21" t="str">
        <f t="shared" si="4"/>
        <v>#DIV/0!</v>
      </c>
      <c r="C392" s="21" t="str">
        <f>VLOOKUP(A392, hash!A$2:B$500, 2, 0)</f>
        <v>66e1e12a45950d34f3139132</v>
      </c>
      <c r="D392" s="23" t="str">
        <f t="shared" si="1"/>
        <v>#DIV/0!</v>
      </c>
      <c r="F392" s="45"/>
      <c r="H392" s="45"/>
      <c r="J392" s="45"/>
    </row>
    <row r="393">
      <c r="A393" s="22" t="s">
        <v>297</v>
      </c>
      <c r="B393" s="21" t="str">
        <f t="shared" si="4"/>
        <v>#DIV/0!</v>
      </c>
      <c r="C393" s="21" t="str">
        <f>VLOOKUP(A393, hash!A$2:B$500, 2, 0)</f>
        <v>66e1e12bf0db8f5922c91d88</v>
      </c>
      <c r="D393" s="23" t="str">
        <f t="shared" si="1"/>
        <v>#DIV/0!</v>
      </c>
      <c r="F393" s="27"/>
      <c r="H393" s="27"/>
      <c r="J393" s="27"/>
    </row>
    <row r="394">
      <c r="A394" s="22" t="s">
        <v>63</v>
      </c>
      <c r="B394" s="21" t="str">
        <f t="shared" si="4"/>
        <v>#DIV/0!</v>
      </c>
      <c r="C394" s="21" t="str">
        <f>VLOOKUP(A394, hash!A$2:B$500, 2, 0)</f>
        <v>66e1e12cf0db8f5922c91d89</v>
      </c>
      <c r="D394" s="23" t="str">
        <f t="shared" si="1"/>
        <v>#DIV/0!</v>
      </c>
      <c r="F394" s="27"/>
      <c r="H394" s="27"/>
      <c r="J394" s="27"/>
    </row>
    <row r="395">
      <c r="A395" s="22" t="s">
        <v>299</v>
      </c>
      <c r="B395" s="21" t="str">
        <f t="shared" si="4"/>
        <v>#DIV/0!</v>
      </c>
      <c r="C395" s="21" t="str">
        <f>VLOOKUP(A395, hash!A$2:B$500, 2, 0)</f>
        <v>66e1e12c68fa766abf5d11d7</v>
      </c>
      <c r="D395" s="23" t="str">
        <f t="shared" si="1"/>
        <v>#DIV/0!</v>
      </c>
      <c r="F395" s="45"/>
      <c r="H395" s="45"/>
      <c r="J395" s="45"/>
    </row>
    <row r="396">
      <c r="A396" s="22" t="s">
        <v>300</v>
      </c>
      <c r="B396" s="21" t="str">
        <f t="shared" si="4"/>
        <v>#DIV/0!</v>
      </c>
      <c r="C396" s="21" t="str">
        <f>VLOOKUP(A396, hash!A$2:B$500, 2, 0)</f>
        <v>66e1e12df0db8f5922c91d8a</v>
      </c>
      <c r="D396" s="23" t="str">
        <f t="shared" si="1"/>
        <v>#DIV/0!</v>
      </c>
      <c r="F396" s="27"/>
      <c r="H396" s="27"/>
      <c r="J396" s="27"/>
    </row>
    <row r="397">
      <c r="A397" s="22" t="s">
        <v>301</v>
      </c>
      <c r="B397" s="21" t="str">
        <f t="shared" si="4"/>
        <v>#DIV/0!</v>
      </c>
      <c r="C397" s="21" t="str">
        <f>VLOOKUP(A397, hash!A$2:B$500, 2, 0)</f>
        <v>66e1e12ee2fbdff8a0c3563a</v>
      </c>
      <c r="D397" s="23" t="str">
        <f t="shared" si="1"/>
        <v>#DIV/0!</v>
      </c>
      <c r="F397" s="45"/>
      <c r="H397" s="45"/>
      <c r="J397" s="45"/>
    </row>
    <row r="398">
      <c r="A398" s="22" t="s">
        <v>41</v>
      </c>
      <c r="B398" s="21" t="str">
        <f t="shared" si="4"/>
        <v>#DIV/0!</v>
      </c>
      <c r="C398" s="21" t="str">
        <f>VLOOKUP(A398, hash!A$2:B$500, 2, 0)</f>
        <v>66e1e12ef0db8f5922c91d8b</v>
      </c>
      <c r="D398" s="23" t="str">
        <f t="shared" si="1"/>
        <v>#DIV/0!</v>
      </c>
      <c r="F398" s="27"/>
      <c r="H398" s="27"/>
      <c r="J398" s="27"/>
    </row>
    <row r="399">
      <c r="A399" s="22" t="s">
        <v>302</v>
      </c>
      <c r="B399" s="21" t="str">
        <f t="shared" si="4"/>
        <v>#DIV/0!</v>
      </c>
      <c r="C399" s="21" t="str">
        <f>VLOOKUP(A399, hash!A$2:B$500, 2, 0)</f>
        <v>66e1e12f7a8e6dc2aed3a646</v>
      </c>
      <c r="D399" s="23" t="str">
        <f t="shared" si="1"/>
        <v>#DIV/0!</v>
      </c>
      <c r="F399" s="27"/>
      <c r="H399" s="27"/>
      <c r="J399" s="27"/>
    </row>
    <row r="400">
      <c r="A400" s="22" t="s">
        <v>57</v>
      </c>
      <c r="B400" s="21" t="str">
        <f t="shared" si="4"/>
        <v>#DIV/0!</v>
      </c>
      <c r="C400" s="21" t="str">
        <f>VLOOKUP(A400, hash!A$2:B$500, 2, 0)</f>
        <v>66e1e13168fa766abf5d11d8</v>
      </c>
      <c r="D400" s="23" t="str">
        <f t="shared" si="1"/>
        <v>#DIV/0!</v>
      </c>
      <c r="F400" s="27"/>
      <c r="H400" s="27"/>
      <c r="J400" s="27"/>
    </row>
    <row r="401">
      <c r="A401" s="22" t="s">
        <v>304</v>
      </c>
      <c r="B401" s="21" t="str">
        <f t="shared" si="4"/>
        <v>#DIV/0!</v>
      </c>
      <c r="C401" s="21" t="str">
        <f>VLOOKUP(A401, hash!A$2:B$500, 2, 0)</f>
        <v>66e1e139f0db8f5922c91d8d</v>
      </c>
      <c r="D401" s="23" t="str">
        <f t="shared" si="1"/>
        <v>#DIV/0!</v>
      </c>
      <c r="F401" s="45"/>
      <c r="H401" s="45"/>
      <c r="J401" s="45"/>
    </row>
    <row r="402">
      <c r="A402" s="22" t="s">
        <v>31</v>
      </c>
      <c r="B402" s="21" t="str">
        <f t="shared" si="4"/>
        <v>#DIV/0!</v>
      </c>
      <c r="C402" s="21" t="str">
        <f>VLOOKUP(A402, hash!A$2:B$500, 2, 0)</f>
        <v>66e1e13fdb315cbd40043fca</v>
      </c>
      <c r="D402" s="23" t="str">
        <f t="shared" si="1"/>
        <v>#DIV/0!</v>
      </c>
      <c r="F402" s="45"/>
      <c r="H402" s="45"/>
      <c r="J402" s="45"/>
    </row>
    <row r="403">
      <c r="A403" s="22" t="s">
        <v>307</v>
      </c>
      <c r="B403" s="21" t="str">
        <f t="shared" si="4"/>
        <v>#DIV/0!</v>
      </c>
      <c r="C403" s="21" t="str">
        <f>VLOOKUP(A403, hash!A$2:B$500, 2, 0)</f>
        <v>66e1e14b7a8e6dc2aed3a649</v>
      </c>
      <c r="D403" s="23" t="str">
        <f t="shared" si="1"/>
        <v>#DIV/0!</v>
      </c>
      <c r="F403" s="45"/>
      <c r="H403" s="45"/>
      <c r="J403" s="45"/>
    </row>
    <row r="404">
      <c r="A404" s="22" t="s">
        <v>308</v>
      </c>
      <c r="B404" s="21" t="str">
        <f t="shared" si="4"/>
        <v>#DIV/0!</v>
      </c>
      <c r="C404" s="21" t="str">
        <f>VLOOKUP(A404, hash!A$2:B$500, 2, 0)</f>
        <v>66e1e14cf0db8f5922c91d94</v>
      </c>
      <c r="D404" s="23" t="str">
        <f t="shared" si="1"/>
        <v>#DIV/0!</v>
      </c>
      <c r="F404" s="45"/>
      <c r="H404" s="45"/>
      <c r="J404" s="45"/>
    </row>
    <row r="405">
      <c r="A405" s="22" t="s">
        <v>309</v>
      </c>
      <c r="B405" s="21" t="str">
        <f t="shared" si="4"/>
        <v>#DIV/0!</v>
      </c>
      <c r="C405" s="21" t="str">
        <f>VLOOKUP(A405, hash!A$2:B$500, 2, 0)</f>
        <v>66e1e200bbd279710a4f25a0</v>
      </c>
      <c r="D405" s="23" t="str">
        <f t="shared" si="1"/>
        <v>#DIV/0!</v>
      </c>
      <c r="F405" s="27"/>
      <c r="H405" s="27"/>
      <c r="J405" s="27"/>
    </row>
    <row r="406">
      <c r="A406" s="22" t="s">
        <v>38</v>
      </c>
      <c r="B406" s="21" t="str">
        <f t="shared" si="4"/>
        <v>#DIV/0!</v>
      </c>
      <c r="C406" s="21" t="str">
        <f>VLOOKUP(A406, hash!A$2:B$500, 2, 0)</f>
        <v>66e1e295c67d6a88d4309dde</v>
      </c>
      <c r="D406" s="23" t="str">
        <f t="shared" si="1"/>
        <v>#DIV/0!</v>
      </c>
      <c r="F406" s="45"/>
      <c r="H406" s="45"/>
      <c r="J406" s="45"/>
    </row>
    <row r="407">
      <c r="A407" s="22" t="s">
        <v>310</v>
      </c>
      <c r="B407" s="21" t="str">
        <f t="shared" si="4"/>
        <v>#DIV/0!</v>
      </c>
      <c r="C407" s="21" t="str">
        <f>VLOOKUP(A407, hash!A$2:B$500, 2, 0)</f>
        <v>66e1ed7ce62f650d943808d3</v>
      </c>
      <c r="D407" s="23" t="str">
        <f t="shared" si="1"/>
        <v>#DIV/0!</v>
      </c>
      <c r="F407" s="45"/>
      <c r="H407" s="45"/>
      <c r="J407" s="45"/>
    </row>
    <row r="408">
      <c r="A408" s="22" t="s">
        <v>311</v>
      </c>
      <c r="B408" s="21" t="str">
        <f t="shared" si="4"/>
        <v>#DIV/0!</v>
      </c>
      <c r="C408" s="21" t="str">
        <f>VLOOKUP(A408, hash!A$2:B$500, 2, 0)</f>
        <v>66e1ed80e62f650d943808d4</v>
      </c>
      <c r="D408" s="23" t="str">
        <f t="shared" si="1"/>
        <v>#DIV/0!</v>
      </c>
      <c r="F408" s="45"/>
      <c r="H408" s="45"/>
      <c r="J408" s="45"/>
    </row>
    <row r="409">
      <c r="A409" s="22" t="s">
        <v>313</v>
      </c>
      <c r="B409" s="21" t="str">
        <f t="shared" si="4"/>
        <v>#DIV/0!</v>
      </c>
      <c r="C409" s="21" t="str">
        <f>VLOOKUP(A409, hash!A$2:B$500, 2, 0)</f>
        <v>66e1ed8677e929b3df889a0a</v>
      </c>
      <c r="D409" s="23" t="str">
        <f t="shared" si="1"/>
        <v>#DIV/0!</v>
      </c>
      <c r="F409" s="27"/>
      <c r="H409" s="27"/>
      <c r="J409" s="27"/>
    </row>
    <row r="410">
      <c r="A410" s="22" t="s">
        <v>314</v>
      </c>
      <c r="B410" s="21" t="str">
        <f t="shared" si="4"/>
        <v>#DIV/0!</v>
      </c>
      <c r="C410" s="21" t="str">
        <f>VLOOKUP(A410, hash!A$2:B$500, 2, 0)</f>
        <v>66e1ed871129889a3e2c24a9</v>
      </c>
      <c r="D410" s="23" t="str">
        <f t="shared" si="1"/>
        <v>#DIV/0!</v>
      </c>
      <c r="F410" s="45"/>
      <c r="H410" s="45"/>
      <c r="J410" s="45"/>
    </row>
    <row r="411">
      <c r="A411" s="22" t="s">
        <v>64</v>
      </c>
      <c r="B411" s="21" t="str">
        <f t="shared" si="4"/>
        <v>#DIV/0!</v>
      </c>
      <c r="C411" s="21" t="str">
        <f>VLOOKUP(A411, hash!A$2:B$500, 2, 0)</f>
        <v>66e1ed8c1129889a3e2c24aa</v>
      </c>
      <c r="D411" s="23" t="str">
        <f t="shared" si="1"/>
        <v>#DIV/0!</v>
      </c>
      <c r="F411" s="45"/>
      <c r="H411" s="45"/>
      <c r="J411" s="45"/>
    </row>
    <row r="412">
      <c r="A412" s="22" t="s">
        <v>315</v>
      </c>
      <c r="B412" s="21" t="str">
        <f t="shared" si="4"/>
        <v>#DIV/0!</v>
      </c>
      <c r="C412" s="21" t="str">
        <f>VLOOKUP(A412, hash!A$2:B$500, 2, 0)</f>
        <v>66e1ed901129889a3e2c24ac</v>
      </c>
      <c r="D412" s="23" t="str">
        <f t="shared" si="1"/>
        <v>#DIV/0!</v>
      </c>
      <c r="F412" s="45"/>
      <c r="H412" s="45"/>
      <c r="J412" s="45"/>
    </row>
    <row r="413">
      <c r="A413" s="22" t="s">
        <v>316</v>
      </c>
      <c r="B413" s="21" t="str">
        <f t="shared" si="4"/>
        <v>#DIV/0!</v>
      </c>
      <c r="C413" s="21" t="str">
        <f>VLOOKUP(A413, hash!A$2:B$500, 2, 0)</f>
        <v>66e1ed9207067318cc1e18cb</v>
      </c>
      <c r="D413" s="23" t="str">
        <f t="shared" si="1"/>
        <v>#DIV/0!</v>
      </c>
      <c r="F413" s="45"/>
      <c r="H413" s="45"/>
      <c r="J413" s="45"/>
    </row>
    <row r="414">
      <c r="A414" s="22" t="s">
        <v>317</v>
      </c>
      <c r="B414" s="21" t="str">
        <f t="shared" si="4"/>
        <v>#DIV/0!</v>
      </c>
      <c r="C414" s="21" t="str">
        <f>VLOOKUP(A414, hash!A$2:B$500, 2, 0)</f>
        <v>66e1ed9207067318cc1e18cc</v>
      </c>
      <c r="D414" s="23" t="str">
        <f t="shared" si="1"/>
        <v>#DIV/0!</v>
      </c>
      <c r="F414" s="45"/>
      <c r="H414" s="45"/>
      <c r="J414" s="45"/>
    </row>
    <row r="415">
      <c r="A415" s="22" t="s">
        <v>318</v>
      </c>
      <c r="B415" s="21" t="str">
        <f t="shared" si="4"/>
        <v>#DIV/0!</v>
      </c>
      <c r="C415" s="21" t="str">
        <f>VLOOKUP(A415, hash!A$2:B$500, 2, 0)</f>
        <v>66e1ed9407067318cc1e18cd</v>
      </c>
      <c r="D415" s="23" t="str">
        <f t="shared" si="1"/>
        <v>#DIV/0!</v>
      </c>
      <c r="F415" s="45"/>
      <c r="H415" s="45"/>
      <c r="J415" s="45"/>
    </row>
    <row r="416">
      <c r="A416" s="22" t="s">
        <v>319</v>
      </c>
      <c r="B416" s="21" t="str">
        <f t="shared" si="4"/>
        <v>#DIV/0!</v>
      </c>
      <c r="C416" s="21" t="str">
        <f>VLOOKUP(A416, hash!A$2:B$500, 2, 0)</f>
        <v>66e1ed96e62f650d943808d5</v>
      </c>
      <c r="D416" s="23" t="str">
        <f t="shared" si="1"/>
        <v>#DIV/0!</v>
      </c>
      <c r="F416" s="45"/>
      <c r="H416" s="45"/>
      <c r="J416" s="45"/>
    </row>
    <row r="417">
      <c r="A417" s="22" t="s">
        <v>320</v>
      </c>
      <c r="B417" s="21" t="str">
        <f t="shared" si="4"/>
        <v>#DIV/0!</v>
      </c>
      <c r="C417" s="21" t="str">
        <f>VLOOKUP(A417, hash!A$2:B$500, 2, 0)</f>
        <v>66e1ed97e62f650d943808d6</v>
      </c>
      <c r="D417" s="23" t="str">
        <f t="shared" si="1"/>
        <v>#DIV/0!</v>
      </c>
      <c r="F417" s="27"/>
      <c r="H417" s="27"/>
      <c r="J417" s="27"/>
    </row>
    <row r="418">
      <c r="A418" s="22" t="s">
        <v>321</v>
      </c>
      <c r="B418" s="21" t="str">
        <f t="shared" si="4"/>
        <v>#DIV/0!</v>
      </c>
      <c r="C418" s="21" t="str">
        <f>VLOOKUP(A418, hash!A$2:B$500, 2, 0)</f>
        <v>66e1ed9877e929b3df889a0b</v>
      </c>
      <c r="D418" s="23" t="str">
        <f t="shared" si="1"/>
        <v>#DIV/0!</v>
      </c>
      <c r="F418" s="27"/>
      <c r="H418" s="27"/>
      <c r="J418" s="27"/>
    </row>
    <row r="419">
      <c r="A419" s="22" t="s">
        <v>322</v>
      </c>
      <c r="B419" s="21" t="str">
        <f t="shared" si="4"/>
        <v>#DIV/0!</v>
      </c>
      <c r="C419" s="21" t="str">
        <f>VLOOKUP(A419, hash!A$2:B$500, 2, 0)</f>
        <v>66e1ed9877e929b3df889a0c</v>
      </c>
      <c r="D419" s="23" t="str">
        <f t="shared" si="1"/>
        <v>#DIV/0!</v>
      </c>
      <c r="F419" s="45"/>
      <c r="H419" s="45"/>
      <c r="J419" s="45"/>
    </row>
    <row r="420">
      <c r="A420" s="22" t="s">
        <v>323</v>
      </c>
      <c r="B420" s="21" t="str">
        <f t="shared" si="4"/>
        <v>#DIV/0!</v>
      </c>
      <c r="C420" s="21" t="str">
        <f>VLOOKUP(A420, hash!A$2:B$500, 2, 0)</f>
        <v>66e1ed98e62f650d943808d7</v>
      </c>
      <c r="D420" s="23" t="str">
        <f t="shared" si="1"/>
        <v>#DIV/0!</v>
      </c>
      <c r="F420" s="45"/>
      <c r="H420" s="45"/>
      <c r="J420" s="45"/>
    </row>
    <row r="421">
      <c r="A421" s="22" t="s">
        <v>324</v>
      </c>
      <c r="B421" s="21" t="str">
        <f t="shared" si="4"/>
        <v>#DIV/0!</v>
      </c>
      <c r="C421" s="21" t="str">
        <f>VLOOKUP(A421, hash!A$2:B$500, 2, 0)</f>
        <v>66e1ed9b535f0d0c02349bed</v>
      </c>
      <c r="D421" s="23" t="str">
        <f t="shared" si="1"/>
        <v>#DIV/0!</v>
      </c>
      <c r="F421" s="45"/>
      <c r="H421" s="45"/>
      <c r="J421" s="45"/>
    </row>
    <row r="422">
      <c r="A422" s="22" t="s">
        <v>325</v>
      </c>
      <c r="B422" s="21" t="str">
        <f t="shared" si="4"/>
        <v>#DIV/0!</v>
      </c>
      <c r="C422" s="21" t="str">
        <f>VLOOKUP(A422, hash!A$2:B$500, 2, 0)</f>
        <v>66e1ed9c07067318cc1e18ce</v>
      </c>
      <c r="D422" s="23" t="str">
        <f t="shared" si="1"/>
        <v>#DIV/0!</v>
      </c>
      <c r="F422" s="27"/>
      <c r="H422" s="27"/>
      <c r="J422" s="27"/>
    </row>
    <row r="423">
      <c r="A423" s="22" t="s">
        <v>326</v>
      </c>
      <c r="B423" s="21" t="str">
        <f t="shared" si="4"/>
        <v>#DIV/0!</v>
      </c>
      <c r="C423" s="21" t="str">
        <f>VLOOKUP(A423, hash!A$2:B$500, 2, 0)</f>
        <v>66e1ed9e07067318cc1e18cf</v>
      </c>
      <c r="D423" s="23" t="str">
        <f t="shared" si="1"/>
        <v>#DIV/0!</v>
      </c>
      <c r="F423" s="45"/>
      <c r="H423" s="45"/>
      <c r="J423" s="45"/>
    </row>
    <row r="424">
      <c r="A424" s="22" t="s">
        <v>327</v>
      </c>
      <c r="B424" s="21" t="str">
        <f t="shared" si="4"/>
        <v>#DIV/0!</v>
      </c>
      <c r="C424" s="21" t="str">
        <f>VLOOKUP(A424, hash!A$2:B$500, 2, 0)</f>
        <v>66e1ed9f07067318cc1e18d0</v>
      </c>
      <c r="D424" s="23" t="str">
        <f t="shared" si="1"/>
        <v>#DIV/0!</v>
      </c>
      <c r="F424" s="45"/>
      <c r="H424" s="45"/>
      <c r="J424" s="45"/>
    </row>
    <row r="425">
      <c r="A425" s="22" t="s">
        <v>328</v>
      </c>
      <c r="B425" s="21" t="str">
        <f t="shared" si="4"/>
        <v>#DIV/0!</v>
      </c>
      <c r="C425" s="21" t="str">
        <f>VLOOKUP(A425, hash!A$2:B$500, 2, 0)</f>
        <v>66e1eda007067318cc1e18d1</v>
      </c>
      <c r="D425" s="23" t="str">
        <f t="shared" si="1"/>
        <v>#DIV/0!</v>
      </c>
      <c r="F425" s="45"/>
      <c r="H425" s="45"/>
      <c r="J425" s="45"/>
    </row>
    <row r="426">
      <c r="A426" s="22" t="s">
        <v>329</v>
      </c>
      <c r="B426" s="21" t="str">
        <f t="shared" si="4"/>
        <v>#DIV/0!</v>
      </c>
      <c r="C426" s="21" t="str">
        <f>VLOOKUP(A426, hash!A$2:B$500, 2, 0)</f>
        <v>66e1eda1535f0d0c02349bee</v>
      </c>
      <c r="D426" s="23" t="str">
        <f t="shared" si="1"/>
        <v>#DIV/0!</v>
      </c>
      <c r="F426" s="45"/>
      <c r="H426" s="45"/>
      <c r="J426" s="45"/>
    </row>
    <row r="427">
      <c r="A427" s="22" t="s">
        <v>330</v>
      </c>
      <c r="B427" s="21" t="str">
        <f t="shared" si="4"/>
        <v>#DIV/0!</v>
      </c>
      <c r="C427" s="21" t="str">
        <f>VLOOKUP(A427, hash!A$2:B$500, 2, 0)</f>
        <v>66e1eda5535f0d0c02349bef</v>
      </c>
      <c r="D427" s="23" t="str">
        <f t="shared" si="1"/>
        <v>#DIV/0!</v>
      </c>
      <c r="F427" s="45"/>
      <c r="H427" s="45"/>
      <c r="J427" s="27"/>
    </row>
    <row r="428">
      <c r="A428" s="22" t="s">
        <v>331</v>
      </c>
      <c r="B428" s="21" t="str">
        <f t="shared" si="4"/>
        <v>#DIV/0!</v>
      </c>
      <c r="C428" s="21" t="str">
        <f>VLOOKUP(A428, hash!A$2:B$500, 2, 0)</f>
        <v>66e1eda6535f0d0c02349bf0</v>
      </c>
      <c r="D428" s="23" t="str">
        <f t="shared" si="1"/>
        <v>#DIV/0!</v>
      </c>
      <c r="F428" s="45"/>
      <c r="H428" s="45"/>
      <c r="J428" s="45"/>
    </row>
    <row r="429">
      <c r="A429" s="22" t="s">
        <v>97</v>
      </c>
      <c r="B429" s="21" t="str">
        <f t="shared" si="4"/>
        <v>#DIV/0!</v>
      </c>
      <c r="C429" s="21" t="str">
        <f>VLOOKUP(A429, hash!A$2:B$500, 2, 0)</f>
        <v>66e1eda71129889a3e2c24ae</v>
      </c>
      <c r="D429" s="23" t="str">
        <f t="shared" si="1"/>
        <v>#DIV/0!</v>
      </c>
      <c r="F429" s="45"/>
      <c r="H429" s="45"/>
      <c r="J429" s="45"/>
    </row>
    <row r="430">
      <c r="A430" s="22" t="s">
        <v>332</v>
      </c>
      <c r="B430" s="21" t="str">
        <f t="shared" si="4"/>
        <v>#DIV/0!</v>
      </c>
      <c r="C430" s="21" t="str">
        <f>VLOOKUP(A430, hash!A$2:B$500, 2, 0)</f>
        <v>66e1eda81129889a3e2c24af</v>
      </c>
      <c r="D430" s="23" t="str">
        <f t="shared" si="1"/>
        <v>#DIV/0!</v>
      </c>
      <c r="F430" s="27"/>
      <c r="H430" s="27"/>
      <c r="J430" s="27"/>
    </row>
    <row r="431">
      <c r="A431" s="22" t="s">
        <v>333</v>
      </c>
      <c r="B431" s="21" t="str">
        <f t="shared" si="4"/>
        <v>#DIV/0!</v>
      </c>
      <c r="C431" s="21" t="str">
        <f>VLOOKUP(A431, hash!A$2:B$500, 2, 0)</f>
        <v>66e1eda807067318cc1e18d2</v>
      </c>
      <c r="D431" s="23" t="str">
        <f t="shared" si="1"/>
        <v>#DIV/0!</v>
      </c>
      <c r="F431" s="45"/>
      <c r="H431" s="45"/>
      <c r="J431" s="45"/>
    </row>
    <row r="432">
      <c r="A432" s="22" t="s">
        <v>90</v>
      </c>
      <c r="B432" s="21" t="str">
        <f t="shared" si="4"/>
        <v>#DIV/0!</v>
      </c>
      <c r="C432" s="21" t="str">
        <f>VLOOKUP(A432, hash!A$2:B$500, 2, 0)</f>
        <v>66e1edab07067318cc1e18d3</v>
      </c>
      <c r="D432" s="23" t="str">
        <f t="shared" si="1"/>
        <v>#DIV/0!</v>
      </c>
      <c r="F432" s="45"/>
      <c r="H432" s="45"/>
      <c r="J432" s="45"/>
    </row>
    <row r="433">
      <c r="A433" s="22" t="s">
        <v>334</v>
      </c>
      <c r="B433" s="21" t="str">
        <f t="shared" si="4"/>
        <v>#DIV/0!</v>
      </c>
      <c r="C433" s="21" t="str">
        <f>VLOOKUP(A433, hash!A$2:B$500, 2, 0)</f>
        <v>66e1edbc07067318cc1e18d8</v>
      </c>
      <c r="D433" s="23" t="str">
        <f t="shared" si="1"/>
        <v>#DIV/0!</v>
      </c>
      <c r="F433" s="45"/>
      <c r="H433" s="45"/>
      <c r="J433" s="45"/>
    </row>
    <row r="434">
      <c r="A434" s="22" t="s">
        <v>335</v>
      </c>
      <c r="B434" s="21" t="str">
        <f t="shared" si="4"/>
        <v>#DIV/0!</v>
      </c>
      <c r="C434" s="21" t="str">
        <f>VLOOKUP(A434, hash!A$2:B$500, 2, 0)</f>
        <v>66e1edd11129889a3e2c24ba</v>
      </c>
      <c r="D434" s="23" t="str">
        <f t="shared" si="1"/>
        <v>#DIV/0!</v>
      </c>
      <c r="F434" s="45"/>
      <c r="H434" s="45"/>
      <c r="J434" s="45"/>
    </row>
    <row r="435">
      <c r="A435" s="22" t="s">
        <v>336</v>
      </c>
      <c r="B435" s="21" t="str">
        <f t="shared" si="4"/>
        <v>#DIV/0!</v>
      </c>
      <c r="C435" s="21" t="str">
        <f>VLOOKUP(A435, hash!A$2:B$500, 2, 0)</f>
        <v>66e1ee9d77e929b3df889a14</v>
      </c>
      <c r="D435" s="23" t="str">
        <f t="shared" si="1"/>
        <v>#DIV/0!</v>
      </c>
      <c r="F435" s="27"/>
      <c r="H435" s="27"/>
      <c r="J435" s="27"/>
    </row>
    <row r="436">
      <c r="A436" s="22" t="s">
        <v>337</v>
      </c>
      <c r="B436" s="21" t="str">
        <f t="shared" si="4"/>
        <v>#DIV/0!</v>
      </c>
      <c r="C436" s="21" t="str">
        <f>VLOOKUP(A436, hash!A$2:B$500, 2, 0)</f>
        <v>66e1f36e97e3bb4b1a02d659</v>
      </c>
      <c r="D436" s="23" t="str">
        <f t="shared" si="1"/>
        <v>#DIV/0!</v>
      </c>
      <c r="F436" s="45"/>
      <c r="H436" s="45"/>
      <c r="J436" s="45"/>
    </row>
    <row r="437">
      <c r="A437" s="22" t="s">
        <v>37</v>
      </c>
      <c r="B437" s="21" t="str">
        <f t="shared" si="4"/>
        <v>#DIV/0!</v>
      </c>
      <c r="C437" s="21" t="str">
        <f>VLOOKUP(A437, hash!A$2:B$500, 2, 0)</f>
        <v>66e21e0e9dc93e7d858c34ab</v>
      </c>
      <c r="D437" s="23" t="str">
        <f t="shared" si="1"/>
        <v>#DIV/0!</v>
      </c>
      <c r="F437" s="27"/>
      <c r="H437" s="27"/>
      <c r="J437" s="27"/>
    </row>
    <row r="438">
      <c r="A438" s="22" t="s">
        <v>98</v>
      </c>
      <c r="B438" s="21" t="str">
        <f t="shared" si="4"/>
        <v>#DIV/0!</v>
      </c>
      <c r="C438" s="21" t="str">
        <f>VLOOKUP(A438, hash!A$2:B$500, 2, 0)</f>
        <v>66e4659d317cf70a1c31109e</v>
      </c>
      <c r="D438" s="23" t="str">
        <f t="shared" si="1"/>
        <v>#DIV/0!</v>
      </c>
      <c r="F438" s="27"/>
      <c r="H438" s="27"/>
      <c r="J438" s="27"/>
    </row>
    <row r="439">
      <c r="A439" s="22" t="s">
        <v>338</v>
      </c>
      <c r="B439" s="21" t="str">
        <f t="shared" si="4"/>
        <v>#DIV/0!</v>
      </c>
      <c r="C439" s="21" t="str">
        <f>VLOOKUP(A439, hash!A$2:B$500, 2, 0)</f>
        <v>66ea1f306b0b246c2372bbac</v>
      </c>
      <c r="D439" s="23" t="str">
        <f t="shared" si="1"/>
        <v>#DIV/0!</v>
      </c>
      <c r="F439" s="45"/>
      <c r="H439" s="45"/>
      <c r="J439" s="45"/>
    </row>
    <row r="440">
      <c r="A440" s="22" t="s">
        <v>35</v>
      </c>
      <c r="B440" s="21" t="str">
        <f t="shared" si="4"/>
        <v>#DIV/0!</v>
      </c>
      <c r="C440" s="21" t="str">
        <f>VLOOKUP(A440, hash!A$2:B$500, 2, 0)</f>
        <v>66eb1b4237edf2b32f9fc2ec</v>
      </c>
      <c r="D440" s="23" t="str">
        <f t="shared" si="1"/>
        <v>#DIV/0!</v>
      </c>
      <c r="F440" s="45"/>
      <c r="H440" s="45"/>
      <c r="J440" s="45"/>
    </row>
    <row r="441">
      <c r="A441" s="22" t="s">
        <v>339</v>
      </c>
      <c r="B441" s="21" t="str">
        <f t="shared" si="4"/>
        <v>#DIV/0!</v>
      </c>
      <c r="C441" s="21" t="str">
        <f>VLOOKUP(A441, hash!A$2:B$500, 2, 0)</f>
        <v>66eb1bdf61b31c87a7ea090e</v>
      </c>
      <c r="D441" s="23" t="str">
        <f t="shared" si="1"/>
        <v>#DIV/0!</v>
      </c>
      <c r="F441" s="45"/>
      <c r="H441" s="45"/>
      <c r="J441" s="45"/>
    </row>
    <row r="442">
      <c r="A442" s="22" t="s">
        <v>340</v>
      </c>
      <c r="B442" s="21" t="str">
        <f t="shared" si="4"/>
        <v>#DIV/0!</v>
      </c>
      <c r="C442" s="21" t="str">
        <f>VLOOKUP(A442, hash!A$2:B$500, 2, 0)</f>
        <v>66eb1bedcb6c430d242f37c4</v>
      </c>
      <c r="D442" s="23" t="str">
        <f t="shared" si="1"/>
        <v>#DIV/0!</v>
      </c>
      <c r="F442" s="45"/>
      <c r="H442" s="45"/>
      <c r="J442" s="45"/>
    </row>
    <row r="443">
      <c r="A443" s="22" t="s">
        <v>341</v>
      </c>
      <c r="B443" s="21" t="str">
        <f t="shared" si="4"/>
        <v>#DIV/0!</v>
      </c>
      <c r="C443" s="21" t="str">
        <f>VLOOKUP(A443, hash!A$2:B$500, 2, 0)</f>
        <v>66eb1bf21132636931fb1927</v>
      </c>
      <c r="D443" s="23" t="str">
        <f t="shared" si="1"/>
        <v>#DIV/0!</v>
      </c>
      <c r="F443" s="27"/>
      <c r="H443" s="27"/>
      <c r="J443" s="27"/>
    </row>
    <row r="444">
      <c r="A444" s="22" t="s">
        <v>342</v>
      </c>
      <c r="B444" s="21" t="str">
        <f t="shared" si="4"/>
        <v>#DIV/0!</v>
      </c>
      <c r="C444" s="21" t="str">
        <f>VLOOKUP(A444, hash!A$2:B$500, 2, 0)</f>
        <v>66eb1bf5cb6c430d242f37c7</v>
      </c>
      <c r="D444" s="23" t="str">
        <f t="shared" si="1"/>
        <v>#DIV/0!</v>
      </c>
      <c r="F444" s="45"/>
      <c r="H444" s="45"/>
      <c r="J444" s="45"/>
    </row>
    <row r="445">
      <c r="A445" s="22" t="s">
        <v>343</v>
      </c>
      <c r="B445" s="21" t="str">
        <f t="shared" si="4"/>
        <v>#DIV/0!</v>
      </c>
      <c r="C445" s="21" t="str">
        <f>VLOOKUP(A445, hash!A$2:B$500, 2, 0)</f>
        <v>66eb1bf91132636931fb1929</v>
      </c>
      <c r="D445" s="23" t="str">
        <f t="shared" si="1"/>
        <v>#DIV/0!</v>
      </c>
      <c r="F445" s="45"/>
      <c r="H445" s="45"/>
      <c r="J445" s="45"/>
    </row>
    <row r="446">
      <c r="A446" s="22" t="s">
        <v>344</v>
      </c>
      <c r="B446" s="21" t="str">
        <f t="shared" si="4"/>
        <v>#DIV/0!</v>
      </c>
      <c r="C446" s="21" t="str">
        <f>VLOOKUP(A446, hash!A$2:B$500, 2, 0)</f>
        <v>66eb1bff8647681e6a2afbde</v>
      </c>
      <c r="D446" s="23" t="str">
        <f t="shared" si="1"/>
        <v>#DIV/0!</v>
      </c>
      <c r="F446" s="45"/>
      <c r="H446" s="45"/>
      <c r="J446" s="45"/>
    </row>
    <row r="447">
      <c r="A447" s="22" t="s">
        <v>345</v>
      </c>
      <c r="B447" s="21" t="str">
        <f t="shared" si="4"/>
        <v>#DIV/0!</v>
      </c>
      <c r="C447" s="21" t="str">
        <f>VLOOKUP(A447, hash!A$2:B$500, 2, 0)</f>
        <v>66eb1c00a52629221738126a</v>
      </c>
      <c r="D447" s="23" t="str">
        <f t="shared" si="1"/>
        <v>#DIV/0!</v>
      </c>
      <c r="F447" s="45"/>
      <c r="H447" s="45"/>
      <c r="J447" s="45"/>
    </row>
    <row r="448">
      <c r="A448" s="22" t="s">
        <v>347</v>
      </c>
      <c r="B448" s="21" t="str">
        <f t="shared" si="4"/>
        <v>#DIV/0!</v>
      </c>
      <c r="C448" s="21" t="str">
        <f>VLOOKUP(A448, hash!A$2:B$500, 2, 0)</f>
        <v>66eb1c248647681e6a2afbe7</v>
      </c>
      <c r="D448" s="23" t="str">
        <f t="shared" si="1"/>
        <v>#DIV/0!</v>
      </c>
      <c r="F448" s="45"/>
      <c r="H448" s="45"/>
      <c r="J448" s="45"/>
    </row>
    <row r="449">
      <c r="A449" s="22" t="s">
        <v>348</v>
      </c>
      <c r="B449" s="21" t="str">
        <f t="shared" si="4"/>
        <v>#DIV/0!</v>
      </c>
      <c r="C449" s="21" t="str">
        <f>VLOOKUP(A449, hash!A$2:B$500, 2, 0)</f>
        <v>66eb1c2ba526292217381274</v>
      </c>
      <c r="D449" s="23" t="str">
        <f t="shared" si="1"/>
        <v>#DIV/0!</v>
      </c>
      <c r="F449" s="45"/>
      <c r="H449" s="45"/>
      <c r="J449" s="45"/>
    </row>
    <row r="450">
      <c r="A450" s="22" t="s">
        <v>349</v>
      </c>
      <c r="B450" s="21" t="str">
        <f t="shared" si="4"/>
        <v>#DIV/0!</v>
      </c>
      <c r="C450" s="21" t="str">
        <f>VLOOKUP(A450, hash!A$2:B$500, 2, 0)</f>
        <v>66eb1c2b8647681e6a2afbe8</v>
      </c>
      <c r="D450" s="23" t="str">
        <f t="shared" si="1"/>
        <v>#DIV/0!</v>
      </c>
      <c r="F450" s="45"/>
      <c r="H450" s="45"/>
      <c r="J450" s="45"/>
    </row>
    <row r="451">
      <c r="A451" s="22" t="s">
        <v>350</v>
      </c>
      <c r="B451" s="21" t="str">
        <f t="shared" si="4"/>
        <v>#DIV/0!</v>
      </c>
      <c r="C451" s="21" t="str">
        <f>VLOOKUP(A451, hash!A$2:B$500, 2, 0)</f>
        <v>66eb1c33cb6c430d242f37d2</v>
      </c>
      <c r="D451" s="23" t="str">
        <f t="shared" si="1"/>
        <v>#DIV/0!</v>
      </c>
      <c r="F451" s="45"/>
      <c r="H451" s="45"/>
      <c r="J451" s="45"/>
    </row>
    <row r="452">
      <c r="A452" s="22" t="s">
        <v>351</v>
      </c>
      <c r="B452" s="21" t="str">
        <f t="shared" si="4"/>
        <v>#DIV/0!</v>
      </c>
      <c r="C452" s="21" t="str">
        <f>VLOOKUP(A452, hash!A$2:B$500, 2, 0)</f>
        <v>66eb1c341132636931fb192f</v>
      </c>
      <c r="D452" s="23" t="str">
        <f t="shared" si="1"/>
        <v>#DIV/0!</v>
      </c>
      <c r="F452" s="45"/>
      <c r="H452" s="45"/>
      <c r="J452" s="45"/>
    </row>
    <row r="453">
      <c r="A453" s="22" t="s">
        <v>352</v>
      </c>
      <c r="B453" s="21" t="str">
        <f t="shared" si="4"/>
        <v>#DIV/0!</v>
      </c>
      <c r="C453" s="21" t="str">
        <f>VLOOKUP(A453, hash!A$2:B$500, 2, 0)</f>
        <v>66eb1c681132636931fb1934</v>
      </c>
      <c r="D453" s="23" t="str">
        <f t="shared" si="1"/>
        <v>#DIV/0!</v>
      </c>
      <c r="F453" s="45"/>
      <c r="H453" s="45"/>
      <c r="J453" s="45"/>
    </row>
    <row r="454">
      <c r="A454" s="22" t="s">
        <v>353</v>
      </c>
      <c r="B454" s="21" t="str">
        <f t="shared" si="4"/>
        <v>#DIV/0!</v>
      </c>
      <c r="C454" s="21" t="str">
        <f>VLOOKUP(A454, hash!A$2:B$500, 2, 0)</f>
        <v>66eb1c6ecb6c430d242f37d9</v>
      </c>
      <c r="D454" s="23" t="str">
        <f t="shared" si="1"/>
        <v>#DIV/0!</v>
      </c>
      <c r="F454" s="45"/>
      <c r="H454" s="45"/>
      <c r="J454" s="45"/>
    </row>
    <row r="455">
      <c r="A455" s="22" t="s">
        <v>354</v>
      </c>
      <c r="B455" s="21" t="str">
        <f t="shared" si="4"/>
        <v>#DIV/0!</v>
      </c>
      <c r="C455" s="21" t="str">
        <f>VLOOKUP(A455, hash!A$2:B$500, 2, 0)</f>
        <v>66eb1c79cb6c430d242f37da</v>
      </c>
      <c r="D455" s="23" t="str">
        <f t="shared" si="1"/>
        <v>#DIV/0!</v>
      </c>
      <c r="F455" s="45"/>
      <c r="H455" s="45"/>
      <c r="J455" s="45"/>
    </row>
    <row r="456">
      <c r="A456" s="22" t="s">
        <v>355</v>
      </c>
      <c r="B456" s="21" t="str">
        <f t="shared" si="4"/>
        <v>#DIV/0!</v>
      </c>
      <c r="C456" s="21" t="str">
        <f>VLOOKUP(A456, hash!A$2:B$500, 2, 0)</f>
        <v>66eb1c7e1132636931fb1938</v>
      </c>
      <c r="D456" s="23" t="str">
        <f t="shared" si="1"/>
        <v>#DIV/0!</v>
      </c>
      <c r="F456" s="45"/>
      <c r="H456" s="45"/>
      <c r="J456" s="45"/>
    </row>
    <row r="457">
      <c r="A457" s="22" t="s">
        <v>356</v>
      </c>
      <c r="B457" s="21" t="str">
        <f t="shared" si="4"/>
        <v>#DIV/0!</v>
      </c>
      <c r="C457" s="21" t="str">
        <f>VLOOKUP(A457, hash!A$2:B$500, 2, 0)</f>
        <v>66eb1cb28647681e6a2afbec</v>
      </c>
      <c r="D457" s="23" t="str">
        <f t="shared" si="1"/>
        <v>#DIV/0!</v>
      </c>
      <c r="F457" s="45"/>
      <c r="H457" s="45"/>
      <c r="J457" s="45"/>
    </row>
    <row r="458">
      <c r="A458" s="22" t="s">
        <v>357</v>
      </c>
      <c r="B458" s="21" t="str">
        <f t="shared" si="4"/>
        <v>#DIV/0!</v>
      </c>
      <c r="C458" s="21" t="str">
        <f>VLOOKUP(A458, hash!A$2:B$500, 2, 0)</f>
        <v>66eb1ce18647681e6a2afbed</v>
      </c>
      <c r="D458" s="23" t="str">
        <f t="shared" si="1"/>
        <v>#DIV/0!</v>
      </c>
      <c r="F458" s="45"/>
      <c r="H458" s="45"/>
      <c r="J458" s="45"/>
    </row>
    <row r="459">
      <c r="A459" s="22" t="s">
        <v>358</v>
      </c>
      <c r="B459" s="21" t="str">
        <f t="shared" si="4"/>
        <v>#DIV/0!</v>
      </c>
      <c r="C459" s="21" t="str">
        <f>VLOOKUP(A459, hash!A$2:B$500, 2, 0)</f>
        <v>66eb26e01132636931fb1948</v>
      </c>
      <c r="D459" s="23" t="str">
        <f t="shared" si="1"/>
        <v>#DIV/0!</v>
      </c>
      <c r="F459" s="45"/>
      <c r="H459" s="45"/>
      <c r="J459" s="45"/>
    </row>
    <row r="460">
      <c r="A460" s="22" t="s">
        <v>359</v>
      </c>
      <c r="B460" s="21" t="str">
        <f t="shared" si="4"/>
        <v>#DIV/0!</v>
      </c>
      <c r="C460" s="21" t="str">
        <f>VLOOKUP(A460, hash!A$2:B$500, 2, 0)</f>
        <v>66eb2791f5cf341f2cef5f68</v>
      </c>
      <c r="D460" s="23" t="str">
        <f t="shared" si="1"/>
        <v>#DIV/0!</v>
      </c>
      <c r="F460" s="45"/>
      <c r="H460" s="45"/>
      <c r="J460" s="45"/>
    </row>
    <row r="461">
      <c r="A461" s="22" t="s">
        <v>360</v>
      </c>
      <c r="B461" s="21" t="str">
        <f t="shared" si="4"/>
        <v>#DIV/0!</v>
      </c>
      <c r="C461" s="21" t="str">
        <f>VLOOKUP(A461, hash!A$2:B$500, 2, 0)</f>
        <v>66eb283093ca556f981967dc</v>
      </c>
      <c r="D461" s="23" t="str">
        <f t="shared" si="1"/>
        <v>#DIV/0!</v>
      </c>
      <c r="F461" s="45"/>
      <c r="H461" s="45"/>
      <c r="J461" s="45"/>
    </row>
    <row r="462">
      <c r="A462" s="24" t="s">
        <v>361</v>
      </c>
      <c r="B462" s="21" t="str">
        <f t="shared" si="4"/>
        <v>#DIV/0!</v>
      </c>
      <c r="C462" s="21" t="str">
        <f>VLOOKUP(A462, hash!A$2:B$500, 2, 0)</f>
        <v>66eb283593ca556f981967de</v>
      </c>
      <c r="D462" s="23" t="str">
        <f t="shared" si="1"/>
        <v>#DIV/0!</v>
      </c>
      <c r="F462" s="45"/>
      <c r="H462" s="45"/>
      <c r="J462" s="45"/>
    </row>
    <row r="463">
      <c r="A463" s="22" t="s">
        <v>362</v>
      </c>
      <c r="B463" s="21" t="str">
        <f t="shared" si="4"/>
        <v>#DIV/0!</v>
      </c>
      <c r="C463" s="21" t="str">
        <f>VLOOKUP(A463, hash!A$2:B$500, 2, 0)</f>
        <v>66eb28586bd7ab0d5c9d8c1c</v>
      </c>
      <c r="D463" s="23" t="str">
        <f t="shared" si="1"/>
        <v>#DIV/0!</v>
      </c>
      <c r="F463" s="45"/>
      <c r="H463" s="45"/>
      <c r="J463" s="45"/>
    </row>
    <row r="464">
      <c r="A464" s="22" t="s">
        <v>644</v>
      </c>
      <c r="B464" s="21" t="str">
        <f t="shared" si="4"/>
        <v>#DIV/0!</v>
      </c>
      <c r="C464" s="21" t="str">
        <f>VLOOKUP(A464, hash!A$2:B$500, 2, 0)</f>
        <v>#N/A</v>
      </c>
      <c r="D464" s="23" t="str">
        <f t="shared" si="1"/>
        <v>#DIV/0!</v>
      </c>
      <c r="F464" s="45"/>
      <c r="H464" s="45"/>
      <c r="J464" s="45"/>
    </row>
    <row r="465">
      <c r="A465" s="22" t="s">
        <v>363</v>
      </c>
      <c r="B465" s="21" t="str">
        <f t="shared" si="4"/>
        <v>#DIV/0!</v>
      </c>
      <c r="C465" s="21" t="str">
        <f>VLOOKUP(A465, hash!A$2:B$500, 2, 0)</f>
        <v>66eb28b493ca556f981967e8</v>
      </c>
      <c r="D465" s="23" t="str">
        <f t="shared" si="1"/>
        <v>#DIV/0!</v>
      </c>
      <c r="F465" s="45"/>
      <c r="H465" s="45"/>
      <c r="J465" s="45"/>
    </row>
    <row r="466">
      <c r="A466" s="22" t="s">
        <v>364</v>
      </c>
      <c r="B466" s="21" t="str">
        <f t="shared" si="4"/>
        <v>#DIV/0!</v>
      </c>
      <c r="C466" s="21" t="str">
        <f>VLOOKUP(A466, hash!A$2:B$500, 2, 0)</f>
        <v>66eb293393ca556f981967ec</v>
      </c>
      <c r="D466" s="23" t="str">
        <f t="shared" si="1"/>
        <v>#DIV/0!</v>
      </c>
      <c r="F466" s="45"/>
      <c r="H466" s="45"/>
      <c r="J466" s="45"/>
    </row>
    <row r="467">
      <c r="A467" s="22" t="s">
        <v>365</v>
      </c>
      <c r="B467" s="21" t="str">
        <f t="shared" si="4"/>
        <v>#DIV/0!</v>
      </c>
      <c r="C467" s="21" t="str">
        <f>VLOOKUP(A467, hash!A$2:B$500, 2, 0)</f>
        <v>66eb295cf5cf341f2cef5f6e</v>
      </c>
      <c r="D467" s="23" t="str">
        <f t="shared" si="1"/>
        <v>#DIV/0!</v>
      </c>
      <c r="F467" s="45"/>
      <c r="H467" s="45"/>
      <c r="J467" s="45"/>
    </row>
    <row r="468">
      <c r="A468" s="22" t="s">
        <v>366</v>
      </c>
      <c r="B468" s="21" t="str">
        <f t="shared" si="4"/>
        <v>#DIV/0!</v>
      </c>
      <c r="C468" s="21" t="str">
        <f>VLOOKUP(A468, hash!A$2:B$500, 2, 0)</f>
        <v>66ec5f65155b01592e9cc06d</v>
      </c>
      <c r="D468" s="23" t="str">
        <f t="shared" si="1"/>
        <v>#DIV/0!</v>
      </c>
      <c r="F468" s="45"/>
      <c r="H468" s="45"/>
      <c r="J468" s="45"/>
    </row>
    <row r="469">
      <c r="A469" s="14" t="s">
        <v>381</v>
      </c>
      <c r="B469" s="21" t="str">
        <f t="shared" si="4"/>
        <v>#DIV/0!</v>
      </c>
      <c r="C469" s="21" t="str">
        <f>VLOOKUP(A469, hash!A$2:B$500, 2, 0)</f>
        <v>673394857b0fd6243000d5bb</v>
      </c>
      <c r="D469" s="23" t="str">
        <f t="shared" si="1"/>
        <v>#DIV/0!</v>
      </c>
      <c r="E469" s="35"/>
      <c r="F469" s="38"/>
      <c r="G469" s="38"/>
      <c r="H469" s="35"/>
      <c r="I469" s="38"/>
      <c r="J469" s="38"/>
    </row>
    <row r="470">
      <c r="A470" s="14" t="s">
        <v>325</v>
      </c>
      <c r="B470" s="21" t="str">
        <f t="shared" si="4"/>
        <v>#DIV/0!</v>
      </c>
      <c r="C470" s="21" t="str">
        <f>VLOOKUP(A470, hash!A$2:B$500, 2, 0)</f>
        <v>66e1ed9c07067318cc1e18ce</v>
      </c>
      <c r="D470" s="23" t="str">
        <f t="shared" si="1"/>
        <v>#DIV/0!</v>
      </c>
      <c r="E470" s="35"/>
      <c r="F470" s="35"/>
      <c r="G470" s="35"/>
      <c r="H470" s="35"/>
      <c r="I470" s="35"/>
      <c r="J470" s="35"/>
    </row>
    <row r="471">
      <c r="A471" s="14"/>
      <c r="E471" s="35"/>
      <c r="F471" s="38"/>
      <c r="G471" s="38"/>
      <c r="H471" s="38"/>
      <c r="I471" s="38"/>
      <c r="J471" s="38"/>
    </row>
    <row r="472">
      <c r="A472" s="14"/>
      <c r="E472" s="35"/>
      <c r="F472" s="38"/>
      <c r="G472" s="38"/>
      <c r="H472" s="38"/>
      <c r="I472" s="38"/>
      <c r="J472" s="38"/>
    </row>
    <row r="473">
      <c r="A473" s="14"/>
      <c r="E473" s="35"/>
      <c r="F473" s="38"/>
      <c r="G473" s="38"/>
      <c r="H473" s="38"/>
      <c r="I473" s="38"/>
      <c r="J473" s="38"/>
    </row>
    <row r="474">
      <c r="A474" s="14"/>
      <c r="E474" s="35"/>
      <c r="F474" s="38"/>
      <c r="G474" s="38"/>
      <c r="H474" s="38"/>
      <c r="I474" s="38"/>
      <c r="J474" s="38"/>
    </row>
    <row r="475">
      <c r="A475" s="14"/>
      <c r="E475" s="35"/>
      <c r="F475" s="38"/>
      <c r="G475" s="38"/>
      <c r="H475" s="38"/>
      <c r="I475" s="38"/>
      <c r="J475" s="38"/>
    </row>
    <row r="476">
      <c r="A476" s="14"/>
      <c r="E476" s="35"/>
      <c r="F476" s="38"/>
      <c r="G476" s="38"/>
      <c r="H476" s="38"/>
      <c r="I476" s="38"/>
      <c r="J476" s="38"/>
    </row>
    <row r="477">
      <c r="A477" s="14"/>
      <c r="E477" s="35"/>
      <c r="F477" s="38"/>
      <c r="G477" s="38"/>
      <c r="H477" s="38"/>
      <c r="I477" s="38"/>
      <c r="J477" s="38"/>
    </row>
    <row r="478">
      <c r="A478" s="14"/>
      <c r="E478" s="35"/>
      <c r="F478" s="38"/>
      <c r="G478" s="38"/>
      <c r="H478" s="38"/>
      <c r="I478" s="38"/>
      <c r="J478" s="38"/>
    </row>
    <row r="479">
      <c r="A479" s="14"/>
      <c r="E479" s="35"/>
      <c r="F479" s="38"/>
      <c r="G479" s="38"/>
      <c r="H479" s="38"/>
      <c r="I479" s="38"/>
      <c r="J479" s="38"/>
    </row>
    <row r="480">
      <c r="A480" s="14"/>
      <c r="E480" s="35"/>
      <c r="F480" s="38"/>
      <c r="G480" s="38"/>
      <c r="H480" s="38"/>
      <c r="I480" s="38"/>
      <c r="J480" s="38"/>
    </row>
    <row r="481">
      <c r="A481" s="14"/>
      <c r="E481" s="35"/>
      <c r="F481" s="38"/>
      <c r="G481" s="38"/>
      <c r="H481" s="38"/>
      <c r="I481" s="38"/>
      <c r="J481" s="38"/>
    </row>
    <row r="482">
      <c r="A482" s="14"/>
      <c r="E482" s="35"/>
      <c r="F482" s="38"/>
      <c r="G482" s="38"/>
      <c r="H482" s="38"/>
      <c r="I482" s="38"/>
      <c r="J482" s="38"/>
    </row>
    <row r="483">
      <c r="A483" s="14"/>
      <c r="E483" s="35"/>
      <c r="F483" s="38"/>
      <c r="G483" s="38"/>
      <c r="H483" s="38"/>
      <c r="I483" s="38"/>
      <c r="J483" s="38"/>
    </row>
    <row r="484">
      <c r="A484" s="14"/>
      <c r="E484" s="35"/>
      <c r="F484" s="38"/>
      <c r="G484" s="38"/>
      <c r="H484" s="38"/>
      <c r="I484" s="38"/>
      <c r="J484" s="38"/>
    </row>
    <row r="485">
      <c r="A485" s="14"/>
      <c r="E485" s="35"/>
      <c r="F485" s="38"/>
      <c r="G485" s="38"/>
      <c r="H485" s="38"/>
      <c r="I485" s="38"/>
      <c r="J485" s="38"/>
    </row>
    <row r="486">
      <c r="A486" s="14"/>
      <c r="E486" s="35"/>
      <c r="F486" s="38"/>
      <c r="G486" s="38"/>
      <c r="H486" s="38"/>
      <c r="I486" s="38"/>
      <c r="J486" s="38"/>
    </row>
    <row r="487">
      <c r="A487" s="14"/>
      <c r="E487" s="35"/>
      <c r="F487" s="38"/>
      <c r="G487" s="38"/>
      <c r="H487" s="38"/>
      <c r="I487" s="38"/>
      <c r="J487" s="38"/>
    </row>
    <row r="488">
      <c r="A488" s="14"/>
      <c r="E488" s="35"/>
      <c r="F488" s="38"/>
      <c r="G488" s="38"/>
      <c r="H488" s="38"/>
      <c r="I488" s="38"/>
      <c r="J488" s="38"/>
    </row>
    <row r="489">
      <c r="A489" s="14"/>
      <c r="E489" s="35"/>
      <c r="F489" s="38"/>
      <c r="G489" s="38"/>
      <c r="H489" s="38"/>
      <c r="I489" s="38"/>
      <c r="J489" s="38"/>
    </row>
    <row r="490">
      <c r="A490" s="14"/>
      <c r="E490" s="35"/>
      <c r="F490" s="38"/>
      <c r="G490" s="38"/>
      <c r="H490" s="38"/>
      <c r="I490" s="38"/>
      <c r="J490" s="38"/>
    </row>
    <row r="491">
      <c r="A491" s="14"/>
      <c r="E491" s="35"/>
      <c r="F491" s="38"/>
      <c r="G491" s="38"/>
      <c r="H491" s="38"/>
      <c r="I491" s="38"/>
      <c r="J491" s="38"/>
    </row>
    <row r="492">
      <c r="A492" s="14"/>
      <c r="E492" s="35"/>
      <c r="F492" s="38"/>
      <c r="G492" s="38"/>
      <c r="H492" s="38"/>
      <c r="I492" s="38"/>
      <c r="J492" s="38"/>
    </row>
    <row r="493">
      <c r="A493" s="14"/>
      <c r="E493" s="35"/>
      <c r="F493" s="38"/>
      <c r="G493" s="38"/>
      <c r="H493" s="38"/>
      <c r="I493" s="38"/>
      <c r="J493" s="38"/>
    </row>
    <row r="494">
      <c r="A494" s="14"/>
      <c r="E494" s="35"/>
      <c r="F494" s="38"/>
      <c r="G494" s="38"/>
      <c r="H494" s="38"/>
      <c r="I494" s="38"/>
      <c r="J494" s="38"/>
    </row>
    <row r="495">
      <c r="A495" s="14"/>
      <c r="E495" s="35"/>
      <c r="F495" s="38"/>
      <c r="G495" s="38"/>
      <c r="H495" s="38"/>
      <c r="I495" s="38"/>
      <c r="J495" s="38"/>
    </row>
    <row r="496">
      <c r="A496" s="14"/>
      <c r="E496" s="35"/>
      <c r="F496" s="38"/>
      <c r="G496" s="38"/>
      <c r="H496" s="38"/>
      <c r="I496" s="38"/>
      <c r="J496" s="38"/>
    </row>
    <row r="497">
      <c r="A497" s="14"/>
      <c r="E497" s="35"/>
      <c r="F497" s="38"/>
      <c r="G497" s="38"/>
      <c r="H497" s="38"/>
      <c r="I497" s="38"/>
      <c r="J497" s="38"/>
    </row>
    <row r="498">
      <c r="A498" s="14"/>
      <c r="E498" s="35"/>
      <c r="F498" s="38"/>
      <c r="G498" s="38"/>
      <c r="H498" s="38"/>
      <c r="I498" s="38"/>
      <c r="J498" s="38"/>
    </row>
    <row r="499">
      <c r="A499" s="14"/>
      <c r="E499" s="35"/>
      <c r="F499" s="38"/>
      <c r="G499" s="38"/>
      <c r="H499" s="38"/>
      <c r="I499" s="38"/>
      <c r="J499" s="38"/>
    </row>
    <row r="500">
      <c r="A500" s="14"/>
      <c r="E500" s="35"/>
      <c r="F500" s="38"/>
      <c r="G500" s="38"/>
      <c r="H500" s="38"/>
      <c r="I500" s="38"/>
      <c r="J500" s="38"/>
    </row>
    <row r="501">
      <c r="A501" s="14"/>
      <c r="E501" s="35"/>
      <c r="F501" s="38"/>
      <c r="G501" s="38"/>
      <c r="H501" s="38"/>
      <c r="I501" s="38"/>
      <c r="J501" s="38"/>
    </row>
    <row r="502">
      <c r="A502" s="14"/>
      <c r="E502" s="35"/>
      <c r="F502" s="38"/>
      <c r="G502" s="38"/>
      <c r="H502" s="38"/>
      <c r="I502" s="38"/>
      <c r="J502" s="38"/>
    </row>
    <row r="503">
      <c r="A503" s="14"/>
      <c r="E503" s="35"/>
      <c r="F503" s="38"/>
      <c r="G503" s="38"/>
      <c r="H503" s="38"/>
      <c r="I503" s="38"/>
      <c r="J503" s="38"/>
    </row>
    <row r="504">
      <c r="A504" s="14"/>
      <c r="E504" s="35"/>
      <c r="F504" s="38"/>
      <c r="G504" s="38"/>
      <c r="H504" s="38"/>
      <c r="I504" s="38"/>
      <c r="J504" s="38"/>
    </row>
    <row r="505">
      <c r="A505" s="14"/>
      <c r="E505" s="35"/>
      <c r="F505" s="38"/>
      <c r="G505" s="38"/>
      <c r="H505" s="38"/>
      <c r="I505" s="38"/>
      <c r="J505" s="38"/>
    </row>
    <row r="506">
      <c r="A506" s="14"/>
      <c r="E506" s="35"/>
      <c r="F506" s="38"/>
      <c r="G506" s="38"/>
      <c r="H506" s="38"/>
      <c r="I506" s="38"/>
      <c r="J506" s="38"/>
    </row>
    <row r="507">
      <c r="A507" s="14"/>
      <c r="E507" s="35"/>
      <c r="F507" s="38"/>
      <c r="G507" s="38"/>
      <c r="H507" s="38"/>
      <c r="I507" s="38"/>
      <c r="J507" s="38"/>
    </row>
    <row r="508">
      <c r="A508" s="14"/>
      <c r="E508" s="35"/>
      <c r="F508" s="38"/>
      <c r="G508" s="38"/>
      <c r="H508" s="38"/>
      <c r="I508" s="38"/>
      <c r="J508" s="38"/>
    </row>
    <row r="509">
      <c r="A509" s="14"/>
      <c r="E509" s="35"/>
      <c r="F509" s="38"/>
      <c r="G509" s="38"/>
      <c r="H509" s="38"/>
      <c r="I509" s="38"/>
      <c r="J509" s="38"/>
    </row>
    <row r="510">
      <c r="A510" s="14"/>
      <c r="E510" s="35"/>
      <c r="F510" s="38"/>
      <c r="G510" s="38"/>
      <c r="H510" s="38"/>
      <c r="I510" s="38"/>
      <c r="J510" s="38"/>
    </row>
    <row r="511">
      <c r="A511" s="14"/>
      <c r="E511" s="35"/>
      <c r="F511" s="38"/>
      <c r="G511" s="38"/>
      <c r="H511" s="38"/>
      <c r="I511" s="38"/>
      <c r="J511" s="38"/>
    </row>
    <row r="512">
      <c r="A512" s="14"/>
      <c r="E512" s="35"/>
      <c r="F512" s="38"/>
      <c r="G512" s="38"/>
      <c r="H512" s="38"/>
      <c r="I512" s="38"/>
      <c r="J512" s="38"/>
    </row>
    <row r="513">
      <c r="A513" s="14"/>
      <c r="E513" s="35"/>
      <c r="F513" s="38"/>
      <c r="G513" s="38"/>
      <c r="H513" s="38"/>
      <c r="I513" s="38"/>
      <c r="J513" s="38"/>
    </row>
    <row r="514">
      <c r="A514" s="14"/>
      <c r="E514" s="35"/>
      <c r="F514" s="38"/>
      <c r="G514" s="38"/>
      <c r="H514" s="38"/>
      <c r="I514" s="38"/>
      <c r="J514" s="38"/>
    </row>
    <row r="515">
      <c r="A515" s="14"/>
      <c r="E515" s="35"/>
      <c r="F515" s="38"/>
      <c r="G515" s="38"/>
      <c r="H515" s="38"/>
      <c r="I515" s="38"/>
      <c r="J515" s="38"/>
    </row>
    <row r="516">
      <c r="A516" s="14"/>
      <c r="E516" s="35"/>
      <c r="F516" s="38"/>
      <c r="G516" s="38"/>
      <c r="H516" s="38"/>
      <c r="I516" s="38"/>
      <c r="J516" s="38"/>
    </row>
    <row r="517">
      <c r="A517" s="14"/>
      <c r="E517" s="35"/>
      <c r="F517" s="38"/>
      <c r="G517" s="38"/>
      <c r="H517" s="38"/>
      <c r="I517" s="38"/>
      <c r="J517" s="38"/>
    </row>
    <row r="518">
      <c r="A518" s="14"/>
      <c r="E518" s="35"/>
      <c r="F518" s="38"/>
      <c r="G518" s="38"/>
      <c r="H518" s="38"/>
      <c r="I518" s="38"/>
      <c r="J518" s="38"/>
    </row>
    <row r="519">
      <c r="A519" s="14"/>
      <c r="E519" s="35"/>
      <c r="F519" s="38"/>
      <c r="G519" s="38"/>
      <c r="H519" s="38"/>
      <c r="I519" s="38"/>
      <c r="J519" s="38"/>
    </row>
    <row r="520">
      <c r="A520" s="14"/>
      <c r="E520" s="35"/>
      <c r="F520" s="38"/>
      <c r="G520" s="38"/>
      <c r="H520" s="38"/>
      <c r="I520" s="38"/>
      <c r="J520" s="38"/>
    </row>
    <row r="521">
      <c r="A521" s="14"/>
      <c r="E521" s="35"/>
      <c r="F521" s="38"/>
      <c r="G521" s="38"/>
      <c r="H521" s="38"/>
      <c r="I521" s="38"/>
      <c r="J521" s="38"/>
    </row>
    <row r="522">
      <c r="A522" s="14"/>
      <c r="E522" s="35"/>
      <c r="F522" s="38"/>
      <c r="G522" s="38"/>
      <c r="H522" s="38"/>
      <c r="I522" s="38"/>
      <c r="J522" s="38"/>
    </row>
    <row r="523">
      <c r="A523" s="14"/>
      <c r="E523" s="35"/>
      <c r="F523" s="38"/>
      <c r="G523" s="38"/>
      <c r="H523" s="38"/>
      <c r="I523" s="38"/>
      <c r="J523" s="38"/>
    </row>
    <row r="524">
      <c r="A524" s="14"/>
      <c r="E524" s="35"/>
      <c r="F524" s="38"/>
      <c r="G524" s="38"/>
      <c r="H524" s="38"/>
      <c r="I524" s="38"/>
      <c r="J524" s="38"/>
    </row>
    <row r="525">
      <c r="A525" s="14"/>
      <c r="E525" s="35"/>
      <c r="F525" s="38"/>
      <c r="G525" s="38"/>
      <c r="H525" s="38"/>
      <c r="I525" s="38"/>
      <c r="J525" s="38"/>
    </row>
    <row r="526">
      <c r="A526" s="14"/>
      <c r="E526" s="35"/>
      <c r="F526" s="38"/>
      <c r="G526" s="38"/>
      <c r="H526" s="38"/>
      <c r="I526" s="38"/>
      <c r="J526" s="38"/>
    </row>
    <row r="527">
      <c r="A527" s="14"/>
      <c r="E527" s="35"/>
      <c r="F527" s="38"/>
      <c r="G527" s="38"/>
      <c r="H527" s="38"/>
      <c r="I527" s="38"/>
      <c r="J527" s="38"/>
    </row>
    <row r="528">
      <c r="A528" s="14"/>
      <c r="E528" s="35"/>
      <c r="F528" s="38"/>
      <c r="G528" s="38"/>
      <c r="H528" s="38"/>
      <c r="I528" s="38"/>
      <c r="J528" s="38"/>
    </row>
    <row r="529">
      <c r="A529" s="14"/>
      <c r="E529" s="35"/>
      <c r="F529" s="38"/>
      <c r="G529" s="38"/>
      <c r="H529" s="38"/>
      <c r="I529" s="38"/>
      <c r="J529" s="38"/>
    </row>
    <row r="530">
      <c r="A530" s="14"/>
      <c r="E530" s="35"/>
      <c r="F530" s="38"/>
      <c r="G530" s="38"/>
      <c r="H530" s="38"/>
      <c r="I530" s="38"/>
      <c r="J530" s="38"/>
    </row>
    <row r="531">
      <c r="A531" s="14"/>
      <c r="E531" s="35"/>
      <c r="F531" s="38"/>
      <c r="G531" s="38"/>
      <c r="H531" s="38"/>
      <c r="I531" s="38"/>
      <c r="J531" s="38"/>
    </row>
    <row r="532">
      <c r="A532" s="14"/>
      <c r="E532" s="35"/>
      <c r="F532" s="38"/>
      <c r="G532" s="38"/>
      <c r="H532" s="38"/>
      <c r="I532" s="38"/>
      <c r="J532" s="38"/>
    </row>
    <row r="533">
      <c r="A533" s="14"/>
      <c r="E533" s="35"/>
      <c r="F533" s="38"/>
      <c r="G533" s="38"/>
      <c r="H533" s="38"/>
      <c r="I533" s="38"/>
      <c r="J533" s="38"/>
    </row>
    <row r="534">
      <c r="A534" s="14"/>
      <c r="E534" s="35"/>
      <c r="F534" s="38"/>
      <c r="G534" s="38"/>
      <c r="H534" s="38"/>
      <c r="I534" s="38"/>
      <c r="J534" s="38"/>
    </row>
    <row r="535">
      <c r="A535" s="14"/>
      <c r="E535" s="35"/>
      <c r="F535" s="38"/>
      <c r="G535" s="38"/>
      <c r="H535" s="38"/>
      <c r="I535" s="38"/>
      <c r="J535" s="38"/>
    </row>
    <row r="536">
      <c r="A536" s="14"/>
      <c r="E536" s="35"/>
      <c r="F536" s="38"/>
      <c r="G536" s="38"/>
      <c r="H536" s="38"/>
      <c r="I536" s="38"/>
      <c r="J536" s="38"/>
    </row>
    <row r="537">
      <c r="A537" s="14"/>
      <c r="E537" s="35"/>
      <c r="F537" s="38"/>
      <c r="G537" s="38"/>
      <c r="H537" s="38"/>
      <c r="I537" s="38"/>
      <c r="J537" s="38"/>
    </row>
    <row r="538">
      <c r="A538" s="14"/>
      <c r="E538" s="35"/>
      <c r="F538" s="38"/>
      <c r="G538" s="38"/>
      <c r="H538" s="38"/>
      <c r="I538" s="38"/>
      <c r="J538" s="38"/>
    </row>
    <row r="539">
      <c r="A539" s="14"/>
      <c r="E539" s="35"/>
      <c r="F539" s="38"/>
      <c r="G539" s="38"/>
      <c r="H539" s="38"/>
      <c r="I539" s="38"/>
      <c r="J539" s="38"/>
    </row>
    <row r="540">
      <c r="A540" s="14"/>
      <c r="E540" s="35"/>
      <c r="F540" s="38"/>
      <c r="G540" s="38"/>
      <c r="H540" s="38"/>
      <c r="I540" s="38"/>
      <c r="J540" s="38"/>
    </row>
    <row r="541">
      <c r="A541" s="14"/>
      <c r="E541" s="35"/>
      <c r="F541" s="38"/>
      <c r="G541" s="38"/>
      <c r="H541" s="38"/>
      <c r="I541" s="38"/>
      <c r="J541" s="38"/>
    </row>
    <row r="542">
      <c r="A542" s="14"/>
      <c r="E542" s="35"/>
      <c r="F542" s="38"/>
      <c r="G542" s="38"/>
      <c r="H542" s="38"/>
      <c r="I542" s="38"/>
      <c r="J542" s="38"/>
    </row>
    <row r="543">
      <c r="A543" s="14"/>
      <c r="E543" s="35"/>
      <c r="F543" s="38"/>
      <c r="G543" s="38"/>
      <c r="H543" s="38"/>
      <c r="I543" s="38"/>
      <c r="J543" s="38"/>
    </row>
    <row r="544">
      <c r="A544" s="14"/>
      <c r="E544" s="35"/>
      <c r="F544" s="38"/>
      <c r="G544" s="38"/>
      <c r="H544" s="38"/>
      <c r="I544" s="38"/>
      <c r="J544" s="38"/>
    </row>
    <row r="545">
      <c r="A545" s="14"/>
      <c r="E545" s="35"/>
      <c r="F545" s="38"/>
      <c r="G545" s="38"/>
      <c r="H545" s="38"/>
      <c r="I545" s="38"/>
      <c r="J545" s="38"/>
    </row>
    <row r="546">
      <c r="A546" s="14"/>
      <c r="E546" s="35"/>
      <c r="F546" s="38"/>
      <c r="G546" s="38"/>
      <c r="H546" s="38"/>
      <c r="I546" s="38"/>
      <c r="J546" s="38"/>
    </row>
    <row r="547">
      <c r="A547" s="14"/>
      <c r="E547" s="35"/>
      <c r="F547" s="38"/>
      <c r="G547" s="38"/>
      <c r="H547" s="38"/>
      <c r="I547" s="38"/>
      <c r="J547" s="38"/>
    </row>
    <row r="548">
      <c r="A548" s="14"/>
      <c r="E548" s="35"/>
      <c r="F548" s="38"/>
      <c r="G548" s="38"/>
      <c r="H548" s="38"/>
      <c r="I548" s="38"/>
      <c r="J548" s="38"/>
    </row>
    <row r="549">
      <c r="A549" s="14"/>
      <c r="E549" s="35"/>
      <c r="F549" s="38"/>
      <c r="G549" s="38"/>
      <c r="H549" s="38"/>
      <c r="I549" s="38"/>
      <c r="J549" s="38"/>
    </row>
    <row r="550">
      <c r="A550" s="14"/>
      <c r="E550" s="35"/>
      <c r="F550" s="38"/>
      <c r="G550" s="38"/>
      <c r="H550" s="38"/>
      <c r="I550" s="38"/>
      <c r="J550" s="38"/>
    </row>
    <row r="551">
      <c r="A551" s="14"/>
      <c r="E551" s="35"/>
      <c r="F551" s="38"/>
      <c r="G551" s="38"/>
      <c r="H551" s="38"/>
      <c r="I551" s="38"/>
      <c r="J551" s="38"/>
    </row>
    <row r="552">
      <c r="A552" s="14"/>
      <c r="E552" s="35"/>
      <c r="F552" s="38"/>
      <c r="G552" s="38"/>
      <c r="H552" s="38"/>
      <c r="I552" s="38"/>
      <c r="J552" s="38"/>
    </row>
    <row r="553">
      <c r="A553" s="14"/>
      <c r="E553" s="35"/>
      <c r="F553" s="38"/>
      <c r="G553" s="38"/>
      <c r="H553" s="38"/>
      <c r="I553" s="38"/>
      <c r="J553" s="38"/>
    </row>
    <row r="554">
      <c r="A554" s="14"/>
      <c r="E554" s="35"/>
      <c r="F554" s="38"/>
      <c r="G554" s="38"/>
      <c r="H554" s="38"/>
      <c r="I554" s="38"/>
      <c r="J554" s="38"/>
    </row>
    <row r="555">
      <c r="A555" s="14"/>
      <c r="E555" s="35"/>
      <c r="F555" s="38"/>
      <c r="G555" s="38"/>
      <c r="H555" s="38"/>
      <c r="I555" s="38"/>
      <c r="J555" s="38"/>
    </row>
    <row r="556">
      <c r="A556" s="14"/>
      <c r="E556" s="35"/>
      <c r="F556" s="38"/>
      <c r="G556" s="38"/>
      <c r="H556" s="38"/>
      <c r="I556" s="38"/>
      <c r="J556" s="38"/>
    </row>
    <row r="557">
      <c r="A557" s="14"/>
      <c r="E557" s="35"/>
      <c r="F557" s="38"/>
      <c r="G557" s="38"/>
      <c r="H557" s="38"/>
      <c r="I557" s="38"/>
      <c r="J557" s="38"/>
    </row>
    <row r="558">
      <c r="A558" s="14"/>
      <c r="E558" s="35"/>
      <c r="F558" s="38"/>
      <c r="G558" s="38"/>
      <c r="H558" s="38"/>
      <c r="I558" s="38"/>
      <c r="J558" s="38"/>
    </row>
    <row r="559">
      <c r="A559" s="14"/>
      <c r="E559" s="35"/>
      <c r="F559" s="38"/>
      <c r="G559" s="38"/>
      <c r="H559" s="38"/>
      <c r="I559" s="38"/>
      <c r="J559" s="38"/>
    </row>
    <row r="560">
      <c r="A560" s="14"/>
      <c r="E560" s="35"/>
      <c r="F560" s="38"/>
      <c r="G560" s="38"/>
      <c r="H560" s="38"/>
      <c r="I560" s="38"/>
      <c r="J560" s="38"/>
    </row>
    <row r="561">
      <c r="A561" s="14"/>
      <c r="E561" s="35"/>
      <c r="F561" s="38"/>
      <c r="G561" s="38"/>
      <c r="H561" s="38"/>
      <c r="I561" s="38"/>
      <c r="J561" s="38"/>
    </row>
    <row r="562">
      <c r="A562" s="14"/>
      <c r="E562" s="35"/>
      <c r="F562" s="38"/>
      <c r="G562" s="38"/>
      <c r="H562" s="38"/>
      <c r="I562" s="38"/>
      <c r="J562" s="38"/>
    </row>
    <row r="563">
      <c r="A563" s="14"/>
      <c r="E563" s="35"/>
      <c r="F563" s="38"/>
      <c r="G563" s="38"/>
      <c r="H563" s="38"/>
      <c r="I563" s="38"/>
      <c r="J563" s="38"/>
    </row>
    <row r="564">
      <c r="A564" s="14"/>
      <c r="E564" s="35"/>
      <c r="F564" s="38"/>
      <c r="G564" s="38"/>
      <c r="H564" s="38"/>
      <c r="I564" s="38"/>
      <c r="J564" s="38"/>
    </row>
    <row r="565">
      <c r="A565" s="14"/>
      <c r="E565" s="35"/>
      <c r="F565" s="38"/>
      <c r="G565" s="38"/>
      <c r="H565" s="38"/>
      <c r="I565" s="38"/>
      <c r="J565" s="38"/>
    </row>
    <row r="566">
      <c r="A566" s="14"/>
      <c r="E566" s="35"/>
      <c r="F566" s="38"/>
      <c r="G566" s="38"/>
      <c r="H566" s="38"/>
      <c r="I566" s="38"/>
      <c r="J566" s="38"/>
    </row>
    <row r="567">
      <c r="A567" s="14"/>
      <c r="E567" s="35"/>
      <c r="F567" s="38"/>
      <c r="G567" s="38"/>
      <c r="H567" s="38"/>
      <c r="I567" s="38"/>
      <c r="J567" s="38"/>
    </row>
    <row r="568">
      <c r="A568" s="14"/>
      <c r="E568" s="35"/>
      <c r="F568" s="38"/>
      <c r="G568" s="38"/>
      <c r="H568" s="38"/>
      <c r="I568" s="38"/>
      <c r="J568" s="38"/>
    </row>
    <row r="569">
      <c r="A569" s="14"/>
      <c r="E569" s="35"/>
      <c r="F569" s="38"/>
      <c r="G569" s="38"/>
      <c r="H569" s="38"/>
      <c r="I569" s="38"/>
      <c r="J569" s="38"/>
    </row>
    <row r="570">
      <c r="A570" s="14"/>
      <c r="E570" s="35"/>
      <c r="F570" s="38"/>
      <c r="G570" s="38"/>
      <c r="H570" s="38"/>
      <c r="I570" s="38"/>
      <c r="J570" s="38"/>
    </row>
    <row r="571">
      <c r="A571" s="14"/>
      <c r="E571" s="35"/>
      <c r="F571" s="38"/>
      <c r="G571" s="38"/>
      <c r="H571" s="38"/>
      <c r="I571" s="38"/>
      <c r="J571" s="38"/>
    </row>
    <row r="572">
      <c r="A572" s="14"/>
      <c r="E572" s="35"/>
      <c r="F572" s="38"/>
      <c r="G572" s="38"/>
      <c r="H572" s="38"/>
      <c r="I572" s="38"/>
      <c r="J572" s="38"/>
    </row>
    <row r="573">
      <c r="A573" s="14"/>
      <c r="E573" s="35"/>
      <c r="F573" s="38"/>
      <c r="G573" s="38"/>
      <c r="H573" s="38"/>
      <c r="I573" s="38"/>
      <c r="J573" s="38"/>
    </row>
    <row r="574">
      <c r="A574" s="14"/>
      <c r="E574" s="35"/>
      <c r="F574" s="38"/>
      <c r="G574" s="38"/>
      <c r="H574" s="38"/>
      <c r="I574" s="38"/>
      <c r="J574" s="38"/>
    </row>
    <row r="575">
      <c r="A575" s="14"/>
      <c r="E575" s="35"/>
      <c r="F575" s="38"/>
      <c r="G575" s="38"/>
      <c r="H575" s="38"/>
      <c r="I575" s="38"/>
      <c r="J575" s="38"/>
    </row>
    <row r="576">
      <c r="A576" s="14"/>
      <c r="E576" s="35"/>
      <c r="F576" s="38"/>
      <c r="G576" s="38"/>
      <c r="H576" s="38"/>
      <c r="I576" s="38"/>
      <c r="J576" s="38"/>
    </row>
    <row r="577">
      <c r="A577" s="14"/>
      <c r="E577" s="35"/>
      <c r="F577" s="38"/>
      <c r="G577" s="38"/>
      <c r="H577" s="38"/>
      <c r="I577" s="38"/>
      <c r="J577" s="38"/>
    </row>
    <row r="578">
      <c r="A578" s="14"/>
      <c r="E578" s="35"/>
      <c r="F578" s="38"/>
      <c r="G578" s="38"/>
      <c r="H578" s="38"/>
      <c r="I578" s="38"/>
      <c r="J578" s="38"/>
    </row>
    <row r="579">
      <c r="A579" s="14"/>
      <c r="E579" s="35"/>
      <c r="F579" s="38"/>
      <c r="G579" s="38"/>
      <c r="H579" s="38"/>
      <c r="I579" s="38"/>
      <c r="J579" s="38"/>
    </row>
    <row r="580">
      <c r="A580" s="14"/>
      <c r="E580" s="35"/>
      <c r="F580" s="38"/>
      <c r="G580" s="38"/>
      <c r="H580" s="38"/>
      <c r="I580" s="38"/>
      <c r="J580" s="38"/>
    </row>
    <row r="581">
      <c r="A581" s="14"/>
      <c r="E581" s="35"/>
      <c r="F581" s="38"/>
      <c r="G581" s="38"/>
      <c r="H581" s="38"/>
      <c r="I581" s="38"/>
      <c r="J581" s="38"/>
    </row>
    <row r="582">
      <c r="A582" s="14"/>
      <c r="E582" s="35"/>
      <c r="F582" s="38"/>
      <c r="G582" s="38"/>
      <c r="H582" s="38"/>
      <c r="I582" s="38"/>
      <c r="J582" s="38"/>
    </row>
    <row r="583">
      <c r="A583" s="14"/>
      <c r="E583" s="35"/>
      <c r="F583" s="38"/>
      <c r="G583" s="38"/>
      <c r="H583" s="38"/>
      <c r="I583" s="38"/>
      <c r="J583" s="38"/>
    </row>
    <row r="584">
      <c r="A584" s="14"/>
      <c r="E584" s="35"/>
      <c r="F584" s="38"/>
      <c r="G584" s="38"/>
      <c r="H584" s="38"/>
      <c r="I584" s="38"/>
      <c r="J584" s="38"/>
    </row>
    <row r="585">
      <c r="A585" s="14"/>
      <c r="E585" s="35"/>
      <c r="F585" s="38"/>
      <c r="G585" s="38"/>
      <c r="H585" s="38"/>
      <c r="I585" s="38"/>
      <c r="J585" s="38"/>
    </row>
    <row r="586">
      <c r="A586" s="14"/>
      <c r="E586" s="35"/>
      <c r="F586" s="38"/>
      <c r="G586" s="38"/>
      <c r="H586" s="38"/>
      <c r="I586" s="38"/>
      <c r="J586" s="38"/>
    </row>
    <row r="587">
      <c r="A587" s="14"/>
      <c r="E587" s="35"/>
      <c r="F587" s="38"/>
      <c r="G587" s="38"/>
      <c r="H587" s="38"/>
      <c r="I587" s="38"/>
      <c r="J587" s="38"/>
    </row>
    <row r="588">
      <c r="A588" s="14"/>
      <c r="E588" s="35"/>
      <c r="F588" s="38"/>
      <c r="G588" s="38"/>
      <c r="H588" s="38"/>
      <c r="I588" s="38"/>
      <c r="J588" s="38"/>
    </row>
    <row r="589">
      <c r="A589" s="14"/>
      <c r="E589" s="35"/>
      <c r="F589" s="38"/>
      <c r="G589" s="38"/>
      <c r="H589" s="38"/>
      <c r="I589" s="38"/>
      <c r="J589" s="38"/>
    </row>
    <row r="590">
      <c r="A590" s="14"/>
      <c r="E590" s="35"/>
      <c r="F590" s="38"/>
      <c r="G590" s="38"/>
      <c r="H590" s="38"/>
      <c r="I590" s="38"/>
      <c r="J590" s="38"/>
    </row>
    <row r="591">
      <c r="A591" s="14"/>
      <c r="E591" s="35"/>
      <c r="F591" s="38"/>
      <c r="G591" s="38"/>
      <c r="H591" s="38"/>
      <c r="I591" s="38"/>
      <c r="J591" s="38"/>
    </row>
    <row r="592">
      <c r="A592" s="14"/>
      <c r="E592" s="35"/>
      <c r="F592" s="38"/>
      <c r="G592" s="38"/>
      <c r="H592" s="38"/>
      <c r="I592" s="38"/>
      <c r="J592" s="38"/>
    </row>
    <row r="593">
      <c r="A593" s="14"/>
      <c r="E593" s="35"/>
      <c r="F593" s="38"/>
      <c r="G593" s="38"/>
      <c r="H593" s="38"/>
      <c r="I593" s="38"/>
      <c r="J593" s="38"/>
    </row>
    <row r="594">
      <c r="A594" s="14"/>
      <c r="E594" s="35"/>
      <c r="F594" s="38"/>
      <c r="G594" s="38"/>
      <c r="H594" s="38"/>
      <c r="I594" s="38"/>
      <c r="J594" s="38"/>
    </row>
    <row r="595">
      <c r="A595" s="14"/>
      <c r="E595" s="35"/>
      <c r="F595" s="38"/>
      <c r="G595" s="38"/>
      <c r="H595" s="38"/>
      <c r="I595" s="38"/>
      <c r="J595" s="38"/>
    </row>
    <row r="596">
      <c r="A596" s="14"/>
      <c r="E596" s="35"/>
      <c r="F596" s="38"/>
      <c r="G596" s="38"/>
      <c r="H596" s="38"/>
      <c r="I596" s="38"/>
      <c r="J596" s="38"/>
    </row>
    <row r="597">
      <c r="A597" s="14"/>
      <c r="E597" s="35"/>
      <c r="F597" s="38"/>
      <c r="G597" s="38"/>
      <c r="H597" s="38"/>
      <c r="I597" s="38"/>
      <c r="J597" s="38"/>
    </row>
    <row r="598">
      <c r="A598" s="14"/>
      <c r="E598" s="35"/>
      <c r="F598" s="38"/>
      <c r="G598" s="38"/>
      <c r="H598" s="38"/>
      <c r="I598" s="38"/>
      <c r="J598" s="38"/>
    </row>
    <row r="599">
      <c r="A599" s="14"/>
      <c r="E599" s="35"/>
      <c r="F599" s="38"/>
      <c r="G599" s="38"/>
      <c r="H599" s="38"/>
      <c r="I599" s="38"/>
      <c r="J599" s="38"/>
    </row>
    <row r="600">
      <c r="A600" s="14"/>
      <c r="E600" s="35"/>
      <c r="F600" s="38"/>
      <c r="G600" s="38"/>
      <c r="H600" s="38"/>
      <c r="I600" s="38"/>
      <c r="J600" s="38"/>
    </row>
    <row r="601">
      <c r="A601" s="14"/>
      <c r="E601" s="35"/>
      <c r="F601" s="38"/>
      <c r="G601" s="38"/>
      <c r="H601" s="38"/>
      <c r="I601" s="38"/>
      <c r="J601" s="38"/>
    </row>
    <row r="602">
      <c r="A602" s="14"/>
      <c r="E602" s="35"/>
      <c r="F602" s="38"/>
      <c r="G602" s="38"/>
      <c r="H602" s="38"/>
      <c r="I602" s="38"/>
      <c r="J602" s="38"/>
    </row>
    <row r="603">
      <c r="A603" s="14"/>
      <c r="E603" s="35"/>
      <c r="F603" s="38"/>
      <c r="G603" s="38"/>
      <c r="H603" s="38"/>
      <c r="I603" s="38"/>
      <c r="J603" s="38"/>
    </row>
    <row r="604">
      <c r="A604" s="14"/>
      <c r="E604" s="35"/>
      <c r="F604" s="38"/>
      <c r="G604" s="38"/>
      <c r="H604" s="38"/>
      <c r="I604" s="38"/>
      <c r="J604" s="38"/>
    </row>
    <row r="605">
      <c r="A605" s="14"/>
      <c r="E605" s="35"/>
      <c r="F605" s="38"/>
      <c r="G605" s="38"/>
      <c r="H605" s="38"/>
      <c r="I605" s="38"/>
      <c r="J605" s="38"/>
    </row>
    <row r="606">
      <c r="A606" s="14"/>
      <c r="E606" s="35"/>
      <c r="F606" s="38"/>
      <c r="G606" s="38"/>
      <c r="H606" s="38"/>
      <c r="I606" s="38"/>
      <c r="J606" s="38"/>
    </row>
    <row r="607">
      <c r="A607" s="14"/>
      <c r="E607" s="35"/>
      <c r="F607" s="38"/>
      <c r="G607" s="38"/>
      <c r="H607" s="38"/>
      <c r="I607" s="38"/>
      <c r="J607" s="38"/>
    </row>
    <row r="608">
      <c r="A608" s="14"/>
      <c r="E608" s="35"/>
      <c r="F608" s="38"/>
      <c r="G608" s="38"/>
      <c r="H608" s="38"/>
      <c r="I608" s="38"/>
      <c r="J608" s="38"/>
    </row>
    <row r="609">
      <c r="A609" s="14"/>
      <c r="E609" s="35"/>
      <c r="F609" s="38"/>
      <c r="G609" s="38"/>
      <c r="H609" s="38"/>
      <c r="I609" s="38"/>
      <c r="J609" s="38"/>
    </row>
    <row r="610">
      <c r="A610" s="14"/>
      <c r="E610" s="35"/>
      <c r="F610" s="38"/>
      <c r="G610" s="38"/>
      <c r="H610" s="38"/>
      <c r="I610" s="38"/>
      <c r="J610" s="38"/>
    </row>
    <row r="611">
      <c r="A611" s="14"/>
      <c r="E611" s="35"/>
      <c r="F611" s="38"/>
      <c r="G611" s="38"/>
      <c r="H611" s="38"/>
      <c r="I611" s="38"/>
      <c r="J611" s="38"/>
    </row>
    <row r="612">
      <c r="A612" s="14"/>
      <c r="E612" s="35"/>
      <c r="F612" s="38"/>
      <c r="G612" s="38"/>
      <c r="H612" s="38"/>
      <c r="I612" s="38"/>
      <c r="J612" s="38"/>
    </row>
    <row r="613">
      <c r="A613" s="14"/>
      <c r="E613" s="35"/>
      <c r="F613" s="38"/>
      <c r="G613" s="38"/>
      <c r="H613" s="38"/>
      <c r="I613" s="38"/>
      <c r="J613" s="38"/>
    </row>
    <row r="614">
      <c r="A614" s="14"/>
      <c r="E614" s="35"/>
      <c r="F614" s="38"/>
      <c r="G614" s="38"/>
      <c r="H614" s="38"/>
      <c r="I614" s="38"/>
      <c r="J614" s="38"/>
    </row>
    <row r="615">
      <c r="A615" s="14"/>
      <c r="E615" s="35"/>
      <c r="F615" s="38"/>
      <c r="G615" s="38"/>
      <c r="H615" s="38"/>
      <c r="I615" s="38"/>
      <c r="J615" s="38"/>
    </row>
    <row r="616">
      <c r="A616" s="14"/>
      <c r="E616" s="35"/>
      <c r="F616" s="38"/>
      <c r="G616" s="38"/>
      <c r="H616" s="38"/>
      <c r="I616" s="38"/>
      <c r="J616" s="38"/>
    </row>
    <row r="617">
      <c r="A617" s="14"/>
      <c r="E617" s="35"/>
      <c r="F617" s="38"/>
      <c r="G617" s="38"/>
      <c r="H617" s="38"/>
      <c r="I617" s="38"/>
      <c r="J617" s="38"/>
    </row>
    <row r="618">
      <c r="A618" s="14"/>
      <c r="E618" s="35"/>
      <c r="F618" s="38"/>
      <c r="G618" s="38"/>
      <c r="H618" s="38"/>
      <c r="I618" s="38"/>
      <c r="J618" s="38"/>
    </row>
    <row r="619">
      <c r="A619" s="14"/>
      <c r="E619" s="35"/>
      <c r="F619" s="38"/>
      <c r="G619" s="38"/>
      <c r="H619" s="38"/>
      <c r="I619" s="38"/>
      <c r="J619" s="38"/>
    </row>
    <row r="620">
      <c r="A620" s="14"/>
      <c r="E620" s="35"/>
      <c r="F620" s="38"/>
      <c r="G620" s="38"/>
      <c r="H620" s="38"/>
      <c r="I620" s="38"/>
      <c r="J620" s="38"/>
    </row>
    <row r="621">
      <c r="A621" s="14"/>
      <c r="E621" s="35"/>
      <c r="F621" s="38"/>
      <c r="G621" s="38"/>
      <c r="H621" s="38"/>
      <c r="I621" s="38"/>
      <c r="J621" s="38"/>
    </row>
    <row r="622">
      <c r="A622" s="14"/>
      <c r="E622" s="35"/>
      <c r="F622" s="38"/>
      <c r="G622" s="38"/>
      <c r="H622" s="38"/>
      <c r="I622" s="38"/>
      <c r="J622" s="38"/>
    </row>
    <row r="623">
      <c r="A623" s="14"/>
      <c r="E623" s="35"/>
      <c r="F623" s="38"/>
      <c r="G623" s="38"/>
      <c r="H623" s="38"/>
      <c r="I623" s="38"/>
      <c r="J623" s="38"/>
    </row>
    <row r="624">
      <c r="A624" s="14"/>
      <c r="E624" s="35"/>
      <c r="F624" s="38"/>
      <c r="G624" s="38"/>
      <c r="H624" s="38"/>
      <c r="I624" s="38"/>
      <c r="J624" s="38"/>
    </row>
    <row r="625">
      <c r="A625" s="14"/>
      <c r="E625" s="35"/>
      <c r="F625" s="38"/>
      <c r="G625" s="38"/>
      <c r="H625" s="38"/>
      <c r="I625" s="38"/>
      <c r="J625" s="38"/>
    </row>
    <row r="626">
      <c r="A626" s="14"/>
      <c r="E626" s="35"/>
      <c r="F626" s="38"/>
      <c r="G626" s="38"/>
      <c r="H626" s="38"/>
      <c r="I626" s="38"/>
      <c r="J626" s="38"/>
    </row>
    <row r="627">
      <c r="A627" s="14"/>
      <c r="E627" s="35"/>
      <c r="F627" s="38"/>
      <c r="G627" s="38"/>
      <c r="H627" s="38"/>
      <c r="I627" s="38"/>
      <c r="J627" s="38"/>
    </row>
    <row r="628">
      <c r="A628" s="14"/>
      <c r="E628" s="35"/>
      <c r="F628" s="38"/>
      <c r="G628" s="38"/>
      <c r="H628" s="38"/>
      <c r="I628" s="38"/>
      <c r="J628" s="38"/>
    </row>
    <row r="629">
      <c r="A629" s="14"/>
      <c r="E629" s="35"/>
      <c r="F629" s="38"/>
      <c r="G629" s="38"/>
      <c r="H629" s="38"/>
      <c r="I629" s="38"/>
      <c r="J629" s="38"/>
    </row>
    <row r="630">
      <c r="A630" s="14"/>
      <c r="E630" s="35"/>
      <c r="F630" s="38"/>
      <c r="G630" s="38"/>
      <c r="H630" s="38"/>
      <c r="I630" s="38"/>
      <c r="J630" s="38"/>
    </row>
    <row r="631">
      <c r="A631" s="14"/>
      <c r="E631" s="35"/>
      <c r="F631" s="38"/>
      <c r="G631" s="38"/>
      <c r="H631" s="38"/>
      <c r="I631" s="38"/>
      <c r="J631" s="38"/>
    </row>
    <row r="632">
      <c r="A632" s="14"/>
      <c r="E632" s="35"/>
      <c r="F632" s="38"/>
      <c r="G632" s="38"/>
      <c r="H632" s="38"/>
      <c r="I632" s="38"/>
      <c r="J632" s="38"/>
    </row>
    <row r="633">
      <c r="A633" s="14"/>
      <c r="E633" s="35"/>
      <c r="F633" s="38"/>
      <c r="G633" s="38"/>
      <c r="H633" s="38"/>
      <c r="I633" s="38"/>
      <c r="J633" s="38"/>
    </row>
    <row r="634">
      <c r="A634" s="14"/>
      <c r="E634" s="35"/>
      <c r="F634" s="38"/>
      <c r="G634" s="38"/>
      <c r="H634" s="38"/>
      <c r="I634" s="38"/>
      <c r="J634" s="38"/>
    </row>
    <row r="635">
      <c r="A635" s="14"/>
      <c r="E635" s="35"/>
      <c r="F635" s="38"/>
      <c r="G635" s="38"/>
      <c r="H635" s="38"/>
      <c r="I635" s="38"/>
      <c r="J635" s="38"/>
    </row>
    <row r="636">
      <c r="A636" s="14"/>
      <c r="E636" s="35"/>
      <c r="F636" s="38"/>
      <c r="G636" s="38"/>
      <c r="H636" s="38"/>
      <c r="I636" s="38"/>
      <c r="J636" s="38"/>
    </row>
    <row r="637">
      <c r="A637" s="14"/>
      <c r="E637" s="35"/>
      <c r="F637" s="38"/>
      <c r="G637" s="38"/>
      <c r="H637" s="38"/>
      <c r="I637" s="38"/>
      <c r="J637" s="38"/>
    </row>
    <row r="638">
      <c r="A638" s="14"/>
      <c r="E638" s="35"/>
      <c r="F638" s="38"/>
      <c r="G638" s="38"/>
      <c r="H638" s="38"/>
      <c r="I638" s="38"/>
      <c r="J638" s="38"/>
    </row>
    <row r="639">
      <c r="A639" s="14"/>
      <c r="E639" s="35"/>
      <c r="F639" s="38"/>
      <c r="G639" s="38"/>
      <c r="H639" s="38"/>
      <c r="I639" s="38"/>
      <c r="J639" s="38"/>
    </row>
    <row r="640">
      <c r="A640" s="14"/>
      <c r="E640" s="35"/>
      <c r="F640" s="38"/>
      <c r="G640" s="38"/>
      <c r="H640" s="38"/>
      <c r="I640" s="38"/>
      <c r="J640" s="38"/>
    </row>
    <row r="641">
      <c r="A641" s="14"/>
      <c r="E641" s="35"/>
      <c r="F641" s="38"/>
      <c r="G641" s="38"/>
      <c r="H641" s="38"/>
      <c r="I641" s="38"/>
      <c r="J641" s="38"/>
    </row>
    <row r="642">
      <c r="A642" s="14"/>
      <c r="E642" s="35"/>
      <c r="F642" s="38"/>
      <c r="G642" s="38"/>
      <c r="H642" s="38"/>
      <c r="I642" s="38"/>
      <c r="J642" s="38"/>
    </row>
    <row r="643">
      <c r="A643" s="14"/>
      <c r="E643" s="35"/>
      <c r="F643" s="38"/>
      <c r="G643" s="38"/>
      <c r="H643" s="38"/>
      <c r="I643" s="38"/>
      <c r="J643" s="38"/>
    </row>
    <row r="644">
      <c r="A644" s="14"/>
      <c r="E644" s="35"/>
      <c r="F644" s="38"/>
      <c r="G644" s="38"/>
      <c r="H644" s="38"/>
      <c r="I644" s="38"/>
      <c r="J644" s="38"/>
    </row>
    <row r="645">
      <c r="A645" s="14"/>
      <c r="E645" s="35"/>
      <c r="F645" s="38"/>
      <c r="G645" s="38"/>
      <c r="H645" s="38"/>
      <c r="I645" s="38"/>
      <c r="J645" s="38"/>
    </row>
    <row r="646">
      <c r="A646" s="14"/>
      <c r="E646" s="35"/>
      <c r="F646" s="38"/>
      <c r="G646" s="38"/>
      <c r="H646" s="38"/>
      <c r="I646" s="38"/>
      <c r="J646" s="38"/>
    </row>
    <row r="647">
      <c r="A647" s="14"/>
      <c r="E647" s="35"/>
      <c r="F647" s="38"/>
      <c r="G647" s="38"/>
      <c r="H647" s="38"/>
      <c r="I647" s="38"/>
      <c r="J647" s="38"/>
    </row>
    <row r="648">
      <c r="A648" s="14"/>
      <c r="E648" s="35"/>
      <c r="F648" s="38"/>
      <c r="G648" s="38"/>
      <c r="H648" s="38"/>
      <c r="I648" s="38"/>
      <c r="J648" s="38"/>
    </row>
    <row r="649">
      <c r="A649" s="14"/>
      <c r="E649" s="35"/>
      <c r="F649" s="38"/>
      <c r="G649" s="38"/>
      <c r="H649" s="38"/>
      <c r="I649" s="38"/>
      <c r="J649" s="38"/>
    </row>
    <row r="650">
      <c r="A650" s="14"/>
      <c r="E650" s="35"/>
      <c r="F650" s="38"/>
      <c r="G650" s="38"/>
      <c r="H650" s="38"/>
      <c r="I650" s="38"/>
      <c r="J650" s="38"/>
    </row>
    <row r="651">
      <c r="A651" s="14"/>
      <c r="E651" s="35"/>
      <c r="F651" s="38"/>
      <c r="G651" s="38"/>
      <c r="H651" s="38"/>
      <c r="I651" s="38"/>
      <c r="J651" s="38"/>
    </row>
    <row r="652">
      <c r="A652" s="14"/>
      <c r="E652" s="35"/>
      <c r="F652" s="38"/>
      <c r="G652" s="38"/>
      <c r="H652" s="38"/>
      <c r="I652" s="38"/>
      <c r="J652" s="38"/>
    </row>
    <row r="653">
      <c r="A653" s="14"/>
      <c r="E653" s="35"/>
      <c r="F653" s="38"/>
      <c r="G653" s="38"/>
      <c r="H653" s="38"/>
      <c r="I653" s="38"/>
      <c r="J653" s="38"/>
    </row>
    <row r="654">
      <c r="A654" s="14"/>
      <c r="E654" s="35"/>
      <c r="F654" s="38"/>
      <c r="G654" s="38"/>
      <c r="H654" s="38"/>
      <c r="I654" s="38"/>
      <c r="J654" s="38"/>
    </row>
    <row r="655">
      <c r="A655" s="14"/>
      <c r="E655" s="35"/>
      <c r="F655" s="38"/>
      <c r="G655" s="38"/>
      <c r="H655" s="38"/>
      <c r="I655" s="38"/>
      <c r="J655" s="38"/>
    </row>
    <row r="656">
      <c r="A656" s="14"/>
      <c r="E656" s="35"/>
      <c r="F656" s="38"/>
      <c r="G656" s="38"/>
      <c r="H656" s="38"/>
      <c r="I656" s="38"/>
      <c r="J656" s="38"/>
    </row>
    <row r="657">
      <c r="A657" s="14"/>
      <c r="E657" s="35"/>
      <c r="F657" s="38"/>
      <c r="G657" s="38"/>
      <c r="H657" s="38"/>
      <c r="I657" s="38"/>
      <c r="J657" s="38"/>
    </row>
    <row r="658">
      <c r="A658" s="14"/>
      <c r="E658" s="35"/>
      <c r="F658" s="38"/>
      <c r="G658" s="38"/>
      <c r="H658" s="38"/>
      <c r="I658" s="38"/>
      <c r="J658" s="38"/>
    </row>
    <row r="659">
      <c r="A659" s="14"/>
      <c r="E659" s="35"/>
      <c r="F659" s="38"/>
      <c r="G659" s="38"/>
      <c r="H659" s="38"/>
      <c r="I659" s="38"/>
      <c r="J659" s="38"/>
    </row>
    <row r="660">
      <c r="A660" s="14"/>
      <c r="E660" s="35"/>
      <c r="F660" s="38"/>
      <c r="G660" s="38"/>
      <c r="H660" s="38"/>
      <c r="I660" s="38"/>
      <c r="J660" s="38"/>
    </row>
    <row r="661">
      <c r="A661" s="14"/>
      <c r="E661" s="35"/>
      <c r="F661" s="38"/>
      <c r="G661" s="38"/>
      <c r="H661" s="38"/>
      <c r="I661" s="38"/>
      <c r="J661" s="38"/>
    </row>
    <row r="662">
      <c r="A662" s="14"/>
      <c r="E662" s="35"/>
      <c r="F662" s="38"/>
      <c r="G662" s="38"/>
      <c r="H662" s="38"/>
      <c r="I662" s="38"/>
      <c r="J662" s="38"/>
    </row>
    <row r="663">
      <c r="A663" s="14"/>
      <c r="E663" s="35"/>
      <c r="F663" s="38"/>
      <c r="G663" s="38"/>
      <c r="H663" s="38"/>
      <c r="I663" s="38"/>
      <c r="J663" s="38"/>
    </row>
    <row r="664">
      <c r="A664" s="14"/>
      <c r="E664" s="35"/>
      <c r="F664" s="38"/>
      <c r="G664" s="38"/>
      <c r="H664" s="38"/>
      <c r="I664" s="38"/>
      <c r="J664" s="38"/>
    </row>
    <row r="665">
      <c r="A665" s="14"/>
      <c r="E665" s="35"/>
      <c r="F665" s="38"/>
      <c r="G665" s="38"/>
      <c r="H665" s="38"/>
      <c r="I665" s="38"/>
      <c r="J665" s="38"/>
    </row>
    <row r="666">
      <c r="A666" s="14"/>
      <c r="E666" s="35"/>
      <c r="F666" s="38"/>
      <c r="G666" s="38"/>
      <c r="H666" s="38"/>
      <c r="I666" s="38"/>
      <c r="J666" s="38"/>
    </row>
    <row r="667">
      <c r="A667" s="14"/>
      <c r="E667" s="35"/>
      <c r="F667" s="38"/>
      <c r="G667" s="38"/>
      <c r="H667" s="38"/>
      <c r="I667" s="38"/>
      <c r="J667" s="38"/>
    </row>
    <row r="668">
      <c r="A668" s="14"/>
      <c r="E668" s="35"/>
      <c r="F668" s="38"/>
      <c r="G668" s="38"/>
      <c r="H668" s="38"/>
      <c r="I668" s="38"/>
      <c r="J668" s="38"/>
    </row>
    <row r="669">
      <c r="A669" s="14"/>
      <c r="E669" s="35"/>
      <c r="F669" s="38"/>
      <c r="G669" s="38"/>
      <c r="H669" s="38"/>
      <c r="I669" s="38"/>
      <c r="J669" s="38"/>
    </row>
    <row r="670">
      <c r="A670" s="14"/>
      <c r="E670" s="35"/>
      <c r="F670" s="38"/>
      <c r="G670" s="38"/>
      <c r="H670" s="38"/>
      <c r="I670" s="38"/>
      <c r="J670" s="38"/>
    </row>
    <row r="671">
      <c r="A671" s="14"/>
      <c r="E671" s="35"/>
      <c r="F671" s="38"/>
      <c r="G671" s="38"/>
      <c r="H671" s="38"/>
      <c r="I671" s="38"/>
      <c r="J671" s="38"/>
    </row>
    <row r="672">
      <c r="A672" s="14"/>
      <c r="E672" s="35"/>
      <c r="F672" s="38"/>
      <c r="G672" s="38"/>
      <c r="H672" s="38"/>
      <c r="I672" s="38"/>
      <c r="J672" s="38"/>
    </row>
    <row r="673">
      <c r="A673" s="14"/>
      <c r="E673" s="35"/>
      <c r="F673" s="38"/>
      <c r="G673" s="38"/>
      <c r="H673" s="38"/>
      <c r="I673" s="38"/>
      <c r="J673" s="38"/>
    </row>
    <row r="674">
      <c r="A674" s="14"/>
      <c r="E674" s="35"/>
      <c r="F674" s="38"/>
      <c r="G674" s="38"/>
      <c r="H674" s="38"/>
      <c r="I674" s="38"/>
      <c r="J674" s="38"/>
    </row>
    <row r="675">
      <c r="A675" s="14"/>
      <c r="E675" s="35"/>
      <c r="F675" s="38"/>
      <c r="G675" s="38"/>
      <c r="H675" s="38"/>
      <c r="I675" s="38"/>
      <c r="J675" s="38"/>
    </row>
    <row r="676">
      <c r="A676" s="14"/>
      <c r="E676" s="35"/>
      <c r="F676" s="38"/>
      <c r="G676" s="38"/>
      <c r="H676" s="38"/>
      <c r="I676" s="38"/>
      <c r="J676" s="38"/>
    </row>
    <row r="677">
      <c r="A677" s="14"/>
      <c r="E677" s="35"/>
      <c r="F677" s="38"/>
      <c r="G677" s="38"/>
      <c r="H677" s="38"/>
      <c r="I677" s="38"/>
      <c r="J677" s="38"/>
    </row>
    <row r="678">
      <c r="A678" s="14"/>
      <c r="E678" s="35"/>
      <c r="F678" s="38"/>
      <c r="G678" s="38"/>
      <c r="H678" s="38"/>
      <c r="I678" s="38"/>
      <c r="J678" s="38"/>
    </row>
    <row r="679">
      <c r="A679" s="14"/>
      <c r="E679" s="35"/>
      <c r="F679" s="38"/>
      <c r="G679" s="38"/>
      <c r="H679" s="38"/>
      <c r="I679" s="38"/>
      <c r="J679" s="38"/>
    </row>
    <row r="680">
      <c r="A680" s="14"/>
      <c r="E680" s="35"/>
      <c r="F680" s="38"/>
      <c r="G680" s="38"/>
      <c r="H680" s="38"/>
      <c r="I680" s="38"/>
      <c r="J680" s="38"/>
    </row>
    <row r="681">
      <c r="A681" s="14"/>
      <c r="E681" s="35"/>
      <c r="F681" s="38"/>
      <c r="G681" s="38"/>
      <c r="H681" s="38"/>
      <c r="I681" s="38"/>
      <c r="J681" s="38"/>
    </row>
    <row r="682">
      <c r="A682" s="14"/>
      <c r="E682" s="35"/>
      <c r="F682" s="38"/>
      <c r="G682" s="38"/>
      <c r="H682" s="38"/>
      <c r="I682" s="38"/>
      <c r="J682" s="38"/>
    </row>
    <row r="683">
      <c r="A683" s="14"/>
      <c r="E683" s="35"/>
      <c r="F683" s="38"/>
      <c r="G683" s="38"/>
      <c r="H683" s="38"/>
      <c r="I683" s="38"/>
      <c r="J683" s="38"/>
    </row>
    <row r="684">
      <c r="A684" s="14"/>
      <c r="E684" s="35"/>
      <c r="F684" s="38"/>
      <c r="G684" s="38"/>
      <c r="H684" s="38"/>
      <c r="I684" s="38"/>
      <c r="J684" s="38"/>
    </row>
    <row r="685">
      <c r="A685" s="14"/>
      <c r="E685" s="35"/>
      <c r="F685" s="38"/>
      <c r="G685" s="38"/>
      <c r="H685" s="38"/>
      <c r="I685" s="38"/>
      <c r="J685" s="38"/>
    </row>
    <row r="686">
      <c r="A686" s="14"/>
      <c r="E686" s="35"/>
      <c r="F686" s="38"/>
      <c r="G686" s="38"/>
      <c r="H686" s="38"/>
      <c r="I686" s="38"/>
      <c r="J686" s="38"/>
    </row>
    <row r="687">
      <c r="A687" s="14"/>
      <c r="E687" s="35"/>
      <c r="F687" s="38"/>
      <c r="G687" s="38"/>
      <c r="H687" s="38"/>
      <c r="I687" s="38"/>
      <c r="J687" s="38"/>
    </row>
    <row r="688">
      <c r="A688" s="14"/>
      <c r="E688" s="35"/>
      <c r="F688" s="38"/>
      <c r="G688" s="38"/>
      <c r="H688" s="38"/>
      <c r="I688" s="38"/>
      <c r="J688" s="38"/>
    </row>
    <row r="689">
      <c r="A689" s="14"/>
      <c r="E689" s="35"/>
      <c r="F689" s="38"/>
      <c r="G689" s="38"/>
      <c r="H689" s="38"/>
      <c r="I689" s="38"/>
      <c r="J689" s="38"/>
    </row>
    <row r="690">
      <c r="A690" s="14"/>
      <c r="E690" s="35"/>
      <c r="F690" s="38"/>
      <c r="G690" s="38"/>
      <c r="H690" s="38"/>
      <c r="I690" s="38"/>
      <c r="J690" s="38"/>
    </row>
    <row r="691">
      <c r="A691" s="14"/>
      <c r="E691" s="35"/>
      <c r="F691" s="38"/>
      <c r="G691" s="38"/>
      <c r="H691" s="38"/>
      <c r="I691" s="38"/>
      <c r="J691" s="38"/>
    </row>
    <row r="692">
      <c r="A692" s="14"/>
      <c r="E692" s="35"/>
      <c r="F692" s="38"/>
      <c r="G692" s="38"/>
      <c r="H692" s="38"/>
      <c r="I692" s="38"/>
      <c r="J692" s="38"/>
    </row>
    <row r="693">
      <c r="A693" s="14"/>
      <c r="E693" s="35"/>
      <c r="F693" s="38"/>
      <c r="G693" s="38"/>
      <c r="H693" s="38"/>
      <c r="I693" s="38"/>
      <c r="J693" s="38"/>
    </row>
    <row r="694">
      <c r="A694" s="14"/>
      <c r="E694" s="35"/>
      <c r="F694" s="38"/>
      <c r="G694" s="38"/>
      <c r="H694" s="38"/>
      <c r="I694" s="38"/>
      <c r="J694" s="38"/>
    </row>
    <row r="695">
      <c r="A695" s="14"/>
      <c r="E695" s="35"/>
      <c r="F695" s="38"/>
      <c r="G695" s="38"/>
      <c r="H695" s="38"/>
      <c r="I695" s="38"/>
      <c r="J695" s="38"/>
    </row>
    <row r="696">
      <c r="A696" s="14"/>
      <c r="E696" s="35"/>
      <c r="F696" s="38"/>
      <c r="G696" s="38"/>
      <c r="H696" s="38"/>
      <c r="I696" s="38"/>
      <c r="J696" s="38"/>
    </row>
    <row r="697">
      <c r="A697" s="14"/>
      <c r="E697" s="35"/>
      <c r="F697" s="38"/>
      <c r="G697" s="38"/>
      <c r="H697" s="38"/>
      <c r="I697" s="38"/>
      <c r="J697" s="38"/>
    </row>
    <row r="698">
      <c r="A698" s="14"/>
      <c r="E698" s="35"/>
      <c r="F698" s="38"/>
      <c r="G698" s="38"/>
      <c r="H698" s="38"/>
      <c r="I698" s="38"/>
      <c r="J698" s="38"/>
    </row>
    <row r="699">
      <c r="A699" s="14"/>
      <c r="E699" s="35"/>
      <c r="F699" s="38"/>
      <c r="G699" s="38"/>
      <c r="H699" s="38"/>
      <c r="I699" s="38"/>
      <c r="J699" s="38"/>
    </row>
    <row r="700">
      <c r="A700" s="14"/>
      <c r="E700" s="35"/>
      <c r="F700" s="38"/>
      <c r="G700" s="38"/>
      <c r="H700" s="38"/>
      <c r="I700" s="38"/>
      <c r="J700" s="38"/>
    </row>
    <row r="701">
      <c r="A701" s="14"/>
      <c r="E701" s="35"/>
      <c r="F701" s="38"/>
      <c r="G701" s="38"/>
      <c r="H701" s="38"/>
      <c r="I701" s="38"/>
      <c r="J701" s="38"/>
    </row>
    <row r="702">
      <c r="A702" s="14"/>
      <c r="E702" s="35"/>
      <c r="F702" s="38"/>
      <c r="G702" s="38"/>
      <c r="H702" s="38"/>
      <c r="I702" s="38"/>
      <c r="J702" s="38"/>
    </row>
    <row r="703">
      <c r="A703" s="14"/>
      <c r="E703" s="35"/>
      <c r="F703" s="38"/>
      <c r="G703" s="38"/>
      <c r="H703" s="38"/>
      <c r="I703" s="38"/>
      <c r="J703" s="38"/>
    </row>
    <row r="704">
      <c r="A704" s="14"/>
      <c r="E704" s="35"/>
      <c r="F704" s="38"/>
      <c r="G704" s="38"/>
      <c r="H704" s="38"/>
      <c r="I704" s="38"/>
      <c r="J704" s="38"/>
    </row>
    <row r="705">
      <c r="A705" s="14"/>
      <c r="E705" s="35"/>
      <c r="F705" s="38"/>
      <c r="G705" s="38"/>
      <c r="H705" s="38"/>
      <c r="I705" s="38"/>
      <c r="J705" s="38"/>
    </row>
    <row r="706">
      <c r="A706" s="14"/>
      <c r="E706" s="35"/>
      <c r="F706" s="38"/>
      <c r="G706" s="38"/>
      <c r="H706" s="38"/>
      <c r="I706" s="38"/>
      <c r="J706" s="38"/>
    </row>
    <row r="707">
      <c r="A707" s="14"/>
      <c r="E707" s="35"/>
      <c r="F707" s="38"/>
      <c r="G707" s="38"/>
      <c r="H707" s="38"/>
      <c r="I707" s="38"/>
      <c r="J707" s="38"/>
    </row>
    <row r="708">
      <c r="A708" s="14"/>
      <c r="E708" s="35"/>
      <c r="F708" s="38"/>
      <c r="G708" s="38"/>
      <c r="H708" s="38"/>
      <c r="I708" s="38"/>
      <c r="J708" s="38"/>
    </row>
    <row r="709">
      <c r="A709" s="14"/>
      <c r="E709" s="35"/>
      <c r="F709" s="38"/>
      <c r="G709" s="38"/>
      <c r="H709" s="38"/>
      <c r="I709" s="38"/>
      <c r="J709" s="38"/>
    </row>
    <row r="710">
      <c r="A710" s="14"/>
      <c r="E710" s="35"/>
      <c r="F710" s="38"/>
      <c r="G710" s="38"/>
      <c r="H710" s="38"/>
      <c r="I710" s="38"/>
      <c r="J710" s="38"/>
    </row>
    <row r="711">
      <c r="A711" s="14"/>
      <c r="E711" s="35"/>
      <c r="F711" s="38"/>
      <c r="G711" s="38"/>
      <c r="H711" s="38"/>
      <c r="I711" s="38"/>
      <c r="J711" s="38"/>
    </row>
    <row r="712">
      <c r="A712" s="14"/>
      <c r="E712" s="35"/>
      <c r="F712" s="38"/>
      <c r="G712" s="38"/>
      <c r="H712" s="38"/>
      <c r="I712" s="38"/>
      <c r="J712" s="38"/>
    </row>
    <row r="713">
      <c r="A713" s="14"/>
      <c r="E713" s="35"/>
      <c r="F713" s="38"/>
      <c r="G713" s="38"/>
      <c r="H713" s="38"/>
      <c r="I713" s="38"/>
      <c r="J713" s="38"/>
    </row>
    <row r="714">
      <c r="A714" s="14"/>
      <c r="E714" s="35"/>
      <c r="F714" s="38"/>
      <c r="G714" s="38"/>
      <c r="H714" s="38"/>
      <c r="I714" s="38"/>
      <c r="J714" s="38"/>
    </row>
    <row r="715">
      <c r="A715" s="14"/>
      <c r="E715" s="35"/>
      <c r="F715" s="38"/>
      <c r="G715" s="38"/>
      <c r="H715" s="38"/>
      <c r="I715" s="38"/>
      <c r="J715" s="38"/>
    </row>
    <row r="716">
      <c r="A716" s="14"/>
      <c r="E716" s="35"/>
      <c r="F716" s="38"/>
      <c r="G716" s="38"/>
      <c r="H716" s="38"/>
      <c r="I716" s="38"/>
      <c r="J716" s="38"/>
    </row>
    <row r="717">
      <c r="A717" s="14"/>
      <c r="E717" s="35"/>
      <c r="F717" s="38"/>
      <c r="G717" s="38"/>
      <c r="H717" s="38"/>
      <c r="I717" s="38"/>
      <c r="J717" s="38"/>
    </row>
    <row r="718">
      <c r="A718" s="14"/>
      <c r="E718" s="35"/>
      <c r="F718" s="38"/>
      <c r="G718" s="38"/>
      <c r="H718" s="38"/>
      <c r="I718" s="38"/>
      <c r="J718" s="38"/>
    </row>
    <row r="719">
      <c r="A719" s="14"/>
      <c r="E719" s="35"/>
      <c r="F719" s="38"/>
      <c r="G719" s="38"/>
      <c r="H719" s="38"/>
      <c r="I719" s="38"/>
      <c r="J719" s="38"/>
    </row>
    <row r="720">
      <c r="A720" s="14"/>
      <c r="E720" s="35"/>
      <c r="F720" s="38"/>
      <c r="G720" s="38"/>
      <c r="H720" s="38"/>
      <c r="I720" s="38"/>
      <c r="J720" s="38"/>
    </row>
    <row r="721">
      <c r="A721" s="14"/>
      <c r="E721" s="35"/>
      <c r="F721" s="38"/>
      <c r="G721" s="38"/>
      <c r="H721" s="38"/>
      <c r="I721" s="38"/>
      <c r="J721" s="38"/>
    </row>
    <row r="722">
      <c r="A722" s="14"/>
      <c r="E722" s="35"/>
      <c r="F722" s="38"/>
      <c r="G722" s="38"/>
      <c r="H722" s="38"/>
      <c r="I722" s="38"/>
      <c r="J722" s="38"/>
    </row>
    <row r="723">
      <c r="A723" s="14"/>
      <c r="E723" s="35"/>
      <c r="F723" s="38"/>
      <c r="G723" s="38"/>
      <c r="H723" s="38"/>
      <c r="I723" s="38"/>
      <c r="J723" s="38"/>
    </row>
    <row r="724">
      <c r="A724" s="14"/>
      <c r="E724" s="35"/>
      <c r="F724" s="38"/>
      <c r="G724" s="38"/>
      <c r="H724" s="38"/>
      <c r="I724" s="38"/>
      <c r="J724" s="38"/>
    </row>
    <row r="725">
      <c r="A725" s="14"/>
      <c r="E725" s="35"/>
      <c r="F725" s="38"/>
      <c r="G725" s="38"/>
      <c r="H725" s="38"/>
      <c r="I725" s="38"/>
      <c r="J725" s="38"/>
    </row>
    <row r="726">
      <c r="A726" s="14"/>
      <c r="E726" s="35"/>
      <c r="F726" s="38"/>
      <c r="G726" s="38"/>
      <c r="H726" s="38"/>
      <c r="I726" s="38"/>
      <c r="J726" s="38"/>
    </row>
    <row r="727">
      <c r="A727" s="14"/>
      <c r="E727" s="35"/>
      <c r="F727" s="38"/>
      <c r="G727" s="38"/>
      <c r="H727" s="38"/>
      <c r="I727" s="38"/>
      <c r="J727" s="38"/>
    </row>
    <row r="728">
      <c r="A728" s="14"/>
      <c r="E728" s="35"/>
      <c r="F728" s="38"/>
      <c r="G728" s="38"/>
      <c r="H728" s="38"/>
      <c r="I728" s="38"/>
      <c r="J728" s="38"/>
    </row>
    <row r="729">
      <c r="A729" s="14"/>
      <c r="E729" s="35"/>
      <c r="F729" s="38"/>
      <c r="G729" s="38"/>
      <c r="H729" s="38"/>
      <c r="I729" s="38"/>
      <c r="J729" s="38"/>
    </row>
    <row r="730">
      <c r="A730" s="14"/>
      <c r="E730" s="35"/>
      <c r="F730" s="38"/>
      <c r="G730" s="38"/>
      <c r="H730" s="38"/>
      <c r="I730" s="38"/>
      <c r="J730" s="38"/>
    </row>
    <row r="731">
      <c r="A731" s="14"/>
      <c r="E731" s="35"/>
      <c r="F731" s="38"/>
      <c r="G731" s="38"/>
      <c r="H731" s="38"/>
      <c r="I731" s="38"/>
      <c r="J731" s="38"/>
    </row>
    <row r="732">
      <c r="A732" s="14"/>
      <c r="E732" s="35"/>
      <c r="F732" s="38"/>
      <c r="G732" s="38"/>
      <c r="H732" s="38"/>
      <c r="I732" s="38"/>
      <c r="J732" s="38"/>
    </row>
    <row r="733">
      <c r="A733" s="14"/>
      <c r="E733" s="35"/>
      <c r="F733" s="38"/>
      <c r="G733" s="38"/>
      <c r="H733" s="38"/>
      <c r="I733" s="38"/>
      <c r="J733" s="38"/>
    </row>
    <row r="734">
      <c r="A734" s="14"/>
      <c r="E734" s="35"/>
      <c r="F734" s="38"/>
      <c r="G734" s="38"/>
      <c r="H734" s="38"/>
      <c r="I734" s="38"/>
      <c r="J734" s="38"/>
    </row>
    <row r="735">
      <c r="A735" s="14"/>
      <c r="E735" s="35"/>
      <c r="F735" s="38"/>
      <c r="G735" s="38"/>
      <c r="H735" s="38"/>
      <c r="I735" s="38"/>
      <c r="J735" s="38"/>
    </row>
    <row r="736">
      <c r="A736" s="14"/>
      <c r="E736" s="35"/>
      <c r="F736" s="38"/>
      <c r="G736" s="38"/>
      <c r="H736" s="38"/>
      <c r="I736" s="38"/>
      <c r="J736" s="38"/>
    </row>
    <row r="737">
      <c r="A737" s="14"/>
      <c r="E737" s="35"/>
      <c r="F737" s="38"/>
      <c r="G737" s="38"/>
      <c r="H737" s="38"/>
      <c r="I737" s="38"/>
      <c r="J737" s="38"/>
    </row>
    <row r="738">
      <c r="A738" s="14"/>
      <c r="E738" s="35"/>
      <c r="F738" s="38"/>
      <c r="G738" s="38"/>
      <c r="H738" s="38"/>
      <c r="I738" s="38"/>
      <c r="J738" s="38"/>
    </row>
    <row r="739">
      <c r="A739" s="14"/>
      <c r="E739" s="35"/>
      <c r="F739" s="38"/>
      <c r="G739" s="38"/>
      <c r="H739" s="38"/>
      <c r="I739" s="38"/>
      <c r="J739" s="38"/>
    </row>
    <row r="740">
      <c r="A740" s="14"/>
      <c r="E740" s="35"/>
      <c r="F740" s="38"/>
      <c r="G740" s="38"/>
      <c r="H740" s="38"/>
      <c r="I740" s="38"/>
      <c r="J740" s="38"/>
    </row>
    <row r="741">
      <c r="A741" s="14"/>
      <c r="E741" s="35"/>
      <c r="F741" s="38"/>
      <c r="G741" s="38"/>
      <c r="H741" s="38"/>
      <c r="I741" s="38"/>
      <c r="J741" s="38"/>
    </row>
    <row r="742">
      <c r="A742" s="14"/>
      <c r="E742" s="35"/>
      <c r="F742" s="38"/>
      <c r="G742" s="38"/>
      <c r="H742" s="38"/>
      <c r="I742" s="38"/>
      <c r="J742" s="38"/>
    </row>
    <row r="743">
      <c r="A743" s="14"/>
      <c r="E743" s="35"/>
      <c r="F743" s="38"/>
      <c r="G743" s="38"/>
      <c r="H743" s="38"/>
      <c r="I743" s="38"/>
      <c r="J743" s="38"/>
    </row>
    <row r="744">
      <c r="A744" s="14"/>
      <c r="E744" s="35"/>
      <c r="F744" s="38"/>
      <c r="G744" s="38"/>
      <c r="H744" s="38"/>
      <c r="I744" s="38"/>
      <c r="J744" s="38"/>
    </row>
    <row r="745">
      <c r="A745" s="14"/>
      <c r="E745" s="35"/>
      <c r="F745" s="38"/>
      <c r="G745" s="38"/>
      <c r="H745" s="38"/>
      <c r="I745" s="38"/>
      <c r="J745" s="38"/>
    </row>
    <row r="746">
      <c r="A746" s="14"/>
      <c r="E746" s="35"/>
      <c r="F746" s="38"/>
      <c r="G746" s="38"/>
      <c r="H746" s="38"/>
      <c r="I746" s="38"/>
      <c r="J746" s="38"/>
    </row>
    <row r="747">
      <c r="A747" s="14"/>
      <c r="E747" s="35"/>
      <c r="F747" s="38"/>
      <c r="G747" s="38"/>
      <c r="H747" s="38"/>
      <c r="I747" s="38"/>
      <c r="J747" s="38"/>
    </row>
    <row r="748">
      <c r="A748" s="14"/>
      <c r="E748" s="35"/>
      <c r="F748" s="38"/>
      <c r="G748" s="38"/>
      <c r="H748" s="38"/>
      <c r="I748" s="38"/>
      <c r="J748" s="38"/>
    </row>
    <row r="749">
      <c r="A749" s="14"/>
      <c r="E749" s="35"/>
      <c r="F749" s="38"/>
      <c r="G749" s="38"/>
      <c r="H749" s="38"/>
      <c r="I749" s="38"/>
      <c r="J749" s="38"/>
    </row>
    <row r="750">
      <c r="A750" s="14"/>
      <c r="E750" s="35"/>
      <c r="F750" s="38"/>
      <c r="G750" s="38"/>
      <c r="H750" s="38"/>
      <c r="I750" s="38"/>
      <c r="J750" s="38"/>
    </row>
    <row r="751">
      <c r="A751" s="14"/>
      <c r="E751" s="35"/>
      <c r="F751" s="38"/>
      <c r="G751" s="38"/>
      <c r="H751" s="38"/>
      <c r="I751" s="38"/>
      <c r="J751" s="38"/>
    </row>
    <row r="752">
      <c r="A752" s="14"/>
      <c r="E752" s="35"/>
      <c r="F752" s="38"/>
      <c r="G752" s="38"/>
      <c r="H752" s="38"/>
      <c r="I752" s="38"/>
      <c r="J752" s="38"/>
    </row>
    <row r="753">
      <c r="A753" s="14"/>
      <c r="E753" s="35"/>
      <c r="F753" s="38"/>
      <c r="G753" s="38"/>
      <c r="H753" s="38"/>
      <c r="I753" s="38"/>
      <c r="J753" s="38"/>
    </row>
    <row r="754">
      <c r="A754" s="14"/>
      <c r="E754" s="35"/>
      <c r="F754" s="38"/>
      <c r="G754" s="38"/>
      <c r="H754" s="38"/>
      <c r="I754" s="38"/>
      <c r="J754" s="38"/>
    </row>
    <row r="755">
      <c r="A755" s="14"/>
      <c r="E755" s="35"/>
      <c r="F755" s="38"/>
      <c r="G755" s="38"/>
      <c r="H755" s="38"/>
      <c r="I755" s="38"/>
      <c r="J755" s="38"/>
    </row>
    <row r="756">
      <c r="A756" s="14"/>
      <c r="E756" s="35"/>
      <c r="F756" s="38"/>
      <c r="G756" s="38"/>
      <c r="H756" s="38"/>
      <c r="I756" s="38"/>
      <c r="J756" s="38"/>
    </row>
    <row r="757">
      <c r="A757" s="14"/>
      <c r="E757" s="35"/>
      <c r="F757" s="38"/>
      <c r="G757" s="38"/>
      <c r="H757" s="38"/>
      <c r="I757" s="38"/>
      <c r="J757" s="38"/>
    </row>
    <row r="758">
      <c r="A758" s="14"/>
      <c r="E758" s="35"/>
      <c r="F758" s="38"/>
      <c r="G758" s="38"/>
      <c r="H758" s="38"/>
      <c r="I758" s="38"/>
      <c r="J758" s="38"/>
    </row>
    <row r="759">
      <c r="A759" s="14"/>
      <c r="E759" s="35"/>
      <c r="F759" s="38"/>
      <c r="G759" s="38"/>
      <c r="H759" s="38"/>
      <c r="I759" s="38"/>
      <c r="J759" s="38"/>
    </row>
    <row r="760">
      <c r="A760" s="14"/>
      <c r="E760" s="35"/>
      <c r="F760" s="38"/>
      <c r="G760" s="38"/>
      <c r="H760" s="38"/>
      <c r="I760" s="38"/>
      <c r="J760" s="38"/>
    </row>
    <row r="761">
      <c r="A761" s="14"/>
      <c r="E761" s="35"/>
      <c r="F761" s="38"/>
      <c r="G761" s="38"/>
      <c r="H761" s="38"/>
      <c r="I761" s="38"/>
      <c r="J761" s="38"/>
    </row>
    <row r="762">
      <c r="A762" s="14"/>
      <c r="E762" s="35"/>
      <c r="F762" s="38"/>
      <c r="G762" s="38"/>
      <c r="H762" s="38"/>
      <c r="I762" s="38"/>
      <c r="J762" s="38"/>
    </row>
    <row r="763">
      <c r="A763" s="14"/>
      <c r="E763" s="35"/>
      <c r="F763" s="38"/>
      <c r="G763" s="38"/>
      <c r="H763" s="38"/>
      <c r="I763" s="38"/>
      <c r="J763" s="38"/>
    </row>
    <row r="764">
      <c r="A764" s="14"/>
      <c r="E764" s="35"/>
      <c r="F764" s="38"/>
      <c r="G764" s="38"/>
      <c r="H764" s="38"/>
      <c r="I764" s="38"/>
      <c r="J764" s="38"/>
    </row>
    <row r="765">
      <c r="A765" s="14"/>
      <c r="E765" s="35"/>
      <c r="F765" s="38"/>
      <c r="G765" s="38"/>
      <c r="H765" s="38"/>
      <c r="I765" s="38"/>
      <c r="J765" s="38"/>
    </row>
    <row r="766">
      <c r="A766" s="14"/>
      <c r="E766" s="35"/>
      <c r="F766" s="38"/>
      <c r="G766" s="38"/>
      <c r="H766" s="38"/>
      <c r="I766" s="38"/>
      <c r="J766" s="38"/>
    </row>
    <row r="767">
      <c r="A767" s="14"/>
      <c r="E767" s="35"/>
      <c r="F767" s="38"/>
      <c r="G767" s="38"/>
      <c r="H767" s="38"/>
      <c r="I767" s="38"/>
      <c r="J767" s="38"/>
    </row>
    <row r="768">
      <c r="A768" s="14"/>
      <c r="E768" s="35"/>
      <c r="F768" s="38"/>
      <c r="G768" s="38"/>
      <c r="H768" s="38"/>
      <c r="I768" s="38"/>
      <c r="J768" s="38"/>
    </row>
    <row r="769">
      <c r="A769" s="14"/>
      <c r="E769" s="35"/>
      <c r="F769" s="38"/>
      <c r="G769" s="38"/>
      <c r="H769" s="38"/>
      <c r="I769" s="38"/>
      <c r="J769" s="38"/>
    </row>
    <row r="770">
      <c r="A770" s="14"/>
      <c r="E770" s="35"/>
      <c r="F770" s="38"/>
      <c r="G770" s="38"/>
      <c r="H770" s="38"/>
      <c r="I770" s="38"/>
      <c r="J770" s="38"/>
    </row>
    <row r="771">
      <c r="A771" s="14"/>
      <c r="E771" s="35"/>
      <c r="F771" s="38"/>
      <c r="G771" s="38"/>
      <c r="H771" s="38"/>
      <c r="I771" s="38"/>
      <c r="J771" s="38"/>
    </row>
    <row r="772">
      <c r="A772" s="14"/>
      <c r="E772" s="35"/>
      <c r="F772" s="38"/>
      <c r="G772" s="38"/>
      <c r="H772" s="38"/>
      <c r="I772" s="38"/>
      <c r="J772" s="38"/>
    </row>
    <row r="773">
      <c r="A773" s="14"/>
      <c r="E773" s="35"/>
      <c r="F773" s="38"/>
      <c r="G773" s="38"/>
      <c r="H773" s="38"/>
      <c r="I773" s="38"/>
      <c r="J773" s="38"/>
    </row>
    <row r="774">
      <c r="A774" s="14"/>
      <c r="E774" s="35"/>
      <c r="F774" s="38"/>
      <c r="G774" s="38"/>
      <c r="H774" s="38"/>
      <c r="I774" s="38"/>
      <c r="J774" s="38"/>
    </row>
    <row r="775">
      <c r="A775" s="14"/>
      <c r="E775" s="35"/>
      <c r="F775" s="38"/>
      <c r="G775" s="38"/>
      <c r="H775" s="38"/>
      <c r="I775" s="38"/>
      <c r="J775" s="38"/>
    </row>
    <row r="776">
      <c r="A776" s="14"/>
      <c r="E776" s="35"/>
      <c r="F776" s="38"/>
      <c r="G776" s="38"/>
      <c r="H776" s="38"/>
      <c r="I776" s="38"/>
      <c r="J776" s="38"/>
    </row>
    <row r="777">
      <c r="A777" s="14"/>
      <c r="E777" s="35"/>
      <c r="F777" s="38"/>
      <c r="G777" s="38"/>
      <c r="H777" s="38"/>
      <c r="I777" s="38"/>
      <c r="J777" s="38"/>
    </row>
    <row r="778">
      <c r="A778" s="14"/>
      <c r="E778" s="35"/>
      <c r="F778" s="38"/>
      <c r="G778" s="38"/>
      <c r="H778" s="38"/>
      <c r="I778" s="38"/>
      <c r="J778" s="38"/>
    </row>
    <row r="779">
      <c r="A779" s="14"/>
      <c r="E779" s="35"/>
      <c r="F779" s="38"/>
      <c r="G779" s="38"/>
      <c r="H779" s="38"/>
      <c r="I779" s="38"/>
      <c r="J779" s="38"/>
    </row>
    <row r="780">
      <c r="A780" s="14"/>
      <c r="E780" s="35"/>
      <c r="F780" s="38"/>
      <c r="G780" s="38"/>
      <c r="H780" s="38"/>
      <c r="I780" s="38"/>
      <c r="J780" s="38"/>
    </row>
    <row r="781">
      <c r="A781" s="14"/>
      <c r="E781" s="35"/>
      <c r="F781" s="38"/>
      <c r="G781" s="38"/>
      <c r="H781" s="38"/>
      <c r="I781" s="38"/>
      <c r="J781" s="38"/>
    </row>
    <row r="782">
      <c r="A782" s="14"/>
      <c r="E782" s="35"/>
      <c r="F782" s="38"/>
      <c r="G782" s="38"/>
      <c r="H782" s="38"/>
      <c r="I782" s="38"/>
      <c r="J782" s="38"/>
    </row>
    <row r="783">
      <c r="A783" s="14"/>
      <c r="E783" s="35"/>
      <c r="F783" s="38"/>
      <c r="G783" s="38"/>
      <c r="H783" s="38"/>
      <c r="I783" s="38"/>
      <c r="J783" s="38"/>
    </row>
    <row r="784">
      <c r="A784" s="14"/>
      <c r="E784" s="35"/>
      <c r="F784" s="38"/>
      <c r="G784" s="38"/>
      <c r="H784" s="38"/>
      <c r="I784" s="38"/>
      <c r="J784" s="38"/>
    </row>
    <row r="785">
      <c r="A785" s="14"/>
      <c r="E785" s="35"/>
      <c r="F785" s="38"/>
      <c r="G785" s="38"/>
      <c r="H785" s="38"/>
      <c r="I785" s="38"/>
      <c r="J785" s="38"/>
    </row>
    <row r="786">
      <c r="A786" s="14"/>
      <c r="E786" s="35"/>
      <c r="F786" s="38"/>
      <c r="G786" s="38"/>
      <c r="H786" s="38"/>
      <c r="I786" s="38"/>
      <c r="J786" s="38"/>
    </row>
    <row r="787">
      <c r="A787" s="14"/>
      <c r="E787" s="35"/>
      <c r="F787" s="38"/>
      <c r="G787" s="38"/>
      <c r="H787" s="38"/>
      <c r="I787" s="38"/>
      <c r="J787" s="38"/>
    </row>
    <row r="788">
      <c r="A788" s="14"/>
      <c r="E788" s="35"/>
      <c r="F788" s="38"/>
      <c r="G788" s="38"/>
      <c r="H788" s="38"/>
      <c r="I788" s="38"/>
      <c r="J788" s="38"/>
    </row>
    <row r="789">
      <c r="A789" s="14"/>
      <c r="E789" s="35"/>
      <c r="F789" s="38"/>
      <c r="G789" s="38"/>
      <c r="H789" s="38"/>
      <c r="I789" s="38"/>
      <c r="J789" s="38"/>
    </row>
    <row r="790">
      <c r="A790" s="14"/>
      <c r="E790" s="35"/>
      <c r="F790" s="38"/>
      <c r="G790" s="38"/>
      <c r="H790" s="38"/>
      <c r="I790" s="38"/>
      <c r="J790" s="38"/>
    </row>
    <row r="791">
      <c r="A791" s="14"/>
      <c r="E791" s="35"/>
      <c r="F791" s="38"/>
      <c r="G791" s="38"/>
      <c r="H791" s="38"/>
      <c r="I791" s="38"/>
      <c r="J791" s="38"/>
    </row>
    <row r="792">
      <c r="A792" s="14"/>
      <c r="E792" s="35"/>
      <c r="F792" s="38"/>
      <c r="G792" s="38"/>
      <c r="H792" s="38"/>
      <c r="I792" s="38"/>
      <c r="J792" s="38"/>
    </row>
    <row r="793">
      <c r="A793" s="14"/>
      <c r="E793" s="35"/>
      <c r="F793" s="38"/>
      <c r="G793" s="38"/>
      <c r="H793" s="38"/>
      <c r="I793" s="38"/>
      <c r="J793" s="38"/>
    </row>
    <row r="794">
      <c r="A794" s="14"/>
      <c r="E794" s="35"/>
      <c r="F794" s="38"/>
      <c r="G794" s="38"/>
      <c r="H794" s="38"/>
      <c r="I794" s="38"/>
      <c r="J794" s="38"/>
    </row>
    <row r="795">
      <c r="A795" s="14"/>
      <c r="E795" s="35"/>
      <c r="F795" s="38"/>
      <c r="G795" s="38"/>
      <c r="H795" s="38"/>
      <c r="I795" s="38"/>
      <c r="J795" s="38"/>
    </row>
    <row r="796">
      <c r="A796" s="14"/>
      <c r="E796" s="35"/>
      <c r="F796" s="38"/>
      <c r="G796" s="38"/>
      <c r="H796" s="38"/>
      <c r="I796" s="38"/>
      <c r="J796" s="38"/>
    </row>
    <row r="797">
      <c r="A797" s="14"/>
      <c r="E797" s="35"/>
      <c r="F797" s="38"/>
      <c r="G797" s="38"/>
      <c r="H797" s="38"/>
      <c r="I797" s="38"/>
      <c r="J797" s="38"/>
    </row>
    <row r="798">
      <c r="A798" s="14"/>
      <c r="E798" s="35"/>
      <c r="F798" s="38"/>
      <c r="G798" s="38"/>
      <c r="H798" s="38"/>
      <c r="I798" s="38"/>
      <c r="J798" s="38"/>
    </row>
    <row r="799">
      <c r="A799" s="14"/>
      <c r="E799" s="35"/>
      <c r="F799" s="38"/>
      <c r="G799" s="38"/>
      <c r="H799" s="38"/>
      <c r="I799" s="38"/>
      <c r="J799" s="38"/>
    </row>
    <row r="800">
      <c r="A800" s="14"/>
      <c r="E800" s="35"/>
      <c r="F800" s="38"/>
      <c r="G800" s="38"/>
      <c r="H800" s="38"/>
      <c r="I800" s="38"/>
      <c r="J800" s="38"/>
    </row>
    <row r="801">
      <c r="A801" s="14"/>
      <c r="E801" s="35"/>
      <c r="F801" s="38"/>
      <c r="G801" s="38"/>
      <c r="H801" s="38"/>
      <c r="I801" s="38"/>
      <c r="J801" s="38"/>
    </row>
    <row r="802">
      <c r="A802" s="14"/>
      <c r="E802" s="35"/>
      <c r="F802" s="38"/>
      <c r="G802" s="38"/>
      <c r="H802" s="38"/>
      <c r="I802" s="38"/>
      <c r="J802" s="38"/>
    </row>
    <row r="803">
      <c r="A803" s="14"/>
      <c r="E803" s="35"/>
      <c r="F803" s="38"/>
      <c r="G803" s="38"/>
      <c r="H803" s="38"/>
      <c r="I803" s="38"/>
      <c r="J803" s="38"/>
    </row>
    <row r="804">
      <c r="A804" s="14"/>
      <c r="E804" s="35"/>
      <c r="F804" s="38"/>
      <c r="G804" s="38"/>
      <c r="H804" s="38"/>
      <c r="I804" s="38"/>
      <c r="J804" s="38"/>
    </row>
    <row r="805">
      <c r="A805" s="14"/>
      <c r="E805" s="35"/>
      <c r="F805" s="38"/>
      <c r="G805" s="38"/>
      <c r="H805" s="38"/>
      <c r="I805" s="38"/>
      <c r="J805" s="38"/>
    </row>
    <row r="806">
      <c r="A806" s="14"/>
      <c r="E806" s="35"/>
      <c r="F806" s="38"/>
      <c r="G806" s="38"/>
      <c r="H806" s="38"/>
      <c r="I806" s="38"/>
      <c r="J806" s="38"/>
    </row>
    <row r="807">
      <c r="A807" s="14"/>
      <c r="E807" s="35"/>
      <c r="F807" s="38"/>
      <c r="G807" s="38"/>
      <c r="H807" s="38"/>
      <c r="I807" s="38"/>
      <c r="J807" s="38"/>
    </row>
    <row r="808">
      <c r="A808" s="14"/>
      <c r="E808" s="35"/>
      <c r="F808" s="38"/>
      <c r="G808" s="38"/>
      <c r="H808" s="38"/>
      <c r="I808" s="38"/>
      <c r="J808" s="38"/>
    </row>
    <row r="809">
      <c r="A809" s="14"/>
      <c r="E809" s="35"/>
      <c r="F809" s="38"/>
      <c r="G809" s="38"/>
      <c r="H809" s="38"/>
      <c r="I809" s="38"/>
      <c r="J809" s="38"/>
    </row>
    <row r="810">
      <c r="A810" s="14"/>
      <c r="E810" s="35"/>
      <c r="F810" s="38"/>
      <c r="G810" s="38"/>
      <c r="H810" s="38"/>
      <c r="I810" s="38"/>
      <c r="J810" s="38"/>
    </row>
    <row r="811">
      <c r="A811" s="14"/>
      <c r="E811" s="35"/>
      <c r="F811" s="38"/>
      <c r="G811" s="38"/>
      <c r="H811" s="38"/>
      <c r="I811" s="38"/>
      <c r="J811" s="38"/>
    </row>
    <row r="812">
      <c r="A812" s="14"/>
      <c r="E812" s="35"/>
      <c r="F812" s="38"/>
      <c r="G812" s="38"/>
      <c r="H812" s="38"/>
      <c r="I812" s="38"/>
      <c r="J812" s="38"/>
    </row>
    <row r="813">
      <c r="A813" s="14"/>
      <c r="E813" s="35"/>
      <c r="F813" s="38"/>
      <c r="G813" s="38"/>
      <c r="H813" s="38"/>
      <c r="I813" s="38"/>
      <c r="J813" s="38"/>
    </row>
    <row r="814">
      <c r="A814" s="14"/>
      <c r="E814" s="35"/>
      <c r="F814" s="38"/>
      <c r="G814" s="38"/>
      <c r="H814" s="38"/>
      <c r="I814" s="38"/>
      <c r="J814" s="38"/>
    </row>
    <row r="815">
      <c r="A815" s="14"/>
      <c r="E815" s="35"/>
      <c r="F815" s="38"/>
      <c r="G815" s="38"/>
      <c r="H815" s="38"/>
      <c r="I815" s="38"/>
      <c r="J815" s="38"/>
    </row>
    <row r="816">
      <c r="A816" s="14"/>
      <c r="E816" s="35"/>
      <c r="F816" s="38"/>
      <c r="G816" s="38"/>
      <c r="H816" s="38"/>
      <c r="I816" s="38"/>
      <c r="J816" s="38"/>
    </row>
    <row r="817">
      <c r="A817" s="14"/>
      <c r="E817" s="35"/>
      <c r="F817" s="38"/>
      <c r="G817" s="38"/>
      <c r="H817" s="38"/>
      <c r="I817" s="38"/>
      <c r="J817" s="38"/>
    </row>
    <row r="818">
      <c r="A818" s="14"/>
      <c r="E818" s="35"/>
      <c r="F818" s="38"/>
      <c r="G818" s="38"/>
      <c r="H818" s="38"/>
      <c r="I818" s="38"/>
      <c r="J818" s="38"/>
    </row>
    <row r="819">
      <c r="A819" s="14"/>
      <c r="E819" s="35"/>
      <c r="F819" s="38"/>
      <c r="G819" s="38"/>
      <c r="H819" s="38"/>
      <c r="I819" s="38"/>
      <c r="J819" s="38"/>
    </row>
    <row r="820">
      <c r="A820" s="14"/>
      <c r="E820" s="35"/>
      <c r="F820" s="38"/>
      <c r="G820" s="38"/>
      <c r="H820" s="38"/>
      <c r="I820" s="38"/>
      <c r="J820" s="38"/>
    </row>
    <row r="821">
      <c r="A821" s="14"/>
      <c r="E821" s="35"/>
      <c r="F821" s="38"/>
      <c r="G821" s="38"/>
      <c r="H821" s="38"/>
      <c r="I821" s="38"/>
      <c r="J821" s="38"/>
    </row>
    <row r="822">
      <c r="A822" s="14"/>
      <c r="E822" s="35"/>
      <c r="F822" s="38"/>
      <c r="G822" s="38"/>
      <c r="H822" s="38"/>
      <c r="I822" s="38"/>
      <c r="J822" s="38"/>
    </row>
    <row r="823">
      <c r="A823" s="14"/>
      <c r="E823" s="35"/>
      <c r="F823" s="38"/>
      <c r="G823" s="38"/>
      <c r="H823" s="38"/>
      <c r="I823" s="38"/>
      <c r="J823" s="38"/>
    </row>
    <row r="824">
      <c r="A824" s="14"/>
      <c r="E824" s="35"/>
      <c r="F824" s="38"/>
      <c r="G824" s="38"/>
      <c r="H824" s="38"/>
      <c r="I824" s="38"/>
      <c r="J824" s="38"/>
    </row>
    <row r="825">
      <c r="A825" s="14"/>
      <c r="E825" s="35"/>
      <c r="F825" s="38"/>
      <c r="G825" s="38"/>
      <c r="H825" s="38"/>
      <c r="I825" s="38"/>
      <c r="J825" s="38"/>
    </row>
    <row r="826">
      <c r="A826" s="14"/>
      <c r="E826" s="35"/>
      <c r="F826" s="38"/>
      <c r="G826" s="38"/>
      <c r="H826" s="38"/>
      <c r="I826" s="38"/>
      <c r="J826" s="38"/>
    </row>
    <row r="827">
      <c r="A827" s="14"/>
      <c r="E827" s="35"/>
      <c r="F827" s="38"/>
      <c r="G827" s="38"/>
      <c r="H827" s="38"/>
      <c r="I827" s="38"/>
      <c r="J827" s="38"/>
    </row>
    <row r="828">
      <c r="A828" s="14"/>
      <c r="E828" s="35"/>
      <c r="F828" s="38"/>
      <c r="G828" s="38"/>
      <c r="H828" s="38"/>
      <c r="I828" s="38"/>
      <c r="J828" s="38"/>
    </row>
    <row r="829">
      <c r="A829" s="14"/>
      <c r="E829" s="35"/>
      <c r="F829" s="38"/>
      <c r="G829" s="38"/>
      <c r="H829" s="38"/>
      <c r="I829" s="38"/>
      <c r="J829" s="38"/>
    </row>
    <row r="830">
      <c r="A830" s="14"/>
      <c r="E830" s="35"/>
      <c r="F830" s="38"/>
      <c r="G830" s="38"/>
      <c r="H830" s="38"/>
      <c r="I830" s="38"/>
      <c r="J830" s="38"/>
    </row>
    <row r="831">
      <c r="A831" s="14"/>
      <c r="E831" s="35"/>
      <c r="F831" s="38"/>
      <c r="G831" s="38"/>
      <c r="H831" s="38"/>
      <c r="I831" s="38"/>
      <c r="J831" s="38"/>
    </row>
    <row r="832">
      <c r="A832" s="14"/>
      <c r="E832" s="35"/>
      <c r="F832" s="38"/>
      <c r="G832" s="38"/>
      <c r="H832" s="38"/>
      <c r="I832" s="38"/>
      <c r="J832" s="38"/>
    </row>
    <row r="833">
      <c r="A833" s="14"/>
      <c r="E833" s="35"/>
      <c r="F833" s="38"/>
      <c r="G833" s="38"/>
      <c r="H833" s="38"/>
      <c r="I833" s="38"/>
      <c r="J833" s="38"/>
    </row>
    <row r="834">
      <c r="A834" s="14"/>
      <c r="E834" s="35"/>
      <c r="F834" s="38"/>
      <c r="G834" s="38"/>
      <c r="H834" s="38"/>
      <c r="I834" s="38"/>
      <c r="J834" s="38"/>
    </row>
    <row r="835">
      <c r="A835" s="14"/>
      <c r="E835" s="35"/>
      <c r="F835" s="38"/>
      <c r="G835" s="38"/>
      <c r="H835" s="38"/>
      <c r="I835" s="38"/>
      <c r="J835" s="38"/>
    </row>
    <row r="836">
      <c r="A836" s="14"/>
      <c r="E836" s="35"/>
      <c r="F836" s="38"/>
      <c r="G836" s="38"/>
      <c r="H836" s="38"/>
      <c r="I836" s="38"/>
      <c r="J836" s="38"/>
    </row>
    <row r="837">
      <c r="A837" s="14"/>
      <c r="E837" s="35"/>
      <c r="F837" s="38"/>
      <c r="G837" s="38"/>
      <c r="H837" s="38"/>
      <c r="I837" s="38"/>
      <c r="J837" s="38"/>
    </row>
    <row r="838">
      <c r="A838" s="14"/>
      <c r="E838" s="35"/>
      <c r="F838" s="38"/>
      <c r="G838" s="38"/>
      <c r="H838" s="38"/>
      <c r="I838" s="38"/>
      <c r="J838" s="38"/>
    </row>
    <row r="839">
      <c r="A839" s="14"/>
      <c r="E839" s="35"/>
      <c r="F839" s="38"/>
      <c r="G839" s="38"/>
      <c r="H839" s="38"/>
      <c r="I839" s="38"/>
      <c r="J839" s="38"/>
    </row>
    <row r="840">
      <c r="A840" s="14"/>
      <c r="E840" s="35"/>
      <c r="F840" s="38"/>
      <c r="G840" s="38"/>
      <c r="H840" s="38"/>
      <c r="I840" s="38"/>
      <c r="J840" s="38"/>
    </row>
    <row r="841">
      <c r="A841" s="14"/>
      <c r="E841" s="35"/>
      <c r="F841" s="38"/>
      <c r="G841" s="38"/>
      <c r="H841" s="38"/>
      <c r="I841" s="38"/>
      <c r="J841" s="38"/>
    </row>
    <row r="842">
      <c r="A842" s="14"/>
      <c r="E842" s="35"/>
      <c r="F842" s="38"/>
      <c r="G842" s="38"/>
      <c r="H842" s="38"/>
      <c r="I842" s="38"/>
      <c r="J842" s="38"/>
    </row>
    <row r="843">
      <c r="A843" s="14"/>
      <c r="E843" s="35"/>
      <c r="F843" s="38"/>
      <c r="G843" s="38"/>
      <c r="H843" s="38"/>
      <c r="I843" s="38"/>
      <c r="J843" s="38"/>
    </row>
    <row r="844">
      <c r="A844" s="14"/>
      <c r="E844" s="35"/>
      <c r="F844" s="38"/>
      <c r="G844" s="38"/>
      <c r="H844" s="38"/>
      <c r="I844" s="38"/>
      <c r="J844" s="38"/>
    </row>
    <row r="845">
      <c r="A845" s="14"/>
      <c r="E845" s="35"/>
      <c r="F845" s="38"/>
      <c r="G845" s="38"/>
      <c r="H845" s="38"/>
      <c r="I845" s="38"/>
      <c r="J845" s="38"/>
    </row>
    <row r="846">
      <c r="A846" s="14"/>
      <c r="E846" s="35"/>
      <c r="F846" s="38"/>
      <c r="G846" s="38"/>
      <c r="H846" s="38"/>
      <c r="I846" s="38"/>
      <c r="J846" s="38"/>
    </row>
    <row r="847">
      <c r="A847" s="14"/>
      <c r="E847" s="35"/>
      <c r="F847" s="38"/>
      <c r="G847" s="38"/>
      <c r="H847" s="38"/>
      <c r="I847" s="38"/>
      <c r="J847" s="38"/>
    </row>
    <row r="848">
      <c r="A848" s="14"/>
      <c r="E848" s="35"/>
      <c r="F848" s="38"/>
      <c r="G848" s="38"/>
      <c r="H848" s="38"/>
      <c r="I848" s="38"/>
      <c r="J848" s="38"/>
    </row>
    <row r="849">
      <c r="A849" s="14"/>
      <c r="E849" s="35"/>
      <c r="F849" s="38"/>
      <c r="G849" s="38"/>
      <c r="H849" s="38"/>
      <c r="I849" s="38"/>
      <c r="J849" s="38"/>
    </row>
    <row r="850">
      <c r="A850" s="14"/>
      <c r="E850" s="35"/>
      <c r="F850" s="38"/>
      <c r="G850" s="38"/>
      <c r="H850" s="38"/>
      <c r="I850" s="38"/>
      <c r="J850" s="38"/>
    </row>
    <row r="851">
      <c r="A851" s="14"/>
      <c r="E851" s="35"/>
      <c r="F851" s="38"/>
      <c r="G851" s="38"/>
      <c r="H851" s="38"/>
      <c r="I851" s="38"/>
      <c r="J851" s="38"/>
    </row>
    <row r="852">
      <c r="A852" s="14"/>
      <c r="E852" s="35"/>
      <c r="F852" s="38"/>
      <c r="G852" s="38"/>
      <c r="H852" s="38"/>
      <c r="I852" s="38"/>
      <c r="J852" s="38"/>
    </row>
    <row r="853">
      <c r="A853" s="14"/>
      <c r="E853" s="35"/>
      <c r="F853" s="38"/>
      <c r="G853" s="38"/>
      <c r="H853" s="38"/>
      <c r="I853" s="38"/>
      <c r="J853" s="38"/>
    </row>
    <row r="854">
      <c r="A854" s="14"/>
      <c r="E854" s="35"/>
      <c r="F854" s="38"/>
      <c r="G854" s="38"/>
      <c r="H854" s="38"/>
      <c r="I854" s="38"/>
      <c r="J854" s="38"/>
    </row>
    <row r="855">
      <c r="A855" s="14"/>
      <c r="E855" s="35"/>
      <c r="F855" s="38"/>
      <c r="G855" s="38"/>
      <c r="H855" s="38"/>
      <c r="I855" s="38"/>
      <c r="J855" s="38"/>
    </row>
    <row r="856">
      <c r="A856" s="14"/>
      <c r="E856" s="35"/>
      <c r="F856" s="38"/>
      <c r="G856" s="38"/>
      <c r="H856" s="38"/>
      <c r="I856" s="38"/>
      <c r="J856" s="38"/>
    </row>
    <row r="857">
      <c r="A857" s="14"/>
      <c r="E857" s="35"/>
      <c r="F857" s="38"/>
      <c r="G857" s="38"/>
      <c r="H857" s="38"/>
      <c r="I857" s="38"/>
      <c r="J857" s="38"/>
    </row>
    <row r="858">
      <c r="A858" s="14"/>
      <c r="E858" s="35"/>
      <c r="F858" s="38"/>
      <c r="G858" s="38"/>
      <c r="H858" s="38"/>
      <c r="I858" s="38"/>
      <c r="J858" s="38"/>
    </row>
    <row r="859">
      <c r="A859" s="14"/>
      <c r="E859" s="35"/>
      <c r="F859" s="38"/>
      <c r="G859" s="38"/>
      <c r="H859" s="38"/>
      <c r="I859" s="38"/>
      <c r="J859" s="38"/>
    </row>
    <row r="860">
      <c r="A860" s="14"/>
      <c r="E860" s="35"/>
      <c r="F860" s="38"/>
      <c r="G860" s="38"/>
      <c r="H860" s="38"/>
      <c r="I860" s="38"/>
      <c r="J860" s="38"/>
    </row>
    <row r="861">
      <c r="A861" s="14"/>
      <c r="E861" s="35"/>
      <c r="F861" s="38"/>
      <c r="G861" s="38"/>
      <c r="H861" s="38"/>
      <c r="I861" s="38"/>
      <c r="J861" s="38"/>
    </row>
    <row r="862">
      <c r="A862" s="14"/>
      <c r="E862" s="35"/>
      <c r="F862" s="38"/>
      <c r="G862" s="38"/>
      <c r="H862" s="38"/>
      <c r="I862" s="38"/>
      <c r="J862" s="38"/>
    </row>
    <row r="863">
      <c r="A863" s="14"/>
      <c r="E863" s="35"/>
      <c r="F863" s="38"/>
      <c r="G863" s="38"/>
      <c r="H863" s="38"/>
      <c r="I863" s="38"/>
      <c r="J863" s="38"/>
    </row>
    <row r="864">
      <c r="A864" s="14"/>
      <c r="E864" s="35"/>
      <c r="F864" s="38"/>
      <c r="G864" s="38"/>
      <c r="H864" s="38"/>
      <c r="I864" s="38"/>
      <c r="J864" s="38"/>
    </row>
    <row r="865">
      <c r="A865" s="14"/>
      <c r="E865" s="35"/>
      <c r="F865" s="38"/>
      <c r="G865" s="38"/>
      <c r="H865" s="38"/>
      <c r="I865" s="38"/>
      <c r="J865" s="38"/>
    </row>
    <row r="866">
      <c r="A866" s="14"/>
      <c r="E866" s="35"/>
      <c r="F866" s="38"/>
      <c r="G866" s="38"/>
      <c r="H866" s="38"/>
      <c r="I866" s="38"/>
      <c r="J866" s="38"/>
    </row>
    <row r="867">
      <c r="A867" s="14"/>
      <c r="E867" s="35"/>
      <c r="F867" s="38"/>
      <c r="G867" s="38"/>
      <c r="H867" s="38"/>
      <c r="I867" s="38"/>
      <c r="J867" s="38"/>
    </row>
    <row r="868">
      <c r="A868" s="14"/>
      <c r="E868" s="35"/>
      <c r="F868" s="38"/>
      <c r="G868" s="38"/>
      <c r="H868" s="38"/>
      <c r="I868" s="38"/>
      <c r="J868" s="38"/>
    </row>
    <row r="869">
      <c r="A869" s="14"/>
      <c r="E869" s="35"/>
      <c r="F869" s="38"/>
      <c r="G869" s="38"/>
      <c r="H869" s="38"/>
      <c r="I869" s="38"/>
      <c r="J869" s="38"/>
    </row>
    <row r="870">
      <c r="A870" s="14"/>
      <c r="E870" s="35"/>
      <c r="F870" s="38"/>
      <c r="G870" s="38"/>
      <c r="H870" s="38"/>
      <c r="I870" s="38"/>
      <c r="J870" s="38"/>
    </row>
    <row r="871">
      <c r="A871" s="14"/>
      <c r="E871" s="35"/>
      <c r="F871" s="38"/>
      <c r="G871" s="38"/>
      <c r="H871" s="38"/>
      <c r="I871" s="38"/>
      <c r="J871" s="38"/>
    </row>
    <row r="872">
      <c r="A872" s="14"/>
      <c r="E872" s="35"/>
      <c r="F872" s="38"/>
      <c r="G872" s="38"/>
      <c r="H872" s="38"/>
      <c r="I872" s="38"/>
      <c r="J872" s="38"/>
    </row>
    <row r="873">
      <c r="A873" s="14"/>
      <c r="E873" s="35"/>
      <c r="F873" s="38"/>
      <c r="G873" s="38"/>
      <c r="H873" s="38"/>
      <c r="I873" s="38"/>
      <c r="J873" s="38"/>
    </row>
    <row r="874">
      <c r="A874" s="14"/>
      <c r="E874" s="35"/>
      <c r="F874" s="38"/>
      <c r="G874" s="38"/>
      <c r="H874" s="38"/>
      <c r="I874" s="38"/>
      <c r="J874" s="38"/>
    </row>
    <row r="875">
      <c r="A875" s="14"/>
      <c r="E875" s="35"/>
      <c r="F875" s="38"/>
      <c r="G875" s="38"/>
      <c r="H875" s="38"/>
      <c r="I875" s="38"/>
      <c r="J875" s="38"/>
    </row>
    <row r="876">
      <c r="A876" s="14"/>
      <c r="E876" s="35"/>
      <c r="F876" s="38"/>
      <c r="G876" s="38"/>
      <c r="H876" s="38"/>
      <c r="I876" s="38"/>
      <c r="J876" s="38"/>
    </row>
    <row r="877">
      <c r="A877" s="14"/>
      <c r="E877" s="35"/>
      <c r="F877" s="38"/>
      <c r="G877" s="38"/>
      <c r="H877" s="38"/>
      <c r="I877" s="38"/>
      <c r="J877" s="38"/>
    </row>
    <row r="878">
      <c r="A878" s="14"/>
      <c r="E878" s="35"/>
      <c r="F878" s="38"/>
      <c r="G878" s="38"/>
      <c r="H878" s="38"/>
      <c r="I878" s="38"/>
      <c r="J878" s="38"/>
    </row>
    <row r="879">
      <c r="A879" s="14"/>
      <c r="E879" s="35"/>
      <c r="F879" s="38"/>
      <c r="G879" s="38"/>
      <c r="H879" s="38"/>
      <c r="I879" s="38"/>
      <c r="J879" s="38"/>
    </row>
    <row r="880">
      <c r="A880" s="14"/>
      <c r="E880" s="35"/>
      <c r="F880" s="38"/>
      <c r="G880" s="38"/>
      <c r="H880" s="38"/>
      <c r="I880" s="38"/>
      <c r="J880" s="38"/>
    </row>
    <row r="881">
      <c r="A881" s="14"/>
      <c r="E881" s="35"/>
      <c r="F881" s="38"/>
      <c r="G881" s="38"/>
      <c r="H881" s="38"/>
      <c r="I881" s="38"/>
      <c r="J881" s="38"/>
    </row>
    <row r="882">
      <c r="A882" s="14"/>
      <c r="E882" s="35"/>
      <c r="F882" s="38"/>
      <c r="G882" s="38"/>
      <c r="H882" s="38"/>
      <c r="I882" s="38"/>
      <c r="J882" s="38"/>
    </row>
    <row r="883">
      <c r="A883" s="14"/>
      <c r="E883" s="35"/>
      <c r="F883" s="38"/>
      <c r="G883" s="38"/>
      <c r="H883" s="38"/>
      <c r="I883" s="38"/>
      <c r="J883" s="38"/>
    </row>
    <row r="884">
      <c r="A884" s="14"/>
      <c r="E884" s="35"/>
      <c r="F884" s="38"/>
      <c r="G884" s="38"/>
      <c r="H884" s="38"/>
      <c r="I884" s="38"/>
      <c r="J884" s="38"/>
    </row>
    <row r="885">
      <c r="A885" s="14"/>
      <c r="E885" s="35"/>
      <c r="F885" s="38"/>
      <c r="G885" s="38"/>
      <c r="H885" s="38"/>
      <c r="I885" s="38"/>
      <c r="J885" s="38"/>
    </row>
    <row r="886">
      <c r="A886" s="14"/>
      <c r="E886" s="35"/>
      <c r="F886" s="38"/>
      <c r="G886" s="38"/>
      <c r="H886" s="38"/>
      <c r="I886" s="38"/>
      <c r="J886" s="38"/>
    </row>
    <row r="887">
      <c r="A887" s="14"/>
      <c r="E887" s="35"/>
      <c r="F887" s="38"/>
      <c r="G887" s="38"/>
      <c r="H887" s="38"/>
      <c r="I887" s="38"/>
      <c r="J887" s="38"/>
    </row>
    <row r="888">
      <c r="A888" s="14"/>
      <c r="E888" s="35"/>
      <c r="F888" s="38"/>
      <c r="G888" s="38"/>
      <c r="H888" s="38"/>
      <c r="I888" s="38"/>
      <c r="J888" s="38"/>
    </row>
    <row r="889">
      <c r="A889" s="14"/>
      <c r="E889" s="35"/>
      <c r="F889" s="38"/>
      <c r="G889" s="38"/>
      <c r="H889" s="38"/>
      <c r="I889" s="38"/>
      <c r="J889" s="38"/>
    </row>
    <row r="890">
      <c r="A890" s="14"/>
      <c r="E890" s="35"/>
      <c r="F890" s="38"/>
      <c r="G890" s="38"/>
      <c r="H890" s="38"/>
      <c r="I890" s="38"/>
      <c r="J890" s="38"/>
    </row>
    <row r="891">
      <c r="A891" s="14"/>
      <c r="E891" s="35"/>
      <c r="F891" s="38"/>
      <c r="G891" s="38"/>
      <c r="H891" s="38"/>
      <c r="I891" s="38"/>
      <c r="J891" s="38"/>
    </row>
    <row r="892">
      <c r="A892" s="14"/>
      <c r="E892" s="35"/>
      <c r="F892" s="38"/>
      <c r="G892" s="38"/>
      <c r="H892" s="38"/>
      <c r="I892" s="38"/>
      <c r="J892" s="38"/>
    </row>
    <row r="893">
      <c r="A893" s="14"/>
      <c r="E893" s="35"/>
      <c r="F893" s="38"/>
      <c r="G893" s="38"/>
      <c r="H893" s="38"/>
      <c r="I893" s="38"/>
      <c r="J893" s="38"/>
    </row>
    <row r="894">
      <c r="A894" s="14"/>
      <c r="E894" s="35"/>
      <c r="F894" s="38"/>
      <c r="G894" s="38"/>
      <c r="H894" s="38"/>
      <c r="I894" s="38"/>
      <c r="J894" s="38"/>
    </row>
    <row r="895">
      <c r="A895" s="14"/>
      <c r="E895" s="35"/>
      <c r="F895" s="38"/>
      <c r="G895" s="38"/>
      <c r="H895" s="38"/>
      <c r="I895" s="38"/>
      <c r="J895" s="38"/>
    </row>
    <row r="896">
      <c r="A896" s="14"/>
      <c r="E896" s="35"/>
      <c r="F896" s="38"/>
      <c r="G896" s="38"/>
      <c r="H896" s="38"/>
      <c r="I896" s="38"/>
      <c r="J896" s="38"/>
    </row>
    <row r="897">
      <c r="A897" s="14"/>
      <c r="E897" s="35"/>
      <c r="F897" s="38"/>
      <c r="G897" s="38"/>
      <c r="H897" s="38"/>
      <c r="I897" s="38"/>
      <c r="J897" s="38"/>
    </row>
    <row r="898">
      <c r="A898" s="14"/>
      <c r="E898" s="35"/>
      <c r="F898" s="38"/>
      <c r="G898" s="38"/>
      <c r="H898" s="38"/>
      <c r="I898" s="38"/>
      <c r="J898" s="38"/>
    </row>
    <row r="899">
      <c r="A899" s="14"/>
      <c r="E899" s="35"/>
      <c r="F899" s="38"/>
      <c r="G899" s="38"/>
      <c r="H899" s="38"/>
      <c r="I899" s="38"/>
      <c r="J899" s="38"/>
    </row>
    <row r="900">
      <c r="A900" s="14"/>
      <c r="E900" s="35"/>
      <c r="F900" s="38"/>
      <c r="G900" s="38"/>
      <c r="H900" s="38"/>
      <c r="I900" s="38"/>
      <c r="J900" s="38"/>
    </row>
    <row r="901">
      <c r="A901" s="14"/>
      <c r="E901" s="35"/>
      <c r="F901" s="38"/>
      <c r="G901" s="38"/>
      <c r="H901" s="38"/>
      <c r="I901" s="38"/>
      <c r="J901" s="38"/>
    </row>
    <row r="902">
      <c r="A902" s="14"/>
      <c r="E902" s="35"/>
      <c r="F902" s="38"/>
      <c r="G902" s="38"/>
      <c r="H902" s="38"/>
      <c r="I902" s="38"/>
      <c r="J902" s="38"/>
    </row>
    <row r="903">
      <c r="A903" s="14"/>
      <c r="E903" s="35"/>
      <c r="F903" s="38"/>
      <c r="G903" s="38"/>
      <c r="H903" s="38"/>
      <c r="I903" s="38"/>
      <c r="J903" s="38"/>
    </row>
    <row r="904">
      <c r="A904" s="14"/>
      <c r="E904" s="35"/>
      <c r="F904" s="38"/>
      <c r="G904" s="38"/>
      <c r="H904" s="38"/>
      <c r="I904" s="38"/>
      <c r="J904" s="38"/>
    </row>
    <row r="905">
      <c r="A905" s="14"/>
      <c r="E905" s="35"/>
      <c r="F905" s="38"/>
      <c r="G905" s="38"/>
      <c r="H905" s="38"/>
      <c r="I905" s="38"/>
      <c r="J905" s="38"/>
    </row>
    <row r="906">
      <c r="A906" s="14"/>
      <c r="E906" s="35"/>
      <c r="F906" s="38"/>
      <c r="G906" s="38"/>
      <c r="H906" s="38"/>
      <c r="I906" s="38"/>
      <c r="J906" s="38"/>
    </row>
    <row r="907">
      <c r="A907" s="14"/>
      <c r="E907" s="35"/>
      <c r="F907" s="38"/>
      <c r="G907" s="38"/>
      <c r="H907" s="38"/>
      <c r="I907" s="38"/>
      <c r="J907" s="38"/>
    </row>
    <row r="908">
      <c r="A908" s="14"/>
      <c r="E908" s="35"/>
      <c r="F908" s="38"/>
      <c r="G908" s="38"/>
      <c r="H908" s="38"/>
      <c r="I908" s="38"/>
      <c r="J908" s="38"/>
    </row>
    <row r="909">
      <c r="A909" s="14"/>
      <c r="E909" s="35"/>
      <c r="F909" s="38"/>
      <c r="G909" s="38"/>
      <c r="H909" s="38"/>
      <c r="I909" s="38"/>
      <c r="J909" s="38"/>
    </row>
    <row r="910">
      <c r="A910" s="14"/>
      <c r="E910" s="35"/>
      <c r="F910" s="38"/>
      <c r="G910" s="38"/>
      <c r="H910" s="38"/>
      <c r="I910" s="38"/>
      <c r="J910" s="38"/>
    </row>
    <row r="911">
      <c r="A911" s="14"/>
      <c r="E911" s="35"/>
      <c r="F911" s="38"/>
      <c r="G911" s="38"/>
      <c r="H911" s="38"/>
      <c r="I911" s="38"/>
      <c r="J911" s="38"/>
    </row>
    <row r="912">
      <c r="A912" s="14"/>
      <c r="E912" s="35"/>
      <c r="F912" s="38"/>
      <c r="G912" s="38"/>
      <c r="H912" s="38"/>
      <c r="I912" s="38"/>
      <c r="J912" s="38"/>
    </row>
    <row r="913">
      <c r="A913" s="14"/>
      <c r="E913" s="35"/>
      <c r="F913" s="38"/>
      <c r="G913" s="38"/>
      <c r="H913" s="38"/>
      <c r="I913" s="38"/>
      <c r="J913" s="38"/>
    </row>
    <row r="914">
      <c r="A914" s="14"/>
      <c r="E914" s="35"/>
      <c r="F914" s="38"/>
      <c r="G914" s="38"/>
      <c r="H914" s="38"/>
      <c r="I914" s="38"/>
      <c r="J914" s="38"/>
    </row>
    <row r="915">
      <c r="A915" s="14"/>
      <c r="E915" s="35"/>
      <c r="F915" s="38"/>
      <c r="G915" s="38"/>
      <c r="H915" s="38"/>
      <c r="I915" s="38"/>
      <c r="J915" s="38"/>
    </row>
    <row r="916">
      <c r="A916" s="14"/>
      <c r="E916" s="35"/>
      <c r="F916" s="38"/>
      <c r="G916" s="38"/>
      <c r="H916" s="38"/>
      <c r="I916" s="38"/>
      <c r="J916" s="38"/>
    </row>
    <row r="917">
      <c r="A917" s="14"/>
      <c r="E917" s="35"/>
      <c r="F917" s="38"/>
      <c r="G917" s="38"/>
      <c r="H917" s="38"/>
      <c r="I917" s="38"/>
      <c r="J917" s="38"/>
    </row>
    <row r="918">
      <c r="A918" s="14"/>
      <c r="E918" s="35"/>
      <c r="F918" s="38"/>
      <c r="G918" s="38"/>
      <c r="H918" s="38"/>
      <c r="I918" s="38"/>
      <c r="J918" s="38"/>
    </row>
    <row r="919">
      <c r="A919" s="14"/>
      <c r="E919" s="35"/>
      <c r="F919" s="38"/>
      <c r="G919" s="38"/>
      <c r="H919" s="38"/>
      <c r="I919" s="38"/>
      <c r="J919" s="38"/>
    </row>
    <row r="920">
      <c r="A920" s="14"/>
      <c r="E920" s="35"/>
      <c r="F920" s="38"/>
      <c r="G920" s="38"/>
      <c r="H920" s="38"/>
      <c r="I920" s="38"/>
      <c r="J920" s="38"/>
    </row>
    <row r="921">
      <c r="A921" s="14"/>
      <c r="E921" s="35"/>
      <c r="F921" s="38"/>
      <c r="G921" s="38"/>
      <c r="H921" s="38"/>
      <c r="I921" s="38"/>
      <c r="J921" s="38"/>
    </row>
    <row r="922">
      <c r="A922" s="14"/>
      <c r="E922" s="35"/>
      <c r="F922" s="38"/>
      <c r="G922" s="38"/>
      <c r="H922" s="38"/>
      <c r="I922" s="38"/>
      <c r="J922" s="38"/>
    </row>
    <row r="923">
      <c r="A923" s="14"/>
      <c r="E923" s="35"/>
      <c r="F923" s="38"/>
      <c r="G923" s="38"/>
      <c r="H923" s="38"/>
      <c r="I923" s="38"/>
      <c r="J923" s="38"/>
    </row>
    <row r="924">
      <c r="A924" s="14"/>
      <c r="E924" s="35"/>
      <c r="F924" s="38"/>
      <c r="G924" s="38"/>
      <c r="H924" s="38"/>
      <c r="I924" s="38"/>
      <c r="J924" s="38"/>
    </row>
    <row r="925">
      <c r="A925" s="14"/>
      <c r="E925" s="35"/>
      <c r="F925" s="38"/>
      <c r="G925" s="38"/>
      <c r="H925" s="38"/>
      <c r="I925" s="38"/>
      <c r="J925" s="38"/>
    </row>
    <row r="926">
      <c r="A926" s="14"/>
      <c r="E926" s="35"/>
      <c r="F926" s="38"/>
      <c r="G926" s="38"/>
      <c r="H926" s="38"/>
      <c r="I926" s="38"/>
      <c r="J926" s="38"/>
    </row>
    <row r="927">
      <c r="A927" s="14"/>
      <c r="E927" s="35"/>
      <c r="F927" s="38"/>
      <c r="G927" s="38"/>
      <c r="H927" s="38"/>
      <c r="I927" s="38"/>
      <c r="J927" s="38"/>
    </row>
    <row r="928">
      <c r="A928" s="14"/>
      <c r="E928" s="35"/>
      <c r="F928" s="38"/>
      <c r="G928" s="38"/>
      <c r="H928" s="38"/>
      <c r="I928" s="38"/>
      <c r="J928" s="38"/>
    </row>
    <row r="929">
      <c r="A929" s="14"/>
      <c r="E929" s="35"/>
      <c r="F929" s="38"/>
      <c r="G929" s="38"/>
      <c r="H929" s="38"/>
      <c r="I929" s="38"/>
      <c r="J929" s="38"/>
    </row>
    <row r="930">
      <c r="A930" s="14"/>
      <c r="E930" s="35"/>
      <c r="F930" s="38"/>
      <c r="G930" s="38"/>
      <c r="H930" s="38"/>
      <c r="I930" s="38"/>
      <c r="J930" s="38"/>
    </row>
    <row r="931">
      <c r="A931" s="14"/>
      <c r="E931" s="35"/>
      <c r="F931" s="38"/>
      <c r="G931" s="38"/>
      <c r="H931" s="38"/>
      <c r="I931" s="38"/>
      <c r="J931" s="38"/>
    </row>
    <row r="932">
      <c r="A932" s="14"/>
      <c r="E932" s="35"/>
      <c r="F932" s="38"/>
      <c r="G932" s="38"/>
      <c r="H932" s="38"/>
      <c r="I932" s="38"/>
      <c r="J932" s="38"/>
    </row>
    <row r="933">
      <c r="A933" s="14"/>
      <c r="E933" s="35"/>
      <c r="F933" s="38"/>
      <c r="G933" s="38"/>
      <c r="H933" s="38"/>
      <c r="I933" s="38"/>
      <c r="J933" s="38"/>
    </row>
    <row r="934">
      <c r="A934" s="14"/>
      <c r="E934" s="35"/>
      <c r="F934" s="38"/>
      <c r="G934" s="38"/>
      <c r="H934" s="38"/>
      <c r="I934" s="38"/>
      <c r="J934" s="38"/>
    </row>
    <row r="935">
      <c r="A935" s="14"/>
      <c r="E935" s="35"/>
      <c r="F935" s="38"/>
      <c r="G935" s="38"/>
      <c r="H935" s="38"/>
      <c r="I935" s="38"/>
      <c r="J935" s="38"/>
    </row>
    <row r="936">
      <c r="A936" s="14"/>
      <c r="E936" s="35"/>
      <c r="F936" s="38"/>
      <c r="G936" s="38"/>
      <c r="H936" s="38"/>
      <c r="I936" s="38"/>
      <c r="J936" s="38"/>
    </row>
    <row r="937">
      <c r="A937" s="14"/>
      <c r="E937" s="35"/>
      <c r="F937" s="38"/>
      <c r="G937" s="38"/>
      <c r="H937" s="38"/>
      <c r="I937" s="38"/>
      <c r="J937" s="38"/>
    </row>
    <row r="938">
      <c r="A938" s="14"/>
      <c r="E938" s="35"/>
      <c r="F938" s="38"/>
      <c r="G938" s="38"/>
      <c r="H938" s="38"/>
      <c r="I938" s="38"/>
      <c r="J938" s="38"/>
    </row>
    <row r="939">
      <c r="A939" s="14"/>
      <c r="E939" s="35"/>
      <c r="F939" s="38"/>
      <c r="G939" s="38"/>
      <c r="H939" s="38"/>
      <c r="I939" s="38"/>
      <c r="J939" s="38"/>
    </row>
    <row r="940">
      <c r="A940" s="14"/>
      <c r="E940" s="35"/>
      <c r="F940" s="38"/>
      <c r="G940" s="38"/>
      <c r="H940" s="38"/>
      <c r="I940" s="38"/>
      <c r="J940" s="38"/>
    </row>
    <row r="941">
      <c r="A941" s="14"/>
      <c r="E941" s="35"/>
      <c r="F941" s="38"/>
      <c r="G941" s="38"/>
      <c r="H941" s="38"/>
      <c r="I941" s="38"/>
      <c r="J941" s="38"/>
    </row>
    <row r="942">
      <c r="A942" s="14"/>
      <c r="E942" s="35"/>
      <c r="F942" s="38"/>
      <c r="G942" s="38"/>
      <c r="H942" s="38"/>
      <c r="I942" s="38"/>
      <c r="J942" s="38"/>
    </row>
    <row r="943">
      <c r="A943" s="14"/>
      <c r="E943" s="35"/>
      <c r="F943" s="38"/>
      <c r="G943" s="38"/>
      <c r="H943" s="38"/>
      <c r="I943" s="38"/>
      <c r="J943" s="38"/>
    </row>
    <row r="944">
      <c r="A944" s="14"/>
      <c r="E944" s="35"/>
      <c r="F944" s="38"/>
      <c r="G944" s="38"/>
      <c r="H944" s="38"/>
      <c r="I944" s="38"/>
      <c r="J944" s="38"/>
    </row>
    <row r="945">
      <c r="A945" s="14"/>
      <c r="E945" s="35"/>
      <c r="F945" s="38"/>
      <c r="G945" s="38"/>
      <c r="H945" s="38"/>
      <c r="I945" s="38"/>
      <c r="J945" s="38"/>
    </row>
    <row r="946">
      <c r="A946" s="14"/>
      <c r="E946" s="35"/>
      <c r="F946" s="38"/>
      <c r="G946" s="38"/>
      <c r="H946" s="38"/>
      <c r="I946" s="38"/>
      <c r="J946" s="38"/>
    </row>
    <row r="947">
      <c r="A947" s="14"/>
      <c r="E947" s="35"/>
      <c r="F947" s="38"/>
      <c r="G947" s="38"/>
      <c r="H947" s="38"/>
      <c r="I947" s="38"/>
      <c r="J947" s="38"/>
    </row>
    <row r="948">
      <c r="A948" s="14"/>
      <c r="E948" s="35"/>
      <c r="F948" s="38"/>
      <c r="G948" s="38"/>
      <c r="H948" s="38"/>
      <c r="I948" s="38"/>
      <c r="J948" s="38"/>
    </row>
    <row r="949">
      <c r="A949" s="14"/>
      <c r="E949" s="35"/>
      <c r="F949" s="38"/>
      <c r="G949" s="38"/>
      <c r="H949" s="38"/>
      <c r="I949" s="38"/>
      <c r="J949" s="38"/>
    </row>
    <row r="950">
      <c r="A950" s="14"/>
      <c r="E950" s="35"/>
      <c r="F950" s="38"/>
      <c r="G950" s="38"/>
      <c r="H950" s="38"/>
      <c r="I950" s="38"/>
      <c r="J950" s="38"/>
    </row>
    <row r="951">
      <c r="A951" s="14"/>
      <c r="E951" s="35"/>
      <c r="F951" s="38"/>
      <c r="G951" s="38"/>
      <c r="H951" s="38"/>
      <c r="I951" s="38"/>
      <c r="J951" s="38"/>
    </row>
    <row r="952">
      <c r="A952" s="14"/>
      <c r="E952" s="35"/>
      <c r="F952" s="38"/>
      <c r="G952" s="38"/>
      <c r="H952" s="38"/>
      <c r="I952" s="38"/>
      <c r="J952" s="38"/>
    </row>
    <row r="953">
      <c r="A953" s="14"/>
      <c r="E953" s="35"/>
      <c r="F953" s="38"/>
      <c r="G953" s="38"/>
      <c r="H953" s="38"/>
      <c r="I953" s="38"/>
      <c r="J953" s="38"/>
    </row>
    <row r="954">
      <c r="A954" s="14"/>
      <c r="E954" s="35"/>
      <c r="F954" s="38"/>
      <c r="G954" s="38"/>
      <c r="H954" s="38"/>
      <c r="I954" s="38"/>
      <c r="J954" s="38"/>
    </row>
    <row r="955">
      <c r="A955" s="14"/>
      <c r="E955" s="35"/>
      <c r="F955" s="38"/>
      <c r="G955" s="38"/>
      <c r="H955" s="38"/>
      <c r="I955" s="38"/>
      <c r="J955" s="38"/>
    </row>
    <row r="956">
      <c r="A956" s="14"/>
      <c r="E956" s="35"/>
      <c r="F956" s="38"/>
      <c r="G956" s="38"/>
      <c r="H956" s="38"/>
      <c r="I956" s="38"/>
      <c r="J956" s="38"/>
    </row>
    <row r="957">
      <c r="A957" s="14"/>
      <c r="E957" s="35"/>
      <c r="F957" s="38"/>
      <c r="G957" s="38"/>
      <c r="H957" s="38"/>
      <c r="I957" s="38"/>
      <c r="J957" s="38"/>
    </row>
    <row r="958">
      <c r="A958" s="14"/>
      <c r="E958" s="35"/>
      <c r="F958" s="38"/>
      <c r="G958" s="38"/>
      <c r="H958" s="38"/>
      <c r="I958" s="38"/>
      <c r="J958" s="38"/>
    </row>
    <row r="959">
      <c r="A959" s="14"/>
      <c r="E959" s="35"/>
      <c r="F959" s="38"/>
      <c r="G959" s="38"/>
      <c r="H959" s="38"/>
      <c r="I959" s="38"/>
      <c r="J959" s="38"/>
    </row>
    <row r="960">
      <c r="A960" s="14"/>
      <c r="E960" s="35"/>
      <c r="F960" s="38"/>
      <c r="G960" s="38"/>
      <c r="H960" s="38"/>
      <c r="I960" s="38"/>
      <c r="J960" s="38"/>
    </row>
    <row r="961">
      <c r="A961" s="14"/>
      <c r="E961" s="35"/>
      <c r="F961" s="38"/>
      <c r="G961" s="38"/>
      <c r="H961" s="38"/>
      <c r="I961" s="38"/>
      <c r="J961" s="38"/>
    </row>
    <row r="962">
      <c r="A962" s="14"/>
      <c r="E962" s="35"/>
      <c r="F962" s="38"/>
      <c r="G962" s="38"/>
      <c r="H962" s="38"/>
      <c r="I962" s="38"/>
      <c r="J962" s="38"/>
    </row>
    <row r="963">
      <c r="A963" s="14"/>
      <c r="E963" s="35"/>
      <c r="F963" s="38"/>
      <c r="G963" s="38"/>
      <c r="H963" s="38"/>
      <c r="I963" s="38"/>
      <c r="J963" s="38"/>
    </row>
    <row r="964">
      <c r="A964" s="14"/>
      <c r="E964" s="35"/>
      <c r="F964" s="38"/>
      <c r="G964" s="38"/>
      <c r="H964" s="38"/>
      <c r="I964" s="38"/>
      <c r="J964" s="38"/>
    </row>
    <row r="965">
      <c r="A965" s="14"/>
      <c r="E965" s="35"/>
      <c r="F965" s="38"/>
      <c r="G965" s="38"/>
      <c r="H965" s="38"/>
      <c r="I965" s="38"/>
      <c r="J965" s="38"/>
    </row>
    <row r="966">
      <c r="A966" s="14"/>
      <c r="E966" s="35"/>
      <c r="F966" s="38"/>
      <c r="G966" s="38"/>
      <c r="H966" s="38"/>
      <c r="I966" s="38"/>
      <c r="J966" s="38"/>
    </row>
    <row r="967">
      <c r="A967" s="14"/>
      <c r="E967" s="35"/>
      <c r="F967" s="38"/>
      <c r="G967" s="38"/>
      <c r="H967" s="38"/>
      <c r="I967" s="38"/>
      <c r="J967" s="38"/>
    </row>
    <row r="968">
      <c r="A968" s="14"/>
      <c r="E968" s="35"/>
      <c r="F968" s="38"/>
      <c r="G968" s="38"/>
      <c r="H968" s="38"/>
      <c r="I968" s="38"/>
      <c r="J968" s="38"/>
    </row>
    <row r="969">
      <c r="A969" s="14"/>
      <c r="E969" s="35"/>
      <c r="F969" s="38"/>
      <c r="G969" s="38"/>
      <c r="H969" s="38"/>
      <c r="I969" s="38"/>
      <c r="J969" s="38"/>
    </row>
    <row r="970">
      <c r="A970" s="14"/>
      <c r="E970" s="35"/>
      <c r="F970" s="38"/>
      <c r="G970" s="38"/>
      <c r="H970" s="38"/>
      <c r="I970" s="38"/>
      <c r="J970" s="38"/>
    </row>
    <row r="971">
      <c r="A971" s="14"/>
      <c r="E971" s="35"/>
      <c r="F971" s="38"/>
      <c r="G971" s="38"/>
      <c r="H971" s="38"/>
      <c r="I971" s="38"/>
      <c r="J971" s="38"/>
    </row>
    <row r="972">
      <c r="A972" s="14"/>
      <c r="E972" s="35"/>
      <c r="F972" s="38"/>
      <c r="G972" s="38"/>
      <c r="H972" s="38"/>
      <c r="I972" s="38"/>
      <c r="J972" s="38"/>
    </row>
    <row r="973">
      <c r="A973" s="14"/>
      <c r="E973" s="35"/>
      <c r="F973" s="38"/>
      <c r="G973" s="38"/>
      <c r="H973" s="38"/>
      <c r="I973" s="38"/>
      <c r="J973" s="38"/>
    </row>
    <row r="974">
      <c r="A974" s="14"/>
      <c r="E974" s="35"/>
      <c r="F974" s="38"/>
      <c r="G974" s="38"/>
      <c r="H974" s="38"/>
      <c r="I974" s="38"/>
      <c r="J974" s="38"/>
    </row>
    <row r="975">
      <c r="A975" s="14"/>
      <c r="E975" s="35"/>
      <c r="F975" s="38"/>
      <c r="G975" s="38"/>
      <c r="H975" s="38"/>
      <c r="I975" s="38"/>
      <c r="J975" s="38"/>
    </row>
    <row r="976">
      <c r="A976" s="14"/>
      <c r="E976" s="35"/>
      <c r="F976" s="38"/>
      <c r="G976" s="38"/>
      <c r="H976" s="38"/>
      <c r="I976" s="38"/>
      <c r="J976" s="38"/>
    </row>
    <row r="977">
      <c r="A977" s="14"/>
      <c r="E977" s="35"/>
      <c r="F977" s="38"/>
      <c r="G977" s="38"/>
      <c r="H977" s="38"/>
      <c r="I977" s="38"/>
      <c r="J977" s="38"/>
    </row>
    <row r="978">
      <c r="A978" s="14"/>
      <c r="E978" s="35"/>
      <c r="F978" s="38"/>
      <c r="G978" s="38"/>
      <c r="H978" s="38"/>
      <c r="I978" s="38"/>
      <c r="J978" s="38"/>
    </row>
    <row r="979">
      <c r="A979" s="14"/>
      <c r="E979" s="35"/>
      <c r="F979" s="38"/>
      <c r="G979" s="38"/>
      <c r="H979" s="38"/>
      <c r="I979" s="38"/>
      <c r="J979" s="38"/>
    </row>
    <row r="980">
      <c r="A980" s="14"/>
      <c r="E980" s="35"/>
      <c r="F980" s="38"/>
      <c r="G980" s="38"/>
      <c r="H980" s="38"/>
      <c r="I980" s="38"/>
      <c r="J980" s="38"/>
    </row>
    <row r="981">
      <c r="A981" s="14"/>
      <c r="E981" s="35"/>
      <c r="F981" s="38"/>
      <c r="G981" s="38"/>
      <c r="H981" s="38"/>
      <c r="I981" s="38"/>
      <c r="J981" s="38"/>
    </row>
    <row r="982">
      <c r="A982" s="14"/>
      <c r="E982" s="35"/>
      <c r="F982" s="38"/>
      <c r="G982" s="38"/>
      <c r="H982" s="38"/>
      <c r="I982" s="38"/>
      <c r="J982" s="38"/>
    </row>
    <row r="983">
      <c r="A983" s="14"/>
      <c r="E983" s="35"/>
      <c r="F983" s="38"/>
      <c r="G983" s="38"/>
      <c r="H983" s="38"/>
      <c r="I983" s="38"/>
      <c r="J983" s="38"/>
    </row>
    <row r="984">
      <c r="A984" s="14"/>
      <c r="E984" s="35"/>
      <c r="F984" s="38"/>
      <c r="G984" s="38"/>
      <c r="H984" s="38"/>
      <c r="I984" s="38"/>
      <c r="J984" s="38"/>
    </row>
    <row r="985">
      <c r="A985" s="14"/>
      <c r="E985" s="35"/>
      <c r="F985" s="38"/>
      <c r="G985" s="38"/>
      <c r="H985" s="38"/>
      <c r="I985" s="38"/>
      <c r="J985" s="38"/>
    </row>
    <row r="986">
      <c r="A986" s="14"/>
      <c r="E986" s="35"/>
      <c r="F986" s="38"/>
      <c r="G986" s="38"/>
      <c r="H986" s="38"/>
      <c r="I986" s="38"/>
      <c r="J986" s="38"/>
    </row>
    <row r="987">
      <c r="A987" s="14"/>
      <c r="E987" s="35"/>
      <c r="F987" s="38"/>
      <c r="G987" s="38"/>
      <c r="H987" s="38"/>
      <c r="I987" s="38"/>
      <c r="J987" s="38"/>
    </row>
    <row r="988">
      <c r="A988" s="14"/>
      <c r="E988" s="35"/>
      <c r="F988" s="38"/>
      <c r="G988" s="38"/>
      <c r="H988" s="38"/>
      <c r="I988" s="38"/>
      <c r="J988" s="38"/>
    </row>
    <row r="989">
      <c r="A989" s="14"/>
      <c r="E989" s="35"/>
      <c r="F989" s="38"/>
      <c r="G989" s="38"/>
      <c r="H989" s="38"/>
      <c r="I989" s="38"/>
      <c r="J989" s="38"/>
    </row>
    <row r="990">
      <c r="A990" s="14"/>
      <c r="E990" s="35"/>
      <c r="F990" s="38"/>
      <c r="G990" s="38"/>
      <c r="H990" s="38"/>
      <c r="I990" s="38"/>
      <c r="J990" s="38"/>
    </row>
    <row r="991">
      <c r="A991" s="14"/>
      <c r="E991" s="35"/>
      <c r="F991" s="38"/>
      <c r="G991" s="38"/>
      <c r="H991" s="38"/>
      <c r="I991" s="38"/>
      <c r="J991" s="38"/>
    </row>
    <row r="992">
      <c r="A992" s="14"/>
      <c r="E992" s="35"/>
      <c r="F992" s="38"/>
      <c r="G992" s="38"/>
      <c r="H992" s="38"/>
      <c r="I992" s="38"/>
      <c r="J992" s="38"/>
    </row>
    <row r="993">
      <c r="A993" s="14"/>
      <c r="E993" s="35"/>
      <c r="F993" s="38"/>
      <c r="G993" s="38"/>
      <c r="H993" s="38"/>
      <c r="I993" s="38"/>
      <c r="J993" s="38"/>
    </row>
    <row r="994">
      <c r="A994" s="14"/>
      <c r="E994" s="35"/>
      <c r="F994" s="38"/>
      <c r="G994" s="38"/>
      <c r="H994" s="38"/>
      <c r="I994" s="38"/>
      <c r="J994" s="38"/>
    </row>
    <row r="995">
      <c r="A995" s="14"/>
      <c r="E995" s="35"/>
      <c r="F995" s="38"/>
      <c r="G995" s="38"/>
      <c r="H995" s="38"/>
      <c r="I995" s="38"/>
      <c r="J995" s="38"/>
    </row>
    <row r="996">
      <c r="A996" s="14"/>
      <c r="E996" s="35"/>
      <c r="F996" s="38"/>
      <c r="G996" s="38"/>
      <c r="H996" s="38"/>
      <c r="I996" s="38"/>
      <c r="J996" s="38"/>
    </row>
    <row r="997">
      <c r="A997" s="14"/>
      <c r="E997" s="35"/>
      <c r="F997" s="38"/>
      <c r="G997" s="38"/>
      <c r="H997" s="38"/>
      <c r="I997" s="38"/>
      <c r="J997" s="38"/>
    </row>
    <row r="998">
      <c r="A998" s="14"/>
      <c r="E998" s="35"/>
      <c r="F998" s="38"/>
      <c r="G998" s="38"/>
      <c r="H998" s="38"/>
      <c r="I998" s="38"/>
      <c r="J998" s="38"/>
    </row>
    <row r="999">
      <c r="A999" s="14"/>
      <c r="E999" s="35"/>
      <c r="F999" s="38"/>
      <c r="G999" s="38"/>
      <c r="H999" s="38"/>
      <c r="I999" s="38"/>
      <c r="J999" s="38"/>
    </row>
    <row r="1000">
      <c r="A1000" s="14"/>
      <c r="E1000" s="35"/>
      <c r="F1000" s="38"/>
      <c r="G1000" s="38"/>
      <c r="H1000" s="38"/>
      <c r="I1000" s="38"/>
      <c r="J1000" s="38"/>
    </row>
    <row r="1001">
      <c r="A1001" s="14"/>
      <c r="E1001" s="35"/>
      <c r="F1001" s="38"/>
      <c r="G1001" s="38"/>
      <c r="H1001" s="38"/>
      <c r="I1001" s="38"/>
      <c r="J1001" s="38"/>
    </row>
    <row r="1002">
      <c r="A1002" s="14"/>
      <c r="E1002" s="35"/>
      <c r="F1002" s="38"/>
      <c r="G1002" s="38"/>
      <c r="H1002" s="38"/>
      <c r="I1002" s="38"/>
      <c r="J1002" s="38"/>
    </row>
    <row r="1003">
      <c r="A1003" s="14"/>
      <c r="E1003" s="35"/>
      <c r="F1003" s="38"/>
      <c r="G1003" s="38"/>
      <c r="H1003" s="38"/>
      <c r="I1003" s="38"/>
      <c r="J1003" s="38"/>
    </row>
    <row r="1004">
      <c r="A1004" s="14"/>
      <c r="E1004" s="35"/>
      <c r="F1004" s="38"/>
      <c r="G1004" s="38"/>
      <c r="H1004" s="38"/>
      <c r="I1004" s="38"/>
      <c r="J1004" s="38"/>
    </row>
    <row r="1005">
      <c r="A1005" s="14"/>
      <c r="E1005" s="35"/>
      <c r="F1005" s="38"/>
      <c r="G1005" s="38"/>
      <c r="H1005" s="38"/>
      <c r="I1005" s="38"/>
      <c r="J1005" s="38"/>
    </row>
    <row r="1006">
      <c r="A1006" s="14"/>
      <c r="E1006" s="35"/>
      <c r="F1006" s="38"/>
      <c r="G1006" s="38"/>
      <c r="H1006" s="38"/>
      <c r="I1006" s="38"/>
      <c r="J1006" s="38"/>
    </row>
    <row r="1007">
      <c r="A1007" s="14"/>
      <c r="E1007" s="35"/>
      <c r="F1007" s="38"/>
      <c r="G1007" s="38"/>
      <c r="H1007" s="38"/>
      <c r="I1007" s="38"/>
      <c r="J1007" s="38"/>
    </row>
    <row r="1008">
      <c r="A1008" s="14"/>
      <c r="E1008" s="35"/>
      <c r="F1008" s="38"/>
      <c r="G1008" s="38"/>
      <c r="H1008" s="38"/>
      <c r="I1008" s="38"/>
      <c r="J1008" s="38"/>
    </row>
    <row r="1009">
      <c r="A1009" s="14"/>
      <c r="E1009" s="35"/>
      <c r="F1009" s="38"/>
      <c r="G1009" s="38"/>
      <c r="H1009" s="38"/>
      <c r="I1009" s="38"/>
      <c r="J1009" s="38"/>
    </row>
    <row r="1010">
      <c r="A1010" s="14"/>
      <c r="E1010" s="35"/>
      <c r="F1010" s="38"/>
      <c r="G1010" s="38"/>
      <c r="H1010" s="38"/>
      <c r="I1010" s="38"/>
      <c r="J1010" s="38"/>
    </row>
    <row r="1011">
      <c r="A1011" s="14"/>
      <c r="E1011" s="35"/>
      <c r="F1011" s="38"/>
      <c r="G1011" s="38"/>
      <c r="H1011" s="38"/>
      <c r="I1011" s="38"/>
      <c r="J1011" s="38"/>
    </row>
    <row r="1012">
      <c r="A1012" s="14"/>
      <c r="E1012" s="35"/>
      <c r="F1012" s="38"/>
      <c r="G1012" s="38"/>
      <c r="H1012" s="38"/>
      <c r="I1012" s="38"/>
      <c r="J1012" s="38"/>
    </row>
    <row r="1013">
      <c r="A1013" s="14"/>
      <c r="E1013" s="35"/>
      <c r="F1013" s="38"/>
      <c r="G1013" s="38"/>
      <c r="H1013" s="38"/>
      <c r="I1013" s="38"/>
      <c r="J1013" s="38"/>
    </row>
    <row r="1014">
      <c r="A1014" s="14"/>
      <c r="E1014" s="35"/>
      <c r="F1014" s="38"/>
      <c r="G1014" s="38"/>
      <c r="H1014" s="38"/>
      <c r="I1014" s="38"/>
      <c r="J1014" s="38"/>
    </row>
    <row r="1015">
      <c r="A1015" s="14"/>
      <c r="E1015" s="35"/>
      <c r="F1015" s="38"/>
      <c r="G1015" s="38"/>
      <c r="H1015" s="38"/>
      <c r="I1015" s="38"/>
      <c r="J1015" s="38"/>
    </row>
    <row r="1016">
      <c r="A1016" s="14"/>
      <c r="E1016" s="35"/>
      <c r="F1016" s="38"/>
      <c r="G1016" s="38"/>
      <c r="H1016" s="38"/>
      <c r="I1016" s="38"/>
      <c r="J1016" s="38"/>
    </row>
    <row r="1017">
      <c r="A1017" s="14"/>
      <c r="E1017" s="35"/>
      <c r="F1017" s="38"/>
      <c r="G1017" s="38"/>
      <c r="H1017" s="38"/>
      <c r="I1017" s="38"/>
      <c r="J1017" s="38"/>
    </row>
    <row r="1018">
      <c r="A1018" s="14"/>
      <c r="E1018" s="35"/>
      <c r="F1018" s="38"/>
      <c r="G1018" s="38"/>
      <c r="H1018" s="38"/>
      <c r="I1018" s="38"/>
      <c r="J1018" s="38"/>
    </row>
    <row r="1019">
      <c r="A1019" s="14"/>
      <c r="E1019" s="35"/>
      <c r="F1019" s="38"/>
      <c r="G1019" s="38"/>
      <c r="H1019" s="38"/>
      <c r="I1019" s="38"/>
      <c r="J1019" s="38"/>
    </row>
    <row r="1020">
      <c r="A1020" s="14"/>
      <c r="E1020" s="35"/>
      <c r="F1020" s="38"/>
      <c r="G1020" s="38"/>
      <c r="H1020" s="38"/>
      <c r="I1020" s="38"/>
      <c r="J1020" s="38"/>
    </row>
    <row r="1021">
      <c r="A1021" s="14"/>
      <c r="E1021" s="35"/>
      <c r="F1021" s="38"/>
      <c r="G1021" s="38"/>
      <c r="H1021" s="38"/>
      <c r="I1021" s="38"/>
      <c r="J1021" s="38"/>
    </row>
    <row r="1022">
      <c r="A1022" s="14"/>
      <c r="E1022" s="35"/>
      <c r="F1022" s="38"/>
      <c r="G1022" s="38"/>
      <c r="H1022" s="38"/>
      <c r="I1022" s="38"/>
      <c r="J1022" s="38"/>
    </row>
    <row r="1023">
      <c r="A1023" s="14"/>
      <c r="E1023" s="35"/>
      <c r="F1023" s="38"/>
      <c r="G1023" s="38"/>
      <c r="H1023" s="38"/>
      <c r="I1023" s="38"/>
      <c r="J1023" s="38"/>
    </row>
    <row r="1024">
      <c r="A1024" s="14"/>
      <c r="E1024" s="35"/>
      <c r="F1024" s="38"/>
      <c r="G1024" s="38"/>
      <c r="H1024" s="38"/>
      <c r="I1024" s="38"/>
      <c r="J1024" s="38"/>
    </row>
    <row r="1025">
      <c r="A1025" s="14"/>
      <c r="E1025" s="35"/>
      <c r="F1025" s="38"/>
      <c r="G1025" s="38"/>
      <c r="H1025" s="38"/>
      <c r="I1025" s="38"/>
      <c r="J1025" s="38"/>
    </row>
    <row r="1026">
      <c r="A1026" s="14"/>
      <c r="E1026" s="35"/>
      <c r="F1026" s="38"/>
      <c r="G1026" s="38"/>
      <c r="H1026" s="38"/>
      <c r="I1026" s="38"/>
      <c r="J1026" s="38"/>
    </row>
    <row r="1027">
      <c r="A1027" s="14"/>
      <c r="E1027" s="35"/>
      <c r="F1027" s="38"/>
      <c r="G1027" s="38"/>
      <c r="H1027" s="38"/>
      <c r="I1027" s="38"/>
      <c r="J1027" s="38"/>
    </row>
    <row r="1028">
      <c r="A1028" s="14"/>
      <c r="E1028" s="35"/>
      <c r="F1028" s="38"/>
      <c r="G1028" s="38"/>
      <c r="H1028" s="38"/>
      <c r="I1028" s="38"/>
      <c r="J1028" s="38"/>
    </row>
    <row r="1029">
      <c r="A1029" s="14"/>
      <c r="E1029" s="35"/>
      <c r="F1029" s="38"/>
      <c r="G1029" s="38"/>
      <c r="H1029" s="38"/>
      <c r="I1029" s="38"/>
      <c r="J1029" s="38"/>
    </row>
    <row r="1030">
      <c r="A1030" s="14"/>
      <c r="E1030" s="35"/>
      <c r="F1030" s="38"/>
      <c r="G1030" s="38"/>
      <c r="H1030" s="38"/>
      <c r="I1030" s="38"/>
      <c r="J1030" s="38"/>
    </row>
    <row r="1031">
      <c r="A1031" s="14"/>
      <c r="E1031" s="35"/>
      <c r="F1031" s="38"/>
      <c r="G1031" s="38"/>
      <c r="H1031" s="38"/>
      <c r="I1031" s="38"/>
      <c r="J1031" s="38"/>
    </row>
    <row r="1032">
      <c r="A1032" s="14"/>
      <c r="E1032" s="35"/>
      <c r="F1032" s="38"/>
      <c r="G1032" s="38"/>
      <c r="H1032" s="38"/>
      <c r="I1032" s="38"/>
      <c r="J1032" s="38"/>
    </row>
    <row r="1033">
      <c r="A1033" s="14"/>
      <c r="E1033" s="35"/>
      <c r="F1033" s="38"/>
      <c r="G1033" s="38"/>
      <c r="H1033" s="38"/>
      <c r="I1033" s="38"/>
      <c r="J1033" s="38"/>
    </row>
    <row r="1034">
      <c r="A1034" s="14"/>
      <c r="E1034" s="35"/>
      <c r="F1034" s="38"/>
      <c r="G1034" s="38"/>
      <c r="H1034" s="38"/>
      <c r="I1034" s="38"/>
      <c r="J1034" s="38"/>
    </row>
    <row r="1035">
      <c r="A1035" s="14"/>
      <c r="E1035" s="35"/>
      <c r="F1035" s="38"/>
      <c r="G1035" s="38"/>
      <c r="H1035" s="38"/>
      <c r="I1035" s="38"/>
      <c r="J1035" s="38"/>
    </row>
    <row r="1036">
      <c r="A1036" s="14"/>
      <c r="E1036" s="35"/>
      <c r="F1036" s="38"/>
      <c r="G1036" s="38"/>
      <c r="H1036" s="38"/>
      <c r="I1036" s="38"/>
      <c r="J1036" s="38"/>
    </row>
    <row r="1037">
      <c r="A1037" s="14"/>
      <c r="E1037" s="35"/>
      <c r="F1037" s="38"/>
      <c r="G1037" s="38"/>
      <c r="H1037" s="38"/>
      <c r="I1037" s="38"/>
      <c r="J1037" s="38"/>
    </row>
    <row r="1038">
      <c r="A1038" s="14"/>
      <c r="E1038" s="35"/>
      <c r="F1038" s="38"/>
      <c r="G1038" s="38"/>
      <c r="H1038" s="38"/>
      <c r="I1038" s="38"/>
      <c r="J1038" s="38"/>
    </row>
    <row r="1039">
      <c r="A1039" s="14"/>
      <c r="E1039" s="35"/>
      <c r="F1039" s="38"/>
      <c r="G1039" s="38"/>
      <c r="H1039" s="38"/>
      <c r="I1039" s="38"/>
      <c r="J1039" s="38"/>
    </row>
    <row r="1040">
      <c r="A1040" s="14"/>
      <c r="E1040" s="35"/>
      <c r="F1040" s="38"/>
      <c r="G1040" s="38"/>
      <c r="H1040" s="38"/>
      <c r="I1040" s="38"/>
      <c r="J1040" s="38"/>
    </row>
    <row r="1041">
      <c r="A1041" s="14"/>
      <c r="E1041" s="35"/>
      <c r="F1041" s="38"/>
      <c r="G1041" s="38"/>
      <c r="H1041" s="38"/>
      <c r="I1041" s="38"/>
      <c r="J1041" s="38"/>
    </row>
    <row r="1042">
      <c r="A1042" s="14"/>
      <c r="E1042" s="35"/>
      <c r="F1042" s="38"/>
      <c r="G1042" s="38"/>
      <c r="H1042" s="38"/>
      <c r="I1042" s="38"/>
      <c r="J1042" s="38"/>
    </row>
    <row r="1043">
      <c r="A1043" s="14"/>
      <c r="E1043" s="35"/>
      <c r="F1043" s="38"/>
      <c r="G1043" s="38"/>
      <c r="H1043" s="38"/>
      <c r="I1043" s="38"/>
      <c r="J1043" s="38"/>
    </row>
    <row r="1044">
      <c r="A1044" s="14"/>
      <c r="E1044" s="35"/>
      <c r="F1044" s="38"/>
      <c r="G1044" s="38"/>
      <c r="H1044" s="38"/>
      <c r="I1044" s="38"/>
      <c r="J1044" s="38"/>
    </row>
    <row r="1045">
      <c r="A1045" s="14"/>
      <c r="E1045" s="35"/>
      <c r="F1045" s="38"/>
      <c r="G1045" s="38"/>
      <c r="H1045" s="38"/>
      <c r="I1045" s="38"/>
      <c r="J1045" s="38"/>
    </row>
    <row r="1046">
      <c r="A1046" s="14"/>
      <c r="E1046" s="35"/>
      <c r="F1046" s="38"/>
      <c r="G1046" s="38"/>
      <c r="H1046" s="38"/>
      <c r="I1046" s="38"/>
      <c r="J1046" s="38"/>
    </row>
    <row r="1047">
      <c r="A1047" s="14"/>
      <c r="E1047" s="35"/>
      <c r="F1047" s="38"/>
      <c r="G1047" s="38"/>
      <c r="H1047" s="38"/>
      <c r="I1047" s="38"/>
      <c r="J1047" s="38"/>
    </row>
    <row r="1048">
      <c r="A1048" s="14"/>
      <c r="E1048" s="35"/>
      <c r="F1048" s="38"/>
      <c r="G1048" s="38"/>
      <c r="H1048" s="38"/>
      <c r="I1048" s="38"/>
      <c r="J1048" s="38"/>
    </row>
    <row r="1049">
      <c r="A1049" s="14"/>
      <c r="E1049" s="35"/>
      <c r="F1049" s="38"/>
      <c r="G1049" s="38"/>
      <c r="H1049" s="38"/>
      <c r="I1049" s="38"/>
      <c r="J1049" s="38"/>
    </row>
    <row r="1050">
      <c r="A1050" s="14"/>
      <c r="E1050" s="35"/>
      <c r="F1050" s="38"/>
      <c r="G1050" s="38"/>
      <c r="H1050" s="38"/>
      <c r="I1050" s="38"/>
      <c r="J1050" s="38"/>
    </row>
    <row r="1051">
      <c r="A1051" s="14"/>
      <c r="E1051" s="35"/>
      <c r="F1051" s="38"/>
      <c r="G1051" s="38"/>
      <c r="H1051" s="38"/>
      <c r="I1051" s="38"/>
      <c r="J1051" s="38"/>
    </row>
    <row r="1052">
      <c r="A1052" s="14"/>
      <c r="E1052" s="35"/>
      <c r="F1052" s="38"/>
      <c r="G1052" s="38"/>
      <c r="H1052" s="38"/>
      <c r="I1052" s="38"/>
      <c r="J1052" s="38"/>
    </row>
    <row r="1053">
      <c r="A1053" s="14"/>
      <c r="E1053" s="35"/>
      <c r="F1053" s="38"/>
      <c r="G1053" s="38"/>
      <c r="H1053" s="38"/>
      <c r="I1053" s="38"/>
      <c r="J1053" s="38"/>
    </row>
    <row r="1054">
      <c r="A1054" s="14"/>
      <c r="E1054" s="35"/>
      <c r="F1054" s="38"/>
      <c r="G1054" s="38"/>
      <c r="H1054" s="38"/>
      <c r="I1054" s="38"/>
      <c r="J1054" s="38"/>
    </row>
    <row r="1055">
      <c r="A1055" s="14"/>
      <c r="E1055" s="35"/>
      <c r="F1055" s="38"/>
      <c r="G1055" s="38"/>
      <c r="H1055" s="38"/>
      <c r="I1055" s="38"/>
      <c r="J1055" s="38"/>
    </row>
    <row r="1056">
      <c r="A1056" s="14"/>
      <c r="E1056" s="35"/>
      <c r="F1056" s="38"/>
      <c r="G1056" s="38"/>
      <c r="H1056" s="38"/>
      <c r="I1056" s="38"/>
      <c r="J1056" s="38"/>
    </row>
    <row r="1057">
      <c r="A1057" s="14"/>
      <c r="E1057" s="35"/>
      <c r="F1057" s="38"/>
      <c r="G1057" s="38"/>
      <c r="H1057" s="38"/>
      <c r="I1057" s="38"/>
      <c r="J1057" s="38"/>
    </row>
    <row r="1058">
      <c r="A1058" s="14"/>
      <c r="E1058" s="35"/>
      <c r="F1058" s="38"/>
      <c r="G1058" s="38"/>
      <c r="H1058" s="38"/>
      <c r="I1058" s="38"/>
      <c r="J1058" s="38"/>
    </row>
    <row r="1059">
      <c r="A1059" s="14"/>
      <c r="E1059" s="35"/>
      <c r="F1059" s="38"/>
      <c r="G1059" s="38"/>
      <c r="H1059" s="38"/>
      <c r="I1059" s="38"/>
      <c r="J1059" s="38"/>
    </row>
    <row r="1060">
      <c r="A1060" s="14"/>
      <c r="E1060" s="35"/>
      <c r="F1060" s="38"/>
      <c r="G1060" s="38"/>
      <c r="H1060" s="38"/>
      <c r="I1060" s="38"/>
      <c r="J1060" s="38"/>
    </row>
    <row r="1061">
      <c r="A1061" s="14"/>
      <c r="E1061" s="35"/>
      <c r="F1061" s="38"/>
      <c r="G1061" s="38"/>
      <c r="H1061" s="38"/>
      <c r="I1061" s="38"/>
      <c r="J1061" s="38"/>
    </row>
    <row r="1062">
      <c r="A1062" s="14"/>
      <c r="E1062" s="35"/>
      <c r="F1062" s="38"/>
      <c r="G1062" s="38"/>
      <c r="H1062" s="38"/>
      <c r="I1062" s="38"/>
      <c r="J1062" s="38"/>
    </row>
    <row r="1063">
      <c r="A1063" s="14"/>
      <c r="E1063" s="35"/>
      <c r="F1063" s="38"/>
      <c r="G1063" s="38"/>
      <c r="H1063" s="38"/>
      <c r="I1063" s="38"/>
      <c r="J1063" s="38"/>
    </row>
    <row r="1064">
      <c r="A1064" s="14"/>
      <c r="E1064" s="35"/>
      <c r="F1064" s="38"/>
      <c r="G1064" s="38"/>
      <c r="H1064" s="38"/>
      <c r="I1064" s="38"/>
      <c r="J1064" s="38"/>
    </row>
    <row r="1065">
      <c r="A1065" s="14"/>
      <c r="E1065" s="35"/>
      <c r="F1065" s="38"/>
      <c r="G1065" s="38"/>
      <c r="H1065" s="38"/>
      <c r="I1065" s="38"/>
      <c r="J1065" s="38"/>
    </row>
    <row r="1066">
      <c r="A1066" s="14"/>
      <c r="E1066" s="35"/>
      <c r="F1066" s="38"/>
      <c r="G1066" s="38"/>
      <c r="H1066" s="38"/>
      <c r="I1066" s="38"/>
      <c r="J1066" s="38"/>
    </row>
    <row r="1067">
      <c r="A1067" s="14"/>
      <c r="E1067" s="35"/>
      <c r="F1067" s="38"/>
      <c r="G1067" s="38"/>
      <c r="H1067" s="38"/>
      <c r="I1067" s="38"/>
      <c r="J1067" s="38"/>
    </row>
    <row r="1068">
      <c r="A1068" s="14"/>
      <c r="E1068" s="35"/>
      <c r="F1068" s="38"/>
      <c r="G1068" s="38"/>
      <c r="H1068" s="38"/>
      <c r="I1068" s="38"/>
      <c r="J1068" s="38"/>
    </row>
    <row r="1069">
      <c r="A1069" s="14"/>
      <c r="E1069" s="35"/>
      <c r="F1069" s="38"/>
      <c r="G1069" s="38"/>
      <c r="H1069" s="38"/>
      <c r="I1069" s="38"/>
      <c r="J1069" s="38"/>
    </row>
    <row r="1070">
      <c r="A1070" s="14"/>
      <c r="E1070" s="35"/>
      <c r="F1070" s="38"/>
      <c r="G1070" s="38"/>
      <c r="H1070" s="38"/>
      <c r="I1070" s="38"/>
      <c r="J1070" s="38"/>
    </row>
    <row r="1071">
      <c r="A1071" s="14"/>
      <c r="E1071" s="35"/>
      <c r="F1071" s="38"/>
      <c r="G1071" s="38"/>
      <c r="H1071" s="38"/>
      <c r="I1071" s="38"/>
      <c r="J1071" s="38"/>
    </row>
    <row r="1072">
      <c r="A1072" s="14"/>
      <c r="E1072" s="35"/>
      <c r="F1072" s="38"/>
      <c r="G1072" s="38"/>
      <c r="H1072" s="38"/>
      <c r="I1072" s="38"/>
      <c r="J1072" s="38"/>
    </row>
    <row r="1073">
      <c r="A1073" s="14"/>
      <c r="E1073" s="35"/>
      <c r="F1073" s="38"/>
      <c r="G1073" s="38"/>
      <c r="H1073" s="38"/>
      <c r="I1073" s="38"/>
      <c r="J1073" s="38"/>
    </row>
    <row r="1074">
      <c r="A1074" s="14"/>
      <c r="E1074" s="35"/>
      <c r="F1074" s="38"/>
      <c r="G1074" s="38"/>
      <c r="H1074" s="38"/>
      <c r="I1074" s="38"/>
      <c r="J1074" s="38"/>
    </row>
    <row r="1075">
      <c r="A1075" s="14"/>
      <c r="E1075" s="35"/>
      <c r="F1075" s="38"/>
      <c r="G1075" s="38"/>
      <c r="H1075" s="38"/>
      <c r="I1075" s="38"/>
      <c r="J1075" s="38"/>
    </row>
    <row r="1076">
      <c r="A1076" s="14"/>
      <c r="E1076" s="35"/>
      <c r="F1076" s="38"/>
      <c r="G1076" s="38"/>
      <c r="H1076" s="38"/>
      <c r="I1076" s="38"/>
      <c r="J1076" s="38"/>
    </row>
    <row r="1077">
      <c r="A1077" s="14"/>
      <c r="E1077" s="35"/>
      <c r="F1077" s="38"/>
      <c r="G1077" s="38"/>
      <c r="H1077" s="38"/>
      <c r="I1077" s="38"/>
      <c r="J1077" s="38"/>
    </row>
    <row r="1078">
      <c r="A1078" s="14"/>
      <c r="E1078" s="35"/>
      <c r="F1078" s="38"/>
      <c r="G1078" s="38"/>
      <c r="H1078" s="38"/>
      <c r="I1078" s="38"/>
      <c r="J1078" s="38"/>
    </row>
    <row r="1079">
      <c r="A1079" s="14"/>
      <c r="E1079" s="35"/>
      <c r="F1079" s="38"/>
      <c r="G1079" s="38"/>
      <c r="H1079" s="38"/>
      <c r="I1079" s="38"/>
      <c r="J1079" s="38"/>
    </row>
    <row r="1080">
      <c r="A1080" s="14"/>
      <c r="E1080" s="35"/>
      <c r="F1080" s="38"/>
      <c r="G1080" s="38"/>
      <c r="H1080" s="38"/>
      <c r="I1080" s="38"/>
      <c r="J1080" s="38"/>
    </row>
    <row r="1081">
      <c r="A1081" s="14"/>
      <c r="E1081" s="35"/>
      <c r="F1081" s="38"/>
      <c r="G1081" s="38"/>
      <c r="H1081" s="38"/>
      <c r="I1081" s="38"/>
      <c r="J1081" s="38"/>
    </row>
    <row r="1082">
      <c r="A1082" s="14"/>
      <c r="E1082" s="35"/>
      <c r="F1082" s="38"/>
      <c r="G1082" s="38"/>
      <c r="H1082" s="38"/>
      <c r="I1082" s="38"/>
      <c r="J1082" s="38"/>
    </row>
    <row r="1083">
      <c r="A1083" s="14"/>
      <c r="E1083" s="35"/>
      <c r="F1083" s="38"/>
      <c r="G1083" s="38"/>
      <c r="H1083" s="38"/>
      <c r="I1083" s="38"/>
      <c r="J1083" s="38"/>
    </row>
    <row r="1084">
      <c r="A1084" s="14"/>
      <c r="E1084" s="35"/>
      <c r="F1084" s="38"/>
      <c r="G1084" s="38"/>
      <c r="H1084" s="38"/>
      <c r="I1084" s="38"/>
      <c r="J1084" s="38"/>
    </row>
    <row r="1085">
      <c r="A1085" s="14"/>
      <c r="E1085" s="35"/>
      <c r="F1085" s="38"/>
      <c r="G1085" s="38"/>
      <c r="H1085" s="38"/>
      <c r="I1085" s="38"/>
      <c r="J1085" s="38"/>
    </row>
    <row r="1086">
      <c r="A1086" s="14"/>
      <c r="E1086" s="35"/>
      <c r="F1086" s="38"/>
      <c r="G1086" s="38"/>
      <c r="H1086" s="38"/>
      <c r="I1086" s="38"/>
      <c r="J1086" s="38"/>
    </row>
    <row r="1087">
      <c r="A1087" s="14"/>
      <c r="E1087" s="35"/>
      <c r="F1087" s="38"/>
      <c r="G1087" s="38"/>
      <c r="H1087" s="38"/>
      <c r="I1087" s="38"/>
      <c r="J1087" s="38"/>
    </row>
    <row r="1088">
      <c r="A1088" s="14"/>
      <c r="E1088" s="35"/>
      <c r="F1088" s="38"/>
      <c r="G1088" s="38"/>
      <c r="H1088" s="38"/>
      <c r="I1088" s="38"/>
      <c r="J1088" s="38"/>
    </row>
    <row r="1089">
      <c r="A1089" s="14"/>
      <c r="E1089" s="35"/>
      <c r="F1089" s="38"/>
      <c r="G1089" s="38"/>
      <c r="H1089" s="38"/>
      <c r="I1089" s="38"/>
      <c r="J1089" s="38"/>
    </row>
    <row r="1090">
      <c r="A1090" s="14"/>
      <c r="E1090" s="35"/>
      <c r="F1090" s="38"/>
      <c r="G1090" s="38"/>
      <c r="H1090" s="38"/>
      <c r="I1090" s="38"/>
      <c r="J1090" s="38"/>
    </row>
    <row r="1091">
      <c r="A1091" s="14"/>
      <c r="E1091" s="35"/>
      <c r="F1091" s="38"/>
      <c r="G1091" s="38"/>
      <c r="H1091" s="38"/>
      <c r="I1091" s="38"/>
      <c r="J1091" s="38"/>
    </row>
    <row r="1092">
      <c r="A1092" s="14"/>
      <c r="E1092" s="35"/>
      <c r="F1092" s="38"/>
      <c r="G1092" s="38"/>
      <c r="H1092" s="38"/>
      <c r="I1092" s="38"/>
      <c r="J1092" s="38"/>
    </row>
    <row r="1093">
      <c r="A1093" s="14"/>
      <c r="E1093" s="35"/>
      <c r="F1093" s="38"/>
      <c r="G1093" s="38"/>
      <c r="H1093" s="38"/>
      <c r="I1093" s="38"/>
      <c r="J1093" s="38"/>
    </row>
    <row r="1094">
      <c r="A1094" s="14"/>
      <c r="E1094" s="35"/>
      <c r="F1094" s="38"/>
      <c r="G1094" s="38"/>
      <c r="H1094" s="38"/>
      <c r="I1094" s="38"/>
      <c r="J1094" s="38"/>
    </row>
    <row r="1095">
      <c r="A1095" s="14"/>
      <c r="E1095" s="35"/>
      <c r="F1095" s="38"/>
      <c r="G1095" s="38"/>
      <c r="H1095" s="38"/>
      <c r="I1095" s="38"/>
      <c r="J1095" s="38"/>
    </row>
    <row r="1096">
      <c r="A1096" s="14"/>
      <c r="E1096" s="35"/>
      <c r="F1096" s="38"/>
      <c r="G1096" s="38"/>
      <c r="H1096" s="38"/>
      <c r="I1096" s="38"/>
      <c r="J1096" s="38"/>
    </row>
    <row r="1097">
      <c r="A1097" s="14"/>
      <c r="E1097" s="35"/>
      <c r="F1097" s="38"/>
      <c r="G1097" s="38"/>
      <c r="H1097" s="38"/>
      <c r="I1097" s="38"/>
      <c r="J1097" s="38"/>
    </row>
    <row r="1098">
      <c r="A1098" s="14"/>
      <c r="E1098" s="35"/>
      <c r="F1098" s="38"/>
      <c r="G1098" s="38"/>
      <c r="H1098" s="38"/>
      <c r="I1098" s="38"/>
      <c r="J1098" s="38"/>
    </row>
    <row r="1099">
      <c r="A1099" s="14"/>
      <c r="E1099" s="35"/>
      <c r="F1099" s="38"/>
      <c r="G1099" s="38"/>
      <c r="H1099" s="38"/>
      <c r="I1099" s="38"/>
      <c r="J1099" s="38"/>
    </row>
    <row r="1100">
      <c r="A1100" s="14"/>
      <c r="E1100" s="35"/>
      <c r="F1100" s="38"/>
      <c r="G1100" s="38"/>
      <c r="H1100" s="38"/>
      <c r="I1100" s="38"/>
      <c r="J1100" s="38"/>
    </row>
    <row r="1101">
      <c r="A1101" s="14"/>
      <c r="E1101" s="35"/>
      <c r="F1101" s="38"/>
      <c r="G1101" s="38"/>
      <c r="H1101" s="38"/>
      <c r="I1101" s="38"/>
      <c r="J1101" s="38"/>
    </row>
    <row r="1102">
      <c r="A1102" s="14"/>
      <c r="E1102" s="35"/>
      <c r="F1102" s="38"/>
      <c r="G1102" s="38"/>
      <c r="H1102" s="38"/>
      <c r="I1102" s="38"/>
      <c r="J1102" s="38"/>
    </row>
    <row r="1103">
      <c r="A1103" s="14"/>
      <c r="E1103" s="35"/>
      <c r="F1103" s="38"/>
      <c r="G1103" s="38"/>
      <c r="H1103" s="38"/>
      <c r="I1103" s="38"/>
      <c r="J1103" s="38"/>
    </row>
    <row r="1104">
      <c r="A1104" s="14"/>
      <c r="E1104" s="35"/>
      <c r="F1104" s="38"/>
      <c r="G1104" s="38"/>
      <c r="H1104" s="38"/>
      <c r="I1104" s="38"/>
      <c r="J1104" s="38"/>
    </row>
    <row r="1105">
      <c r="A1105" s="14"/>
      <c r="E1105" s="35"/>
      <c r="F1105" s="38"/>
      <c r="G1105" s="38"/>
      <c r="H1105" s="38"/>
      <c r="I1105" s="38"/>
      <c r="J1105" s="38"/>
    </row>
    <row r="1106">
      <c r="A1106" s="14"/>
      <c r="E1106" s="35"/>
      <c r="F1106" s="38"/>
      <c r="G1106" s="38"/>
      <c r="H1106" s="38"/>
      <c r="I1106" s="38"/>
      <c r="J1106" s="38"/>
    </row>
    <row r="1107">
      <c r="A1107" s="14"/>
      <c r="E1107" s="35"/>
      <c r="F1107" s="38"/>
      <c r="G1107" s="38"/>
      <c r="H1107" s="38"/>
      <c r="I1107" s="38"/>
      <c r="J1107" s="38"/>
    </row>
    <row r="1108">
      <c r="A1108" s="14"/>
      <c r="E1108" s="35"/>
      <c r="F1108" s="38"/>
      <c r="G1108" s="38"/>
      <c r="H1108" s="38"/>
      <c r="I1108" s="38"/>
      <c r="J1108" s="38"/>
    </row>
    <row r="1109">
      <c r="A1109" s="14"/>
      <c r="E1109" s="35"/>
      <c r="F1109" s="38"/>
      <c r="G1109" s="38"/>
      <c r="H1109" s="38"/>
      <c r="I1109" s="38"/>
      <c r="J1109" s="38"/>
    </row>
    <row r="1110">
      <c r="A1110" s="14"/>
      <c r="E1110" s="35"/>
      <c r="F1110" s="38"/>
      <c r="G1110" s="38"/>
      <c r="H1110" s="38"/>
      <c r="I1110" s="38"/>
      <c r="J1110" s="38"/>
    </row>
    <row r="1111">
      <c r="A1111" s="14"/>
      <c r="E1111" s="35"/>
      <c r="F1111" s="38"/>
      <c r="G1111" s="38"/>
      <c r="H1111" s="38"/>
      <c r="I1111" s="38"/>
      <c r="J1111" s="38"/>
    </row>
    <row r="1112">
      <c r="A1112" s="14"/>
      <c r="E1112" s="35"/>
      <c r="F1112" s="38"/>
      <c r="G1112" s="38"/>
      <c r="H1112" s="38"/>
      <c r="I1112" s="38"/>
      <c r="J1112" s="38"/>
    </row>
    <row r="1113">
      <c r="A1113" s="14"/>
      <c r="E1113" s="35"/>
      <c r="F1113" s="38"/>
      <c r="G1113" s="38"/>
      <c r="H1113" s="38"/>
      <c r="I1113" s="38"/>
      <c r="J1113" s="38"/>
    </row>
    <row r="1114">
      <c r="A1114" s="14"/>
      <c r="E1114" s="35"/>
      <c r="F1114" s="38"/>
      <c r="G1114" s="38"/>
      <c r="H1114" s="38"/>
      <c r="I1114" s="38"/>
      <c r="J1114" s="38"/>
    </row>
    <row r="1115">
      <c r="A1115" s="14"/>
      <c r="E1115" s="35"/>
      <c r="F1115" s="38"/>
      <c r="G1115" s="38"/>
      <c r="H1115" s="38"/>
      <c r="I1115" s="38"/>
      <c r="J1115" s="38"/>
    </row>
    <row r="1116">
      <c r="A1116" s="14"/>
      <c r="E1116" s="35"/>
      <c r="F1116" s="38"/>
      <c r="G1116" s="38"/>
      <c r="H1116" s="38"/>
      <c r="I1116" s="38"/>
      <c r="J1116" s="38"/>
    </row>
    <row r="1117">
      <c r="A1117" s="14"/>
      <c r="E1117" s="35"/>
      <c r="F1117" s="38"/>
      <c r="G1117" s="38"/>
      <c r="H1117" s="38"/>
      <c r="I1117" s="38"/>
      <c r="J1117" s="38"/>
    </row>
    <row r="1118">
      <c r="A1118" s="14"/>
      <c r="E1118" s="35"/>
      <c r="F1118" s="38"/>
      <c r="G1118" s="38"/>
      <c r="H1118" s="38"/>
      <c r="I1118" s="38"/>
      <c r="J1118" s="38"/>
    </row>
    <row r="1119">
      <c r="A1119" s="14"/>
      <c r="E1119" s="35"/>
      <c r="F1119" s="38"/>
      <c r="G1119" s="38"/>
      <c r="H1119" s="38"/>
      <c r="I1119" s="38"/>
      <c r="J1119" s="38"/>
    </row>
    <row r="1120">
      <c r="A1120" s="14"/>
      <c r="E1120" s="35"/>
      <c r="F1120" s="38"/>
      <c r="G1120" s="38"/>
      <c r="H1120" s="38"/>
      <c r="I1120" s="38"/>
      <c r="J1120" s="38"/>
    </row>
    <row r="1121">
      <c r="A1121" s="14"/>
      <c r="E1121" s="35"/>
      <c r="F1121" s="38"/>
      <c r="G1121" s="38"/>
      <c r="H1121" s="38"/>
      <c r="I1121" s="38"/>
      <c r="J1121" s="38"/>
    </row>
    <row r="1122">
      <c r="A1122" s="14"/>
      <c r="E1122" s="35"/>
      <c r="F1122" s="38"/>
      <c r="G1122" s="38"/>
      <c r="H1122" s="38"/>
      <c r="I1122" s="38"/>
      <c r="J1122" s="38"/>
    </row>
    <row r="1123">
      <c r="A1123" s="14"/>
      <c r="E1123" s="35"/>
      <c r="F1123" s="38"/>
      <c r="G1123" s="38"/>
      <c r="H1123" s="38"/>
      <c r="I1123" s="38"/>
      <c r="J1123" s="38"/>
    </row>
    <row r="1124">
      <c r="A1124" s="14"/>
      <c r="E1124" s="35"/>
      <c r="F1124" s="38"/>
      <c r="G1124" s="38"/>
      <c r="H1124" s="38"/>
      <c r="I1124" s="38"/>
      <c r="J1124" s="38"/>
    </row>
    <row r="1125">
      <c r="A1125" s="14"/>
      <c r="E1125" s="35"/>
      <c r="F1125" s="38"/>
      <c r="G1125" s="38"/>
      <c r="H1125" s="38"/>
      <c r="I1125" s="38"/>
      <c r="J1125" s="38"/>
    </row>
    <row r="1126">
      <c r="A1126" s="14"/>
      <c r="E1126" s="35"/>
      <c r="F1126" s="38"/>
      <c r="G1126" s="38"/>
      <c r="H1126" s="38"/>
      <c r="I1126" s="38"/>
      <c r="J1126" s="38"/>
    </row>
    <row r="1127">
      <c r="A1127" s="14"/>
      <c r="E1127" s="35"/>
      <c r="F1127" s="38"/>
      <c r="G1127" s="38"/>
      <c r="H1127" s="38"/>
      <c r="I1127" s="38"/>
      <c r="J1127" s="38"/>
    </row>
    <row r="1128">
      <c r="A1128" s="14"/>
      <c r="E1128" s="35"/>
      <c r="F1128" s="38"/>
      <c r="G1128" s="38"/>
      <c r="H1128" s="38"/>
      <c r="I1128" s="38"/>
      <c r="J1128" s="38"/>
    </row>
    <row r="1129">
      <c r="A1129" s="14"/>
      <c r="E1129" s="35"/>
      <c r="F1129" s="38"/>
      <c r="G1129" s="38"/>
      <c r="H1129" s="38"/>
      <c r="I1129" s="38"/>
      <c r="J1129" s="38"/>
    </row>
    <row r="1130">
      <c r="A1130" s="14"/>
      <c r="E1130" s="35"/>
      <c r="F1130" s="38"/>
      <c r="G1130" s="38"/>
      <c r="H1130" s="38"/>
      <c r="I1130" s="38"/>
      <c r="J1130" s="38"/>
    </row>
    <row r="1131">
      <c r="A1131" s="14"/>
      <c r="E1131" s="35"/>
      <c r="F1131" s="38"/>
      <c r="G1131" s="38"/>
      <c r="H1131" s="38"/>
      <c r="I1131" s="38"/>
      <c r="J1131" s="38"/>
    </row>
    <row r="1132">
      <c r="A1132" s="14"/>
      <c r="E1132" s="35"/>
      <c r="F1132" s="38"/>
      <c r="G1132" s="38"/>
      <c r="H1132" s="38"/>
      <c r="I1132" s="38"/>
      <c r="J1132" s="38"/>
    </row>
    <row r="1133">
      <c r="A1133" s="14"/>
      <c r="E1133" s="35"/>
      <c r="F1133" s="38"/>
      <c r="G1133" s="38"/>
      <c r="H1133" s="38"/>
      <c r="I1133" s="38"/>
      <c r="J1133" s="38"/>
    </row>
    <row r="1134">
      <c r="A1134" s="14"/>
      <c r="E1134" s="35"/>
      <c r="F1134" s="38"/>
      <c r="G1134" s="38"/>
      <c r="H1134" s="38"/>
      <c r="I1134" s="38"/>
      <c r="J1134" s="38"/>
    </row>
    <row r="1135">
      <c r="A1135" s="14"/>
      <c r="E1135" s="35"/>
      <c r="F1135" s="38"/>
      <c r="G1135" s="38"/>
      <c r="H1135" s="38"/>
      <c r="I1135" s="38"/>
      <c r="J1135" s="38"/>
    </row>
    <row r="1136">
      <c r="A1136" s="14"/>
      <c r="E1136" s="35"/>
      <c r="F1136" s="38"/>
      <c r="G1136" s="38"/>
      <c r="H1136" s="38"/>
      <c r="I1136" s="38"/>
      <c r="J1136" s="38"/>
    </row>
    <row r="1137">
      <c r="A1137" s="14"/>
      <c r="E1137" s="35"/>
      <c r="F1137" s="38"/>
      <c r="G1137" s="38"/>
      <c r="H1137" s="38"/>
      <c r="I1137" s="38"/>
      <c r="J1137" s="38"/>
    </row>
    <row r="1138">
      <c r="A1138" s="14"/>
      <c r="E1138" s="35"/>
      <c r="F1138" s="38"/>
      <c r="G1138" s="38"/>
      <c r="H1138" s="38"/>
      <c r="I1138" s="38"/>
      <c r="J1138" s="38"/>
    </row>
    <row r="1139">
      <c r="A1139" s="14"/>
      <c r="E1139" s="35"/>
      <c r="F1139" s="38"/>
      <c r="G1139" s="38"/>
      <c r="H1139" s="38"/>
      <c r="I1139" s="38"/>
      <c r="J1139" s="38"/>
    </row>
    <row r="1140">
      <c r="A1140" s="14"/>
      <c r="E1140" s="35"/>
      <c r="F1140" s="38"/>
      <c r="G1140" s="38"/>
      <c r="H1140" s="38"/>
      <c r="I1140" s="38"/>
      <c r="J1140" s="38"/>
    </row>
    <row r="1141">
      <c r="A1141" s="14"/>
      <c r="E1141" s="35"/>
      <c r="F1141" s="38"/>
      <c r="G1141" s="38"/>
      <c r="H1141" s="38"/>
      <c r="I1141" s="38"/>
      <c r="J1141" s="38"/>
    </row>
    <row r="1142">
      <c r="A1142" s="14"/>
      <c r="E1142" s="35"/>
      <c r="F1142" s="38"/>
      <c r="G1142" s="38"/>
      <c r="H1142" s="38"/>
      <c r="I1142" s="38"/>
      <c r="J1142" s="38"/>
    </row>
    <row r="1143">
      <c r="A1143" s="14"/>
      <c r="E1143" s="35"/>
      <c r="F1143" s="38"/>
      <c r="G1143" s="38"/>
      <c r="H1143" s="38"/>
      <c r="I1143" s="38"/>
      <c r="J1143" s="38"/>
    </row>
    <row r="1144">
      <c r="A1144" s="14"/>
      <c r="E1144" s="35"/>
      <c r="F1144" s="38"/>
      <c r="G1144" s="38"/>
      <c r="H1144" s="38"/>
      <c r="I1144" s="38"/>
      <c r="J1144" s="38"/>
    </row>
    <row r="1145">
      <c r="A1145" s="14"/>
      <c r="E1145" s="35"/>
      <c r="F1145" s="38"/>
      <c r="G1145" s="38"/>
      <c r="H1145" s="38"/>
      <c r="I1145" s="38"/>
      <c r="J1145" s="38"/>
    </row>
    <row r="1146">
      <c r="A1146" s="14"/>
      <c r="E1146" s="35"/>
      <c r="F1146" s="38"/>
      <c r="G1146" s="38"/>
      <c r="H1146" s="38"/>
      <c r="I1146" s="38"/>
      <c r="J1146" s="38"/>
    </row>
    <row r="1147">
      <c r="A1147" s="14"/>
      <c r="E1147" s="35"/>
      <c r="F1147" s="38"/>
      <c r="G1147" s="38"/>
      <c r="H1147" s="38"/>
      <c r="I1147" s="38"/>
      <c r="J1147" s="38"/>
    </row>
    <row r="1148">
      <c r="A1148" s="14"/>
      <c r="E1148" s="35"/>
      <c r="F1148" s="38"/>
      <c r="G1148" s="38"/>
      <c r="H1148" s="38"/>
      <c r="I1148" s="38"/>
      <c r="J1148" s="38"/>
    </row>
    <row r="1149">
      <c r="A1149" s="14"/>
      <c r="E1149" s="35"/>
      <c r="F1149" s="38"/>
      <c r="G1149" s="38"/>
      <c r="H1149" s="38"/>
      <c r="I1149" s="38"/>
      <c r="J1149" s="38"/>
    </row>
    <row r="1150">
      <c r="A1150" s="14"/>
      <c r="E1150" s="35"/>
      <c r="F1150" s="38"/>
      <c r="G1150" s="38"/>
      <c r="H1150" s="38"/>
      <c r="I1150" s="38"/>
      <c r="J1150" s="38"/>
    </row>
    <row r="1151">
      <c r="A1151" s="14"/>
      <c r="E1151" s="35"/>
      <c r="F1151" s="38"/>
      <c r="G1151" s="38"/>
      <c r="H1151" s="38"/>
      <c r="I1151" s="38"/>
      <c r="J1151" s="38"/>
    </row>
    <row r="1152">
      <c r="A1152" s="14"/>
      <c r="E1152" s="35"/>
      <c r="F1152" s="38"/>
      <c r="G1152" s="38"/>
      <c r="H1152" s="38"/>
      <c r="I1152" s="38"/>
      <c r="J1152" s="38"/>
    </row>
    <row r="1153">
      <c r="A1153" s="14"/>
      <c r="E1153" s="35"/>
      <c r="F1153" s="38"/>
      <c r="G1153" s="38"/>
      <c r="H1153" s="38"/>
      <c r="I1153" s="38"/>
      <c r="J1153" s="38"/>
    </row>
    <row r="1154">
      <c r="A1154" s="14"/>
      <c r="E1154" s="35"/>
      <c r="F1154" s="38"/>
      <c r="G1154" s="38"/>
      <c r="H1154" s="38"/>
      <c r="I1154" s="38"/>
      <c r="J1154" s="38"/>
    </row>
    <row r="1155">
      <c r="A1155" s="14"/>
      <c r="E1155" s="35"/>
      <c r="F1155" s="38"/>
      <c r="G1155" s="38"/>
      <c r="H1155" s="38"/>
      <c r="I1155" s="38"/>
      <c r="J1155" s="38"/>
    </row>
    <row r="1156">
      <c r="A1156" s="14"/>
      <c r="E1156" s="35"/>
      <c r="F1156" s="38"/>
      <c r="G1156" s="38"/>
      <c r="H1156" s="38"/>
      <c r="I1156" s="38"/>
      <c r="J1156" s="38"/>
    </row>
    <row r="1157">
      <c r="A1157" s="14"/>
      <c r="E1157" s="35"/>
      <c r="F1157" s="38"/>
      <c r="G1157" s="38"/>
      <c r="H1157" s="38"/>
      <c r="I1157" s="38"/>
      <c r="J1157" s="38"/>
    </row>
    <row r="1158">
      <c r="A1158" s="14"/>
      <c r="E1158" s="35"/>
      <c r="F1158" s="38"/>
      <c r="G1158" s="38"/>
      <c r="H1158" s="38"/>
      <c r="I1158" s="38"/>
      <c r="J1158" s="38"/>
    </row>
    <row r="1159">
      <c r="A1159" s="14"/>
      <c r="E1159" s="35"/>
      <c r="F1159" s="38"/>
      <c r="G1159" s="38"/>
      <c r="H1159" s="38"/>
      <c r="I1159" s="38"/>
      <c r="J1159" s="38"/>
    </row>
    <row r="1160">
      <c r="A1160" s="14"/>
      <c r="E1160" s="35"/>
      <c r="F1160" s="38"/>
      <c r="G1160" s="38"/>
      <c r="H1160" s="38"/>
      <c r="I1160" s="38"/>
      <c r="J1160" s="38"/>
    </row>
    <row r="1161">
      <c r="A1161" s="14"/>
      <c r="E1161" s="35"/>
      <c r="F1161" s="38"/>
      <c r="G1161" s="38"/>
      <c r="H1161" s="38"/>
      <c r="I1161" s="38"/>
      <c r="J1161" s="38"/>
    </row>
    <row r="1162">
      <c r="A1162" s="14"/>
      <c r="E1162" s="35"/>
      <c r="F1162" s="38"/>
      <c r="G1162" s="38"/>
      <c r="H1162" s="38"/>
      <c r="I1162" s="38"/>
      <c r="J1162" s="38"/>
    </row>
    <row r="1163">
      <c r="A1163" s="14"/>
      <c r="E1163" s="35"/>
      <c r="F1163" s="38"/>
      <c r="G1163" s="38"/>
      <c r="H1163" s="38"/>
      <c r="I1163" s="38"/>
      <c r="J1163" s="38"/>
    </row>
    <row r="1164">
      <c r="A1164" s="14"/>
      <c r="E1164" s="35"/>
      <c r="F1164" s="38"/>
      <c r="G1164" s="38"/>
      <c r="H1164" s="38"/>
      <c r="I1164" s="38"/>
      <c r="J1164" s="38"/>
    </row>
    <row r="1165">
      <c r="A1165" s="14"/>
      <c r="E1165" s="35"/>
      <c r="F1165" s="38"/>
      <c r="G1165" s="38"/>
      <c r="H1165" s="38"/>
      <c r="I1165" s="38"/>
      <c r="J1165" s="38"/>
    </row>
    <row r="1166">
      <c r="A1166" s="14"/>
      <c r="E1166" s="35"/>
      <c r="F1166" s="38"/>
      <c r="G1166" s="38"/>
      <c r="H1166" s="38"/>
      <c r="I1166" s="38"/>
      <c r="J1166" s="38"/>
    </row>
    <row r="1167">
      <c r="A1167" s="14"/>
      <c r="E1167" s="35"/>
      <c r="F1167" s="38"/>
      <c r="G1167" s="38"/>
      <c r="H1167" s="38"/>
      <c r="I1167" s="38"/>
      <c r="J1167" s="38"/>
    </row>
    <row r="1168">
      <c r="A1168" s="14"/>
      <c r="E1168" s="35"/>
      <c r="F1168" s="38"/>
      <c r="G1168" s="38"/>
      <c r="H1168" s="38"/>
      <c r="I1168" s="38"/>
      <c r="J1168" s="38"/>
    </row>
    <row r="1169">
      <c r="A1169" s="14"/>
      <c r="E1169" s="35"/>
      <c r="F1169" s="38"/>
      <c r="G1169" s="38"/>
      <c r="H1169" s="38"/>
      <c r="I1169" s="38"/>
      <c r="J1169" s="38"/>
    </row>
    <row r="1170">
      <c r="A1170" s="14"/>
      <c r="E1170" s="35"/>
      <c r="F1170" s="38"/>
      <c r="G1170" s="38"/>
      <c r="H1170" s="38"/>
      <c r="I1170" s="38"/>
      <c r="J1170" s="38"/>
    </row>
    <row r="1171">
      <c r="A1171" s="14"/>
      <c r="E1171" s="35"/>
      <c r="F1171" s="38"/>
      <c r="G1171" s="38"/>
      <c r="H1171" s="38"/>
      <c r="I1171" s="38"/>
      <c r="J1171" s="38"/>
    </row>
    <row r="1172">
      <c r="A1172" s="14"/>
      <c r="E1172" s="35"/>
      <c r="F1172" s="38"/>
      <c r="G1172" s="38"/>
      <c r="H1172" s="38"/>
      <c r="I1172" s="38"/>
      <c r="J1172" s="38"/>
    </row>
    <row r="1173">
      <c r="A1173" s="14"/>
      <c r="E1173" s="35"/>
      <c r="F1173" s="38"/>
      <c r="G1173" s="38"/>
      <c r="H1173" s="38"/>
      <c r="I1173" s="38"/>
      <c r="J1173" s="38"/>
    </row>
    <row r="1174">
      <c r="A1174" s="14"/>
      <c r="E1174" s="35"/>
      <c r="F1174" s="38"/>
      <c r="G1174" s="38"/>
      <c r="H1174" s="38"/>
      <c r="I1174" s="38"/>
      <c r="J1174" s="38"/>
    </row>
    <row r="1175">
      <c r="A1175" s="14"/>
      <c r="E1175" s="35"/>
      <c r="F1175" s="38"/>
      <c r="G1175" s="38"/>
      <c r="H1175" s="38"/>
      <c r="I1175" s="38"/>
      <c r="J1175" s="38"/>
    </row>
    <row r="1176">
      <c r="A1176" s="14"/>
      <c r="E1176" s="35"/>
      <c r="F1176" s="38"/>
      <c r="G1176" s="38"/>
      <c r="H1176" s="38"/>
      <c r="I1176" s="38"/>
      <c r="J1176" s="38"/>
    </row>
    <row r="1177">
      <c r="A1177" s="14"/>
      <c r="E1177" s="35"/>
      <c r="F1177" s="38"/>
      <c r="G1177" s="38"/>
      <c r="H1177" s="38"/>
      <c r="I1177" s="38"/>
      <c r="J1177" s="38"/>
    </row>
    <row r="1178">
      <c r="A1178" s="14"/>
      <c r="E1178" s="35"/>
      <c r="F1178" s="38"/>
      <c r="G1178" s="38"/>
      <c r="H1178" s="38"/>
      <c r="I1178" s="38"/>
      <c r="J1178" s="38"/>
    </row>
    <row r="1179">
      <c r="A1179" s="14"/>
      <c r="E1179" s="35"/>
      <c r="F1179" s="38"/>
      <c r="G1179" s="38"/>
      <c r="H1179" s="38"/>
      <c r="I1179" s="38"/>
      <c r="J1179" s="38"/>
    </row>
    <row r="1180">
      <c r="A1180" s="14"/>
      <c r="E1180" s="35"/>
      <c r="F1180" s="38"/>
      <c r="G1180" s="38"/>
      <c r="H1180" s="38"/>
      <c r="I1180" s="38"/>
      <c r="J1180" s="38"/>
    </row>
    <row r="1181">
      <c r="A1181" s="14"/>
      <c r="E1181" s="35"/>
      <c r="F1181" s="38"/>
      <c r="G1181" s="38"/>
      <c r="H1181" s="38"/>
      <c r="I1181" s="38"/>
      <c r="J1181" s="38"/>
    </row>
    <row r="1182">
      <c r="A1182" s="14"/>
      <c r="E1182" s="35"/>
      <c r="F1182" s="38"/>
      <c r="G1182" s="38"/>
      <c r="H1182" s="38"/>
      <c r="I1182" s="38"/>
      <c r="J1182" s="38"/>
    </row>
    <row r="1183">
      <c r="A1183" s="14"/>
      <c r="E1183" s="35"/>
      <c r="F1183" s="38"/>
      <c r="G1183" s="38"/>
      <c r="H1183" s="38"/>
      <c r="I1183" s="38"/>
      <c r="J1183" s="38"/>
    </row>
    <row r="1184">
      <c r="A1184" s="14"/>
      <c r="E1184" s="35"/>
      <c r="F1184" s="38"/>
      <c r="G1184" s="38"/>
      <c r="H1184" s="38"/>
      <c r="I1184" s="38"/>
      <c r="J1184" s="38"/>
    </row>
    <row r="1185">
      <c r="A1185" s="14"/>
      <c r="E1185" s="35"/>
      <c r="F1185" s="38"/>
      <c r="G1185" s="38"/>
      <c r="H1185" s="38"/>
      <c r="I1185" s="38"/>
      <c r="J1185" s="38"/>
    </row>
    <row r="1186">
      <c r="A1186" s="14"/>
      <c r="E1186" s="35"/>
      <c r="F1186" s="38"/>
      <c r="G1186" s="38"/>
      <c r="H1186" s="38"/>
      <c r="I1186" s="38"/>
      <c r="J1186" s="38"/>
    </row>
    <row r="1187">
      <c r="A1187" s="14"/>
      <c r="E1187" s="35"/>
      <c r="F1187" s="38"/>
      <c r="G1187" s="38"/>
      <c r="H1187" s="38"/>
      <c r="I1187" s="38"/>
      <c r="J1187" s="38"/>
    </row>
    <row r="1188">
      <c r="A1188" s="14"/>
      <c r="E1188" s="35"/>
      <c r="F1188" s="38"/>
      <c r="G1188" s="38"/>
      <c r="H1188" s="38"/>
      <c r="I1188" s="38"/>
      <c r="J1188" s="38"/>
    </row>
    <row r="1189">
      <c r="A1189" s="14"/>
      <c r="E1189" s="35"/>
      <c r="F1189" s="38"/>
      <c r="G1189" s="38"/>
      <c r="H1189" s="38"/>
      <c r="I1189" s="38"/>
      <c r="J1189" s="38"/>
    </row>
    <row r="1190">
      <c r="A1190" s="14"/>
      <c r="E1190" s="35"/>
      <c r="F1190" s="38"/>
      <c r="G1190" s="38"/>
      <c r="H1190" s="38"/>
      <c r="I1190" s="38"/>
      <c r="J1190" s="38"/>
    </row>
    <row r="1191">
      <c r="A1191" s="14"/>
      <c r="E1191" s="35"/>
      <c r="F1191" s="38"/>
      <c r="G1191" s="38"/>
      <c r="H1191" s="38"/>
      <c r="I1191" s="38"/>
      <c r="J1191" s="38"/>
    </row>
    <row r="1192">
      <c r="A1192" s="14"/>
      <c r="E1192" s="35"/>
      <c r="F1192" s="38"/>
      <c r="G1192" s="38"/>
      <c r="H1192" s="38"/>
      <c r="I1192" s="38"/>
      <c r="J1192" s="38"/>
    </row>
    <row r="1193">
      <c r="A1193" s="14"/>
      <c r="E1193" s="35"/>
      <c r="F1193" s="38"/>
      <c r="G1193" s="38"/>
      <c r="H1193" s="38"/>
      <c r="I1193" s="38"/>
      <c r="J1193" s="38"/>
    </row>
    <row r="1194">
      <c r="A1194" s="14"/>
      <c r="E1194" s="35"/>
      <c r="F1194" s="38"/>
      <c r="G1194" s="38"/>
      <c r="H1194" s="38"/>
      <c r="I1194" s="38"/>
      <c r="J1194" s="38"/>
    </row>
    <row r="1195">
      <c r="A1195" s="14"/>
      <c r="E1195" s="35"/>
      <c r="F1195" s="38"/>
      <c r="G1195" s="38"/>
      <c r="H1195" s="38"/>
      <c r="I1195" s="38"/>
      <c r="J1195" s="38"/>
    </row>
    <row r="1196">
      <c r="A1196" s="14"/>
      <c r="E1196" s="35"/>
      <c r="F1196" s="38"/>
      <c r="G1196" s="38"/>
      <c r="H1196" s="38"/>
      <c r="I1196" s="38"/>
      <c r="J1196" s="38"/>
    </row>
    <row r="1197">
      <c r="A1197" s="14"/>
      <c r="E1197" s="35"/>
      <c r="F1197" s="38"/>
      <c r="G1197" s="38"/>
      <c r="H1197" s="38"/>
      <c r="I1197" s="38"/>
      <c r="J1197" s="38"/>
    </row>
    <row r="1198">
      <c r="A1198" s="14"/>
      <c r="E1198" s="35"/>
      <c r="F1198" s="38"/>
      <c r="G1198" s="38"/>
      <c r="H1198" s="38"/>
      <c r="I1198" s="38"/>
      <c r="J1198" s="38"/>
    </row>
    <row r="1199">
      <c r="A1199" s="14"/>
      <c r="E1199" s="35"/>
      <c r="F1199" s="38"/>
      <c r="G1199" s="38"/>
      <c r="H1199" s="38"/>
      <c r="I1199" s="38"/>
      <c r="J1199" s="38"/>
    </row>
    <row r="1200">
      <c r="A1200" s="14"/>
      <c r="E1200" s="35"/>
      <c r="F1200" s="38"/>
      <c r="G1200" s="38"/>
      <c r="H1200" s="38"/>
      <c r="I1200" s="38"/>
      <c r="J1200" s="38"/>
    </row>
    <row r="1201">
      <c r="A1201" s="14"/>
      <c r="E1201" s="35"/>
      <c r="F1201" s="38"/>
      <c r="G1201" s="38"/>
      <c r="H1201" s="38"/>
      <c r="I1201" s="38"/>
      <c r="J1201" s="38"/>
    </row>
    <row r="1202">
      <c r="A1202" s="14"/>
      <c r="E1202" s="35"/>
      <c r="F1202" s="38"/>
      <c r="G1202" s="38"/>
      <c r="H1202" s="38"/>
      <c r="I1202" s="38"/>
      <c r="J1202" s="38"/>
    </row>
    <row r="1203">
      <c r="A1203" s="14"/>
      <c r="E1203" s="35"/>
      <c r="F1203" s="38"/>
      <c r="G1203" s="38"/>
      <c r="H1203" s="38"/>
      <c r="I1203" s="38"/>
      <c r="J1203" s="38"/>
    </row>
    <row r="1204">
      <c r="A1204" s="14"/>
      <c r="E1204" s="35"/>
      <c r="F1204" s="38"/>
      <c r="G1204" s="38"/>
      <c r="H1204" s="38"/>
      <c r="I1204" s="38"/>
      <c r="J1204" s="38"/>
    </row>
    <row r="1205">
      <c r="A1205" s="14"/>
      <c r="E1205" s="35"/>
      <c r="F1205" s="38"/>
      <c r="G1205" s="38"/>
      <c r="H1205" s="38"/>
      <c r="I1205" s="38"/>
      <c r="J1205" s="38"/>
    </row>
    <row r="1206">
      <c r="A1206" s="14"/>
      <c r="E1206" s="35"/>
      <c r="F1206" s="38"/>
      <c r="G1206" s="38"/>
      <c r="H1206" s="38"/>
      <c r="I1206" s="38"/>
      <c r="J1206" s="38"/>
    </row>
    <row r="1207">
      <c r="A1207" s="14"/>
      <c r="E1207" s="35"/>
      <c r="F1207" s="38"/>
      <c r="G1207" s="38"/>
      <c r="H1207" s="38"/>
      <c r="I1207" s="38"/>
      <c r="J1207" s="38"/>
    </row>
    <row r="1208">
      <c r="A1208" s="14"/>
      <c r="E1208" s="35"/>
      <c r="F1208" s="38"/>
      <c r="G1208" s="38"/>
      <c r="H1208" s="38"/>
      <c r="I1208" s="38"/>
      <c r="J1208" s="38"/>
    </row>
    <row r="1209">
      <c r="A1209" s="14"/>
      <c r="E1209" s="35"/>
      <c r="F1209" s="38"/>
      <c r="G1209" s="38"/>
      <c r="H1209" s="38"/>
      <c r="I1209" s="38"/>
      <c r="J1209" s="38"/>
    </row>
    <row r="1210">
      <c r="A1210" s="14"/>
      <c r="E1210" s="35"/>
      <c r="F1210" s="38"/>
      <c r="G1210" s="38"/>
      <c r="H1210" s="38"/>
      <c r="I1210" s="38"/>
      <c r="J1210" s="38"/>
    </row>
    <row r="1211">
      <c r="A1211" s="14"/>
      <c r="E1211" s="35"/>
      <c r="F1211" s="38"/>
      <c r="G1211" s="38"/>
      <c r="H1211" s="38"/>
      <c r="I1211" s="38"/>
      <c r="J1211" s="38"/>
    </row>
    <row r="1212">
      <c r="A1212" s="14"/>
      <c r="E1212" s="35"/>
      <c r="F1212" s="38"/>
      <c r="G1212" s="38"/>
      <c r="H1212" s="38"/>
      <c r="I1212" s="38"/>
      <c r="J1212" s="38"/>
    </row>
    <row r="1213">
      <c r="A1213" s="14"/>
      <c r="E1213" s="35"/>
      <c r="F1213" s="38"/>
      <c r="G1213" s="38"/>
      <c r="H1213" s="38"/>
      <c r="I1213" s="38"/>
      <c r="J1213" s="38"/>
    </row>
    <row r="1214">
      <c r="A1214" s="14"/>
      <c r="E1214" s="35"/>
      <c r="F1214" s="38"/>
      <c r="G1214" s="38"/>
      <c r="H1214" s="38"/>
      <c r="I1214" s="38"/>
      <c r="J1214" s="38"/>
    </row>
    <row r="1215">
      <c r="A1215" s="14"/>
      <c r="E1215" s="35"/>
      <c r="F1215" s="38"/>
      <c r="G1215" s="38"/>
      <c r="H1215" s="38"/>
      <c r="I1215" s="38"/>
      <c r="J1215" s="38"/>
    </row>
    <row r="1216">
      <c r="A1216" s="14"/>
      <c r="E1216" s="35"/>
      <c r="F1216" s="38"/>
      <c r="G1216" s="38"/>
      <c r="H1216" s="38"/>
      <c r="I1216" s="38"/>
      <c r="J1216" s="38"/>
    </row>
    <row r="1217">
      <c r="A1217" s="14"/>
      <c r="E1217" s="35"/>
      <c r="F1217" s="38"/>
      <c r="G1217" s="38"/>
      <c r="H1217" s="38"/>
      <c r="I1217" s="38"/>
      <c r="J1217" s="38"/>
    </row>
    <row r="1218">
      <c r="A1218" s="14"/>
      <c r="E1218" s="35"/>
      <c r="F1218" s="38"/>
      <c r="G1218" s="38"/>
      <c r="H1218" s="38"/>
      <c r="I1218" s="38"/>
      <c r="J1218" s="38"/>
    </row>
    <row r="1219">
      <c r="A1219" s="14"/>
      <c r="E1219" s="35"/>
      <c r="F1219" s="38"/>
      <c r="G1219" s="38"/>
      <c r="H1219" s="38"/>
      <c r="I1219" s="38"/>
      <c r="J1219" s="38"/>
    </row>
    <row r="1220">
      <c r="A1220" s="14"/>
      <c r="E1220" s="35"/>
      <c r="F1220" s="38"/>
      <c r="G1220" s="38"/>
      <c r="H1220" s="38"/>
      <c r="I1220" s="38"/>
      <c r="J1220" s="38"/>
    </row>
    <row r="1221">
      <c r="A1221" s="14"/>
      <c r="E1221" s="35"/>
      <c r="F1221" s="38"/>
      <c r="G1221" s="38"/>
      <c r="H1221" s="38"/>
      <c r="I1221" s="38"/>
      <c r="J1221" s="38"/>
    </row>
    <row r="1222">
      <c r="A1222" s="14"/>
      <c r="E1222" s="35"/>
      <c r="F1222" s="38"/>
      <c r="G1222" s="38"/>
      <c r="H1222" s="38"/>
      <c r="I1222" s="38"/>
      <c r="J1222" s="38"/>
    </row>
    <row r="1223">
      <c r="A1223" s="14"/>
      <c r="E1223" s="35"/>
      <c r="F1223" s="38"/>
      <c r="G1223" s="38"/>
      <c r="H1223" s="38"/>
      <c r="I1223" s="38"/>
      <c r="J1223" s="38"/>
    </row>
    <row r="1224">
      <c r="A1224" s="14"/>
      <c r="E1224" s="35"/>
      <c r="F1224" s="38"/>
      <c r="G1224" s="38"/>
      <c r="H1224" s="38"/>
      <c r="I1224" s="38"/>
      <c r="J1224" s="38"/>
    </row>
    <row r="1225">
      <c r="A1225" s="14"/>
      <c r="E1225" s="35"/>
      <c r="F1225" s="38"/>
      <c r="G1225" s="38"/>
      <c r="H1225" s="38"/>
      <c r="I1225" s="38"/>
      <c r="J1225" s="38"/>
    </row>
    <row r="1226">
      <c r="A1226" s="14"/>
      <c r="E1226" s="35"/>
      <c r="F1226" s="38"/>
      <c r="G1226" s="38"/>
      <c r="H1226" s="38"/>
      <c r="I1226" s="38"/>
      <c r="J1226" s="38"/>
    </row>
    <row r="1227">
      <c r="A1227" s="14"/>
      <c r="E1227" s="35"/>
      <c r="F1227" s="38"/>
      <c r="G1227" s="38"/>
      <c r="H1227" s="38"/>
      <c r="I1227" s="38"/>
      <c r="J1227" s="38"/>
    </row>
    <row r="1228">
      <c r="A1228" s="14"/>
      <c r="E1228" s="35"/>
      <c r="F1228" s="38"/>
      <c r="G1228" s="38"/>
      <c r="H1228" s="38"/>
      <c r="I1228" s="38"/>
      <c r="J1228" s="38"/>
    </row>
    <row r="1229">
      <c r="A1229" s="14"/>
      <c r="E1229" s="35"/>
      <c r="F1229" s="38"/>
      <c r="G1229" s="38"/>
      <c r="H1229" s="38"/>
      <c r="I1229" s="38"/>
      <c r="J1229" s="38"/>
    </row>
    <row r="1230">
      <c r="A1230" s="14"/>
      <c r="E1230" s="35"/>
      <c r="F1230" s="38"/>
      <c r="G1230" s="38"/>
      <c r="H1230" s="38"/>
      <c r="I1230" s="38"/>
      <c r="J1230" s="38"/>
    </row>
    <row r="1231">
      <c r="A1231" s="14"/>
      <c r="E1231" s="35"/>
      <c r="F1231" s="38"/>
      <c r="G1231" s="38"/>
      <c r="H1231" s="38"/>
      <c r="I1231" s="38"/>
      <c r="J1231" s="38"/>
    </row>
    <row r="1232">
      <c r="A1232" s="14"/>
      <c r="E1232" s="35"/>
      <c r="F1232" s="38"/>
      <c r="G1232" s="38"/>
      <c r="H1232" s="38"/>
      <c r="I1232" s="38"/>
      <c r="J1232" s="38"/>
    </row>
    <row r="1233">
      <c r="A1233" s="14"/>
      <c r="E1233" s="35"/>
      <c r="F1233" s="38"/>
      <c r="G1233" s="38"/>
      <c r="H1233" s="38"/>
      <c r="I1233" s="38"/>
      <c r="J1233" s="38"/>
    </row>
    <row r="1234">
      <c r="A1234" s="14"/>
      <c r="E1234" s="35"/>
      <c r="F1234" s="38"/>
      <c r="G1234" s="38"/>
      <c r="H1234" s="38"/>
      <c r="I1234" s="38"/>
      <c r="J1234" s="38"/>
    </row>
    <row r="1235">
      <c r="A1235" s="14"/>
      <c r="E1235" s="35"/>
      <c r="F1235" s="38"/>
      <c r="G1235" s="38"/>
      <c r="H1235" s="38"/>
      <c r="I1235" s="38"/>
      <c r="J1235" s="38"/>
    </row>
    <row r="1236">
      <c r="A1236" s="14"/>
      <c r="E1236" s="35"/>
      <c r="F1236" s="38"/>
      <c r="G1236" s="38"/>
      <c r="H1236" s="38"/>
      <c r="I1236" s="38"/>
      <c r="J1236" s="38"/>
    </row>
    <row r="1237">
      <c r="A1237" s="14"/>
      <c r="E1237" s="35"/>
      <c r="F1237" s="38"/>
      <c r="G1237" s="38"/>
      <c r="H1237" s="38"/>
      <c r="I1237" s="38"/>
      <c r="J1237" s="38"/>
    </row>
    <row r="1238">
      <c r="A1238" s="14"/>
      <c r="E1238" s="35"/>
      <c r="F1238" s="38"/>
      <c r="G1238" s="38"/>
      <c r="H1238" s="38"/>
      <c r="I1238" s="38"/>
      <c r="J1238" s="38"/>
    </row>
    <row r="1239">
      <c r="A1239" s="14"/>
      <c r="E1239" s="35"/>
      <c r="F1239" s="38"/>
      <c r="G1239" s="38"/>
      <c r="H1239" s="38"/>
      <c r="I1239" s="38"/>
      <c r="J1239" s="38"/>
    </row>
    <row r="1240">
      <c r="A1240" s="14"/>
      <c r="E1240" s="35"/>
      <c r="F1240" s="38"/>
      <c r="G1240" s="38"/>
      <c r="H1240" s="38"/>
      <c r="I1240" s="38"/>
      <c r="J1240" s="38"/>
    </row>
    <row r="1241">
      <c r="A1241" s="14"/>
      <c r="E1241" s="35"/>
      <c r="F1241" s="38"/>
      <c r="G1241" s="38"/>
      <c r="H1241" s="38"/>
      <c r="I1241" s="38"/>
      <c r="J1241" s="38"/>
    </row>
    <row r="1242">
      <c r="A1242" s="14"/>
      <c r="E1242" s="35"/>
      <c r="F1242" s="38"/>
      <c r="G1242" s="38"/>
      <c r="H1242" s="38"/>
      <c r="I1242" s="38"/>
      <c r="J1242" s="38"/>
    </row>
    <row r="1243">
      <c r="A1243" s="14"/>
      <c r="E1243" s="35"/>
      <c r="F1243" s="38"/>
      <c r="G1243" s="38"/>
      <c r="H1243" s="38"/>
      <c r="I1243" s="38"/>
      <c r="J1243" s="38"/>
    </row>
    <row r="1244">
      <c r="A1244" s="14"/>
      <c r="E1244" s="35"/>
      <c r="F1244" s="38"/>
      <c r="G1244" s="38"/>
      <c r="H1244" s="38"/>
      <c r="I1244" s="38"/>
      <c r="J1244" s="38"/>
    </row>
    <row r="1245">
      <c r="A1245" s="14"/>
      <c r="E1245" s="35"/>
      <c r="F1245" s="38"/>
      <c r="G1245" s="38"/>
      <c r="H1245" s="38"/>
      <c r="I1245" s="38"/>
      <c r="J1245" s="38"/>
    </row>
    <row r="1246">
      <c r="A1246" s="14"/>
      <c r="E1246" s="35"/>
      <c r="F1246" s="38"/>
      <c r="G1246" s="38"/>
      <c r="H1246" s="38"/>
      <c r="I1246" s="38"/>
      <c r="J1246" s="38"/>
    </row>
    <row r="1247">
      <c r="A1247" s="14"/>
      <c r="E1247" s="35"/>
      <c r="F1247" s="38"/>
      <c r="G1247" s="38"/>
      <c r="H1247" s="38"/>
      <c r="I1247" s="38"/>
      <c r="J1247" s="38"/>
    </row>
    <row r="1248">
      <c r="A1248" s="14"/>
      <c r="E1248" s="35"/>
      <c r="F1248" s="38"/>
      <c r="G1248" s="38"/>
      <c r="H1248" s="38"/>
      <c r="I1248" s="38"/>
      <c r="J1248" s="38"/>
    </row>
    <row r="1249">
      <c r="A1249" s="14"/>
      <c r="E1249" s="35"/>
      <c r="F1249" s="38"/>
      <c r="G1249" s="38"/>
      <c r="H1249" s="38"/>
      <c r="I1249" s="38"/>
      <c r="J1249" s="38"/>
    </row>
    <row r="1250">
      <c r="A1250" s="14"/>
      <c r="E1250" s="35"/>
      <c r="F1250" s="38"/>
      <c r="G1250" s="38"/>
      <c r="H1250" s="38"/>
      <c r="I1250" s="38"/>
      <c r="J1250" s="38"/>
    </row>
    <row r="1251">
      <c r="A1251" s="14"/>
      <c r="E1251" s="35"/>
      <c r="F1251" s="38"/>
      <c r="G1251" s="38"/>
      <c r="H1251" s="38"/>
      <c r="I1251" s="38"/>
      <c r="J1251" s="38"/>
    </row>
    <row r="1252">
      <c r="A1252" s="14"/>
      <c r="E1252" s="35"/>
      <c r="F1252" s="38"/>
      <c r="G1252" s="38"/>
      <c r="H1252" s="38"/>
      <c r="I1252" s="38"/>
      <c r="J1252" s="38"/>
    </row>
    <row r="1253">
      <c r="A1253" s="14"/>
      <c r="E1253" s="35"/>
      <c r="F1253" s="38"/>
      <c r="G1253" s="38"/>
      <c r="H1253" s="38"/>
      <c r="I1253" s="38"/>
      <c r="J1253" s="38"/>
    </row>
    <row r="1254">
      <c r="A1254" s="14"/>
      <c r="E1254" s="35"/>
      <c r="F1254" s="38"/>
      <c r="G1254" s="38"/>
      <c r="H1254" s="38"/>
      <c r="I1254" s="38"/>
      <c r="J1254" s="38"/>
    </row>
    <row r="1255">
      <c r="A1255" s="14"/>
      <c r="E1255" s="35"/>
      <c r="F1255" s="38"/>
      <c r="G1255" s="38"/>
      <c r="H1255" s="38"/>
      <c r="I1255" s="38"/>
      <c r="J1255" s="38"/>
    </row>
    <row r="1256">
      <c r="A1256" s="14"/>
      <c r="E1256" s="35"/>
      <c r="F1256" s="38"/>
      <c r="G1256" s="38"/>
      <c r="H1256" s="38"/>
      <c r="I1256" s="38"/>
      <c r="J1256" s="38"/>
    </row>
    <row r="1257">
      <c r="A1257" s="14"/>
      <c r="E1257" s="35"/>
      <c r="F1257" s="38"/>
      <c r="G1257" s="38"/>
      <c r="H1257" s="38"/>
      <c r="I1257" s="38"/>
      <c r="J1257" s="38"/>
    </row>
    <row r="1258">
      <c r="A1258" s="14"/>
      <c r="E1258" s="35"/>
      <c r="F1258" s="38"/>
      <c r="G1258" s="38"/>
      <c r="H1258" s="38"/>
      <c r="I1258" s="38"/>
      <c r="J1258" s="38"/>
    </row>
    <row r="1259">
      <c r="A1259" s="14"/>
      <c r="E1259" s="35"/>
      <c r="F1259" s="38"/>
      <c r="G1259" s="38"/>
      <c r="H1259" s="38"/>
      <c r="I1259" s="38"/>
      <c r="J1259" s="38"/>
    </row>
    <row r="1260">
      <c r="A1260" s="14"/>
      <c r="E1260" s="35"/>
      <c r="F1260" s="38"/>
      <c r="G1260" s="38"/>
      <c r="H1260" s="38"/>
      <c r="I1260" s="38"/>
      <c r="J1260" s="38"/>
    </row>
    <row r="1261">
      <c r="A1261" s="14"/>
      <c r="E1261" s="35"/>
      <c r="F1261" s="38"/>
      <c r="G1261" s="38"/>
      <c r="H1261" s="38"/>
      <c r="I1261" s="38"/>
      <c r="J1261" s="38"/>
    </row>
    <row r="1262">
      <c r="A1262" s="14"/>
      <c r="E1262" s="35"/>
      <c r="F1262" s="38"/>
      <c r="G1262" s="38"/>
      <c r="H1262" s="38"/>
      <c r="I1262" s="38"/>
      <c r="J1262" s="38"/>
    </row>
    <row r="1263">
      <c r="A1263" s="14"/>
      <c r="E1263" s="35"/>
      <c r="F1263" s="38"/>
      <c r="G1263" s="38"/>
      <c r="H1263" s="38"/>
      <c r="I1263" s="38"/>
      <c r="J1263" s="38"/>
    </row>
    <row r="1264">
      <c r="A1264" s="14"/>
      <c r="E1264" s="35"/>
      <c r="F1264" s="38"/>
      <c r="G1264" s="38"/>
      <c r="H1264" s="38"/>
      <c r="I1264" s="38"/>
      <c r="J1264" s="38"/>
    </row>
    <row r="1265">
      <c r="A1265" s="14"/>
      <c r="E1265" s="35"/>
      <c r="F1265" s="38"/>
      <c r="G1265" s="38"/>
      <c r="H1265" s="38"/>
      <c r="I1265" s="38"/>
      <c r="J1265" s="38"/>
    </row>
    <row r="1266">
      <c r="A1266" s="14"/>
      <c r="E1266" s="35"/>
      <c r="F1266" s="38"/>
      <c r="G1266" s="38"/>
      <c r="H1266" s="38"/>
      <c r="I1266" s="38"/>
      <c r="J1266" s="38"/>
    </row>
    <row r="1267">
      <c r="A1267" s="14"/>
      <c r="E1267" s="35"/>
      <c r="F1267" s="38"/>
      <c r="G1267" s="38"/>
      <c r="H1267" s="38"/>
      <c r="I1267" s="38"/>
      <c r="J1267" s="38"/>
    </row>
    <row r="1268">
      <c r="A1268" s="14"/>
      <c r="E1268" s="35"/>
      <c r="F1268" s="38"/>
      <c r="G1268" s="38"/>
      <c r="H1268" s="38"/>
      <c r="I1268" s="38"/>
      <c r="J1268" s="38"/>
    </row>
    <row r="1269">
      <c r="A1269" s="14"/>
      <c r="E1269" s="35"/>
      <c r="F1269" s="38"/>
      <c r="G1269" s="38"/>
      <c r="H1269" s="38"/>
      <c r="I1269" s="38"/>
      <c r="J1269" s="38"/>
    </row>
    <row r="1270">
      <c r="A1270" s="14"/>
      <c r="E1270" s="35"/>
      <c r="F1270" s="38"/>
      <c r="G1270" s="38"/>
      <c r="H1270" s="38"/>
      <c r="I1270" s="38"/>
      <c r="J1270" s="38"/>
    </row>
    <row r="1271">
      <c r="A1271" s="14"/>
      <c r="E1271" s="35"/>
      <c r="F1271" s="38"/>
      <c r="G1271" s="38"/>
      <c r="H1271" s="38"/>
      <c r="I1271" s="38"/>
      <c r="J1271" s="38"/>
    </row>
    <row r="1272">
      <c r="A1272" s="14"/>
      <c r="E1272" s="35"/>
      <c r="F1272" s="38"/>
      <c r="G1272" s="38"/>
      <c r="H1272" s="38"/>
      <c r="I1272" s="38"/>
      <c r="J1272" s="38"/>
    </row>
    <row r="1273">
      <c r="A1273" s="14"/>
      <c r="E1273" s="35"/>
      <c r="F1273" s="38"/>
      <c r="G1273" s="38"/>
      <c r="H1273" s="38"/>
      <c r="I1273" s="38"/>
      <c r="J1273" s="38"/>
    </row>
    <row r="1274">
      <c r="A1274" s="14"/>
      <c r="E1274" s="35"/>
      <c r="F1274" s="38"/>
      <c r="G1274" s="38"/>
      <c r="H1274" s="38"/>
      <c r="I1274" s="38"/>
      <c r="J1274" s="38"/>
    </row>
    <row r="1275">
      <c r="A1275" s="14"/>
      <c r="E1275" s="35"/>
      <c r="F1275" s="38"/>
      <c r="G1275" s="38"/>
      <c r="H1275" s="38"/>
      <c r="I1275" s="38"/>
      <c r="J1275" s="38"/>
    </row>
    <row r="1276">
      <c r="A1276" s="14"/>
      <c r="E1276" s="35"/>
      <c r="F1276" s="38"/>
      <c r="G1276" s="38"/>
      <c r="H1276" s="38"/>
      <c r="I1276" s="38"/>
      <c r="J1276" s="38"/>
    </row>
    <row r="1277">
      <c r="A1277" s="14"/>
      <c r="E1277" s="35"/>
      <c r="F1277" s="38"/>
      <c r="G1277" s="38"/>
      <c r="H1277" s="38"/>
      <c r="I1277" s="38"/>
      <c r="J1277" s="38"/>
    </row>
    <row r="1278">
      <c r="A1278" s="14"/>
      <c r="E1278" s="35"/>
      <c r="F1278" s="38"/>
      <c r="G1278" s="38"/>
      <c r="H1278" s="38"/>
      <c r="I1278" s="38"/>
      <c r="J1278" s="38"/>
    </row>
    <row r="1279">
      <c r="A1279" s="14"/>
      <c r="E1279" s="35"/>
      <c r="F1279" s="38"/>
      <c r="G1279" s="38"/>
      <c r="H1279" s="38"/>
      <c r="I1279" s="38"/>
      <c r="J1279" s="38"/>
    </row>
    <row r="1280">
      <c r="A1280" s="14"/>
      <c r="E1280" s="35"/>
      <c r="F1280" s="38"/>
      <c r="G1280" s="38"/>
      <c r="H1280" s="38"/>
      <c r="I1280" s="38"/>
      <c r="J1280" s="38"/>
    </row>
    <row r="1281">
      <c r="A1281" s="14"/>
      <c r="E1281" s="35"/>
      <c r="F1281" s="38"/>
      <c r="G1281" s="38"/>
      <c r="H1281" s="38"/>
      <c r="I1281" s="38"/>
      <c r="J1281" s="38"/>
    </row>
    <row r="1282">
      <c r="A1282" s="14"/>
      <c r="E1282" s="35"/>
      <c r="F1282" s="38"/>
      <c r="G1282" s="38"/>
      <c r="H1282" s="38"/>
      <c r="I1282" s="38"/>
      <c r="J1282" s="38"/>
    </row>
    <row r="1283">
      <c r="A1283" s="14"/>
      <c r="E1283" s="35"/>
      <c r="F1283" s="38"/>
      <c r="G1283" s="38"/>
      <c r="H1283" s="38"/>
      <c r="I1283" s="38"/>
      <c r="J1283" s="38"/>
    </row>
    <row r="1284">
      <c r="A1284" s="14"/>
      <c r="E1284" s="35"/>
      <c r="F1284" s="38"/>
      <c r="G1284" s="38"/>
      <c r="H1284" s="38"/>
      <c r="I1284" s="38"/>
      <c r="J1284" s="38"/>
    </row>
    <row r="1285">
      <c r="A1285" s="14"/>
      <c r="E1285" s="35"/>
      <c r="F1285" s="38"/>
      <c r="G1285" s="38"/>
      <c r="H1285" s="38"/>
      <c r="I1285" s="38"/>
      <c r="J1285" s="38"/>
    </row>
    <row r="1286">
      <c r="A1286" s="14"/>
      <c r="E1286" s="35"/>
      <c r="F1286" s="38"/>
      <c r="G1286" s="38"/>
      <c r="H1286" s="38"/>
      <c r="I1286" s="38"/>
      <c r="J1286" s="38"/>
    </row>
    <row r="1287">
      <c r="A1287" s="14"/>
      <c r="E1287" s="35"/>
      <c r="F1287" s="38"/>
      <c r="G1287" s="38"/>
      <c r="H1287" s="38"/>
      <c r="I1287" s="38"/>
      <c r="J1287" s="38"/>
    </row>
    <row r="1288">
      <c r="A1288" s="14"/>
      <c r="E1288" s="35"/>
      <c r="F1288" s="38"/>
      <c r="G1288" s="38"/>
      <c r="H1288" s="38"/>
      <c r="I1288" s="38"/>
      <c r="J1288" s="38"/>
    </row>
    <row r="1289">
      <c r="A1289" s="14"/>
      <c r="E1289" s="35"/>
      <c r="F1289" s="38"/>
      <c r="G1289" s="38"/>
      <c r="H1289" s="38"/>
      <c r="I1289" s="38"/>
      <c r="J1289" s="38"/>
    </row>
    <row r="1290">
      <c r="A1290" s="14"/>
      <c r="E1290" s="35"/>
      <c r="F1290" s="38"/>
      <c r="G1290" s="38"/>
      <c r="H1290" s="38"/>
      <c r="I1290" s="38"/>
      <c r="J1290" s="38"/>
    </row>
    <row r="1291">
      <c r="A1291" s="14"/>
      <c r="E1291" s="35"/>
      <c r="F1291" s="38"/>
      <c r="G1291" s="38"/>
      <c r="H1291" s="38"/>
      <c r="I1291" s="38"/>
      <c r="J1291" s="38"/>
    </row>
    <row r="1292">
      <c r="A1292" s="14"/>
      <c r="E1292" s="35"/>
      <c r="F1292" s="38"/>
      <c r="G1292" s="38"/>
      <c r="H1292" s="38"/>
      <c r="I1292" s="38"/>
      <c r="J1292" s="38"/>
    </row>
    <row r="1293">
      <c r="A1293" s="14"/>
      <c r="E1293" s="35"/>
      <c r="F1293" s="38"/>
      <c r="G1293" s="38"/>
      <c r="H1293" s="38"/>
      <c r="I1293" s="38"/>
      <c r="J1293" s="38"/>
    </row>
    <row r="1294">
      <c r="A1294" s="14"/>
      <c r="E1294" s="35"/>
      <c r="F1294" s="38"/>
      <c r="G1294" s="38"/>
      <c r="H1294" s="38"/>
      <c r="I1294" s="38"/>
      <c r="J1294" s="38"/>
    </row>
    <row r="1295">
      <c r="A1295" s="14"/>
      <c r="E1295" s="35"/>
      <c r="F1295" s="38"/>
      <c r="G1295" s="38"/>
      <c r="H1295" s="38"/>
      <c r="I1295" s="38"/>
      <c r="J1295" s="38"/>
    </row>
    <row r="1296">
      <c r="A1296" s="14"/>
      <c r="E1296" s="35"/>
      <c r="F1296" s="38"/>
      <c r="G1296" s="38"/>
      <c r="H1296" s="38"/>
      <c r="I1296" s="38"/>
      <c r="J1296" s="38"/>
    </row>
    <row r="1297">
      <c r="A1297" s="14"/>
      <c r="E1297" s="35"/>
      <c r="F1297" s="38"/>
      <c r="G1297" s="38"/>
      <c r="H1297" s="38"/>
      <c r="I1297" s="38"/>
      <c r="J1297" s="38"/>
    </row>
    <row r="1298">
      <c r="A1298" s="14"/>
      <c r="E1298" s="35"/>
      <c r="F1298" s="38"/>
      <c r="G1298" s="38"/>
      <c r="H1298" s="38"/>
      <c r="I1298" s="38"/>
      <c r="J1298" s="38"/>
    </row>
    <row r="1299">
      <c r="A1299" s="14"/>
      <c r="E1299" s="35"/>
      <c r="F1299" s="38"/>
      <c r="G1299" s="38"/>
      <c r="H1299" s="38"/>
      <c r="I1299" s="38"/>
      <c r="J1299" s="38"/>
    </row>
    <row r="1300">
      <c r="A1300" s="14"/>
      <c r="E1300" s="35"/>
      <c r="F1300" s="38"/>
      <c r="G1300" s="38"/>
      <c r="H1300" s="38"/>
      <c r="I1300" s="38"/>
      <c r="J1300" s="38"/>
    </row>
    <row r="1301">
      <c r="A1301" s="14"/>
      <c r="E1301" s="35"/>
      <c r="F1301" s="38"/>
      <c r="G1301" s="38"/>
      <c r="H1301" s="38"/>
      <c r="I1301" s="38"/>
      <c r="J1301" s="38"/>
    </row>
    <row r="1302">
      <c r="A1302" s="14"/>
      <c r="E1302" s="35"/>
      <c r="F1302" s="38"/>
      <c r="G1302" s="38"/>
      <c r="H1302" s="38"/>
      <c r="I1302" s="38"/>
      <c r="J1302" s="38"/>
    </row>
    <row r="1303">
      <c r="A1303" s="14"/>
      <c r="E1303" s="35"/>
      <c r="F1303" s="38"/>
      <c r="G1303" s="38"/>
      <c r="H1303" s="38"/>
      <c r="I1303" s="38"/>
      <c r="J1303" s="38"/>
    </row>
    <row r="1304">
      <c r="A1304" s="14"/>
      <c r="E1304" s="35"/>
      <c r="F1304" s="38"/>
      <c r="G1304" s="38"/>
      <c r="H1304" s="38"/>
      <c r="I1304" s="38"/>
      <c r="J1304" s="38"/>
    </row>
    <row r="1305">
      <c r="A1305" s="14"/>
      <c r="E1305" s="35"/>
      <c r="F1305" s="38"/>
      <c r="G1305" s="38"/>
      <c r="H1305" s="38"/>
      <c r="I1305" s="38"/>
      <c r="J1305" s="38"/>
    </row>
    <row r="1306">
      <c r="A1306" s="14"/>
      <c r="E1306" s="35"/>
      <c r="F1306" s="38"/>
      <c r="G1306" s="38"/>
      <c r="H1306" s="38"/>
      <c r="I1306" s="38"/>
      <c r="J1306" s="38"/>
    </row>
    <row r="1307">
      <c r="A1307" s="14"/>
      <c r="E1307" s="35"/>
      <c r="F1307" s="38"/>
      <c r="G1307" s="38"/>
      <c r="H1307" s="38"/>
      <c r="I1307" s="38"/>
      <c r="J1307" s="38"/>
    </row>
    <row r="1308">
      <c r="A1308" s="14"/>
      <c r="E1308" s="35"/>
      <c r="F1308" s="38"/>
      <c r="G1308" s="38"/>
      <c r="H1308" s="38"/>
      <c r="I1308" s="38"/>
      <c r="J1308" s="38"/>
    </row>
    <row r="1309">
      <c r="A1309" s="14"/>
      <c r="E1309" s="35"/>
      <c r="F1309" s="38"/>
      <c r="G1309" s="38"/>
      <c r="H1309" s="38"/>
      <c r="I1309" s="38"/>
      <c r="J1309" s="38"/>
    </row>
    <row r="1310">
      <c r="A1310" s="14"/>
      <c r="E1310" s="35"/>
      <c r="F1310" s="38"/>
      <c r="G1310" s="38"/>
      <c r="H1310" s="38"/>
      <c r="I1310" s="38"/>
      <c r="J1310" s="38"/>
    </row>
    <row r="1311">
      <c r="A1311" s="14"/>
      <c r="E1311" s="35"/>
      <c r="F1311" s="38"/>
      <c r="G1311" s="38"/>
      <c r="H1311" s="38"/>
      <c r="I1311" s="38"/>
      <c r="J1311" s="38"/>
    </row>
    <row r="1312">
      <c r="A1312" s="14"/>
      <c r="E1312" s="35"/>
      <c r="F1312" s="38"/>
      <c r="G1312" s="38"/>
      <c r="H1312" s="38"/>
      <c r="I1312" s="38"/>
      <c r="J1312" s="38"/>
    </row>
    <row r="1313">
      <c r="A1313" s="14"/>
      <c r="E1313" s="35"/>
      <c r="F1313" s="38"/>
      <c r="G1313" s="38"/>
      <c r="H1313" s="38"/>
      <c r="I1313" s="38"/>
      <c r="J1313" s="38"/>
    </row>
    <row r="1314">
      <c r="A1314" s="14"/>
      <c r="E1314" s="35"/>
      <c r="F1314" s="38"/>
      <c r="G1314" s="38"/>
      <c r="H1314" s="38"/>
      <c r="I1314" s="38"/>
      <c r="J1314" s="38"/>
    </row>
    <row r="1315">
      <c r="A1315" s="14"/>
      <c r="E1315" s="35"/>
      <c r="F1315" s="38"/>
      <c r="G1315" s="38"/>
      <c r="H1315" s="38"/>
      <c r="I1315" s="38"/>
      <c r="J1315" s="38"/>
    </row>
    <row r="1316">
      <c r="A1316" s="14"/>
      <c r="E1316" s="35"/>
      <c r="F1316" s="38"/>
      <c r="G1316" s="38"/>
      <c r="H1316" s="38"/>
      <c r="I1316" s="38"/>
      <c r="J1316" s="38"/>
    </row>
    <row r="1317">
      <c r="A1317" s="14"/>
      <c r="E1317" s="35"/>
      <c r="F1317" s="38"/>
      <c r="G1317" s="38"/>
      <c r="H1317" s="38"/>
      <c r="I1317" s="38"/>
      <c r="J1317" s="38"/>
    </row>
    <row r="1318">
      <c r="A1318" s="14"/>
      <c r="E1318" s="35"/>
      <c r="F1318" s="38"/>
      <c r="G1318" s="38"/>
      <c r="H1318" s="38"/>
      <c r="I1318" s="38"/>
      <c r="J1318" s="38"/>
    </row>
    <row r="1319">
      <c r="A1319" s="14"/>
      <c r="E1319" s="35"/>
      <c r="F1319" s="38"/>
      <c r="G1319" s="38"/>
      <c r="H1319" s="38"/>
      <c r="I1319" s="38"/>
      <c r="J1319" s="38"/>
    </row>
    <row r="1320">
      <c r="A1320" s="14"/>
      <c r="E1320" s="35"/>
      <c r="F1320" s="38"/>
      <c r="G1320" s="38"/>
      <c r="H1320" s="38"/>
      <c r="I1320" s="38"/>
      <c r="J1320" s="38"/>
    </row>
    <row r="1321">
      <c r="A1321" s="14"/>
      <c r="E1321" s="35"/>
      <c r="F1321" s="38"/>
      <c r="G1321" s="38"/>
      <c r="H1321" s="38"/>
      <c r="I1321" s="38"/>
      <c r="J1321" s="38"/>
    </row>
    <row r="1322">
      <c r="A1322" s="14"/>
      <c r="E1322" s="35"/>
      <c r="F1322" s="38"/>
      <c r="G1322" s="38"/>
      <c r="H1322" s="38"/>
      <c r="I1322" s="38"/>
      <c r="J1322" s="38"/>
    </row>
    <row r="1323">
      <c r="A1323" s="14"/>
      <c r="E1323" s="35"/>
      <c r="F1323" s="38"/>
      <c r="G1323" s="38"/>
      <c r="H1323" s="38"/>
      <c r="I1323" s="38"/>
      <c r="J1323" s="38"/>
    </row>
    <row r="1324">
      <c r="A1324" s="14"/>
      <c r="E1324" s="35"/>
      <c r="F1324" s="38"/>
      <c r="G1324" s="38"/>
      <c r="H1324" s="38"/>
      <c r="I1324" s="38"/>
      <c r="J1324" s="38"/>
    </row>
    <row r="1325">
      <c r="A1325" s="14"/>
      <c r="E1325" s="35"/>
      <c r="F1325" s="38"/>
      <c r="G1325" s="38"/>
      <c r="H1325" s="38"/>
      <c r="I1325" s="38"/>
      <c r="J1325" s="38"/>
    </row>
    <row r="1326">
      <c r="A1326" s="14"/>
      <c r="E1326" s="35"/>
      <c r="F1326" s="38"/>
      <c r="G1326" s="38"/>
      <c r="H1326" s="38"/>
      <c r="I1326" s="38"/>
      <c r="J1326" s="38"/>
    </row>
    <row r="1327">
      <c r="A1327" s="14"/>
      <c r="E1327" s="35"/>
      <c r="F1327" s="38"/>
      <c r="G1327" s="38"/>
      <c r="H1327" s="38"/>
      <c r="I1327" s="38"/>
      <c r="J1327" s="38"/>
    </row>
    <row r="1328">
      <c r="A1328" s="14"/>
      <c r="E1328" s="35"/>
      <c r="F1328" s="38"/>
      <c r="G1328" s="38"/>
      <c r="H1328" s="38"/>
      <c r="I1328" s="38"/>
      <c r="J1328" s="38"/>
    </row>
    <row r="1329">
      <c r="A1329" s="14"/>
      <c r="E1329" s="35"/>
      <c r="F1329" s="38"/>
      <c r="G1329" s="38"/>
      <c r="H1329" s="38"/>
      <c r="I1329" s="38"/>
      <c r="J1329" s="38"/>
    </row>
    <row r="1330">
      <c r="A1330" s="14"/>
      <c r="E1330" s="35"/>
      <c r="F1330" s="38"/>
      <c r="G1330" s="38"/>
      <c r="H1330" s="38"/>
      <c r="I1330" s="38"/>
      <c r="J1330" s="38"/>
    </row>
    <row r="1331">
      <c r="A1331" s="14"/>
      <c r="E1331" s="35"/>
      <c r="F1331" s="38"/>
      <c r="G1331" s="38"/>
      <c r="H1331" s="38"/>
      <c r="I1331" s="38"/>
      <c r="J1331" s="38"/>
    </row>
    <row r="1332">
      <c r="A1332" s="14"/>
      <c r="E1332" s="35"/>
      <c r="F1332" s="38"/>
      <c r="G1332" s="38"/>
      <c r="H1332" s="38"/>
      <c r="I1332" s="38"/>
      <c r="J1332" s="38"/>
    </row>
    <row r="1333">
      <c r="A1333" s="14"/>
      <c r="E1333" s="35"/>
      <c r="F1333" s="38"/>
      <c r="G1333" s="38"/>
      <c r="H1333" s="38"/>
      <c r="I1333" s="38"/>
      <c r="J1333" s="38"/>
    </row>
    <row r="1334">
      <c r="A1334" s="14"/>
      <c r="E1334" s="35"/>
      <c r="F1334" s="38"/>
      <c r="G1334" s="38"/>
      <c r="H1334" s="38"/>
      <c r="I1334" s="38"/>
      <c r="J1334" s="38"/>
    </row>
    <row r="1335">
      <c r="A1335" s="14"/>
      <c r="E1335" s="35"/>
      <c r="F1335" s="38"/>
      <c r="G1335" s="38"/>
      <c r="H1335" s="38"/>
      <c r="I1335" s="38"/>
      <c r="J1335" s="38"/>
    </row>
    <row r="1336">
      <c r="A1336" s="14"/>
      <c r="E1336" s="35"/>
      <c r="F1336" s="38"/>
      <c r="G1336" s="38"/>
      <c r="H1336" s="38"/>
      <c r="I1336" s="38"/>
      <c r="J1336" s="38"/>
    </row>
    <row r="1337">
      <c r="A1337" s="14"/>
      <c r="E1337" s="35"/>
      <c r="F1337" s="38"/>
      <c r="G1337" s="38"/>
      <c r="H1337" s="38"/>
      <c r="I1337" s="38"/>
      <c r="J1337" s="38"/>
    </row>
    <row r="1338">
      <c r="A1338" s="14"/>
      <c r="E1338" s="35"/>
      <c r="F1338" s="38"/>
      <c r="G1338" s="38"/>
      <c r="H1338" s="38"/>
      <c r="I1338" s="38"/>
      <c r="J1338" s="38"/>
    </row>
    <row r="1339">
      <c r="A1339" s="14"/>
      <c r="E1339" s="35"/>
      <c r="F1339" s="38"/>
      <c r="G1339" s="38"/>
      <c r="H1339" s="38"/>
      <c r="I1339" s="38"/>
      <c r="J1339" s="38"/>
    </row>
    <row r="1340">
      <c r="A1340" s="14"/>
      <c r="E1340" s="35"/>
      <c r="F1340" s="38"/>
      <c r="G1340" s="38"/>
      <c r="H1340" s="38"/>
      <c r="I1340" s="38"/>
      <c r="J1340" s="38"/>
    </row>
    <row r="1341">
      <c r="A1341" s="14"/>
      <c r="E1341" s="35"/>
      <c r="F1341" s="38"/>
      <c r="G1341" s="38"/>
      <c r="H1341" s="38"/>
      <c r="I1341" s="38"/>
      <c r="J1341" s="38"/>
    </row>
    <row r="1342">
      <c r="A1342" s="14"/>
      <c r="E1342" s="35"/>
      <c r="F1342" s="38"/>
      <c r="G1342" s="38"/>
      <c r="H1342" s="38"/>
      <c r="I1342" s="38"/>
      <c r="J1342" s="38"/>
    </row>
    <row r="1343">
      <c r="A1343" s="14"/>
      <c r="E1343" s="35"/>
      <c r="F1343" s="38"/>
      <c r="G1343" s="38"/>
      <c r="H1343" s="38"/>
      <c r="I1343" s="38"/>
      <c r="J1343" s="38"/>
    </row>
    <row r="1344">
      <c r="A1344" s="14"/>
      <c r="E1344" s="35"/>
      <c r="F1344" s="38"/>
      <c r="G1344" s="38"/>
      <c r="H1344" s="38"/>
      <c r="I1344" s="38"/>
      <c r="J1344" s="38"/>
    </row>
    <row r="1345">
      <c r="A1345" s="14"/>
      <c r="E1345" s="35"/>
      <c r="F1345" s="38"/>
      <c r="G1345" s="38"/>
      <c r="H1345" s="38"/>
      <c r="I1345" s="38"/>
      <c r="J1345" s="38"/>
    </row>
    <row r="1346">
      <c r="A1346" s="14"/>
      <c r="E1346" s="35"/>
      <c r="F1346" s="38"/>
      <c r="G1346" s="38"/>
      <c r="H1346" s="38"/>
      <c r="I1346" s="38"/>
      <c r="J1346" s="38"/>
    </row>
    <row r="1347">
      <c r="A1347" s="14"/>
      <c r="E1347" s="35"/>
      <c r="F1347" s="38"/>
      <c r="G1347" s="38"/>
      <c r="H1347" s="38"/>
      <c r="I1347" s="38"/>
      <c r="J1347" s="38"/>
    </row>
    <row r="1348">
      <c r="A1348" s="14"/>
      <c r="E1348" s="35"/>
      <c r="F1348" s="38"/>
      <c r="G1348" s="38"/>
      <c r="H1348" s="38"/>
      <c r="I1348" s="38"/>
      <c r="J1348" s="38"/>
    </row>
    <row r="1349">
      <c r="A1349" s="14"/>
      <c r="E1349" s="35"/>
      <c r="F1349" s="38"/>
      <c r="G1349" s="38"/>
      <c r="H1349" s="38"/>
      <c r="I1349" s="38"/>
      <c r="J1349" s="38"/>
    </row>
    <row r="1350">
      <c r="A1350" s="14"/>
      <c r="E1350" s="35"/>
      <c r="F1350" s="38"/>
      <c r="G1350" s="38"/>
      <c r="H1350" s="38"/>
      <c r="I1350" s="38"/>
      <c r="J1350" s="38"/>
    </row>
    <row r="1351">
      <c r="A1351" s="14"/>
      <c r="E1351" s="35"/>
      <c r="F1351" s="38"/>
      <c r="G1351" s="38"/>
      <c r="H1351" s="38"/>
      <c r="I1351" s="38"/>
      <c r="J1351" s="38"/>
    </row>
    <row r="1352">
      <c r="A1352" s="14"/>
      <c r="E1352" s="35"/>
      <c r="F1352" s="38"/>
      <c r="G1352" s="38"/>
      <c r="H1352" s="38"/>
      <c r="I1352" s="38"/>
      <c r="J1352" s="38"/>
    </row>
    <row r="1353">
      <c r="A1353" s="14"/>
      <c r="E1353" s="35"/>
      <c r="F1353" s="38"/>
      <c r="G1353" s="38"/>
      <c r="H1353" s="38"/>
      <c r="I1353" s="38"/>
      <c r="J1353" s="38"/>
    </row>
    <row r="1354">
      <c r="A1354" s="14"/>
      <c r="E1354" s="35"/>
      <c r="F1354" s="38"/>
      <c r="G1354" s="38"/>
      <c r="H1354" s="38"/>
      <c r="I1354" s="38"/>
      <c r="J1354" s="38"/>
    </row>
    <row r="1355">
      <c r="A1355" s="14"/>
      <c r="E1355" s="35"/>
      <c r="F1355" s="38"/>
      <c r="G1355" s="38"/>
      <c r="H1355" s="38"/>
      <c r="I1355" s="38"/>
      <c r="J1355" s="38"/>
    </row>
    <row r="1356">
      <c r="A1356" s="14"/>
      <c r="E1356" s="35"/>
      <c r="F1356" s="38"/>
      <c r="G1356" s="38"/>
      <c r="H1356" s="38"/>
      <c r="I1356" s="38"/>
      <c r="J1356" s="38"/>
    </row>
    <row r="1357">
      <c r="A1357" s="14"/>
      <c r="E1357" s="35"/>
      <c r="F1357" s="38"/>
      <c r="G1357" s="38"/>
      <c r="H1357" s="38"/>
      <c r="I1357" s="38"/>
      <c r="J1357" s="38"/>
    </row>
    <row r="1358">
      <c r="A1358" s="14"/>
      <c r="E1358" s="35"/>
      <c r="F1358" s="38"/>
      <c r="G1358" s="38"/>
      <c r="H1358" s="38"/>
      <c r="I1358" s="38"/>
      <c r="J1358" s="38"/>
    </row>
    <row r="1359">
      <c r="A1359" s="14"/>
      <c r="E1359" s="35"/>
      <c r="F1359" s="38"/>
      <c r="G1359" s="38"/>
      <c r="H1359" s="38"/>
      <c r="I1359" s="38"/>
      <c r="J1359" s="38"/>
    </row>
    <row r="1360">
      <c r="A1360" s="14"/>
      <c r="E1360" s="35"/>
      <c r="F1360" s="38"/>
      <c r="G1360" s="38"/>
      <c r="H1360" s="38"/>
      <c r="I1360" s="38"/>
      <c r="J1360" s="38"/>
    </row>
    <row r="1361">
      <c r="A1361" s="14"/>
      <c r="E1361" s="35"/>
      <c r="F1361" s="38"/>
      <c r="G1361" s="38"/>
      <c r="H1361" s="38"/>
      <c r="I1361" s="38"/>
      <c r="J1361" s="38"/>
    </row>
    <row r="1362">
      <c r="A1362" s="14"/>
      <c r="E1362" s="35"/>
      <c r="F1362" s="38"/>
      <c r="G1362" s="38"/>
      <c r="H1362" s="38"/>
      <c r="I1362" s="38"/>
      <c r="J1362" s="38"/>
    </row>
    <row r="1363">
      <c r="A1363" s="14"/>
      <c r="E1363" s="35"/>
      <c r="F1363" s="38"/>
      <c r="G1363" s="38"/>
      <c r="H1363" s="38"/>
      <c r="I1363" s="38"/>
      <c r="J1363" s="38"/>
    </row>
    <row r="1364">
      <c r="A1364" s="14"/>
      <c r="E1364" s="35"/>
      <c r="F1364" s="38"/>
      <c r="G1364" s="38"/>
      <c r="H1364" s="38"/>
      <c r="I1364" s="38"/>
      <c r="J1364" s="38"/>
    </row>
    <row r="1365">
      <c r="A1365" s="14"/>
      <c r="E1365" s="35"/>
      <c r="F1365" s="38"/>
      <c r="G1365" s="38"/>
      <c r="H1365" s="38"/>
      <c r="I1365" s="38"/>
      <c r="J1365" s="38"/>
    </row>
    <row r="1366">
      <c r="A1366" s="14"/>
      <c r="E1366" s="35"/>
      <c r="F1366" s="38"/>
      <c r="G1366" s="38"/>
      <c r="H1366" s="38"/>
      <c r="I1366" s="38"/>
      <c r="J1366" s="38"/>
    </row>
    <row r="1367">
      <c r="A1367" s="14"/>
      <c r="E1367" s="35"/>
      <c r="F1367" s="38"/>
      <c r="G1367" s="38"/>
      <c r="H1367" s="38"/>
      <c r="I1367" s="38"/>
      <c r="J1367" s="38"/>
    </row>
    <row r="1368">
      <c r="A1368" s="14"/>
      <c r="E1368" s="35"/>
      <c r="F1368" s="38"/>
      <c r="G1368" s="38"/>
      <c r="H1368" s="38"/>
      <c r="I1368" s="38"/>
      <c r="J1368" s="38"/>
    </row>
    <row r="1369">
      <c r="A1369" s="14"/>
      <c r="E1369" s="35"/>
      <c r="F1369" s="38"/>
      <c r="G1369" s="38"/>
      <c r="H1369" s="38"/>
      <c r="I1369" s="38"/>
      <c r="J1369" s="38"/>
    </row>
    <row r="1370">
      <c r="A1370" s="14"/>
      <c r="E1370" s="35"/>
      <c r="F1370" s="38"/>
      <c r="G1370" s="38"/>
      <c r="H1370" s="38"/>
      <c r="I1370" s="38"/>
      <c r="J1370" s="38"/>
    </row>
    <row r="1371">
      <c r="A1371" s="14"/>
      <c r="E1371" s="35"/>
      <c r="F1371" s="38"/>
      <c r="G1371" s="38"/>
      <c r="H1371" s="38"/>
      <c r="I1371" s="38"/>
      <c r="J1371" s="38"/>
    </row>
    <row r="1372">
      <c r="A1372" s="14"/>
      <c r="E1372" s="35"/>
      <c r="F1372" s="38"/>
      <c r="G1372" s="38"/>
      <c r="H1372" s="38"/>
      <c r="I1372" s="38"/>
      <c r="J1372" s="38"/>
    </row>
    <row r="1373">
      <c r="A1373" s="14"/>
      <c r="E1373" s="35"/>
      <c r="F1373" s="38"/>
      <c r="G1373" s="38"/>
      <c r="H1373" s="38"/>
      <c r="I1373" s="38"/>
      <c r="J1373" s="38"/>
    </row>
    <row r="1374">
      <c r="A1374" s="14"/>
      <c r="E1374" s="35"/>
      <c r="F1374" s="38"/>
      <c r="G1374" s="38"/>
      <c r="H1374" s="38"/>
      <c r="I1374" s="38"/>
      <c r="J1374" s="38"/>
    </row>
    <row r="1375">
      <c r="A1375" s="14"/>
      <c r="E1375" s="35"/>
      <c r="F1375" s="38"/>
      <c r="G1375" s="38"/>
      <c r="H1375" s="38"/>
      <c r="I1375" s="38"/>
      <c r="J1375" s="38"/>
    </row>
    <row r="1376">
      <c r="A1376" s="14"/>
      <c r="E1376" s="35"/>
      <c r="F1376" s="38"/>
      <c r="G1376" s="38"/>
      <c r="H1376" s="38"/>
      <c r="I1376" s="38"/>
      <c r="J1376" s="38"/>
    </row>
    <row r="1377">
      <c r="A1377" s="14"/>
      <c r="E1377" s="35"/>
      <c r="F1377" s="38"/>
      <c r="G1377" s="38"/>
      <c r="H1377" s="38"/>
      <c r="I1377" s="38"/>
      <c r="J1377" s="38"/>
    </row>
    <row r="1378">
      <c r="A1378" s="14"/>
      <c r="E1378" s="35"/>
      <c r="F1378" s="38"/>
      <c r="G1378" s="38"/>
      <c r="H1378" s="38"/>
      <c r="I1378" s="38"/>
      <c r="J1378" s="38"/>
    </row>
    <row r="1379">
      <c r="A1379" s="14"/>
      <c r="E1379" s="35"/>
      <c r="F1379" s="38"/>
      <c r="G1379" s="38"/>
      <c r="H1379" s="38"/>
      <c r="I1379" s="38"/>
      <c r="J1379" s="38"/>
    </row>
    <row r="1380">
      <c r="A1380" s="14"/>
      <c r="E1380" s="35"/>
      <c r="F1380" s="38"/>
      <c r="G1380" s="38"/>
      <c r="H1380" s="38"/>
      <c r="I1380" s="38"/>
      <c r="J1380" s="38"/>
    </row>
    <row r="1381">
      <c r="A1381" s="14"/>
      <c r="E1381" s="35"/>
      <c r="F1381" s="38"/>
      <c r="G1381" s="38"/>
      <c r="H1381" s="38"/>
      <c r="I1381" s="38"/>
      <c r="J1381" s="38"/>
    </row>
    <row r="1382">
      <c r="A1382" s="14"/>
      <c r="E1382" s="35"/>
      <c r="F1382" s="38"/>
      <c r="G1382" s="38"/>
      <c r="H1382" s="38"/>
      <c r="I1382" s="38"/>
      <c r="J1382" s="38"/>
    </row>
    <row r="1383">
      <c r="A1383" s="14"/>
      <c r="E1383" s="35"/>
      <c r="F1383" s="38"/>
      <c r="G1383" s="38"/>
      <c r="H1383" s="38"/>
      <c r="I1383" s="38"/>
      <c r="J1383" s="38"/>
    </row>
    <row r="1384">
      <c r="A1384" s="14"/>
      <c r="E1384" s="35"/>
      <c r="F1384" s="38"/>
      <c r="G1384" s="38"/>
      <c r="H1384" s="38"/>
      <c r="I1384" s="38"/>
      <c r="J1384" s="38"/>
    </row>
    <row r="1385">
      <c r="A1385" s="14"/>
      <c r="E1385" s="35"/>
      <c r="F1385" s="38"/>
      <c r="G1385" s="38"/>
      <c r="H1385" s="38"/>
      <c r="I1385" s="38"/>
      <c r="J1385" s="38"/>
    </row>
    <row r="1386">
      <c r="A1386" s="14"/>
      <c r="E1386" s="35"/>
      <c r="F1386" s="38"/>
      <c r="G1386" s="38"/>
      <c r="H1386" s="38"/>
      <c r="I1386" s="38"/>
      <c r="J1386" s="38"/>
    </row>
    <row r="1387">
      <c r="A1387" s="14"/>
      <c r="E1387" s="35"/>
      <c r="F1387" s="38"/>
      <c r="G1387" s="38"/>
      <c r="H1387" s="38"/>
      <c r="I1387" s="38"/>
      <c r="J1387" s="38"/>
    </row>
    <row r="1388">
      <c r="A1388" s="14"/>
      <c r="E1388" s="35"/>
      <c r="F1388" s="38"/>
      <c r="G1388" s="38"/>
      <c r="H1388" s="38"/>
      <c r="I1388" s="38"/>
      <c r="J1388" s="38"/>
    </row>
    <row r="1389">
      <c r="A1389" s="14"/>
      <c r="E1389" s="35"/>
      <c r="F1389" s="38"/>
      <c r="G1389" s="38"/>
      <c r="H1389" s="38"/>
      <c r="I1389" s="38"/>
      <c r="J1389" s="38"/>
    </row>
    <row r="1390">
      <c r="A1390" s="14"/>
      <c r="E1390" s="35"/>
      <c r="F1390" s="38"/>
      <c r="G1390" s="38"/>
      <c r="H1390" s="38"/>
      <c r="I1390" s="38"/>
      <c r="J1390" s="38"/>
    </row>
    <row r="1391">
      <c r="A1391" s="14"/>
      <c r="E1391" s="35"/>
      <c r="F1391" s="38"/>
      <c r="G1391" s="38"/>
      <c r="H1391" s="38"/>
      <c r="I1391" s="38"/>
      <c r="J1391" s="38"/>
    </row>
    <row r="1392">
      <c r="A1392" s="14"/>
      <c r="E1392" s="35"/>
      <c r="F1392" s="38"/>
      <c r="G1392" s="38"/>
      <c r="H1392" s="38"/>
      <c r="I1392" s="38"/>
      <c r="J1392" s="38"/>
    </row>
    <row r="1393">
      <c r="A1393" s="14"/>
      <c r="E1393" s="35"/>
      <c r="F1393" s="38"/>
      <c r="G1393" s="38"/>
      <c r="H1393" s="38"/>
      <c r="I1393" s="38"/>
      <c r="J1393" s="38"/>
    </row>
    <row r="1394">
      <c r="A1394" s="14"/>
      <c r="E1394" s="35"/>
      <c r="F1394" s="38"/>
      <c r="G1394" s="38"/>
      <c r="H1394" s="38"/>
      <c r="I1394" s="38"/>
      <c r="J1394" s="38"/>
    </row>
    <row r="1395">
      <c r="A1395" s="14"/>
      <c r="E1395" s="35"/>
      <c r="F1395" s="38"/>
      <c r="G1395" s="38"/>
      <c r="H1395" s="38"/>
      <c r="I1395" s="38"/>
      <c r="J1395" s="38"/>
    </row>
    <row r="1396">
      <c r="A1396" s="14"/>
      <c r="E1396" s="35"/>
      <c r="F1396" s="38"/>
      <c r="G1396" s="38"/>
      <c r="H1396" s="38"/>
      <c r="I1396" s="38"/>
      <c r="J1396" s="38"/>
    </row>
    <row r="1397">
      <c r="A1397" s="14"/>
      <c r="E1397" s="35"/>
      <c r="F1397" s="38"/>
      <c r="G1397" s="38"/>
      <c r="H1397" s="38"/>
      <c r="I1397" s="38"/>
      <c r="J1397" s="38"/>
    </row>
    <row r="1398">
      <c r="A1398" s="14"/>
      <c r="E1398" s="35"/>
      <c r="F1398" s="38"/>
      <c r="G1398" s="38"/>
      <c r="H1398" s="38"/>
      <c r="I1398" s="38"/>
      <c r="J1398" s="38"/>
    </row>
    <row r="1399">
      <c r="A1399" s="14"/>
      <c r="E1399" s="35"/>
      <c r="F1399" s="38"/>
      <c r="G1399" s="38"/>
      <c r="H1399" s="38"/>
      <c r="I1399" s="38"/>
      <c r="J1399" s="38"/>
    </row>
    <row r="1400">
      <c r="A1400" s="14"/>
      <c r="E1400" s="35"/>
      <c r="F1400" s="38"/>
      <c r="G1400" s="38"/>
      <c r="H1400" s="38"/>
      <c r="I1400" s="38"/>
      <c r="J1400" s="38"/>
    </row>
    <row r="1401">
      <c r="A1401" s="14"/>
      <c r="E1401" s="35"/>
      <c r="F1401" s="38"/>
      <c r="G1401" s="38"/>
      <c r="H1401" s="38"/>
      <c r="I1401" s="38"/>
      <c r="J1401" s="38"/>
    </row>
    <row r="1402">
      <c r="A1402" s="14"/>
      <c r="E1402" s="35"/>
      <c r="F1402" s="38"/>
      <c r="G1402" s="38"/>
      <c r="H1402" s="38"/>
      <c r="I1402" s="38"/>
      <c r="J1402" s="38"/>
    </row>
    <row r="1403">
      <c r="A1403" s="14"/>
      <c r="E1403" s="35"/>
      <c r="F1403" s="38"/>
      <c r="G1403" s="38"/>
      <c r="H1403" s="38"/>
      <c r="I1403" s="38"/>
      <c r="J1403" s="38"/>
    </row>
    <row r="1404">
      <c r="A1404" s="14"/>
      <c r="E1404" s="35"/>
      <c r="F1404" s="38"/>
      <c r="G1404" s="38"/>
      <c r="H1404" s="38"/>
      <c r="I1404" s="38"/>
      <c r="J1404" s="38"/>
    </row>
    <row r="1405">
      <c r="A1405" s="14"/>
      <c r="E1405" s="35"/>
      <c r="F1405" s="38"/>
      <c r="G1405" s="38"/>
      <c r="H1405" s="38"/>
      <c r="I1405" s="38"/>
      <c r="J1405" s="38"/>
    </row>
    <row r="1406">
      <c r="A1406" s="14"/>
      <c r="E1406" s="35"/>
      <c r="F1406" s="38"/>
      <c r="G1406" s="38"/>
      <c r="H1406" s="38"/>
      <c r="I1406" s="38"/>
      <c r="J1406" s="38"/>
    </row>
    <row r="1407">
      <c r="A1407" s="14"/>
      <c r="E1407" s="35"/>
      <c r="F1407" s="38"/>
      <c r="G1407" s="38"/>
      <c r="H1407" s="38"/>
      <c r="I1407" s="38"/>
      <c r="J1407" s="38"/>
    </row>
    <row r="1408">
      <c r="A1408" s="14"/>
      <c r="E1408" s="35"/>
      <c r="F1408" s="38"/>
      <c r="G1408" s="38"/>
      <c r="H1408" s="38"/>
      <c r="I1408" s="38"/>
      <c r="J1408" s="38"/>
    </row>
    <row r="1409">
      <c r="A1409" s="14"/>
      <c r="E1409" s="35"/>
      <c r="F1409" s="38"/>
      <c r="G1409" s="38"/>
      <c r="H1409" s="38"/>
      <c r="I1409" s="38"/>
      <c r="J1409" s="38"/>
    </row>
    <row r="1410">
      <c r="A1410" s="14"/>
      <c r="E1410" s="35"/>
      <c r="F1410" s="38"/>
      <c r="G1410" s="38"/>
      <c r="H1410" s="38"/>
      <c r="I1410" s="38"/>
      <c r="J1410" s="38"/>
    </row>
    <row r="1411">
      <c r="A1411" s="14"/>
      <c r="E1411" s="35"/>
      <c r="F1411" s="38"/>
      <c r="G1411" s="38"/>
      <c r="H1411" s="38"/>
      <c r="I1411" s="38"/>
      <c r="J1411" s="38"/>
    </row>
    <row r="1412">
      <c r="A1412" s="14"/>
      <c r="E1412" s="35"/>
      <c r="F1412" s="38"/>
      <c r="G1412" s="38"/>
      <c r="H1412" s="38"/>
      <c r="I1412" s="38"/>
      <c r="J1412" s="38"/>
    </row>
    <row r="1413">
      <c r="A1413" s="14"/>
      <c r="E1413" s="35"/>
      <c r="F1413" s="38"/>
      <c r="G1413" s="38"/>
      <c r="H1413" s="38"/>
      <c r="I1413" s="38"/>
      <c r="J1413" s="38"/>
    </row>
    <row r="1414">
      <c r="A1414" s="14"/>
      <c r="E1414" s="35"/>
      <c r="F1414" s="38"/>
      <c r="G1414" s="38"/>
      <c r="H1414" s="38"/>
      <c r="I1414" s="38"/>
      <c r="J1414" s="38"/>
    </row>
    <row r="1415">
      <c r="A1415" s="14"/>
      <c r="E1415" s="35"/>
      <c r="F1415" s="38"/>
      <c r="G1415" s="38"/>
      <c r="H1415" s="38"/>
      <c r="I1415" s="38"/>
      <c r="J1415" s="38"/>
    </row>
    <row r="1416">
      <c r="A1416" s="14"/>
      <c r="E1416" s="35"/>
      <c r="F1416" s="38"/>
      <c r="G1416" s="38"/>
      <c r="H1416" s="38"/>
      <c r="I1416" s="38"/>
      <c r="J1416" s="38"/>
    </row>
    <row r="1417">
      <c r="A1417" s="14"/>
      <c r="E1417" s="35"/>
      <c r="F1417" s="38"/>
      <c r="G1417" s="38"/>
      <c r="H1417" s="38"/>
      <c r="I1417" s="38"/>
      <c r="J1417" s="38"/>
    </row>
    <row r="1418">
      <c r="A1418" s="14"/>
      <c r="E1418" s="35"/>
      <c r="F1418" s="38"/>
      <c r="G1418" s="38"/>
      <c r="H1418" s="38"/>
      <c r="I1418" s="38"/>
      <c r="J1418" s="38"/>
    </row>
    <row r="1419">
      <c r="A1419" s="14"/>
      <c r="E1419" s="35"/>
      <c r="F1419" s="38"/>
      <c r="G1419" s="38"/>
      <c r="H1419" s="38"/>
      <c r="I1419" s="38"/>
      <c r="J1419" s="38"/>
    </row>
    <row r="1420">
      <c r="A1420" s="14"/>
      <c r="E1420" s="35"/>
      <c r="F1420" s="38"/>
      <c r="G1420" s="38"/>
      <c r="H1420" s="38"/>
      <c r="I1420" s="38"/>
      <c r="J1420" s="38"/>
    </row>
    <row r="1421">
      <c r="A1421" s="14"/>
      <c r="E1421" s="35"/>
      <c r="F1421" s="38"/>
      <c r="G1421" s="38"/>
      <c r="H1421" s="38"/>
      <c r="I1421" s="38"/>
      <c r="J1421" s="38"/>
    </row>
    <row r="1422">
      <c r="A1422" s="14"/>
      <c r="E1422" s="35"/>
      <c r="F1422" s="38"/>
      <c r="G1422" s="38"/>
      <c r="H1422" s="38"/>
      <c r="I1422" s="38"/>
      <c r="J1422" s="38"/>
    </row>
    <row r="1423">
      <c r="A1423" s="14"/>
      <c r="E1423" s="35"/>
      <c r="F1423" s="38"/>
      <c r="G1423" s="38"/>
      <c r="H1423" s="38"/>
      <c r="I1423" s="38"/>
      <c r="J1423" s="38"/>
    </row>
    <row r="1424">
      <c r="A1424" s="14"/>
      <c r="E1424" s="35"/>
      <c r="F1424" s="38"/>
      <c r="G1424" s="38"/>
      <c r="H1424" s="38"/>
      <c r="I1424" s="38"/>
      <c r="J1424" s="38"/>
    </row>
    <row r="1425">
      <c r="A1425" s="14"/>
      <c r="E1425" s="35"/>
      <c r="F1425" s="38"/>
      <c r="G1425" s="38"/>
      <c r="H1425" s="38"/>
      <c r="I1425" s="38"/>
      <c r="J1425" s="38"/>
    </row>
    <row r="1426">
      <c r="A1426" s="14"/>
      <c r="E1426" s="35"/>
      <c r="F1426" s="38"/>
      <c r="G1426" s="38"/>
      <c r="H1426" s="38"/>
      <c r="I1426" s="38"/>
      <c r="J1426" s="38"/>
    </row>
    <row r="1427">
      <c r="A1427" s="14"/>
      <c r="E1427" s="35"/>
      <c r="F1427" s="38"/>
      <c r="G1427" s="38"/>
      <c r="H1427" s="38"/>
      <c r="I1427" s="38"/>
      <c r="J1427" s="38"/>
    </row>
    <row r="1428">
      <c r="A1428" s="14"/>
      <c r="E1428" s="35"/>
      <c r="F1428" s="38"/>
      <c r="G1428" s="38"/>
      <c r="H1428" s="38"/>
      <c r="I1428" s="38"/>
      <c r="J1428" s="38"/>
    </row>
    <row r="1429">
      <c r="A1429" s="14"/>
      <c r="E1429" s="35"/>
      <c r="F1429" s="38"/>
      <c r="G1429" s="38"/>
      <c r="H1429" s="38"/>
      <c r="I1429" s="38"/>
      <c r="J1429" s="38"/>
    </row>
    <row r="1430">
      <c r="A1430" s="14"/>
      <c r="E1430" s="35"/>
      <c r="F1430" s="38"/>
      <c r="G1430" s="38"/>
      <c r="H1430" s="38"/>
      <c r="I1430" s="38"/>
      <c r="J1430" s="38"/>
    </row>
    <row r="1431">
      <c r="A1431" s="14"/>
      <c r="E1431" s="35"/>
      <c r="F1431" s="38"/>
      <c r="G1431" s="38"/>
      <c r="H1431" s="38"/>
      <c r="I1431" s="38"/>
      <c r="J1431" s="38"/>
    </row>
    <row r="1432">
      <c r="A1432" s="14"/>
      <c r="E1432" s="35"/>
      <c r="F1432" s="38"/>
      <c r="G1432" s="38"/>
      <c r="H1432" s="38"/>
      <c r="I1432" s="38"/>
      <c r="J1432" s="38"/>
    </row>
    <row r="1433">
      <c r="A1433" s="14"/>
      <c r="E1433" s="35"/>
      <c r="F1433" s="38"/>
      <c r="G1433" s="38"/>
      <c r="H1433" s="38"/>
      <c r="I1433" s="38"/>
      <c r="J1433" s="38"/>
    </row>
    <row r="1434">
      <c r="A1434" s="14"/>
      <c r="E1434" s="35"/>
      <c r="F1434" s="38"/>
      <c r="G1434" s="38"/>
      <c r="H1434" s="38"/>
      <c r="I1434" s="38"/>
      <c r="J1434" s="38"/>
    </row>
    <row r="1435">
      <c r="A1435" s="14"/>
      <c r="E1435" s="35"/>
      <c r="F1435" s="38"/>
      <c r="G1435" s="38"/>
      <c r="H1435" s="38"/>
      <c r="I1435" s="38"/>
      <c r="J1435" s="38"/>
    </row>
    <row r="1436">
      <c r="A1436" s="14"/>
      <c r="E1436" s="35"/>
      <c r="F1436" s="38"/>
      <c r="G1436" s="38"/>
      <c r="H1436" s="38"/>
      <c r="I1436" s="38"/>
      <c r="J1436" s="38"/>
    </row>
    <row r="1437">
      <c r="A1437" s="14"/>
      <c r="E1437" s="35"/>
      <c r="F1437" s="38"/>
      <c r="G1437" s="38"/>
      <c r="H1437" s="38"/>
      <c r="I1437" s="38"/>
      <c r="J1437" s="38"/>
    </row>
    <row r="1438">
      <c r="A1438" s="14"/>
      <c r="E1438" s="35"/>
      <c r="F1438" s="38"/>
      <c r="G1438" s="38"/>
      <c r="H1438" s="38"/>
      <c r="I1438" s="38"/>
      <c r="J1438" s="38"/>
    </row>
    <row r="1439">
      <c r="A1439" s="14"/>
      <c r="E1439" s="35"/>
      <c r="F1439" s="38"/>
      <c r="G1439" s="38"/>
      <c r="H1439" s="38"/>
      <c r="I1439" s="38"/>
      <c r="J1439" s="38"/>
    </row>
    <row r="1440">
      <c r="A1440" s="14"/>
      <c r="E1440" s="35"/>
      <c r="F1440" s="38"/>
      <c r="G1440" s="38"/>
      <c r="H1440" s="38"/>
      <c r="I1440" s="38"/>
      <c r="J1440" s="38"/>
    </row>
    <row r="1441">
      <c r="A1441" s="14"/>
      <c r="E1441" s="35"/>
      <c r="F1441" s="38"/>
      <c r="G1441" s="38"/>
      <c r="H1441" s="38"/>
      <c r="I1441" s="38"/>
      <c r="J1441" s="38"/>
    </row>
    <row r="1442">
      <c r="A1442" s="14"/>
      <c r="E1442" s="35"/>
      <c r="F1442" s="38"/>
      <c r="G1442" s="38"/>
      <c r="H1442" s="38"/>
      <c r="I1442" s="38"/>
      <c r="J1442" s="38"/>
    </row>
    <row r="1443">
      <c r="A1443" s="14"/>
      <c r="E1443" s="35"/>
      <c r="F1443" s="38"/>
      <c r="G1443" s="38"/>
      <c r="H1443" s="38"/>
      <c r="I1443" s="38"/>
      <c r="J1443" s="38"/>
    </row>
    <row r="1444">
      <c r="A1444" s="14"/>
      <c r="E1444" s="35"/>
      <c r="F1444" s="38"/>
      <c r="G1444" s="38"/>
      <c r="H1444" s="38"/>
      <c r="I1444" s="38"/>
      <c r="J1444" s="38"/>
    </row>
    <row r="1445">
      <c r="A1445" s="14"/>
      <c r="E1445" s="35"/>
      <c r="F1445" s="38"/>
      <c r="G1445" s="38"/>
      <c r="H1445" s="38"/>
      <c r="I1445" s="38"/>
      <c r="J1445" s="38"/>
    </row>
    <row r="1446">
      <c r="A1446" s="14"/>
      <c r="E1446" s="35"/>
      <c r="F1446" s="38"/>
      <c r="G1446" s="38"/>
      <c r="H1446" s="38"/>
      <c r="I1446" s="38"/>
      <c r="J1446" s="38"/>
    </row>
    <row r="1447">
      <c r="A1447" s="14"/>
      <c r="E1447" s="35"/>
      <c r="F1447" s="38"/>
      <c r="G1447" s="38"/>
      <c r="H1447" s="38"/>
      <c r="I1447" s="38"/>
      <c r="J1447" s="38"/>
    </row>
    <row r="1448">
      <c r="A1448" s="14"/>
      <c r="E1448" s="35"/>
      <c r="F1448" s="38"/>
      <c r="G1448" s="38"/>
      <c r="H1448" s="38"/>
      <c r="I1448" s="38"/>
      <c r="J1448" s="38"/>
    </row>
    <row r="1449">
      <c r="A1449" s="14"/>
      <c r="E1449" s="35"/>
      <c r="F1449" s="38"/>
      <c r="G1449" s="38"/>
      <c r="H1449" s="38"/>
      <c r="I1449" s="38"/>
      <c r="J1449" s="38"/>
    </row>
    <row r="1450">
      <c r="A1450" s="14"/>
      <c r="E1450" s="35"/>
      <c r="F1450" s="38"/>
      <c r="G1450" s="38"/>
      <c r="H1450" s="38"/>
      <c r="I1450" s="38"/>
      <c r="J1450" s="38"/>
    </row>
    <row r="1451">
      <c r="A1451" s="14"/>
      <c r="E1451" s="35"/>
      <c r="F1451" s="38"/>
      <c r="G1451" s="38"/>
      <c r="H1451" s="38"/>
      <c r="I1451" s="38"/>
      <c r="J1451" s="38"/>
    </row>
    <row r="1452">
      <c r="A1452" s="14"/>
      <c r="E1452" s="35"/>
      <c r="F1452" s="38"/>
      <c r="G1452" s="38"/>
      <c r="H1452" s="38"/>
      <c r="I1452" s="38"/>
      <c r="J1452" s="38"/>
    </row>
    <row r="1453">
      <c r="A1453" s="14"/>
      <c r="E1453" s="35"/>
      <c r="F1453" s="38"/>
      <c r="G1453" s="38"/>
      <c r="H1453" s="38"/>
      <c r="I1453" s="38"/>
      <c r="J1453" s="38"/>
    </row>
    <row r="1454">
      <c r="A1454" s="14"/>
      <c r="E1454" s="35"/>
      <c r="F1454" s="38"/>
      <c r="G1454" s="38"/>
      <c r="H1454" s="38"/>
      <c r="I1454" s="38"/>
      <c r="J1454" s="38"/>
    </row>
    <row r="1455">
      <c r="A1455" s="14"/>
      <c r="E1455" s="35"/>
      <c r="F1455" s="38"/>
      <c r="G1455" s="38"/>
      <c r="H1455" s="38"/>
      <c r="I1455" s="38"/>
      <c r="J1455" s="38"/>
    </row>
    <row r="1456">
      <c r="A1456" s="14"/>
      <c r="E1456" s="35"/>
      <c r="F1456" s="38"/>
      <c r="G1456" s="38"/>
      <c r="H1456" s="38"/>
      <c r="I1456" s="38"/>
      <c r="J1456" s="38"/>
    </row>
    <row r="1457">
      <c r="A1457" s="14"/>
      <c r="E1457" s="35"/>
      <c r="F1457" s="38"/>
      <c r="G1457" s="38"/>
      <c r="H1457" s="38"/>
      <c r="I1457" s="38"/>
      <c r="J1457" s="38"/>
    </row>
    <row r="1458">
      <c r="A1458" s="14"/>
      <c r="E1458" s="35"/>
      <c r="F1458" s="38"/>
      <c r="G1458" s="38"/>
      <c r="H1458" s="38"/>
      <c r="I1458" s="38"/>
      <c r="J1458" s="38"/>
    </row>
    <row r="1459">
      <c r="A1459" s="14"/>
      <c r="E1459" s="35"/>
      <c r="F1459" s="38"/>
      <c r="G1459" s="38"/>
      <c r="H1459" s="38"/>
      <c r="I1459" s="38"/>
      <c r="J1459" s="38"/>
    </row>
    <row r="1460">
      <c r="A1460" s="14"/>
      <c r="E1460" s="35"/>
      <c r="F1460" s="38"/>
      <c r="G1460" s="38"/>
      <c r="H1460" s="38"/>
      <c r="I1460" s="38"/>
      <c r="J1460" s="38"/>
    </row>
    <row r="1461">
      <c r="A1461" s="14"/>
      <c r="E1461" s="35"/>
      <c r="F1461" s="38"/>
      <c r="G1461" s="38"/>
      <c r="H1461" s="38"/>
      <c r="I1461" s="38"/>
      <c r="J1461" s="38"/>
    </row>
    <row r="1462">
      <c r="A1462" s="14"/>
      <c r="E1462" s="35"/>
      <c r="F1462" s="38"/>
      <c r="G1462" s="38"/>
      <c r="H1462" s="38"/>
      <c r="I1462" s="38"/>
      <c r="J1462" s="38"/>
    </row>
    <row r="1463">
      <c r="A1463" s="14"/>
      <c r="E1463" s="35"/>
      <c r="F1463" s="38"/>
      <c r="G1463" s="38"/>
      <c r="H1463" s="38"/>
      <c r="I1463" s="38"/>
      <c r="J1463" s="38"/>
    </row>
    <row r="1464">
      <c r="A1464" s="14"/>
      <c r="E1464" s="35"/>
      <c r="F1464" s="38"/>
      <c r="G1464" s="38"/>
      <c r="H1464" s="38"/>
      <c r="I1464" s="38"/>
      <c r="J1464" s="38"/>
    </row>
    <row r="1465">
      <c r="A1465" s="14"/>
      <c r="E1465" s="35"/>
      <c r="F1465" s="38"/>
      <c r="G1465" s="38"/>
      <c r="H1465" s="38"/>
      <c r="I1465" s="38"/>
      <c r="J1465" s="38"/>
    </row>
    <row r="1466">
      <c r="A1466" s="14"/>
      <c r="E1466" s="35"/>
      <c r="F1466" s="38"/>
      <c r="G1466" s="38"/>
      <c r="H1466" s="38"/>
      <c r="I1466" s="38"/>
      <c r="J1466" s="38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sheetData>
    <row r="1">
      <c r="A1" s="52" t="s">
        <v>645</v>
      </c>
      <c r="B1" s="1" t="s">
        <v>1</v>
      </c>
      <c r="C1" s="52" t="s">
        <v>2</v>
      </c>
      <c r="D1" s="52" t="s">
        <v>646</v>
      </c>
      <c r="E1" s="52" t="s">
        <v>7</v>
      </c>
      <c r="F1" s="52" t="s">
        <v>647</v>
      </c>
      <c r="G1" s="52" t="s">
        <v>648</v>
      </c>
      <c r="H1" s="52" t="s">
        <v>649</v>
      </c>
      <c r="I1" s="52" t="s">
        <v>650</v>
      </c>
      <c r="J1" s="47"/>
    </row>
    <row r="2">
      <c r="A2" s="52">
        <v>1.0</v>
      </c>
      <c r="B2" s="7" t="s">
        <v>8</v>
      </c>
      <c r="C2" s="53">
        <f t="shared" ref="C2:C49" si="1">0.3*LARGE(F2:I2, 1)+0.3*LARGE(F2:I2, 2)+0.1*LARGE(F2:I2, 3)+0.3*E2</f>
        <v>4569.767317</v>
      </c>
      <c r="D2" s="53">
        <f t="shared" ref="D2:D462" si="2">ROUND(C2, 3)</f>
        <v>4569.767</v>
      </c>
      <c r="E2" s="54">
        <f>IFERROR(VLOOKUP(B2, Proof!A$2:$B$588,2, 0), 0)</f>
        <v>4341</v>
      </c>
      <c r="F2" s="53">
        <f>IFERROR(VLOOKUP(B2, 'HMMTPUMaC Combo'!A$2:$B$500,2, 0), 0)</f>
        <v>5053.131256</v>
      </c>
      <c r="G2" s="55">
        <v>4378.81985</v>
      </c>
      <c r="H2" s="55">
        <v>4378.81985</v>
      </c>
      <c r="I2" s="53">
        <f>IFERROR(VLOOKUP(B2, 'HMMTPUMaC Geo'!$A$2:B$1500,2, 0), 0)</f>
        <v>2700.183838</v>
      </c>
      <c r="J2" s="53"/>
      <c r="K2" s="56"/>
    </row>
    <row r="3">
      <c r="A3" s="52">
        <v>2.0</v>
      </c>
      <c r="B3" s="7" t="s">
        <v>558</v>
      </c>
      <c r="C3" s="53">
        <f t="shared" si="1"/>
        <v>3422.290881</v>
      </c>
      <c r="D3" s="53">
        <f t="shared" si="2"/>
        <v>3422.291</v>
      </c>
      <c r="E3" s="57">
        <f>IFERROR(VLOOKUP(B3, Proof!A$2:$B$588,2, 0), 0)</f>
        <v>0</v>
      </c>
      <c r="F3" s="54">
        <f>MAX(IFERROR(VLOOKUP(B3, 'HMMTPUMaC Combo'!A$2:$B$500,2, 0), 0), (G3 + H3)/2 + 550)</f>
        <v>4831.525636</v>
      </c>
      <c r="G3" s="53">
        <f>IFERROR(VLOOKUP(B3, 'HMMTPUMaC NT'!A$2:$B$500,2, 0), 0)</f>
        <v>5582.640313</v>
      </c>
      <c r="H3" s="58">
        <f>IFERROR(VLOOKUP(B3, 'HMMTPUMaC Algebra'!A$2:$B$500,2, 0), 0)</f>
        <v>2980.410959</v>
      </c>
      <c r="I3" s="58">
        <v>0.0</v>
      </c>
      <c r="J3" s="58"/>
    </row>
    <row r="4">
      <c r="A4" s="52">
        <v>3.0</v>
      </c>
      <c r="B4" s="7" t="s">
        <v>562</v>
      </c>
      <c r="C4" s="53">
        <f t="shared" si="1"/>
        <v>2195.672501</v>
      </c>
      <c r="D4" s="53">
        <f t="shared" si="2"/>
        <v>2195.673</v>
      </c>
      <c r="E4" s="57">
        <f>IFERROR(VLOOKUP(B4, Proof!A$2:$B$588,2, 0), 0)</f>
        <v>0</v>
      </c>
      <c r="F4" s="53">
        <f>IFERROR(VLOOKUP(B4, 'HMMTPUMaC Combo'!A$2:$B$500,2, 0), 0)</f>
        <v>2769.331475</v>
      </c>
      <c r="G4" s="54">
        <f>IFERROR(VLOOKUP(B4, 'HMMTPUMaC NT'!A$2:$B$500,2, 0), 0)</f>
        <v>3415.386888</v>
      </c>
      <c r="H4" s="58">
        <f>IFERROR(VLOOKUP(B4, 'HMMTPUMaC Algebra'!A$2:$B$500,2, 0), 0)</f>
        <v>2980.410959</v>
      </c>
      <c r="I4" s="58">
        <v>0.0</v>
      </c>
      <c r="J4" s="58"/>
    </row>
    <row r="5">
      <c r="A5" s="52">
        <v>4.0</v>
      </c>
      <c r="B5" s="7" t="s">
        <v>560</v>
      </c>
      <c r="C5" s="53">
        <f t="shared" si="1"/>
        <v>1948.637579</v>
      </c>
      <c r="D5" s="53">
        <f t="shared" si="2"/>
        <v>1948.638</v>
      </c>
      <c r="E5" s="57">
        <f>IFERROR(VLOOKUP(B5, Proof!A$2:$B$588,2, 0), 0)</f>
        <v>0</v>
      </c>
      <c r="F5" s="54">
        <f>IFERROR(VLOOKUP(B5, 'HMMTPUMaC Combo'!A$2:$B$500,2, 0), 0)</f>
        <v>3477.309594</v>
      </c>
      <c r="G5" s="53">
        <f>IFERROR(VLOOKUP(B5, 'HMMTPUMaC NT'!A$2:$B$500,2, 0), 0)</f>
        <v>1974.022617</v>
      </c>
      <c r="H5" s="58">
        <f>IFERROR(VLOOKUP(B5, 'HMMTPUMaC Algebra'!A$2:$B$500,2, 0), 0)</f>
        <v>2360.141463</v>
      </c>
      <c r="I5" s="53">
        <f>IFERROR(VLOOKUP(B5, 'HMMTPUMaC Geo'!$A$2:B$1500,2, 0), 0)</f>
        <v>0</v>
      </c>
      <c r="J5" s="58"/>
    </row>
    <row r="6">
      <c r="A6" s="52">
        <v>5.0</v>
      </c>
      <c r="B6" s="7" t="s">
        <v>11</v>
      </c>
      <c r="C6" s="53">
        <f t="shared" si="1"/>
        <v>2071.485665</v>
      </c>
      <c r="D6" s="53">
        <f t="shared" si="2"/>
        <v>2071.486</v>
      </c>
      <c r="E6" s="57">
        <f>IFERROR(VLOOKUP(B6, Proof!A$2:$B$588,2, 0), 0)</f>
        <v>1309.090909</v>
      </c>
      <c r="F6" s="53">
        <f>IFERROR(VLOOKUP(B6, 'HMMTPUMaC Combo'!A$2:$B$500,2, 0), 0)</f>
        <v>1116.935469</v>
      </c>
      <c r="G6" s="53">
        <f>IFERROR(VLOOKUP(B6, 'HMMTPUMaC NT'!A$2:$B$500,2, 0), 0)</f>
        <v>2945.897324</v>
      </c>
      <c r="H6" s="58">
        <f>IFERROR(VLOOKUP(B6, 'HMMTPUMaC Algebra'!A$2:$B$500,2, 0), 0)</f>
        <v>2120.498853</v>
      </c>
      <c r="I6" s="53">
        <f>IFERROR(VLOOKUP(B6, 'HMMTPUMaC Geo'!$A$2:B$1500,2, 0), 0)</f>
        <v>1588.395393</v>
      </c>
      <c r="J6" s="58"/>
    </row>
    <row r="7">
      <c r="A7" s="52">
        <v>6.0</v>
      </c>
      <c r="B7" s="7" t="s">
        <v>10</v>
      </c>
      <c r="C7" s="53">
        <f t="shared" si="1"/>
        <v>1886.540303</v>
      </c>
      <c r="D7" s="53">
        <f t="shared" si="2"/>
        <v>1886.54</v>
      </c>
      <c r="E7" s="57">
        <f>IFERROR(VLOOKUP(B7, Proof!A$2:$B$588,2, 0), 0)</f>
        <v>0</v>
      </c>
      <c r="F7" s="53">
        <f>IFERROR(VLOOKUP(B7, 'HMMTPUMaC Combo'!A$2:$B$500,2, 0), 0)</f>
        <v>1927.159543</v>
      </c>
      <c r="G7" s="53">
        <f>IFERROR(VLOOKUP(B7, 'HMMTPUMaC NT'!A$2:$B$500,2, 0), 0)</f>
        <v>2945.897324</v>
      </c>
      <c r="H7" s="58">
        <f>IFERROR(VLOOKUP(B7, 'HMMTPUMaC Algebra'!A$2:$B$500,2, 0), 0)</f>
        <v>1500.229356</v>
      </c>
      <c r="I7" s="53">
        <f>IFERROR(VLOOKUP(B7, 'HMMTPUMaC Geo'!$A$2:B$1500,2, 0), 0)</f>
        <v>2700.183838</v>
      </c>
      <c r="J7" s="53"/>
    </row>
    <row r="8">
      <c r="A8" s="52">
        <v>7.0</v>
      </c>
      <c r="B8" s="7" t="s">
        <v>9</v>
      </c>
      <c r="C8" s="53">
        <f t="shared" si="1"/>
        <v>2275.785371</v>
      </c>
      <c r="D8" s="53">
        <f t="shared" si="2"/>
        <v>2275.785</v>
      </c>
      <c r="E8" s="57">
        <f>IFERROR(VLOOKUP(B8, Proof!A$2:$B$588,2, 0), 0)</f>
        <v>2472.727273</v>
      </c>
      <c r="F8" s="53">
        <f>IFERROR(VLOOKUP(B8, 'HMMTPUMaC Combo'!A$2:$B$500,2, 0), 0)</f>
        <v>2092.997451</v>
      </c>
      <c r="G8" s="53">
        <f>IFERROR(VLOOKUP(B8, 'HMMTPUMaC NT'!A$2:$B$500,2, 0), 0)</f>
        <v>808.8422408</v>
      </c>
      <c r="H8" s="58">
        <f>IFERROR(VLOOKUP(B8, 'HMMTPUMaC Algebra'!A$2:$B$500,2, 0), 0)</f>
        <v>2120.498853</v>
      </c>
      <c r="I8" s="53">
        <f>IFERROR(VLOOKUP(B8, 'HMMTPUMaC Geo'!$A$2:B$1500,2, 0), 0)</f>
        <v>2295.059293</v>
      </c>
      <c r="J8" s="53"/>
    </row>
    <row r="9">
      <c r="A9" s="52">
        <v>8.0</v>
      </c>
      <c r="B9" s="7" t="s">
        <v>431</v>
      </c>
      <c r="C9" s="53">
        <f t="shared" si="1"/>
        <v>2172.306607</v>
      </c>
      <c r="D9" s="53">
        <f t="shared" si="2"/>
        <v>2172.307</v>
      </c>
      <c r="E9" s="57">
        <f>IFERROR(VLOOKUP(B9, Proof!A$2:$B$588,2, 0), 0)</f>
        <v>1890.909091</v>
      </c>
      <c r="F9" s="53">
        <f>IFERROR(VLOOKUP(B9, 'HMMTPUMaC Combo'!A$2:$B$500,2, 0), 0)</f>
        <v>0</v>
      </c>
      <c r="G9" s="53">
        <f>IFERROR(VLOOKUP(B9, 'HMMTPUMaC NT'!A$2:$B$500,2, 0), 0)</f>
        <v>808.8422408</v>
      </c>
      <c r="H9" s="58">
        <f>IFERROR(VLOOKUP(B9, 'HMMTPUMaC Algebra'!A$2:$B$500,2, 0), 0)</f>
        <v>2120.498853</v>
      </c>
      <c r="I9" s="55">
        <v>2960.0</v>
      </c>
      <c r="J9" s="53"/>
    </row>
    <row r="10">
      <c r="A10" s="52">
        <v>9.0</v>
      </c>
      <c r="B10" s="7" t="s">
        <v>18</v>
      </c>
      <c r="C10" s="53">
        <f t="shared" si="1"/>
        <v>2055.672368</v>
      </c>
      <c r="D10" s="53">
        <f t="shared" si="2"/>
        <v>2055.672</v>
      </c>
      <c r="E10" s="57">
        <f>IFERROR(VLOOKUP(B10, Proof!A$2:$B$588,2, 0), 0)</f>
        <v>1745.454545</v>
      </c>
      <c r="F10" s="53">
        <f>IFERROR(VLOOKUP(B10, 'HMMTPUMaC Combo'!A$2:$B$500,2, 0), 0)</f>
        <v>1501.999167</v>
      </c>
      <c r="G10" s="53">
        <f>IFERROR(VLOOKUP(B10, 'HMMTPUMaC NT'!A$2:$B$500,2, 0), 0)</f>
        <v>808.8422408</v>
      </c>
      <c r="H10" s="58">
        <f>IFERROR(VLOOKUP(B10, 'HMMTPUMaC Algebra'!A$2:$B$500,2, 0), 0)</f>
        <v>2120.498853</v>
      </c>
      <c r="I10" s="53">
        <f>IFERROR(VLOOKUP(B10, 'HMMTPUMaC Geo'!$A$2:B$1500,2, 0), 0)</f>
        <v>2485.621441</v>
      </c>
      <c r="J10" s="53"/>
    </row>
    <row r="11">
      <c r="A11" s="52">
        <v>10.0</v>
      </c>
      <c r="B11" s="7" t="s">
        <v>92</v>
      </c>
      <c r="C11" s="53">
        <f t="shared" si="1"/>
        <v>2719.74034</v>
      </c>
      <c r="D11" s="53">
        <f t="shared" si="2"/>
        <v>2719.74</v>
      </c>
      <c r="E11" s="57">
        <f>IFERROR(VLOOKUP(B11, Proof!A$2:$B$588,2, 0), 0)</f>
        <v>4072.727273</v>
      </c>
      <c r="F11" s="53">
        <f>IFERROR(VLOOKUP(B11, 'HMMTPUMaC Combo'!A$2:$B$500,2, 0), 0)</f>
        <v>1299.280165</v>
      </c>
      <c r="G11" s="53">
        <f>IFERROR(VLOOKUP(B11, 'HMMTPUMaC NT'!A$2:$B$500,2, 0), 0)</f>
        <v>1780.716948</v>
      </c>
      <c r="H11" s="58">
        <f>IFERROR(VLOOKUP(B11, 'HMMTPUMaC Algebra'!A$2:$B$500,2, 0), 0)</f>
        <v>1536.519224</v>
      </c>
      <c r="I11" s="53">
        <f>IFERROR(VLOOKUP(B11, 'HMMTPUMaC Geo'!$A$2:B$1500,2, 0), 0)</f>
        <v>2700.183838</v>
      </c>
      <c r="J11" s="53"/>
    </row>
    <row r="12">
      <c r="A12" s="52">
        <v>11.0</v>
      </c>
      <c r="B12" s="7" t="s">
        <v>566</v>
      </c>
      <c r="C12" s="53">
        <f t="shared" si="1"/>
        <v>1056.515441</v>
      </c>
      <c r="D12" s="53">
        <f t="shared" si="2"/>
        <v>1056.515</v>
      </c>
      <c r="E12" s="57">
        <f>IFERROR(VLOOKUP(B12, Proof!A$2:$B$588,2, 0), 0)</f>
        <v>0</v>
      </c>
      <c r="F12" s="53">
        <f>IFERROR(VLOOKUP(B12, 'HMMTPUMaC Combo'!A$2:$B$500,2, 0), 0)</f>
        <v>1299.280165</v>
      </c>
      <c r="G12" s="53">
        <f>IFERROR(VLOOKUP(B12, 'HMMTPUMaC NT'!A$2:$B$500,2, 0), 0)</f>
        <v>808.8422408</v>
      </c>
      <c r="H12" s="58">
        <f>IFERROR(VLOOKUP(B12, 'HMMTPUMaC Algebra'!A$2:$B$500,2, 0), 0)</f>
        <v>1500.229356</v>
      </c>
      <c r="I12" s="53">
        <f>IFERROR(VLOOKUP(B12, 'HMMTPUMaC Geo'!$A$2:B$1500,2, 0), 0)</f>
        <v>1588.395393</v>
      </c>
      <c r="J12" s="53"/>
    </row>
    <row r="13">
      <c r="A13" s="52">
        <v>12.0</v>
      </c>
      <c r="B13" s="7" t="s">
        <v>563</v>
      </c>
      <c r="C13" s="53">
        <f t="shared" si="1"/>
        <v>1312.083922</v>
      </c>
      <c r="D13" s="53">
        <f t="shared" si="2"/>
        <v>1312.084</v>
      </c>
      <c r="E13" s="57">
        <f>IFERROR(VLOOKUP(B13, Proof!A$2:$B$588,2, 0), 0)</f>
        <v>0</v>
      </c>
      <c r="F13" s="53">
        <f>IFERROR(VLOOKUP(B13, 'HMMTPUMaC Combo'!A$2:$B$500,2, 0), 0)</f>
        <v>1927.159543</v>
      </c>
      <c r="G13" s="53">
        <f>IFERROR(VLOOKUP(B13, 'HMMTPUMaC NT'!A$2:$B$500,2, 0), 0)</f>
        <v>1780.716948</v>
      </c>
      <c r="H13" s="55">
        <v>1852.8812145</v>
      </c>
      <c r="I13" s="53">
        <f>IFERROR(VLOOKUP(B13, 'HMMTPUMaC Geo'!$A$2:B$1500,2, 0), 0)</f>
        <v>965.2896404</v>
      </c>
      <c r="J13" s="53"/>
    </row>
    <row r="14">
      <c r="A14" s="52">
        <v>13.0</v>
      </c>
      <c r="B14" s="7" t="s">
        <v>565</v>
      </c>
      <c r="C14" s="53">
        <f t="shared" si="1"/>
        <v>892.483462</v>
      </c>
      <c r="D14" s="53">
        <f t="shared" si="2"/>
        <v>892.483</v>
      </c>
      <c r="E14" s="57">
        <f>IFERROR(VLOOKUP(B14, Proof!A$2:$B$588,2, 0), 0)</f>
        <v>0</v>
      </c>
      <c r="F14" s="58">
        <v>1116.9354</v>
      </c>
      <c r="G14" s="53">
        <f>IFERROR(VLOOKUP(B14, 'HMMTPUMaC NT'!A$2:$B$500,2, 0), 0)</f>
        <v>808.8422408</v>
      </c>
      <c r="H14" s="58">
        <f>IFERROR(VLOOKUP(B14, 'HMMTPUMaC Algebra'!A$2:$B$500,2, 0), 0)</f>
        <v>376.6853078</v>
      </c>
      <c r="I14" s="53">
        <f>IFERROR(VLOOKUP(B14, 'HMMTPUMaC Geo'!$A$2:B$1500,2, 0), 0)</f>
        <v>1588.395393</v>
      </c>
      <c r="J14" s="47"/>
    </row>
    <row r="15">
      <c r="A15" s="52">
        <v>14.0</v>
      </c>
      <c r="B15" s="7" t="s">
        <v>432</v>
      </c>
      <c r="C15" s="53">
        <f t="shared" si="1"/>
        <v>1254.378497</v>
      </c>
      <c r="D15" s="53">
        <f t="shared" si="2"/>
        <v>1254.378</v>
      </c>
      <c r="E15" s="57">
        <f>IFERROR(VLOOKUP(B15, Proof!A$2:$B$588,2, 0), 0)</f>
        <v>0</v>
      </c>
      <c r="F15" s="53">
        <f>IFERROR(VLOOKUP(B15, 'HMMTPUMaC Combo'!A$2:$B$500,2, 0), 0)</f>
        <v>810.2240746</v>
      </c>
      <c r="G15" s="53">
        <f>IFERROR(VLOOKUP(B15, 'HMMTPUMaC NT'!A$2:$B$500,2, 0), 0)</f>
        <v>2945.897324</v>
      </c>
      <c r="H15" s="58">
        <f>IFERROR(VLOOKUP(B15, 'HMMTPUMaC Algebra'!A$2:$B$500,2, 0), 0)</f>
        <v>376.6853078</v>
      </c>
      <c r="I15" s="53">
        <f>IFERROR(VLOOKUP(B15, 'HMMTPUMaC Geo'!$A$2:B$1500,2, 0), 0)</f>
        <v>965.2896404</v>
      </c>
      <c r="J15" s="47"/>
    </row>
    <row r="16">
      <c r="A16" s="52">
        <v>15.0</v>
      </c>
      <c r="B16" s="7" t="s">
        <v>30</v>
      </c>
      <c r="C16" s="53">
        <f t="shared" si="1"/>
        <v>1398.743205</v>
      </c>
      <c r="D16" s="53">
        <f t="shared" si="2"/>
        <v>1398.743</v>
      </c>
      <c r="E16" s="57">
        <f>IFERROR(VLOOKUP(B16, Proof!A$2:$B$588,2, 0), 0)</f>
        <v>1018.181818</v>
      </c>
      <c r="F16" s="53">
        <f>IFERROR(VLOOKUP(B16, 'HMMTPUMaC Combo'!A$2:$B$500,2, 0), 0)</f>
        <v>1786.286057</v>
      </c>
      <c r="G16" s="53">
        <f>IFERROR(VLOOKUP(B16, 'HMMTPUMaC NT'!A$2:$B$500,2, 0), 0)</f>
        <v>808.8422408</v>
      </c>
      <c r="H16" s="58">
        <f>IFERROR(VLOOKUP(B16, 'HMMTPUMaC Algebra'!A$2:$B$500,2, 0), 0)</f>
        <v>376.6853078</v>
      </c>
      <c r="I16" s="53">
        <f>IFERROR(VLOOKUP(B16, 'HMMTPUMaC Geo'!$A$2:B$1500,2, 0), 0)</f>
        <v>1588.395393</v>
      </c>
      <c r="J16" s="59"/>
    </row>
    <row r="17">
      <c r="A17" s="52">
        <v>16.0</v>
      </c>
      <c r="B17" s="7" t="s">
        <v>24</v>
      </c>
      <c r="C17" s="53">
        <f t="shared" si="1"/>
        <v>1472.625744</v>
      </c>
      <c r="D17" s="53">
        <f t="shared" si="2"/>
        <v>1472.626</v>
      </c>
      <c r="E17" s="57">
        <f>IFERROR(VLOOKUP(B17, Proof!A$2:$B$588,2, 0), 0)</f>
        <v>1890.909091</v>
      </c>
      <c r="F17" s="53">
        <f>IFERROR(VLOOKUP(B17, 'HMMTPUMaC Combo'!A$2:$B$500,2, 0), 0)</f>
        <v>0</v>
      </c>
      <c r="G17" s="53">
        <f>IFERROR(VLOOKUP(B17, 'HMMTPUMaC NT'!A$2:$B$500,2, 0), 0)</f>
        <v>808.8422408</v>
      </c>
      <c r="H17" s="58">
        <f>IFERROR(VLOOKUP(B17, 'HMMTPUMaC Algebra'!A$2:$B$500,2, 0), 0)</f>
        <v>1159.833916</v>
      </c>
      <c r="I17" s="53">
        <f>IFERROR(VLOOKUP(B17, 'HMMTPUMaC Geo'!$A$2:B$1500,2, 0), 0)</f>
        <v>1588.395393</v>
      </c>
      <c r="J17" s="58"/>
    </row>
    <row r="18">
      <c r="A18" s="52">
        <v>17.0</v>
      </c>
      <c r="B18" s="7" t="s">
        <v>430</v>
      </c>
      <c r="C18" s="53">
        <f t="shared" si="1"/>
        <v>892.4834826</v>
      </c>
      <c r="D18" s="53">
        <f t="shared" si="2"/>
        <v>892.483</v>
      </c>
      <c r="E18" s="57">
        <f>IFERROR(VLOOKUP(B18, Proof!A$2:$B$588,2, 0), 0)</f>
        <v>0</v>
      </c>
      <c r="F18" s="53">
        <f>IFERROR(VLOOKUP(B18, 'HMMTPUMaC Combo'!A$2:$B$500,2, 0), 0)</f>
        <v>1116.935469</v>
      </c>
      <c r="G18" s="53">
        <f>IFERROR(VLOOKUP(B18, 'HMMTPUMaC NT'!A$2:$B$500,2, 0), 0)</f>
        <v>808.8422408</v>
      </c>
      <c r="H18" s="58">
        <f>IFERROR(VLOOKUP(B18, 'HMMTPUMaC Algebra'!A$2:$B$500,2, 0), 0)</f>
        <v>0</v>
      </c>
      <c r="I18" s="53">
        <f>IFERROR(VLOOKUP(B18, 'HMMTPUMaC Geo'!$A$2:B$1500,2, 0), 0)</f>
        <v>1588.395393</v>
      </c>
      <c r="J18" s="47"/>
    </row>
    <row r="19">
      <c r="A19" s="52">
        <v>18.0</v>
      </c>
      <c r="B19" s="7" t="s">
        <v>434</v>
      </c>
      <c r="C19" s="53">
        <f t="shared" si="1"/>
        <v>832.2777604</v>
      </c>
      <c r="D19" s="53">
        <f t="shared" si="2"/>
        <v>832.278</v>
      </c>
      <c r="E19" s="57">
        <f>IFERROR(VLOOKUP(B19, Proof!A$2:$B$588,2, 0), 0)</f>
        <v>0</v>
      </c>
      <c r="F19" s="53">
        <f>IFERROR(VLOOKUP(B19, 'HMMTPUMaC Combo'!A$2:$B$500,2, 0), 0)</f>
        <v>457.1082334</v>
      </c>
      <c r="G19" s="53">
        <f>IFERROR(VLOOKUP(B19, 'HMMTPUMaC NT'!A$2:$B$500,2, 0), 0)</f>
        <v>808.8422408</v>
      </c>
      <c r="H19" s="58">
        <f>IFERROR(VLOOKUP(B19, 'HMMTPUMaC Algebra'!A$2:$B$500,2, 0), 0)</f>
        <v>916.2497279</v>
      </c>
      <c r="I19" s="53">
        <f>IFERROR(VLOOKUP(B19, 'HMMTPUMaC Geo'!$A$2:B$1500,2, 0), 0)</f>
        <v>1588.395393</v>
      </c>
      <c r="J19" s="47"/>
    </row>
    <row r="20">
      <c r="A20" s="52">
        <v>19.0</v>
      </c>
      <c r="B20" s="7" t="s">
        <v>15</v>
      </c>
      <c r="C20" s="53">
        <f t="shared" si="1"/>
        <v>1338.268642</v>
      </c>
      <c r="D20" s="53">
        <f t="shared" si="2"/>
        <v>1338.269</v>
      </c>
      <c r="E20" s="57">
        <f>IFERROR(VLOOKUP(B20, Proof!A$2:$B$588,2, 0), 0)</f>
        <v>1890.909091</v>
      </c>
      <c r="F20" s="53">
        <f>IFERROR(VLOOKUP(B20, 'HMMTPUMaC Combo'!A$2:$B$500,2, 0), 0)</f>
        <v>1299.280165</v>
      </c>
      <c r="G20" s="53">
        <f>IFERROR(VLOOKUP(B20, 'HMMTPUMaC NT'!A$2:$B$500,2, 0), 0)</f>
        <v>808.8422408</v>
      </c>
      <c r="H20" s="58">
        <f>IFERROR(VLOOKUP(B20, 'HMMTPUMaC Algebra'!A$2:$B$500,2, 0), 0)</f>
        <v>916.2497279</v>
      </c>
      <c r="I20" s="53">
        <f>IFERROR(VLOOKUP(B20, 'HMMTPUMaC Geo'!$A$2:B$1500,2, 0), 0)</f>
        <v>965.2896404</v>
      </c>
      <c r="J20" s="53"/>
    </row>
    <row r="21">
      <c r="A21" s="52">
        <v>20.0</v>
      </c>
      <c r="B21" s="7" t="s">
        <v>29</v>
      </c>
      <c r="C21" s="53">
        <f t="shared" si="1"/>
        <v>1288.518477</v>
      </c>
      <c r="D21" s="53">
        <f t="shared" si="2"/>
        <v>1288.518</v>
      </c>
      <c r="E21" s="57">
        <f>IFERROR(VLOOKUP(B21, Proof!A$2:$B$588,2, 0), 0)</f>
        <v>1745.454545</v>
      </c>
      <c r="F21" s="53">
        <f>IFERROR(VLOOKUP(B21, 'HMMTPUMaC Combo'!A$2:$B$500,2, 0), 0)</f>
        <v>457.1082334</v>
      </c>
      <c r="G21" s="53">
        <f>IFERROR(VLOOKUP(B21, 'HMMTPUMaC NT'!A$2:$B$500,2, 0), 0)</f>
        <v>808.8422408</v>
      </c>
      <c r="H21" s="58">
        <f>IFERROR(VLOOKUP(B21, 'HMMTPUMaC Algebra'!A$2:$B$500,2, 0), 0)</f>
        <v>376.6853078</v>
      </c>
      <c r="I21" s="53">
        <f>IFERROR(VLOOKUP(B21, 'HMMTPUMaC Geo'!$A$2:B$1500,2, 0), 0)</f>
        <v>1588.395393</v>
      </c>
      <c r="J21" s="53"/>
    </row>
    <row r="22">
      <c r="A22" s="52">
        <v>21.0</v>
      </c>
      <c r="B22" s="7" t="s">
        <v>569</v>
      </c>
      <c r="C22" s="53">
        <f t="shared" si="1"/>
        <v>724.4339543</v>
      </c>
      <c r="D22" s="53">
        <f t="shared" si="2"/>
        <v>724.434</v>
      </c>
      <c r="E22" s="57">
        <f>IFERROR(VLOOKUP(B22, Proof!A$2:$B$588,2, 0), 0)</f>
        <v>0</v>
      </c>
      <c r="F22" s="53">
        <f>IFERROR(VLOOKUP(B22, 'HMMTPUMaC Combo'!A$2:$B$500,2, 0), 0)</f>
        <v>1116.935469</v>
      </c>
      <c r="G22" s="53">
        <f>IFERROR(VLOOKUP(B22, 'HMMTPUMaC NT'!A$2:$B$500,2, 0), 0)</f>
        <v>808.8422408</v>
      </c>
      <c r="H22" s="58">
        <f>IFERROR(VLOOKUP(B22, 'HMMTPUMaC Algebra'!A$2:$B$500,2, 0), 0)</f>
        <v>376.6853078</v>
      </c>
      <c r="I22" s="53">
        <f>IFERROR(VLOOKUP(B22, 'HMMTPUMaC Geo'!$A$2:B$1500,2, 0), 0)</f>
        <v>1028.230299</v>
      </c>
      <c r="J22" s="58"/>
    </row>
    <row r="23">
      <c r="A23" s="52">
        <v>22.0</v>
      </c>
      <c r="B23" s="7" t="s">
        <v>13</v>
      </c>
      <c r="C23" s="53">
        <f t="shared" si="1"/>
        <v>1396.275613</v>
      </c>
      <c r="D23" s="53">
        <f t="shared" si="2"/>
        <v>1396.276</v>
      </c>
      <c r="E23" s="57">
        <f>IFERROR(VLOOKUP(B23, Proof!A$2:$B$588,2, 0), 0)</f>
        <v>2036.363636</v>
      </c>
      <c r="F23" s="53">
        <f>IFERROR(VLOOKUP(B23, 'HMMTPUMaC Combo'!A$2:$B$500,2, 0), 0)</f>
        <v>457.1082334</v>
      </c>
      <c r="G23" s="53">
        <f>IFERROR(VLOOKUP(B23, 'HMMTPUMaC NT'!A$2:$B$500,2, 0), 0)</f>
        <v>422.6348725</v>
      </c>
      <c r="H23" s="58">
        <f>IFERROR(VLOOKUP(B23, 'HMMTPUMaC Algebra'!A$2:$B$500,2, 0), 0)</f>
        <v>1500.229356</v>
      </c>
      <c r="I23" s="53">
        <f>IFERROR(VLOOKUP(B23, 'HMMTPUMaC Geo'!$A$2:B$1500,2, 0), 0)</f>
        <v>965.2896404</v>
      </c>
      <c r="J23" s="47"/>
    </row>
    <row r="24">
      <c r="A24" s="52">
        <v>23.0</v>
      </c>
      <c r="B24" s="7" t="s">
        <v>63</v>
      </c>
      <c r="C24" s="53">
        <f t="shared" si="1"/>
        <v>1024.625836</v>
      </c>
      <c r="D24" s="53">
        <f t="shared" si="2"/>
        <v>1024.626</v>
      </c>
      <c r="E24" s="57">
        <f>IFERROR(VLOOKUP(B24, Proof!A$2:$B$588,2, 0), 0)</f>
        <v>1018.181818</v>
      </c>
      <c r="F24" s="53">
        <f>IFERROR(VLOOKUP(B24, 'HMMTPUMaC Combo'!A$2:$B$500,2, 0), 0)</f>
        <v>0</v>
      </c>
      <c r="G24" s="53">
        <f>IFERROR(VLOOKUP(B24, 'HMMTPUMaC NT'!A$2:$B$500,2, 0), 0)</f>
        <v>808.8422408</v>
      </c>
      <c r="H24" s="58">
        <f>IFERROR(VLOOKUP(B24, 'HMMTPUMaC Algebra'!A$2:$B$500,2, 0), 0)</f>
        <v>0</v>
      </c>
      <c r="I24" s="53">
        <f>IFERROR(VLOOKUP(B24, 'HMMTPUMaC Geo'!$A$2:B$1500,2, 0), 0)</f>
        <v>1588.395393</v>
      </c>
      <c r="J24" s="47"/>
    </row>
    <row r="25">
      <c r="A25" s="52">
        <v>24.0</v>
      </c>
      <c r="B25" s="7" t="s">
        <v>23</v>
      </c>
      <c r="C25" s="53">
        <f t="shared" si="1"/>
        <v>1163.316705</v>
      </c>
      <c r="D25" s="53">
        <f t="shared" si="2"/>
        <v>1163.317</v>
      </c>
      <c r="E25" s="57">
        <f>IFERROR(VLOOKUP(B25, Proof!A$2:$B$588,2, 0), 0)</f>
        <v>1163.636364</v>
      </c>
      <c r="F25" s="53">
        <f>IFERROR(VLOOKUP(B25, 'HMMTPUMaC Combo'!A$2:$B$500,2, 0), 0)</f>
        <v>0</v>
      </c>
      <c r="G25" s="53">
        <f>IFERROR(VLOOKUP(B25, 'HMMTPUMaC NT'!A$2:$B$500,2, 0), 0)</f>
        <v>386.2073683</v>
      </c>
      <c r="H25" s="58">
        <f>IFERROR(VLOOKUP(B25, 'HMMTPUMaC Algebra'!A$2:$B$500,2, 0), 0)</f>
        <v>996.954804</v>
      </c>
      <c r="I25" s="53">
        <f>IFERROR(VLOOKUP(B25, 'HMMTPUMaC Geo'!$A$2:B$1500,2, 0), 0)</f>
        <v>1588.395393</v>
      </c>
      <c r="J25" s="47"/>
    </row>
    <row r="26">
      <c r="A26" s="52">
        <v>25.0</v>
      </c>
      <c r="B26" s="7" t="s">
        <v>571</v>
      </c>
      <c r="C26" s="53">
        <f t="shared" si="1"/>
        <v>569.9080951</v>
      </c>
      <c r="D26" s="53">
        <f t="shared" si="2"/>
        <v>569.908</v>
      </c>
      <c r="E26" s="57">
        <f>IFERROR(VLOOKUP(B26, Proof!A$2:$B$588,2, 0), 0)</f>
        <v>0</v>
      </c>
      <c r="F26" s="53">
        <f>IFERROR(VLOOKUP(B26, 'HMMTPUMaC Combo'!A$2:$B$500,2, 0), 0)</f>
        <v>0</v>
      </c>
      <c r="G26" s="53">
        <f>IFERROR(VLOOKUP(B26, 'HMMTPUMaC NT'!A$2:$B$500,2, 0), 0)</f>
        <v>808.8422408</v>
      </c>
      <c r="H26" s="58">
        <f>IFERROR(VLOOKUP(B26, 'HMMTPUMaC Algebra'!A$2:$B$500,2, 0), 0)</f>
        <v>376.6853078</v>
      </c>
      <c r="I26" s="53">
        <f>IFERROR(VLOOKUP(B26, 'HMMTPUMaC Geo'!$A$2:B$1500,2, 0), 0)</f>
        <v>965.2896404</v>
      </c>
      <c r="J26" s="59"/>
    </row>
    <row r="27">
      <c r="A27" s="52">
        <v>26.0</v>
      </c>
      <c r="B27" s="7" t="s">
        <v>33</v>
      </c>
      <c r="C27" s="53">
        <f t="shared" si="1"/>
        <v>1105.93073</v>
      </c>
      <c r="D27" s="53">
        <f t="shared" si="2"/>
        <v>1105.931</v>
      </c>
      <c r="E27" s="57">
        <f>IFERROR(VLOOKUP(B27, Proof!A$2:$B$588,2, 0), 0)</f>
        <v>1163.636364</v>
      </c>
      <c r="F27" s="53">
        <f>IFERROR(VLOOKUP(B27, 'HMMTPUMaC Combo'!A$2:$B$500,2, 0), 0)</f>
        <v>0</v>
      </c>
      <c r="G27" s="53">
        <f>IFERROR(VLOOKUP(B27, 'HMMTPUMaC NT'!A$2:$B$500,2, 0), 0)</f>
        <v>808.8422408</v>
      </c>
      <c r="H27" s="58">
        <f>IFERROR(VLOOKUP(B27, 'HMMTPUMaC Algebra'!A$2:$B$500,2, 0), 0)</f>
        <v>376.6853078</v>
      </c>
      <c r="I27" s="53">
        <f>IFERROR(VLOOKUP(B27, 'HMMTPUMaC Geo'!$A$2:B$1500,2, 0), 0)</f>
        <v>1588.395393</v>
      </c>
      <c r="J27" s="47"/>
    </row>
    <row r="28">
      <c r="A28" s="52">
        <v>27.0</v>
      </c>
      <c r="B28" s="7" t="s">
        <v>19</v>
      </c>
      <c r="C28" s="53">
        <f t="shared" si="1"/>
        <v>1160.428595</v>
      </c>
      <c r="D28" s="53">
        <f t="shared" si="2"/>
        <v>1160.429</v>
      </c>
      <c r="E28" s="57">
        <f>IFERROR(VLOOKUP(B28, Proof!A$2:$B$588,2, 0), 0)</f>
        <v>1454.545455</v>
      </c>
      <c r="F28" s="53">
        <f>IFERROR(VLOOKUP(B28, 'HMMTPUMaC Combo'!A$2:$B$500,2, 0), 0)</f>
        <v>0</v>
      </c>
      <c r="G28" s="53">
        <f>IFERROR(VLOOKUP(B28, 'HMMTPUMaC NT'!A$2:$B$500,2, 0), 0)</f>
        <v>808.8422408</v>
      </c>
      <c r="H28" s="58">
        <f>IFERROR(VLOOKUP(B28, 'HMMTPUMaC Algebra'!A$2:$B$500,2, 0), 0)</f>
        <v>960.6649363</v>
      </c>
      <c r="I28" s="53">
        <f>IFERROR(VLOOKUP(B28, 'HMMTPUMaC Geo'!$A$2:B$1500,2, 0), 0)</f>
        <v>1183.270847</v>
      </c>
      <c r="J28" s="47"/>
    </row>
    <row r="29">
      <c r="A29" s="52">
        <v>28.0</v>
      </c>
      <c r="B29" s="7" t="s">
        <v>60</v>
      </c>
      <c r="C29" s="53">
        <f t="shared" si="1"/>
        <v>1157.42636</v>
      </c>
      <c r="D29" s="53">
        <f t="shared" si="2"/>
        <v>1157.426</v>
      </c>
      <c r="E29" s="57">
        <f>IFERROR(VLOOKUP(B29, Proof!A$2:$B$588,2, 0), 0)</f>
        <v>2327.272727</v>
      </c>
      <c r="F29" s="53">
        <f>IFERROR(VLOOKUP(B29, 'HMMTPUMaC Combo'!A$2:$B$500,2, 0), 0)</f>
        <v>0</v>
      </c>
      <c r="G29" s="53">
        <f>IFERROR(VLOOKUP(B29, 'HMMTPUMaC NT'!A$2:$B$500,2, 0), 0)</f>
        <v>386.2073683</v>
      </c>
      <c r="H29" s="58">
        <f>IFERROR(VLOOKUP(B29, 'HMMTPUMaC Algebra'!A$2:$B$500,2, 0), 0)</f>
        <v>996.954804</v>
      </c>
      <c r="I29" s="53">
        <f>IFERROR(VLOOKUP(B29, 'HMMTPUMaC Geo'!$A$2:B$1500,2, 0), 0)</f>
        <v>405.1245459</v>
      </c>
      <c r="J29" s="53"/>
    </row>
    <row r="30">
      <c r="A30" s="52">
        <v>29.0</v>
      </c>
      <c r="B30" s="7" t="s">
        <v>573</v>
      </c>
      <c r="C30" s="53">
        <f t="shared" si="1"/>
        <v>551.1217618</v>
      </c>
      <c r="D30" s="53">
        <f t="shared" si="2"/>
        <v>551.122</v>
      </c>
      <c r="E30" s="57">
        <f>IFERROR(VLOOKUP(B30, Proof!A$2:$B$588,2, 0), 0)</f>
        <v>0</v>
      </c>
      <c r="F30" s="53">
        <f>IFERROR(VLOOKUP(B30, 'HMMTPUMaC Combo'!A$2:$B$500,2, 0), 0)</f>
        <v>0</v>
      </c>
      <c r="G30" s="53">
        <f>IFERROR(VLOOKUP(B30, 'HMMTPUMaC NT'!A$2:$B$500,2, 0), 0)</f>
        <v>808.8422408</v>
      </c>
      <c r="H30" s="58">
        <f>IFERROR(VLOOKUP(B30, 'HMMTPUMaC Algebra'!A$2:$B$500,2, 0), 0)</f>
        <v>0</v>
      </c>
      <c r="I30" s="53">
        <f>IFERROR(VLOOKUP(B30, 'HMMTPUMaC Geo'!$A$2:B$1500,2, 0), 0)</f>
        <v>1028.230299</v>
      </c>
      <c r="J30" s="47"/>
    </row>
    <row r="31">
      <c r="A31" s="52">
        <v>30.0</v>
      </c>
      <c r="B31" s="7" t="s">
        <v>34</v>
      </c>
      <c r="C31" s="53">
        <f t="shared" si="1"/>
        <v>401.8585668</v>
      </c>
      <c r="D31" s="53">
        <f t="shared" si="2"/>
        <v>401.859</v>
      </c>
      <c r="E31" s="57">
        <f>IFERROR(VLOOKUP(B31, Proof!A$2:$B$588,2, 0), 0)</f>
        <v>0</v>
      </c>
      <c r="F31" s="53">
        <f>IFERROR(VLOOKUP(B31, 'HMMTPUMaC Combo'!A$2:$B$500,2, 0), 0)</f>
        <v>0</v>
      </c>
      <c r="G31" s="53">
        <f>IFERROR(VLOOKUP(B31, 'HMMTPUMaC NT'!A$2:$B$500,2, 0), 0)</f>
        <v>808.8422408</v>
      </c>
      <c r="H31" s="58">
        <f>IFERROR(VLOOKUP(B31, 'HMMTPUMaC Algebra'!A$2:$B$500,2, 0), 0)</f>
        <v>376.6853078</v>
      </c>
      <c r="I31" s="53">
        <f>IFERROR(VLOOKUP(B31, 'HMMTPUMaC Geo'!$A$2:B$1500,2, 0), 0)</f>
        <v>405.1245459</v>
      </c>
      <c r="J31" s="47"/>
    </row>
    <row r="32">
      <c r="A32" s="52">
        <v>31.0</v>
      </c>
      <c r="B32" s="7" t="s">
        <v>88</v>
      </c>
      <c r="C32" s="53">
        <f t="shared" si="1"/>
        <v>588.7902926</v>
      </c>
      <c r="D32" s="53">
        <f t="shared" si="2"/>
        <v>588.79</v>
      </c>
      <c r="E32" s="57">
        <f>IFERROR(VLOOKUP(B32, Proof!A$2:$B$588,2, 0), 0)</f>
        <v>0</v>
      </c>
      <c r="F32" s="53">
        <f>IFERROR(VLOOKUP(B32, 'HMMTPUMaC Combo'!A$2:$B$500,2, 0), 0)</f>
        <v>0</v>
      </c>
      <c r="G32" s="53">
        <f>IFERROR(VLOOKUP(B32, 'HMMTPUMaC NT'!A$2:$B$500,2, 0), 0)</f>
        <v>808.8422408</v>
      </c>
      <c r="H32" s="58">
        <f>IFERROR(VLOOKUP(B32, 'HMMTPUMaC Algebra'!A$2:$B$500,2, 0), 0)</f>
        <v>376.6853078</v>
      </c>
      <c r="I32" s="53">
        <f>IFERROR(VLOOKUP(B32, 'HMMTPUMaC Geo'!$A$2:B$1500,2, 0), 0)</f>
        <v>1028.230299</v>
      </c>
      <c r="J32" s="47"/>
    </row>
    <row r="33">
      <c r="A33" s="52">
        <v>32.0</v>
      </c>
      <c r="B33" s="7" t="s">
        <v>433</v>
      </c>
      <c r="C33" s="53">
        <f t="shared" si="1"/>
        <v>530.8521531</v>
      </c>
      <c r="D33" s="53">
        <f t="shared" si="2"/>
        <v>530.852</v>
      </c>
      <c r="E33" s="57">
        <f>IFERROR(VLOOKUP(B33, Proof!A$2:$B$588,2, 0), 0)</f>
        <v>0</v>
      </c>
      <c r="F33" s="53">
        <f>IFERROR(VLOOKUP(B33, 'HMMTPUMaC Combo'!A$2:$B$500,2, 0), 0)</f>
        <v>0</v>
      </c>
      <c r="G33" s="53">
        <f>IFERROR(VLOOKUP(B33, 'HMMTPUMaC NT'!A$2:$B$500,2, 0), 0)</f>
        <v>808.8422408</v>
      </c>
      <c r="H33" s="58">
        <f>IFERROR(VLOOKUP(B33, 'HMMTPUMaC Algebra'!A$2:$B$500,2, 0), 0)</f>
        <v>960.6649363</v>
      </c>
      <c r="I33" s="53">
        <f>IFERROR(VLOOKUP(B33, 'HMMTPUMaC Geo'!$A$2:B$1500,2, 0), 0)</f>
        <v>0</v>
      </c>
      <c r="J33" s="47"/>
    </row>
    <row r="34">
      <c r="A34" s="52">
        <v>33.0</v>
      </c>
      <c r="B34" s="7" t="s">
        <v>14</v>
      </c>
      <c r="C34" s="53">
        <f t="shared" si="1"/>
        <v>791.1744401</v>
      </c>
      <c r="D34" s="53">
        <f t="shared" si="2"/>
        <v>791.174</v>
      </c>
      <c r="E34" s="57">
        <f>IFERROR(VLOOKUP(B34, Proof!A$2:$B$588,2, 0), 0)</f>
        <v>1018.181818</v>
      </c>
      <c r="F34" s="53">
        <f>IFERROR(VLOOKUP(B34, 'HMMTPUMaC Combo'!A$2:$B$500,2, 0), 0)</f>
        <v>810.2240746</v>
      </c>
      <c r="G34" s="53">
        <f>IFERROR(VLOOKUP(B34, 'HMMTPUMaC NT'!A$2:$B$500,2, 0), 0)</f>
        <v>808.8422408</v>
      </c>
      <c r="H34" s="58">
        <f>IFERROR(VLOOKUP(B34, 'HMMTPUMaC Algebra'!A$2:$B$500,2, 0), 0)</f>
        <v>0</v>
      </c>
      <c r="I34" s="53">
        <f>IFERROR(VLOOKUP(B34, 'HMMTPUMaC Geo'!$A$2:B$1500,2, 0), 0)</f>
        <v>0</v>
      </c>
      <c r="J34" s="47"/>
    </row>
    <row r="35">
      <c r="A35" s="52">
        <v>34.0</v>
      </c>
      <c r="B35" s="7" t="s">
        <v>572</v>
      </c>
      <c r="C35" s="53">
        <f t="shared" si="1"/>
        <v>461.9998308</v>
      </c>
      <c r="D35" s="53">
        <f t="shared" si="2"/>
        <v>462</v>
      </c>
      <c r="E35" s="57">
        <f>IFERROR(VLOOKUP(B35, Proof!A$2:$B$588,2, 0), 0)</f>
        <v>0</v>
      </c>
      <c r="F35" s="53">
        <f>IFERROR(VLOOKUP(B35, 'HMMTPUMaC Combo'!A$2:$B$500,2, 0), 0)</f>
        <v>0</v>
      </c>
      <c r="G35" s="53">
        <f>IFERROR(VLOOKUP(B35, 'HMMTPUMaC NT'!A$2:$B$500,2, 0), 0)</f>
        <v>386.2073683</v>
      </c>
      <c r="H35" s="58">
        <f>IFERROR(VLOOKUP(B35, 'HMMTPUMaC Algebra'!A$2:$B$500,2, 0), 0)</f>
        <v>376.6853078</v>
      </c>
      <c r="I35" s="53">
        <f>IFERROR(VLOOKUP(B35, 'HMMTPUMaC Geo'!$A$2:B$1500,2, 0), 0)</f>
        <v>1028.230299</v>
      </c>
      <c r="J35" s="47"/>
    </row>
    <row r="36">
      <c r="A36" s="52">
        <v>35.0</v>
      </c>
      <c r="B36" s="7" t="s">
        <v>17</v>
      </c>
      <c r="C36" s="53">
        <f t="shared" si="1"/>
        <v>681.218261</v>
      </c>
      <c r="D36" s="53">
        <f t="shared" si="2"/>
        <v>681.218</v>
      </c>
      <c r="E36" s="57">
        <f>IFERROR(VLOOKUP(B36, Proof!A$2:$B$588,2, 0), 0)</f>
        <v>0</v>
      </c>
      <c r="F36" s="53">
        <f>IFERROR(VLOOKUP(B36, 'HMMTPUMaC Combo'!A$2:$B$500,2, 0), 0)</f>
        <v>1116.935469</v>
      </c>
      <c r="G36" s="53">
        <f>IFERROR(VLOOKUP(B36, 'HMMTPUMaC NT'!A$2:$B$500,2, 0), 0)</f>
        <v>0</v>
      </c>
      <c r="H36" s="58">
        <f>IFERROR(VLOOKUP(B36, 'HMMTPUMaC Algebra'!A$2:$B$500,2, 0), 0)</f>
        <v>376.6853078</v>
      </c>
      <c r="I36" s="53">
        <f>IFERROR(VLOOKUP(B36, 'HMMTPUMaC Geo'!$A$2:B$1500,2, 0), 0)</f>
        <v>1028.230299</v>
      </c>
      <c r="J36" s="47"/>
    </row>
    <row r="37">
      <c r="A37" s="52">
        <v>36.0</v>
      </c>
      <c r="B37" s="7" t="s">
        <v>39</v>
      </c>
      <c r="C37" s="53">
        <f t="shared" si="1"/>
        <v>379.7851422</v>
      </c>
      <c r="D37" s="53">
        <f t="shared" si="2"/>
        <v>379.785</v>
      </c>
      <c r="E37" s="57">
        <f>IFERROR(VLOOKUP(B37, Proof!A$2:$B$588,2, 0), 0)</f>
        <v>0</v>
      </c>
      <c r="F37" s="53">
        <f>IFERROR(VLOOKUP(B37, 'HMMTPUMaC Combo'!A$2:$B$500,2, 0), 0)</f>
        <v>457.1082334</v>
      </c>
      <c r="G37" s="53">
        <f>IFERROR(VLOOKUP(B37, 'HMMTPUMaC NT'!A$2:$B$500,2, 0), 0)</f>
        <v>808.8422408</v>
      </c>
      <c r="H37" s="58">
        <f>IFERROR(VLOOKUP(B37, 'HMMTPUMaC Algebra'!A$2:$B$500,2, 0), 0)</f>
        <v>0</v>
      </c>
      <c r="I37" s="53">
        <f>IFERROR(VLOOKUP(B37, 'HMMTPUMaC Geo'!$A$2:B$1500,2, 0), 0)</f>
        <v>0</v>
      </c>
      <c r="J37" s="47"/>
      <c r="K37" s="14" t="s">
        <v>651</v>
      </c>
    </row>
    <row r="38">
      <c r="A38" s="52">
        <v>37.0</v>
      </c>
      <c r="B38" s="7" t="s">
        <v>45</v>
      </c>
      <c r="C38" s="53">
        <f t="shared" si="1"/>
        <v>621.0262238</v>
      </c>
      <c r="D38" s="53">
        <f t="shared" si="2"/>
        <v>621.026</v>
      </c>
      <c r="E38" s="57">
        <f>IFERROR(VLOOKUP(B38, Proof!A$2:$B$588,2, 0), 0)</f>
        <v>0</v>
      </c>
      <c r="F38" s="53">
        <f>IFERROR(VLOOKUP(B38, 'HMMTPUMaC Combo'!A$2:$B$500,2, 0), 0)</f>
        <v>976.0619827</v>
      </c>
      <c r="G38" s="53">
        <f>IFERROR(VLOOKUP(B38, 'HMMTPUMaC NT'!A$2:$B$500,2, 0), 0)</f>
        <v>386.2073683</v>
      </c>
      <c r="H38" s="58">
        <f>IFERROR(VLOOKUP(B38, 'HMMTPUMaC Algebra'!A$2:$B$500,2, 0), 0)</f>
        <v>0</v>
      </c>
      <c r="I38" s="53">
        <f>IFERROR(VLOOKUP(B38, 'HMMTPUMaC Geo'!$A$2:B$1500,2, 0), 0)</f>
        <v>965.2896404</v>
      </c>
      <c r="J38" s="47"/>
    </row>
    <row r="39">
      <c r="A39" s="52">
        <v>38.0</v>
      </c>
      <c r="B39" s="7" t="s">
        <v>57</v>
      </c>
      <c r="C39" s="53">
        <f t="shared" si="1"/>
        <v>569.9080951</v>
      </c>
      <c r="D39" s="53">
        <f t="shared" si="2"/>
        <v>569.908</v>
      </c>
      <c r="E39" s="57">
        <f>IFERROR(VLOOKUP(B39, Proof!A$2:$B$588,2, 0), 0)</f>
        <v>0</v>
      </c>
      <c r="F39" s="53">
        <f>IFERROR(VLOOKUP(B39, 'HMMTPUMaC Combo'!A$2:$B$500,2, 0), 0)</f>
        <v>0</v>
      </c>
      <c r="G39" s="53">
        <f>IFERROR(VLOOKUP(B39, 'HMMTPUMaC NT'!A$2:$B$500,2, 0), 0)</f>
        <v>808.8422408</v>
      </c>
      <c r="H39" s="58">
        <f>IFERROR(VLOOKUP(B39, 'HMMTPUMaC Algebra'!A$2:$B$500,2, 0), 0)</f>
        <v>376.6853078</v>
      </c>
      <c r="I39" s="53">
        <f>IFERROR(VLOOKUP(B39, 'HMMTPUMaC Geo'!$A$2:B$1500,2, 0), 0)</f>
        <v>965.2896404</v>
      </c>
      <c r="J39" s="59"/>
    </row>
    <row r="40">
      <c r="A40" s="52">
        <v>39.0</v>
      </c>
      <c r="B40" s="7" t="s">
        <v>568</v>
      </c>
      <c r="C40" s="53">
        <f t="shared" si="1"/>
        <v>335.0806406</v>
      </c>
      <c r="D40" s="53">
        <f t="shared" si="2"/>
        <v>335.081</v>
      </c>
      <c r="E40" s="57">
        <f>IFERROR(VLOOKUP(B40, Proof!A$2:$B$588,2, 0), 0)</f>
        <v>0</v>
      </c>
      <c r="F40" s="53">
        <f>IFERROR(VLOOKUP(B40, 'HMMTPUMaC Combo'!A$2:$B$500,2, 0), 0)</f>
        <v>1116.935469</v>
      </c>
      <c r="G40" s="53">
        <f>IFERROR(VLOOKUP(B40, 'HMMTPUMaC NT'!A$2:$B$500,2, 0), 0)</f>
        <v>0</v>
      </c>
      <c r="H40" s="58">
        <f>IFERROR(VLOOKUP(B40, 'HMMTPUMaC Algebra'!A$2:$B$500,2, 0), 0)</f>
        <v>0</v>
      </c>
      <c r="I40" s="53">
        <f>IFERROR(VLOOKUP(B40, 'HMMTPUMaC Geo'!$A$2:B$1500,2, 0), 0)</f>
        <v>0</v>
      </c>
      <c r="J40" s="47"/>
    </row>
    <row r="41">
      <c r="A41" s="52">
        <v>40.0</v>
      </c>
      <c r="B41" s="7" t="s">
        <v>86</v>
      </c>
      <c r="C41" s="53">
        <f t="shared" si="1"/>
        <v>577.9503877</v>
      </c>
      <c r="D41" s="53">
        <f t="shared" si="2"/>
        <v>577.95</v>
      </c>
      <c r="E41" s="57">
        <f>IFERROR(VLOOKUP(B41, Proof!A$2:$B$588,2, 0), 0)</f>
        <v>0</v>
      </c>
      <c r="F41" s="53">
        <f>IFERROR(VLOOKUP(B41, 'HMMTPUMaC Combo'!A$2:$B$500,2, 0), 0)</f>
        <v>457.1082334</v>
      </c>
      <c r="G41" s="53">
        <f>IFERROR(VLOOKUP(B41, 'HMMTPUMaC NT'!A$2:$B$500,2, 0), 0)</f>
        <v>808.8422408</v>
      </c>
      <c r="H41" s="58">
        <f>IFERROR(VLOOKUP(B41, 'HMMTPUMaC Algebra'!A$2:$B$500,2, 0), 0)</f>
        <v>376.6853078</v>
      </c>
      <c r="I41" s="53">
        <f>IFERROR(VLOOKUP(B41, 'HMMTPUMaC Geo'!$A$2:B$1500,2, 0), 0)</f>
        <v>965.2896404</v>
      </c>
      <c r="J41" s="47"/>
    </row>
    <row r="42">
      <c r="A42" s="52">
        <v>41.0</v>
      </c>
      <c r="B42" s="7" t="s">
        <v>44</v>
      </c>
      <c r="C42" s="53">
        <f t="shared" si="1"/>
        <v>532.2395644</v>
      </c>
      <c r="D42" s="53">
        <f t="shared" si="2"/>
        <v>532.24</v>
      </c>
      <c r="E42" s="57">
        <f>IFERROR(VLOOKUP(B42, Proof!A$2:$B$588,2, 0), 0)</f>
        <v>0</v>
      </c>
      <c r="F42" s="53">
        <f>IFERROR(VLOOKUP(B42, 'HMMTPUMaC Combo'!A$2:$B$500,2, 0), 0)</f>
        <v>0</v>
      </c>
      <c r="G42" s="53">
        <f>IFERROR(VLOOKUP(B42, 'HMMTPUMaC NT'!A$2:$B$500,2, 0), 0)</f>
        <v>808.8422408</v>
      </c>
      <c r="H42" s="58">
        <f>IFERROR(VLOOKUP(B42, 'HMMTPUMaC Algebra'!A$2:$B$500,2, 0), 0)</f>
        <v>0</v>
      </c>
      <c r="I42" s="53">
        <f>IFERROR(VLOOKUP(B42, 'HMMTPUMaC Geo'!$A$2:B$1500,2, 0), 0)</f>
        <v>965.2896404</v>
      </c>
      <c r="J42" s="47"/>
    </row>
    <row r="43">
      <c r="A43" s="52">
        <v>42.0</v>
      </c>
      <c r="B43" s="7" t="s">
        <v>435</v>
      </c>
      <c r="C43" s="53">
        <f t="shared" si="1"/>
        <v>456.6180044</v>
      </c>
      <c r="D43" s="53">
        <f t="shared" si="2"/>
        <v>456.618</v>
      </c>
      <c r="E43" s="57">
        <f>IFERROR(VLOOKUP(B43, Proof!A$2:$B$588,2, 0), 0)</f>
        <v>0</v>
      </c>
      <c r="F43" s="53">
        <f>IFERROR(VLOOKUP(B43, 'HMMTPUMaC Combo'!A$2:$B$500,2, 0), 0)</f>
        <v>1116.935469</v>
      </c>
      <c r="G43" s="53">
        <f>IFERROR(VLOOKUP(B43, 'HMMTPUMaC NT'!A$2:$B$500,2, 0), 0)</f>
        <v>0</v>
      </c>
      <c r="H43" s="58">
        <f>IFERROR(VLOOKUP(B43, 'HMMTPUMaC Algebra'!A$2:$B$500,2, 0), 0)</f>
        <v>0</v>
      </c>
      <c r="I43" s="53">
        <f>IFERROR(VLOOKUP(B43, 'HMMTPUMaC Geo'!$A$2:B$1500,2, 0), 0)</f>
        <v>405.1245459</v>
      </c>
      <c r="J43" s="47"/>
    </row>
    <row r="44">
      <c r="A44" s="52">
        <v>43.0</v>
      </c>
      <c r="B44" s="7" t="s">
        <v>96</v>
      </c>
      <c r="C44" s="53">
        <f t="shared" si="1"/>
        <v>379.7851422</v>
      </c>
      <c r="D44" s="53">
        <f t="shared" si="2"/>
        <v>379.785</v>
      </c>
      <c r="E44" s="57">
        <f>IFERROR(VLOOKUP(B44, Proof!A$2:$B$588,2, 0), 0)</f>
        <v>0</v>
      </c>
      <c r="F44" s="53">
        <f>IFERROR(VLOOKUP(B44, 'HMMTPUMaC Combo'!A$2:$B$500,2, 0), 0)</f>
        <v>457.1082334</v>
      </c>
      <c r="G44" s="53">
        <f>IFERROR(VLOOKUP(B44, 'HMMTPUMaC NT'!A$2:$B$500,2, 0), 0)</f>
        <v>808.8422408</v>
      </c>
      <c r="H44" s="58">
        <f>IFERROR(VLOOKUP(B44, 'HMMTPUMaC Algebra'!A$2:$B$500,2, 0), 0)</f>
        <v>0</v>
      </c>
      <c r="I44" s="53">
        <f>IFERROR(VLOOKUP(B44, 'HMMTPUMaC Geo'!$A$2:B$1500,2, 0), 0)</f>
        <v>0</v>
      </c>
      <c r="J44" s="47"/>
    </row>
    <row r="45">
      <c r="A45" s="52">
        <v>44.0</v>
      </c>
      <c r="B45" s="7" t="s">
        <v>298</v>
      </c>
      <c r="C45" s="53">
        <f t="shared" si="1"/>
        <v>379.4420412</v>
      </c>
      <c r="D45" s="53">
        <f t="shared" si="2"/>
        <v>379.442</v>
      </c>
      <c r="E45" s="57">
        <f>IFERROR(VLOOKUP(B45, Proof!A$2:$B$588,2, 0), 0)</f>
        <v>0</v>
      </c>
      <c r="F45" s="53">
        <f>IFERROR(VLOOKUP(B45, 'HMMTPUMaC Combo'!A$2:$B$500,2, 0), 0)</f>
        <v>842.1719314</v>
      </c>
      <c r="G45" s="53">
        <f>IFERROR(VLOOKUP(B45, 'HMMTPUMaC NT'!A$2:$B$500,2, 0), 0)</f>
        <v>422.6348725</v>
      </c>
      <c r="H45" s="58">
        <f>IFERROR(VLOOKUP(B45, 'HMMTPUMaC Algebra'!A$2:$B$500,2, 0), 0)</f>
        <v>0</v>
      </c>
      <c r="I45" s="53">
        <f>IFERROR(VLOOKUP(B45, 'HMMTPUMaC Geo'!$A$2:B$1500,2, 0), 0)</f>
        <v>0</v>
      </c>
    </row>
    <row r="46">
      <c r="A46" s="52">
        <v>45.0</v>
      </c>
      <c r="B46" s="7" t="s">
        <v>21</v>
      </c>
      <c r="C46" s="53">
        <f t="shared" si="1"/>
        <v>391.7081136</v>
      </c>
      <c r="D46" s="53">
        <f t="shared" si="2"/>
        <v>391.708</v>
      </c>
      <c r="E46" s="57">
        <f>IFERROR(VLOOKUP(B46, Proof!A$2:$B$588,2, 0), 0)</f>
        <v>290.9090909</v>
      </c>
      <c r="F46" s="53">
        <f>IFERROR(VLOOKUP(B46, 'HMMTPUMaC Combo'!A$2:$B$500,2, 0), 0)</f>
        <v>457.1082334</v>
      </c>
      <c r="G46" s="53">
        <f>IFERROR(VLOOKUP(B46, 'HMMTPUMaC NT'!A$2:$B$500,2, 0), 0)</f>
        <v>422.6348725</v>
      </c>
      <c r="H46" s="58">
        <f>IFERROR(VLOOKUP(B46, 'HMMTPUMaC Algebra'!A$2:$B$500,2, 0), 0)</f>
        <v>0</v>
      </c>
      <c r="I46" s="53">
        <f>IFERROR(VLOOKUP(B46, 'HMMTPUMaC Geo'!$A$2:B$1500,2, 0), 0)</f>
        <v>405.1245459</v>
      </c>
      <c r="J46" s="47"/>
    </row>
    <row r="47">
      <c r="A47" s="52">
        <v>46.0</v>
      </c>
      <c r="B47" s="7" t="s">
        <v>99</v>
      </c>
      <c r="C47" s="53">
        <f t="shared" si="1"/>
        <v>137.13247</v>
      </c>
      <c r="D47" s="53">
        <f t="shared" si="2"/>
        <v>137.132</v>
      </c>
      <c r="E47" s="57">
        <f>IFERROR(VLOOKUP(B47, Proof!A$2:$B$588,2, 0), 0)</f>
        <v>0</v>
      </c>
      <c r="F47" s="53">
        <f>IFERROR(VLOOKUP(B47, 'HMMTPUMaC Combo'!A$2:$B$500,2, 0), 0)</f>
        <v>457.1082334</v>
      </c>
      <c r="G47" s="53">
        <f>IFERROR(VLOOKUP(B47, 'HMMTPUMaC NT'!A$2:$B$500,2, 0), 0)</f>
        <v>0</v>
      </c>
      <c r="H47" s="58">
        <f>IFERROR(VLOOKUP(B47, 'HMMTPUMaC Algebra'!A$2:$B$500,2, 0), 0)</f>
        <v>0</v>
      </c>
      <c r="I47" s="53">
        <f>IFERROR(VLOOKUP(B47, 'HMMTPUMaC Geo'!$A$2:B$1500,2, 0), 0)</f>
        <v>0</v>
      </c>
      <c r="J47" s="47"/>
    </row>
    <row r="48">
      <c r="A48" s="52">
        <v>47.0</v>
      </c>
      <c r="B48" s="7" t="s">
        <v>95</v>
      </c>
      <c r="C48" s="53">
        <f t="shared" si="1"/>
        <v>364.190036</v>
      </c>
      <c r="D48" s="53">
        <f t="shared" si="2"/>
        <v>364.19</v>
      </c>
      <c r="E48" s="57">
        <f>IFERROR(VLOOKUP(B48, Proof!A$2:$B$588,2, 0), 0)</f>
        <v>0</v>
      </c>
      <c r="F48" s="53">
        <f>IFERROR(VLOOKUP(B48, 'HMMTPUMaC Combo'!A$2:$B$500,2, 0), 0)</f>
        <v>0</v>
      </c>
      <c r="G48" s="53">
        <f>IFERROR(VLOOKUP(B48, 'HMMTPUMaC NT'!A$2:$B$500,2, 0), 0)</f>
        <v>808.8422408</v>
      </c>
      <c r="H48" s="58">
        <f>IFERROR(VLOOKUP(B48, 'HMMTPUMaC Algebra'!A$2:$B$500,2, 0), 0)</f>
        <v>0</v>
      </c>
      <c r="I48" s="53">
        <f>IFERROR(VLOOKUP(B48, 'HMMTPUMaC Geo'!$A$2:B$1500,2, 0), 0)</f>
        <v>405.1245459</v>
      </c>
      <c r="J48" s="47"/>
    </row>
    <row r="49">
      <c r="A49" s="52">
        <v>48.0</v>
      </c>
      <c r="B49" s="7" t="s">
        <v>42</v>
      </c>
      <c r="C49" s="53">
        <f t="shared" si="1"/>
        <v>180.7688336</v>
      </c>
      <c r="D49" s="53">
        <f t="shared" si="2"/>
        <v>180.769</v>
      </c>
      <c r="E49" s="57">
        <f>IFERROR(VLOOKUP(B49, Proof!A$2:$B$588,2, 0), 0)</f>
        <v>145.4545455</v>
      </c>
      <c r="F49" s="53">
        <f>IFERROR(VLOOKUP(B49, 'HMMTPUMaC Combo'!A$2:$B$500,2, 0), 0)</f>
        <v>457.1082334</v>
      </c>
      <c r="G49" s="53">
        <f>IFERROR(VLOOKUP(B49, 'HMMTPUMaC NT'!A$2:$B$500,2, 0), 0)</f>
        <v>0</v>
      </c>
      <c r="H49" s="58">
        <f>IFERROR(VLOOKUP(B49, 'HMMTPUMaC Algebra'!A$2:$B$500,2, 0), 0)</f>
        <v>0</v>
      </c>
      <c r="I49" s="53">
        <f>IFERROR(VLOOKUP(B49, 'HMMTPUMaC Geo'!$A$2:B$1500,2, 0), 0)</f>
        <v>0</v>
      </c>
      <c r="J49" s="47"/>
    </row>
    <row r="50">
      <c r="A50" s="52">
        <v>49.0</v>
      </c>
      <c r="B50" s="7" t="s">
        <v>89</v>
      </c>
      <c r="C50" s="53">
        <f>0.3*LARGE(G50:I50, 1)+0.3*LARGE(G50:I50, 2)+0.1*LARGE(G50:I50, 3)+0.3*E50</f>
        <v>318.7044687</v>
      </c>
      <c r="D50" s="53">
        <f t="shared" si="2"/>
        <v>318.704</v>
      </c>
      <c r="E50" s="57">
        <f>IFERROR(VLOOKUP(B50, Proof!A$2:$B$588,2, 0), 0)</f>
        <v>145.4545455</v>
      </c>
      <c r="F50" s="53">
        <f>IFERROR(VLOOKUP(B50, 'HMMTPUMaC Combo'!A$2:$B$500,2, 0), 0)</f>
        <v>0</v>
      </c>
      <c r="G50" s="53">
        <f>IFERROR(VLOOKUP(B50, 'HMMTPUMaC NT'!A$2:$B$500,2, 0), 0)</f>
        <v>386.2073683</v>
      </c>
      <c r="H50" s="58">
        <f>IFERROR(VLOOKUP(B50, 'HMMTPUMaC Algebra'!A$2:$B$500,2, 0), 0)</f>
        <v>376.6853078</v>
      </c>
      <c r="I50" s="53">
        <f>IFERROR(VLOOKUP(B50, 'HMMTPUMaC Geo'!$A$2:B$1500,2, 0), 0)</f>
        <v>405.1245459</v>
      </c>
    </row>
    <row r="51">
      <c r="A51" s="52">
        <v>50.0</v>
      </c>
      <c r="B51" s="7" t="s">
        <v>40</v>
      </c>
      <c r="C51" s="53">
        <f t="shared" ref="C51:C66" si="3">0.3*LARGE(F51:I51, 1)+0.3*LARGE(F51:I51, 2)+0.1*LARGE(F51:I51, 3)+0.3*E51</f>
        <v>263.9229318</v>
      </c>
      <c r="D51" s="53">
        <f t="shared" si="2"/>
        <v>263.923</v>
      </c>
      <c r="E51" s="57">
        <f>IFERROR(VLOOKUP(B51, Proof!A$2:$B$588,2, 0), 0)</f>
        <v>0</v>
      </c>
      <c r="F51" s="53">
        <f>IFERROR(VLOOKUP(B51, 'HMMTPUMaC Combo'!A$2:$B$500,2, 0), 0)</f>
        <v>457.1082334</v>
      </c>
      <c r="G51" s="53">
        <f>IFERROR(VLOOKUP(B51, 'HMMTPUMaC NT'!A$2:$B$500,2, 0), 0)</f>
        <v>422.6348725</v>
      </c>
      <c r="H51" s="58">
        <f>IFERROR(VLOOKUP(B51, 'HMMTPUMaC Algebra'!A$2:$B$500,2, 0), 0)</f>
        <v>0</v>
      </c>
      <c r="I51" s="53">
        <f>IFERROR(VLOOKUP(B51, 'HMMTPUMaC Geo'!$A$2:B$1500,2, 0), 0)</f>
        <v>0</v>
      </c>
      <c r="J51" s="47"/>
    </row>
    <row r="52">
      <c r="A52" s="52">
        <v>51.0</v>
      </c>
      <c r="B52" s="7" t="s">
        <v>442</v>
      </c>
      <c r="C52" s="53">
        <f t="shared" si="3"/>
        <v>258.6698338</v>
      </c>
      <c r="D52" s="53">
        <f t="shared" si="2"/>
        <v>258.67</v>
      </c>
      <c r="E52" s="57">
        <f>IFERROR(VLOOKUP(B52, Proof!A$2:$B$588,2, 0), 0)</f>
        <v>0</v>
      </c>
      <c r="F52" s="53">
        <f>IFERROR(VLOOKUP(B52, 'HMMTPUMaC Combo'!A$2:$B$500,2, 0), 0)</f>
        <v>457.1082334</v>
      </c>
      <c r="G52" s="53">
        <f>IFERROR(VLOOKUP(B52, 'HMMTPUMaC NT'!A$2:$B$500,2, 0), 0)</f>
        <v>0</v>
      </c>
      <c r="H52" s="58">
        <f>IFERROR(VLOOKUP(B52, 'HMMTPUMaC Algebra'!A$2:$B$500,2, 0), 0)</f>
        <v>0</v>
      </c>
      <c r="I52" s="53">
        <f>IFERROR(VLOOKUP(B52, 'HMMTPUMaC Geo'!$A$2:B$1500,2, 0), 0)</f>
        <v>405.1245459</v>
      </c>
      <c r="J52" s="47"/>
    </row>
    <row r="53">
      <c r="A53" s="52">
        <v>52.0</v>
      </c>
      <c r="B53" s="7" t="s">
        <v>305</v>
      </c>
      <c r="C53" s="53">
        <f t="shared" si="3"/>
        <v>252.9946805</v>
      </c>
      <c r="D53" s="53">
        <f t="shared" si="2"/>
        <v>252.995</v>
      </c>
      <c r="E53" s="57">
        <f>IFERROR(VLOOKUP(B53, Proof!A$2:$B$588,2, 0), 0)</f>
        <v>0</v>
      </c>
      <c r="F53" s="53">
        <f>IFERROR(VLOOKUP(B53, 'HMMTPUMaC Combo'!A$2:$B$500,2, 0), 0)</f>
        <v>457.1082334</v>
      </c>
      <c r="G53" s="53">
        <f>IFERROR(VLOOKUP(B53, 'HMMTPUMaC NT'!A$2:$B$500,2, 0), 0)</f>
        <v>386.2073683</v>
      </c>
      <c r="H53" s="58">
        <f>IFERROR(VLOOKUP(B53, 'HMMTPUMaC Algebra'!A$2:$B$500,2, 0), 0)</f>
        <v>0</v>
      </c>
      <c r="I53" s="53">
        <f>IFERROR(VLOOKUP(B53, 'HMMTPUMaC Geo'!$A$2:B$1500,2, 0), 0)</f>
        <v>0</v>
      </c>
      <c r="J53" s="47"/>
    </row>
    <row r="54">
      <c r="A54" s="52">
        <v>53.0</v>
      </c>
      <c r="B54" s="7" t="s">
        <v>31</v>
      </c>
      <c r="C54" s="53">
        <f t="shared" si="3"/>
        <v>248.3278255</v>
      </c>
      <c r="D54" s="53">
        <f t="shared" si="2"/>
        <v>248.328</v>
      </c>
      <c r="E54" s="57">
        <f>IFERROR(VLOOKUP(B54, Proof!A$2:$B$588,2, 0), 0)</f>
        <v>0</v>
      </c>
      <c r="F54" s="53">
        <f>IFERROR(VLOOKUP(B54, 'HMMTPUMaC Combo'!A$2:$B$500,2, 0), 0)</f>
        <v>0</v>
      </c>
      <c r="G54" s="53">
        <f>IFERROR(VLOOKUP(B54, 'HMMTPUMaC NT'!A$2:$B$500,2, 0), 0)</f>
        <v>422.6348725</v>
      </c>
      <c r="H54" s="58">
        <f>IFERROR(VLOOKUP(B54, 'HMMTPUMaC Algebra'!A$2:$B$500,2, 0), 0)</f>
        <v>0</v>
      </c>
      <c r="I54" s="53">
        <f>IFERROR(VLOOKUP(B54, 'HMMTPUMaC Geo'!$A$2:B$1500,2, 0), 0)</f>
        <v>405.1245459</v>
      </c>
      <c r="J54" s="47"/>
    </row>
    <row r="55">
      <c r="A55" s="52">
        <v>54.0</v>
      </c>
      <c r="B55" s="7" t="s">
        <v>43</v>
      </c>
      <c r="C55" s="53">
        <f t="shared" si="3"/>
        <v>248.3278255</v>
      </c>
      <c r="D55" s="53">
        <f t="shared" si="2"/>
        <v>248.328</v>
      </c>
      <c r="E55" s="57">
        <f>IFERROR(VLOOKUP(B55, Proof!A$2:$B$588,2, 0), 0)</f>
        <v>0</v>
      </c>
      <c r="F55" s="53">
        <f>IFERROR(VLOOKUP(B55, 'HMMTPUMaC Combo'!A$2:$B$500,2, 0), 0)</f>
        <v>0</v>
      </c>
      <c r="G55" s="53">
        <f>IFERROR(VLOOKUP(B55, 'HMMTPUMaC NT'!A$2:$B$500,2, 0), 0)</f>
        <v>422.6348725</v>
      </c>
      <c r="H55" s="58">
        <f>IFERROR(VLOOKUP(B55, 'HMMTPUMaC Algebra'!A$2:$B$500,2, 0), 0)</f>
        <v>0</v>
      </c>
      <c r="I55" s="53">
        <f>IFERROR(VLOOKUP(B55, 'HMMTPUMaC Geo'!$A$2:B$1500,2, 0), 0)</f>
        <v>405.1245459</v>
      </c>
      <c r="J55" s="47"/>
    </row>
    <row r="56">
      <c r="A56" s="52">
        <v>55.0</v>
      </c>
      <c r="B56" s="7" t="s">
        <v>16</v>
      </c>
      <c r="C56" s="53">
        <f t="shared" si="3"/>
        <v>242.6526722</v>
      </c>
      <c r="D56" s="53">
        <f t="shared" si="2"/>
        <v>242.653</v>
      </c>
      <c r="E56" s="57">
        <f>IFERROR(VLOOKUP(B56, Proof!A$2:$B$588,2, 0), 0)</f>
        <v>0</v>
      </c>
      <c r="F56" s="53">
        <f>IFERROR(VLOOKUP(B56, 'HMMTPUMaC Combo'!A$2:$B$500,2, 0), 0)</f>
        <v>0</v>
      </c>
      <c r="G56" s="53">
        <f>IFERROR(VLOOKUP(B56, 'HMMTPUMaC NT'!A$2:$B$500,2, 0), 0)</f>
        <v>808.8422408</v>
      </c>
      <c r="H56" s="58">
        <f>IFERROR(VLOOKUP(B56, 'HMMTPUMaC Algebra'!A$2:$B$500,2, 0), 0)</f>
        <v>0</v>
      </c>
      <c r="I56" s="53">
        <f>IFERROR(VLOOKUP(B56, 'HMMTPUMaC Geo'!$A$2:B$1500,2, 0), 0)</f>
        <v>0</v>
      </c>
      <c r="J56" s="47"/>
    </row>
    <row r="57">
      <c r="A57" s="52">
        <v>56.0</v>
      </c>
      <c r="B57" s="7" t="s">
        <v>61</v>
      </c>
      <c r="C57" s="53">
        <f t="shared" si="3"/>
        <v>197.9481706</v>
      </c>
      <c r="D57" s="53">
        <f t="shared" si="2"/>
        <v>197.948</v>
      </c>
      <c r="E57" s="57">
        <f>IFERROR(VLOOKUP(B57, Proof!A$2:$B$588,2, 0), 0)</f>
        <v>0</v>
      </c>
      <c r="F57" s="53">
        <f>IFERROR(VLOOKUP(B57, 'HMMTPUMaC Combo'!A$2:$B$500,2, 0), 0)</f>
        <v>659.8272354</v>
      </c>
      <c r="G57" s="53">
        <f>IFERROR(VLOOKUP(B57, 'HMMTPUMaC NT'!A$2:$B$500,2, 0), 0)</f>
        <v>0</v>
      </c>
      <c r="H57" s="58">
        <f>IFERROR(VLOOKUP(B57, 'HMMTPUMaC Algebra'!A$2:$B$500,2, 0), 0)</f>
        <v>0</v>
      </c>
      <c r="I57" s="53">
        <f>IFERROR(VLOOKUP(B57, 'HMMTPUMaC Geo'!$A$2:B$1500,2, 0), 0)</f>
        <v>0</v>
      </c>
      <c r="J57" s="47"/>
    </row>
    <row r="58">
      <c r="A58" s="52">
        <v>57.0</v>
      </c>
      <c r="B58" s="7" t="s">
        <v>441</v>
      </c>
      <c r="C58" s="53">
        <f t="shared" si="3"/>
        <v>197.9481706</v>
      </c>
      <c r="D58" s="53">
        <f t="shared" si="2"/>
        <v>197.948</v>
      </c>
      <c r="E58" s="57">
        <f>IFERROR(VLOOKUP(B58, Proof!A$2:$B$588,2, 0), 0)</f>
        <v>0</v>
      </c>
      <c r="F58" s="53">
        <f>IFERROR(VLOOKUP(B58, 'HMMTPUMaC Combo'!A$2:$B$500,2, 0), 0)</f>
        <v>659.8272354</v>
      </c>
      <c r="G58" s="53">
        <f>IFERROR(VLOOKUP(B58, 'HMMTPUMaC NT'!A$2:$B$500,2, 0), 0)</f>
        <v>0</v>
      </c>
      <c r="H58" s="58">
        <f>IFERROR(VLOOKUP(B58, 'HMMTPUMaC Algebra'!A$2:$B$500,2, 0), 0)</f>
        <v>0</v>
      </c>
      <c r="I58" s="53">
        <f>IFERROR(VLOOKUP(B58, 'HMMTPUMaC Geo'!$A$2:B$1500,2, 0), 0)</f>
        <v>0</v>
      </c>
      <c r="J58" s="47"/>
    </row>
    <row r="59">
      <c r="A59" s="52">
        <v>58.0</v>
      </c>
      <c r="B59" s="7" t="s">
        <v>100</v>
      </c>
      <c r="C59" s="53">
        <f t="shared" si="3"/>
        <v>0</v>
      </c>
      <c r="D59" s="53">
        <f t="shared" si="2"/>
        <v>0</v>
      </c>
      <c r="E59" s="57">
        <f>IFERROR(VLOOKUP(B59, Proof!A$2:$B$588,2, 0), 0)</f>
        <v>0</v>
      </c>
      <c r="F59" s="53">
        <f>IFERROR(VLOOKUP(B59, 'HMMTPUMaC Combo'!A$2:$B$500,2, 0), 0)</f>
        <v>0</v>
      </c>
      <c r="G59" s="53">
        <f>IFERROR(VLOOKUP(B59, 'HMMTPUMaC NT'!A$2:$B$500,2, 0), 0)</f>
        <v>0</v>
      </c>
      <c r="H59" s="58">
        <f>IFERROR(VLOOKUP(B59, 'HMMTPUMaC Algebra'!A$2:$B$500,2, 0), 0)</f>
        <v>0</v>
      </c>
      <c r="I59" s="53">
        <f>IFERROR(VLOOKUP(B59, 'HMMTPUMaC Geo'!$A$2:B$1500,2, 0), 0)</f>
        <v>0</v>
      </c>
      <c r="J59" s="47"/>
    </row>
    <row r="60">
      <c r="A60" s="52">
        <v>59.0</v>
      </c>
      <c r="B60" s="7" t="s">
        <v>306</v>
      </c>
      <c r="C60" s="53">
        <f t="shared" si="3"/>
        <v>137.13247</v>
      </c>
      <c r="D60" s="53">
        <f t="shared" si="2"/>
        <v>137.132</v>
      </c>
      <c r="E60" s="57">
        <f>IFERROR(VLOOKUP(B60, Proof!A$2:$B$588,2, 0), 0)</f>
        <v>0</v>
      </c>
      <c r="F60" s="53">
        <f>IFERROR(VLOOKUP(B60, 'HMMTPUMaC Combo'!A$2:$B$500,2, 0), 0)</f>
        <v>457.1082334</v>
      </c>
      <c r="G60" s="53">
        <f>IFERROR(VLOOKUP(B60, 'HMMTPUMaC NT'!A$2:$B$500,2, 0), 0)</f>
        <v>0</v>
      </c>
      <c r="H60" s="58">
        <f>IFERROR(VLOOKUP(B60, 'HMMTPUMaC Algebra'!A$2:$B$500,2, 0), 0)</f>
        <v>0</v>
      </c>
      <c r="I60" s="53">
        <f>IFERROR(VLOOKUP(B60, 'HMMTPUMaC Geo'!$A$2:B$1500,2, 0), 0)</f>
        <v>0</v>
      </c>
      <c r="J60" s="47"/>
    </row>
    <row r="61">
      <c r="A61" s="52">
        <v>60.0</v>
      </c>
      <c r="B61" s="7" t="s">
        <v>312</v>
      </c>
      <c r="C61" s="53">
        <f t="shared" si="3"/>
        <v>137.13247</v>
      </c>
      <c r="D61" s="53">
        <f t="shared" si="2"/>
        <v>137.132</v>
      </c>
      <c r="E61" s="57">
        <f>IFERROR(VLOOKUP(B61, Proof!A$2:$B$588,2, 0), 0)</f>
        <v>0</v>
      </c>
      <c r="F61" s="53">
        <f>IFERROR(VLOOKUP(B61, 'HMMTPUMaC Combo'!A$2:$B$500,2, 0), 0)</f>
        <v>457.1082334</v>
      </c>
      <c r="G61" s="53">
        <f>IFERROR(VLOOKUP(B61, 'HMMTPUMaC NT'!A$2:$B$500,2, 0), 0)</f>
        <v>0</v>
      </c>
      <c r="H61" s="58">
        <f>IFERROR(VLOOKUP(B61, 'HMMTPUMaC Algebra'!A$2:$B$500,2, 0), 0)</f>
        <v>0</v>
      </c>
      <c r="I61" s="53">
        <f>IFERROR(VLOOKUP(B61, 'HMMTPUMaC Geo'!$A$2:B$1500,2, 0), 0)</f>
        <v>0</v>
      </c>
      <c r="J61" s="47"/>
    </row>
    <row r="62">
      <c r="A62" s="52">
        <v>61.0</v>
      </c>
      <c r="B62" s="7" t="s">
        <v>570</v>
      </c>
      <c r="C62" s="53">
        <f t="shared" si="3"/>
        <v>137.13247</v>
      </c>
      <c r="D62" s="53">
        <f t="shared" si="2"/>
        <v>137.132</v>
      </c>
      <c r="E62" s="57">
        <f>IFERROR(VLOOKUP(B62, Proof!A$2:$B$588,2, 0), 0)</f>
        <v>0</v>
      </c>
      <c r="F62" s="53">
        <f>IFERROR(VLOOKUP(B62, 'HMMTPUMaC Combo'!A$2:$B$500,2, 0), 0)</f>
        <v>457.1082334</v>
      </c>
      <c r="G62" s="53">
        <f>IFERROR(VLOOKUP(B62, 'HMMTPUMaC NT'!A$2:$B$500,2, 0), 0)</f>
        <v>0</v>
      </c>
      <c r="H62" s="58">
        <f>IFERROR(VLOOKUP(B62, 'HMMTPUMaC Algebra'!A$2:$B$500,2, 0), 0)</f>
        <v>0</v>
      </c>
      <c r="I62" s="53">
        <f>IFERROR(VLOOKUP(B62, 'HMMTPUMaC Geo'!$A$2:B$1500,2, 0), 0)</f>
        <v>0</v>
      </c>
      <c r="J62" s="47"/>
    </row>
    <row r="63">
      <c r="A63" s="52">
        <v>62.0</v>
      </c>
      <c r="B63" s="7" t="s">
        <v>140</v>
      </c>
      <c r="C63" s="53">
        <f t="shared" si="3"/>
        <v>137.13247</v>
      </c>
      <c r="D63" s="53">
        <f t="shared" si="2"/>
        <v>137.132</v>
      </c>
      <c r="E63" s="57">
        <f>IFERROR(VLOOKUP(B63, Proof!A$2:$B$588,2, 0), 0)</f>
        <v>0</v>
      </c>
      <c r="F63" s="53">
        <f>IFERROR(VLOOKUP(B63, 'HMMTPUMaC Combo'!A$2:$B$500,2, 0), 0)</f>
        <v>457.1082334</v>
      </c>
      <c r="G63" s="53">
        <f>IFERROR(VLOOKUP(B63, 'HMMTPUMaC NT'!A$2:$B$500,2, 0), 0)</f>
        <v>0</v>
      </c>
      <c r="H63" s="58">
        <f>IFERROR(VLOOKUP(B63, 'HMMTPUMaC Algebra'!A$2:$B$500,2, 0), 0)</f>
        <v>0</v>
      </c>
      <c r="I63" s="53">
        <f>IFERROR(VLOOKUP(B63, 'HMMTPUMaC Geo'!$A$2:B$1500,2, 0), 0)</f>
        <v>0</v>
      </c>
    </row>
    <row r="64">
      <c r="A64" s="52">
        <v>63.0</v>
      </c>
      <c r="B64" s="7" t="s">
        <v>346</v>
      </c>
      <c r="C64" s="53">
        <f t="shared" si="3"/>
        <v>137.13247</v>
      </c>
      <c r="D64" s="53">
        <f t="shared" si="2"/>
        <v>137.132</v>
      </c>
      <c r="E64" s="57">
        <f>IFERROR(VLOOKUP(B64, Proof!A$2:$B$588,2, 0), 0)</f>
        <v>0</v>
      </c>
      <c r="F64" s="53">
        <f>IFERROR(VLOOKUP(B64, 'HMMTPUMaC Combo'!A$2:$B$500,2, 0), 0)</f>
        <v>457.1082334</v>
      </c>
      <c r="G64" s="53">
        <f>IFERROR(VLOOKUP(B64, 'HMMTPUMaC NT'!A$2:$B$500,2, 0), 0)</f>
        <v>0</v>
      </c>
      <c r="H64" s="58">
        <f>IFERROR(VLOOKUP(B64, 'HMMTPUMaC Algebra'!A$2:$B$500,2, 0), 0)</f>
        <v>0</v>
      </c>
      <c r="I64" s="53">
        <f>IFERROR(VLOOKUP(B64, 'HMMTPUMaC Geo'!$A$2:B$1500,2, 0), 0)</f>
        <v>0</v>
      </c>
    </row>
    <row r="65">
      <c r="A65" s="52">
        <v>64.0</v>
      </c>
      <c r="B65" s="7" t="s">
        <v>293</v>
      </c>
      <c r="C65" s="53">
        <f t="shared" si="3"/>
        <v>137.13247</v>
      </c>
      <c r="D65" s="53">
        <f t="shared" si="2"/>
        <v>137.132</v>
      </c>
      <c r="E65" s="57">
        <f>IFERROR(VLOOKUP(B65, Proof!A$2:$B$588,2, 0), 0)</f>
        <v>0</v>
      </c>
      <c r="F65" s="53">
        <f>IFERROR(VLOOKUP(B65, 'HMMTPUMaC Combo'!A$2:$B$500,2, 0), 0)</f>
        <v>457.1082334</v>
      </c>
      <c r="G65" s="53">
        <f>IFERROR(VLOOKUP(B65, 'HMMTPUMaC NT'!A$2:$B$500,2, 0), 0)</f>
        <v>0</v>
      </c>
      <c r="H65" s="58">
        <f>IFERROR(VLOOKUP(B65, 'HMMTPUMaC Algebra'!A$2:$B$500,2, 0), 0)</f>
        <v>0</v>
      </c>
      <c r="I65" s="53">
        <f>IFERROR(VLOOKUP(B65, 'HMMTPUMaC Geo'!$A$2:B$1500,2, 0), 0)</f>
        <v>0</v>
      </c>
    </row>
    <row r="66">
      <c r="A66" s="52">
        <v>65.0</v>
      </c>
      <c r="B66" s="7" t="s">
        <v>303</v>
      </c>
      <c r="C66" s="53">
        <f t="shared" si="3"/>
        <v>137.13247</v>
      </c>
      <c r="D66" s="53">
        <f t="shared" si="2"/>
        <v>137.132</v>
      </c>
      <c r="E66" s="57">
        <f>IFERROR(VLOOKUP(B66, Proof!A$2:$B$588,2, 0), 0)</f>
        <v>0</v>
      </c>
      <c r="F66" s="53">
        <f>IFERROR(VLOOKUP(B66, 'HMMTPUMaC Combo'!A$2:$B$500,2, 0), 0)</f>
        <v>457.1082334</v>
      </c>
      <c r="G66" s="53">
        <f>IFERROR(VLOOKUP(B66, 'HMMTPUMaC NT'!A$2:$B$500,2, 0), 0)</f>
        <v>0</v>
      </c>
      <c r="H66" s="58">
        <f>IFERROR(VLOOKUP(B66, 'HMMTPUMaC Algebra'!A$2:$B$500,2, 0), 0)</f>
        <v>0</v>
      </c>
      <c r="I66" s="53">
        <f>IFERROR(VLOOKUP(B66, 'HMMTPUMaC Geo'!$A$2:B$1500,2, 0), 0)</f>
        <v>0</v>
      </c>
    </row>
    <row r="67">
      <c r="A67" s="52">
        <v>66.0</v>
      </c>
      <c r="B67" s="7" t="s">
        <v>325</v>
      </c>
      <c r="C67" s="53">
        <f>0.3*LARGE(G67:I67, 1)+0.3*LARGE(G67:I67, 2)+0.1*LARGE(G67:I67, 3)+0.3*E67</f>
        <v>126.7904617</v>
      </c>
      <c r="D67" s="53">
        <f t="shared" si="2"/>
        <v>126.79</v>
      </c>
      <c r="E67" s="57">
        <f>IFERROR(VLOOKUP(B67, Proof!A$2:$B$588,2, 0), 0)</f>
        <v>0</v>
      </c>
      <c r="F67" s="53">
        <f>IFERROR(VLOOKUP(B67, 'HMMTPUMaC Combo'!A$2:$B$500,2, 0), 0)</f>
        <v>0</v>
      </c>
      <c r="G67" s="53">
        <f>IFERROR(VLOOKUP(B67, 'HMMTPUMaC NT'!A$2:$B$500,2, 0), 0)</f>
        <v>422.6348725</v>
      </c>
      <c r="H67" s="58">
        <f>IFERROR(VLOOKUP(B67, 'HMMTPUMaC Algebra'!A$2:$B$500,2, 0), 0)</f>
        <v>0</v>
      </c>
      <c r="I67" s="53">
        <f>IFERROR(VLOOKUP(B67, 'HMMTPUMaC Geo'!$A$2:B$1500,2, 0), 0)</f>
        <v>0</v>
      </c>
    </row>
    <row r="68">
      <c r="A68" s="52">
        <v>67.0</v>
      </c>
      <c r="B68" s="7" t="s">
        <v>41</v>
      </c>
      <c r="C68" s="53">
        <f>0.3*LARGE(F68:I68, 1)+0.3*LARGE(F68:I68, 2)+0.1*LARGE(F68:I68, 3)+0.3*E68</f>
        <v>165.1737274</v>
      </c>
      <c r="D68" s="53">
        <f t="shared" si="2"/>
        <v>165.174</v>
      </c>
      <c r="E68" s="57">
        <f>IFERROR(VLOOKUP(B68, Proof!A$2:$B$588,2, 0), 0)</f>
        <v>145.4545455</v>
      </c>
      <c r="F68" s="53">
        <f>IFERROR(VLOOKUP(B68, 'HMMTPUMaC Combo'!A$2:$B$500,2, 0), 0)</f>
        <v>0</v>
      </c>
      <c r="G68" s="53">
        <f>IFERROR(VLOOKUP(B68, 'HMMTPUMaC NT'!A$2:$B$500,2, 0), 0)</f>
        <v>0</v>
      </c>
      <c r="H68" s="58">
        <f>IFERROR(VLOOKUP(B68, 'HMMTPUMaC Algebra'!A$2:$B$500,2, 0), 0)</f>
        <v>0</v>
      </c>
      <c r="I68" s="53">
        <f>IFERROR(VLOOKUP(B68, 'HMMTPUMaC Geo'!$A$2:B$1500,2, 0), 0)</f>
        <v>405.1245459</v>
      </c>
      <c r="J68" s="47"/>
    </row>
    <row r="69">
      <c r="A69" s="52">
        <v>68.0</v>
      </c>
      <c r="B69" s="7" t="s">
        <v>272</v>
      </c>
      <c r="C69" s="53">
        <f t="shared" ref="C69:C73" si="4">0.3*LARGE(G69:I69, 1)+0.3*LARGE(G69:I69, 2)+0.1*LARGE(G69:I69, 3)+0.3*E69</f>
        <v>121.5373638</v>
      </c>
      <c r="D69" s="53">
        <f t="shared" si="2"/>
        <v>121.537</v>
      </c>
      <c r="E69" s="57">
        <f>IFERROR(VLOOKUP(B69, Proof!A$2:$B$588,2, 0), 0)</f>
        <v>0</v>
      </c>
      <c r="F69" s="53">
        <f>IFERROR(VLOOKUP(B69, 'HMMTPUMaC Combo'!A$2:$B$500,2, 0), 0)</f>
        <v>0</v>
      </c>
      <c r="G69" s="53">
        <f>IFERROR(VLOOKUP(B69, 'HMMTPUMaC NT'!A$2:$B$500,2, 0), 0)</f>
        <v>0</v>
      </c>
      <c r="H69" s="58">
        <f>IFERROR(VLOOKUP(B69, 'HMMTPUMaC Algebra'!A$2:$B$500,2, 0), 0)</f>
        <v>0</v>
      </c>
      <c r="I69" s="53">
        <f>IFERROR(VLOOKUP(B69, 'HMMTPUMaC Geo'!$A$2:B$1500,2, 0), 0)</f>
        <v>405.1245459</v>
      </c>
    </row>
    <row r="70">
      <c r="A70" s="52">
        <v>69.0</v>
      </c>
      <c r="B70" s="7" t="s">
        <v>130</v>
      </c>
      <c r="C70" s="53">
        <f t="shared" si="4"/>
        <v>121.5373638</v>
      </c>
      <c r="D70" s="53">
        <f t="shared" si="2"/>
        <v>121.537</v>
      </c>
      <c r="E70" s="57">
        <f>IFERROR(VLOOKUP(B70, Proof!A$2:$B$588,2, 0), 0)</f>
        <v>0</v>
      </c>
      <c r="F70" s="53">
        <f>IFERROR(VLOOKUP(B70, 'HMMTPUMaC Combo'!A$2:$B$500,2, 0), 0)</f>
        <v>0</v>
      </c>
      <c r="G70" s="53">
        <f>IFERROR(VLOOKUP(B70, 'HMMTPUMaC NT'!A$2:$B$500,2, 0), 0)</f>
        <v>0</v>
      </c>
      <c r="H70" s="58">
        <f>IFERROR(VLOOKUP(B70, 'HMMTPUMaC Algebra'!A$2:$B$500,2, 0), 0)</f>
        <v>0</v>
      </c>
      <c r="I70" s="53">
        <f>IFERROR(VLOOKUP(B70, 'HMMTPUMaC Geo'!$A$2:B$1500,2, 0), 0)</f>
        <v>405.1245459</v>
      </c>
    </row>
    <row r="71">
      <c r="A71" s="52">
        <v>70.0</v>
      </c>
      <c r="B71" s="7" t="s">
        <v>179</v>
      </c>
      <c r="C71" s="53">
        <f t="shared" si="4"/>
        <v>121.5373638</v>
      </c>
      <c r="D71" s="53">
        <f t="shared" si="2"/>
        <v>121.537</v>
      </c>
      <c r="E71" s="57">
        <f>IFERROR(VLOOKUP(B71, Proof!A$2:$B$588,2, 0), 0)</f>
        <v>0</v>
      </c>
      <c r="F71" s="53">
        <f>IFERROR(VLOOKUP(B71, 'HMMTPUMaC Combo'!A$2:$B$500,2, 0), 0)</f>
        <v>0</v>
      </c>
      <c r="G71" s="53">
        <f>IFERROR(VLOOKUP(B71, 'HMMTPUMaC NT'!A$2:$B$500,2, 0), 0)</f>
        <v>0</v>
      </c>
      <c r="H71" s="58">
        <f>IFERROR(VLOOKUP(B71, 'HMMTPUMaC Algebra'!A$2:$B$500,2, 0), 0)</f>
        <v>0</v>
      </c>
      <c r="I71" s="53">
        <f>IFERROR(VLOOKUP(B71, 'HMMTPUMaC Geo'!$A$2:B$1500,2, 0), 0)</f>
        <v>405.1245459</v>
      </c>
    </row>
    <row r="72">
      <c r="A72" s="52">
        <v>71.0</v>
      </c>
      <c r="B72" s="7" t="s">
        <v>318</v>
      </c>
      <c r="C72" s="53">
        <f t="shared" si="4"/>
        <v>121.5373638</v>
      </c>
      <c r="D72" s="53">
        <f t="shared" si="2"/>
        <v>121.537</v>
      </c>
      <c r="E72" s="57">
        <f>IFERROR(VLOOKUP(B72, Proof!A$2:$B$588,2, 0), 0)</f>
        <v>0</v>
      </c>
      <c r="F72" s="53">
        <f>IFERROR(VLOOKUP(B72, 'HMMTPUMaC Combo'!A$2:$B$500,2, 0), 0)</f>
        <v>0</v>
      </c>
      <c r="G72" s="53">
        <f>IFERROR(VLOOKUP(B72, 'HMMTPUMaC NT'!A$2:$B$500,2, 0), 0)</f>
        <v>0</v>
      </c>
      <c r="H72" s="58">
        <f>IFERROR(VLOOKUP(B72, 'HMMTPUMaC Algebra'!A$2:$B$500,2, 0), 0)</f>
        <v>0</v>
      </c>
      <c r="I72" s="53">
        <f>IFERROR(VLOOKUP(B72, 'HMMTPUMaC Geo'!$A$2:B$1500,2, 0), 0)</f>
        <v>405.1245459</v>
      </c>
    </row>
    <row r="73">
      <c r="A73" s="52">
        <v>72.0</v>
      </c>
      <c r="B73" s="7" t="s">
        <v>290</v>
      </c>
      <c r="C73" s="53">
        <f t="shared" si="4"/>
        <v>121.5373638</v>
      </c>
      <c r="D73" s="53">
        <f t="shared" si="2"/>
        <v>121.537</v>
      </c>
      <c r="E73" s="57">
        <f>IFERROR(VLOOKUP(B73, Proof!A$2:$B$588,2, 0), 0)</f>
        <v>0</v>
      </c>
      <c r="F73" s="53">
        <f>IFERROR(VLOOKUP(B73, 'HMMTPUMaC Combo'!A$2:$B$500,2, 0), 0)</f>
        <v>0</v>
      </c>
      <c r="G73" s="53">
        <f>IFERROR(VLOOKUP(B73, 'HMMTPUMaC NT'!A$2:$B$500,2, 0), 0)</f>
        <v>0</v>
      </c>
      <c r="H73" s="58">
        <f>IFERROR(VLOOKUP(B73, 'HMMTPUMaC Algebra'!A$2:$B$500,2, 0), 0)</f>
        <v>0</v>
      </c>
      <c r="I73" s="53">
        <f>IFERROR(VLOOKUP(B73, 'HMMTPUMaC Geo'!$A$2:B$1500,2, 0), 0)</f>
        <v>405.1245459</v>
      </c>
    </row>
    <row r="74">
      <c r="A74" s="52">
        <v>73.0</v>
      </c>
      <c r="B74" s="7" t="s">
        <v>578</v>
      </c>
      <c r="C74" s="53">
        <f t="shared" ref="C74:C76" si="5">0.3*LARGE(F74:I74, 1)+0.3*LARGE(F74:I74, 2)+0.1*LARGE(F74:I74, 3)+0.3*E74</f>
        <v>115.8622105</v>
      </c>
      <c r="D74" s="53">
        <f t="shared" si="2"/>
        <v>115.862</v>
      </c>
      <c r="E74" s="57">
        <f>IFERROR(VLOOKUP(B74, Proof!A$2:$B$588,2, 0), 0)</f>
        <v>0</v>
      </c>
      <c r="F74" s="53">
        <f>IFERROR(VLOOKUP(B74, 'HMMTPUMaC Combo'!A$2:$B$500,2, 0), 0)</f>
        <v>0</v>
      </c>
      <c r="G74" s="53">
        <f>IFERROR(VLOOKUP(B74, 'HMMTPUMaC NT'!A$2:$B$500,2, 0), 0)</f>
        <v>386.2073683</v>
      </c>
      <c r="H74" s="58">
        <f>IFERROR(VLOOKUP(B74, 'HMMTPUMaC Algebra'!A$2:$B$500,2, 0), 0)</f>
        <v>0</v>
      </c>
      <c r="I74" s="53">
        <f>IFERROR(VLOOKUP(B74, 'HMMTPUMaC Geo'!$A$2:B$1500,2, 0), 0)</f>
        <v>0</v>
      </c>
      <c r="J74" s="47"/>
    </row>
    <row r="75">
      <c r="A75" s="52">
        <v>74.0</v>
      </c>
      <c r="B75" s="7" t="s">
        <v>319</v>
      </c>
      <c r="C75" s="53">
        <f t="shared" si="5"/>
        <v>115.8622105</v>
      </c>
      <c r="D75" s="53">
        <f t="shared" si="2"/>
        <v>115.862</v>
      </c>
      <c r="E75" s="57">
        <f>IFERROR(VLOOKUP(B75, Proof!A$2:$B$588,2, 0), 0)</f>
        <v>0</v>
      </c>
      <c r="F75" s="53">
        <f>IFERROR(VLOOKUP(B75, 'HMMTPUMaC Combo'!A$2:$B$500,2, 0), 0)</f>
        <v>0</v>
      </c>
      <c r="G75" s="53">
        <f>IFERROR(VLOOKUP(B75, 'HMMTPUMaC NT'!A$2:$B$500,2, 0), 0)</f>
        <v>386.2073683</v>
      </c>
      <c r="H75" s="58">
        <f>IFERROR(VLOOKUP(B75, 'HMMTPUMaC Algebra'!A$2:$B$500,2, 0), 0)</f>
        <v>0</v>
      </c>
      <c r="I75" s="53">
        <f>IFERROR(VLOOKUP(B75, 'HMMTPUMaC Geo'!$A$2:B$1500,2, 0), 0)</f>
        <v>0</v>
      </c>
      <c r="J75" s="47"/>
    </row>
    <row r="76">
      <c r="A76" s="52">
        <v>75.0</v>
      </c>
      <c r="B76" s="7" t="s">
        <v>56</v>
      </c>
      <c r="C76" s="53">
        <f t="shared" si="5"/>
        <v>115.8622105</v>
      </c>
      <c r="D76" s="53">
        <f t="shared" si="2"/>
        <v>115.862</v>
      </c>
      <c r="E76" s="57">
        <f>IFERROR(VLOOKUP(B76, Proof!A$2:$B$588,2, 0), 0)</f>
        <v>0</v>
      </c>
      <c r="F76" s="53">
        <f>IFERROR(VLOOKUP(B76, 'HMMTPUMaC Combo'!A$2:$B$500,2, 0), 0)</f>
        <v>0</v>
      </c>
      <c r="G76" s="53">
        <f>IFERROR(VLOOKUP(B76, 'HMMTPUMaC NT'!A$2:$B$500,2, 0), 0)</f>
        <v>386.2073683</v>
      </c>
      <c r="H76" s="58">
        <f>IFERROR(VLOOKUP(B76, 'HMMTPUMaC Algebra'!A$2:$B$500,2, 0), 0)</f>
        <v>0</v>
      </c>
      <c r="I76" s="53">
        <f>IFERROR(VLOOKUP(B76, 'HMMTPUMaC Geo'!$A$2:B$1500,2, 0), 0)</f>
        <v>0</v>
      </c>
      <c r="J76" s="47"/>
    </row>
    <row r="77">
      <c r="A77" s="52">
        <v>76.0</v>
      </c>
      <c r="B77" s="7" t="s">
        <v>234</v>
      </c>
      <c r="C77" s="53">
        <f t="shared" ref="C77:C82" si="6">0.3*LARGE(G77:I77, 1)+0.3*LARGE(G77:I77, 2)+0.1*LARGE(G77:I77, 3)+0.3*E77</f>
        <v>115.8622105</v>
      </c>
      <c r="D77" s="53">
        <f t="shared" si="2"/>
        <v>115.862</v>
      </c>
      <c r="E77" s="57">
        <f>IFERROR(VLOOKUP(B77, Proof!A$2:$B$588,2, 0), 0)</f>
        <v>0</v>
      </c>
      <c r="F77" s="53">
        <f>IFERROR(VLOOKUP(B77, 'HMMTPUMaC Combo'!A$2:$B$500,2, 0), 0)</f>
        <v>0</v>
      </c>
      <c r="G77" s="53">
        <f>IFERROR(VLOOKUP(B77, 'HMMTPUMaC NT'!A$2:$B$500,2, 0), 0)</f>
        <v>386.2073683</v>
      </c>
      <c r="H77" s="58">
        <f>IFERROR(VLOOKUP(B77, 'HMMTPUMaC Algebra'!A$2:$B$500,2, 0), 0)</f>
        <v>0</v>
      </c>
      <c r="I77" s="53">
        <f>IFERROR(VLOOKUP(B77, 'HMMTPUMaC Geo'!$A$2:B$1500,2, 0), 0)</f>
        <v>0</v>
      </c>
    </row>
    <row r="78">
      <c r="A78" s="52">
        <v>77.0</v>
      </c>
      <c r="B78" s="7" t="s">
        <v>64</v>
      </c>
      <c r="C78" s="53">
        <f t="shared" si="6"/>
        <v>115.8622105</v>
      </c>
      <c r="D78" s="53">
        <f t="shared" si="2"/>
        <v>115.862</v>
      </c>
      <c r="E78" s="57">
        <f>IFERROR(VLOOKUP(B78, Proof!A$2:$B$588,2, 0), 0)</f>
        <v>0</v>
      </c>
      <c r="F78" s="53">
        <f>IFERROR(VLOOKUP(B78, 'HMMTPUMaC Combo'!A$2:$B$500,2, 0), 0)</f>
        <v>0</v>
      </c>
      <c r="G78" s="53">
        <f>IFERROR(VLOOKUP(B78, 'HMMTPUMaC NT'!A$2:$B$500,2, 0), 0)</f>
        <v>386.2073683</v>
      </c>
      <c r="H78" s="58">
        <f>IFERROR(VLOOKUP(B78, 'HMMTPUMaC Algebra'!A$2:$B$500,2, 0), 0)</f>
        <v>0</v>
      </c>
      <c r="I78" s="53">
        <f>IFERROR(VLOOKUP(B78, 'HMMTPUMaC Geo'!$A$2:B$1500,2, 0), 0)</f>
        <v>0</v>
      </c>
    </row>
    <row r="79">
      <c r="A79" s="52">
        <v>78.0</v>
      </c>
      <c r="B79" s="7" t="s">
        <v>301</v>
      </c>
      <c r="C79" s="53">
        <f t="shared" si="6"/>
        <v>115.8622105</v>
      </c>
      <c r="D79" s="53">
        <f t="shared" si="2"/>
        <v>115.862</v>
      </c>
      <c r="E79" s="57">
        <f>IFERROR(VLOOKUP(B79, Proof!A$2:$B$588,2, 0), 0)</f>
        <v>0</v>
      </c>
      <c r="F79" s="53">
        <f>IFERROR(VLOOKUP(B79, 'HMMTPUMaC Combo'!A$2:$B$500,2, 0), 0)</f>
        <v>0</v>
      </c>
      <c r="G79" s="53">
        <f>IFERROR(VLOOKUP(B79, 'HMMTPUMaC NT'!A$2:$B$500,2, 0), 0)</f>
        <v>386.2073683</v>
      </c>
      <c r="H79" s="58">
        <f>IFERROR(VLOOKUP(B79, 'HMMTPUMaC Algebra'!A$2:$B$500,2, 0), 0)</f>
        <v>0</v>
      </c>
      <c r="I79" s="53">
        <f>IFERROR(VLOOKUP(B79, 'HMMTPUMaC Geo'!$A$2:B$1500,2, 0), 0)</f>
        <v>0</v>
      </c>
    </row>
    <row r="80">
      <c r="A80" s="52">
        <v>79.0</v>
      </c>
      <c r="B80" s="7" t="s">
        <v>285</v>
      </c>
      <c r="C80" s="53">
        <f t="shared" si="6"/>
        <v>115.8622105</v>
      </c>
      <c r="D80" s="53">
        <f t="shared" si="2"/>
        <v>115.862</v>
      </c>
      <c r="E80" s="57">
        <f>IFERROR(VLOOKUP(B80, Proof!A$2:$B$588,2, 0), 0)</f>
        <v>0</v>
      </c>
      <c r="F80" s="53">
        <f>IFERROR(VLOOKUP(B80, 'HMMTPUMaC Combo'!A$2:$B$500,2, 0), 0)</f>
        <v>0</v>
      </c>
      <c r="G80" s="53">
        <f>IFERROR(VLOOKUP(B80, 'HMMTPUMaC NT'!A$2:$B$500,2, 0), 0)</f>
        <v>386.2073683</v>
      </c>
      <c r="H80" s="58">
        <f>IFERROR(VLOOKUP(B80, 'HMMTPUMaC Algebra'!A$2:$B$500,2, 0), 0)</f>
        <v>0</v>
      </c>
      <c r="I80" s="53">
        <f>IFERROR(VLOOKUP(B80, 'HMMTPUMaC Geo'!$A$2:B$1500,2, 0), 0)</f>
        <v>0</v>
      </c>
    </row>
    <row r="81">
      <c r="A81" s="52">
        <v>80.0</v>
      </c>
      <c r="B81" s="7" t="s">
        <v>156</v>
      </c>
      <c r="C81" s="53">
        <f t="shared" si="6"/>
        <v>113.0055923</v>
      </c>
      <c r="D81" s="53">
        <f t="shared" si="2"/>
        <v>113.006</v>
      </c>
      <c r="E81" s="57">
        <f>IFERROR(VLOOKUP(B81, Proof!A$2:$B$588,2, 0), 0)</f>
        <v>0</v>
      </c>
      <c r="F81" s="53">
        <f>IFERROR(VLOOKUP(B81, 'HMMTPUMaC Combo'!A$2:$B$500,2, 0), 0)</f>
        <v>0</v>
      </c>
      <c r="G81" s="53">
        <f>IFERROR(VLOOKUP(B81, 'HMMTPUMaC NT'!A$2:$B$500,2, 0), 0)</f>
        <v>0</v>
      </c>
      <c r="H81" s="58">
        <f>IFERROR(VLOOKUP(B81, 'HMMTPUMaC Algebra'!A$2:$B$500,2, 0), 0)</f>
        <v>376.6853078</v>
      </c>
      <c r="I81" s="53">
        <f>IFERROR(VLOOKUP(B81, 'HMMTPUMaC Geo'!$A$2:B$1500,2, 0), 0)</f>
        <v>0</v>
      </c>
    </row>
    <row r="82">
      <c r="A82" s="52">
        <v>81.0</v>
      </c>
      <c r="B82" s="7" t="s">
        <v>279</v>
      </c>
      <c r="C82" s="53">
        <f t="shared" si="6"/>
        <v>113.0055923</v>
      </c>
      <c r="D82" s="53">
        <f t="shared" si="2"/>
        <v>113.006</v>
      </c>
      <c r="E82" s="57">
        <f>IFERROR(VLOOKUP(B82, Proof!A$2:$B$588,2, 0), 0)</f>
        <v>0</v>
      </c>
      <c r="F82" s="53">
        <f>IFERROR(VLOOKUP(B82, 'HMMTPUMaC Combo'!A$2:$B$500,2, 0), 0)</f>
        <v>0</v>
      </c>
      <c r="G82" s="53">
        <f>IFERROR(VLOOKUP(B82, 'HMMTPUMaC NT'!A$2:$B$500,2, 0), 0)</f>
        <v>0</v>
      </c>
      <c r="H82" s="58">
        <f>IFERROR(VLOOKUP(B82, 'HMMTPUMaC Algebra'!A$2:$B$500,2, 0), 0)</f>
        <v>376.6853078</v>
      </c>
      <c r="I82" s="53">
        <f>IFERROR(VLOOKUP(B82, 'HMMTPUMaC Geo'!$A$2:B$1500,2, 0), 0)</f>
        <v>0</v>
      </c>
    </row>
    <row r="83">
      <c r="A83" s="52">
        <v>82.0</v>
      </c>
      <c r="B83" s="7" t="s">
        <v>93</v>
      </c>
      <c r="C83" s="53">
        <f t="shared" ref="C83:C180" si="7">0.3*LARGE(F83:I83, 1)+0.3*LARGE(F83:I83, 2)+0.1*LARGE(F83:I83, 3)+0.3*E83</f>
        <v>0</v>
      </c>
      <c r="D83" s="53">
        <f t="shared" si="2"/>
        <v>0</v>
      </c>
      <c r="E83" s="57">
        <f>IFERROR(VLOOKUP(B83, Proof!A$2:$B$588,2, 0), 0)</f>
        <v>0</v>
      </c>
      <c r="F83" s="53">
        <f>IFERROR(VLOOKUP(B83, 'HMMTPUMaC Combo'!A$2:$B$500,2, 0), 0)</f>
        <v>0</v>
      </c>
      <c r="G83" s="53">
        <f>IFERROR(VLOOKUP(B83, 'HMMTPUMaC NT'!A$2:$B$500,2, 0), 0)</f>
        <v>0</v>
      </c>
      <c r="H83" s="58">
        <f>IFERROR(VLOOKUP(B83, 'HMMTPUMaC Algebra'!A$2:$B$500,2, 0), 0)</f>
        <v>0</v>
      </c>
      <c r="I83" s="53">
        <f>IFERROR(VLOOKUP(B83, 'HMMTPUMaC Geo'!$A$2:B$1500,2, 0), 0)</f>
        <v>0</v>
      </c>
      <c r="J83" s="47"/>
    </row>
    <row r="84">
      <c r="A84" s="52">
        <v>83.0</v>
      </c>
      <c r="B84" s="7" t="s">
        <v>436</v>
      </c>
      <c r="C84" s="53">
        <f t="shared" si="7"/>
        <v>0</v>
      </c>
      <c r="D84" s="53">
        <f t="shared" si="2"/>
        <v>0</v>
      </c>
      <c r="E84" s="57">
        <f>IFERROR(VLOOKUP(B84, Proof!A$2:$B$588,2, 0), 0)</f>
        <v>0</v>
      </c>
      <c r="F84" s="53">
        <f>IFERROR(VLOOKUP(B84, 'HMMTPUMaC Combo'!A$2:$B$500,2, 0), 0)</f>
        <v>0</v>
      </c>
      <c r="G84" s="53">
        <f>IFERROR(VLOOKUP(B84, 'HMMTPUMaC NT'!A$2:$B$500,2, 0), 0)</f>
        <v>0</v>
      </c>
      <c r="H84" s="58">
        <f>IFERROR(VLOOKUP(B84, 'HMMTPUMaC Algebra'!A$2:$B$500,2, 0), 0)</f>
        <v>0</v>
      </c>
      <c r="I84" s="53">
        <f>IFERROR(VLOOKUP(B84, 'HMMTPUMaC Geo'!$A$2:B$1500,2, 0), 0)</f>
        <v>0</v>
      </c>
      <c r="J84" s="47"/>
    </row>
    <row r="85">
      <c r="A85" s="52">
        <v>84.0</v>
      </c>
      <c r="B85" s="7" t="s">
        <v>594</v>
      </c>
      <c r="C85" s="53">
        <f t="shared" si="7"/>
        <v>0</v>
      </c>
      <c r="D85" s="53">
        <f t="shared" si="2"/>
        <v>0</v>
      </c>
      <c r="E85" s="57">
        <f>IFERROR(VLOOKUP(B85, Proof!A$2:$B$588,2, 0), 0)</f>
        <v>0</v>
      </c>
      <c r="F85" s="53">
        <f>IFERROR(VLOOKUP(B85, 'HMMTPUMaC Combo'!A$2:$B$500,2, 0), 0)</f>
        <v>0</v>
      </c>
      <c r="G85" s="53">
        <f>IFERROR(VLOOKUP(B85, 'HMMTPUMaC NT'!A$2:$B$500,2, 0), 0)</f>
        <v>0</v>
      </c>
      <c r="H85" s="58">
        <f>IFERROR(VLOOKUP(B85, 'HMMTPUMaC Algebra'!A$2:$B$500,2, 0), 0)</f>
        <v>0</v>
      </c>
      <c r="I85" s="53">
        <f>IFERROR(VLOOKUP(B85, 'HMMTPUMaC Geo'!$A$2:B$1500,2, 0), 0)</f>
        <v>0</v>
      </c>
      <c r="J85" s="53"/>
    </row>
    <row r="86">
      <c r="A86" s="52">
        <v>85.0</v>
      </c>
      <c r="B86" s="7" t="s">
        <v>94</v>
      </c>
      <c r="C86" s="53">
        <f t="shared" si="7"/>
        <v>0</v>
      </c>
      <c r="D86" s="53">
        <f t="shared" si="2"/>
        <v>0</v>
      </c>
      <c r="E86" s="57">
        <f>IFERROR(VLOOKUP(B86, Proof!A$2:$B$588,2, 0), 0)</f>
        <v>0</v>
      </c>
      <c r="F86" s="53">
        <f>IFERROR(VLOOKUP(B86, 'HMMTPUMaC Combo'!A$2:$B$500,2, 0), 0)</f>
        <v>0</v>
      </c>
      <c r="G86" s="53">
        <f>IFERROR(VLOOKUP(B86, 'HMMTPUMaC NT'!A$2:$B$500,2, 0), 0)</f>
        <v>0</v>
      </c>
      <c r="H86" s="58">
        <f>IFERROR(VLOOKUP(B86, 'HMMTPUMaC Algebra'!A$2:$B$500,2, 0), 0)</f>
        <v>0</v>
      </c>
      <c r="I86" s="53">
        <f>IFERROR(VLOOKUP(B86, 'HMMTPUMaC Geo'!$A$2:B$1500,2, 0), 0)</f>
        <v>0</v>
      </c>
      <c r="J86" s="47"/>
    </row>
    <row r="87">
      <c r="A87" s="52">
        <v>86.0</v>
      </c>
      <c r="B87" s="7" t="s">
        <v>37</v>
      </c>
      <c r="C87" s="53">
        <f t="shared" si="7"/>
        <v>349.0909091</v>
      </c>
      <c r="D87" s="53">
        <f t="shared" si="2"/>
        <v>349.091</v>
      </c>
      <c r="E87" s="57">
        <f>IFERROR(VLOOKUP(B87, Proof!A$2:$B$588,2, 0), 0)</f>
        <v>1163.636364</v>
      </c>
      <c r="F87" s="53">
        <f>IFERROR(VLOOKUP(B87, 'HMMTPUMaC Combo'!A$2:$B$500,2, 0), 0)</f>
        <v>0</v>
      </c>
      <c r="G87" s="53">
        <f>IFERROR(VLOOKUP(B87, 'HMMTPUMaC NT'!A$2:$B$500,2, 0), 0)</f>
        <v>0</v>
      </c>
      <c r="H87" s="58">
        <f>IFERROR(VLOOKUP(B87, 'HMMTPUMaC Algebra'!A$2:$B$500,2, 0), 0)</f>
        <v>0</v>
      </c>
      <c r="I87" s="53">
        <f>IFERROR(VLOOKUP(B87, 'HMMTPUMaC Geo'!$A$2:B$1500,2, 0), 0)</f>
        <v>0</v>
      </c>
      <c r="J87" s="47"/>
    </row>
    <row r="88">
      <c r="A88" s="52">
        <v>87.0</v>
      </c>
      <c r="B88" s="7" t="s">
        <v>438</v>
      </c>
      <c r="C88" s="53">
        <f t="shared" si="7"/>
        <v>0</v>
      </c>
      <c r="D88" s="53">
        <f t="shared" si="2"/>
        <v>0</v>
      </c>
      <c r="E88" s="57">
        <f>IFERROR(VLOOKUP(B88, Proof!A$2:$B$588,2, 0), 0)</f>
        <v>0</v>
      </c>
      <c r="F88" s="53">
        <f>IFERROR(VLOOKUP(B88, 'HMMTPUMaC Combo'!A$2:$B$500,2, 0), 0)</f>
        <v>0</v>
      </c>
      <c r="G88" s="53">
        <f>IFERROR(VLOOKUP(B88, 'HMMTPUMaC NT'!A$2:$B$500,2, 0), 0)</f>
        <v>0</v>
      </c>
      <c r="H88" s="58">
        <f>IFERROR(VLOOKUP(B88, 'HMMTPUMaC Algebra'!A$2:$B$500,2, 0), 0)</f>
        <v>0</v>
      </c>
      <c r="I88" s="53">
        <f>IFERROR(VLOOKUP(B88, 'HMMTPUMaC Geo'!$A$2:B$1500,2, 0), 0)</f>
        <v>0</v>
      </c>
      <c r="J88" s="47"/>
    </row>
    <row r="89">
      <c r="A89" s="52">
        <v>88.0</v>
      </c>
      <c r="B89" s="7" t="s">
        <v>313</v>
      </c>
      <c r="C89" s="53">
        <f t="shared" si="7"/>
        <v>0</v>
      </c>
      <c r="D89" s="53">
        <f t="shared" si="2"/>
        <v>0</v>
      </c>
      <c r="E89" s="57">
        <f>IFERROR(VLOOKUP(B89, Proof!A$2:$B$588,2, 0), 0)</f>
        <v>0</v>
      </c>
      <c r="F89" s="53">
        <f>IFERROR(VLOOKUP(B89, 'HMMTPUMaC Combo'!A$2:$B$500,2, 0), 0)</f>
        <v>0</v>
      </c>
      <c r="G89" s="53">
        <f>IFERROR(VLOOKUP(B89, 'HMMTPUMaC NT'!A$2:$B$500,2, 0), 0)</f>
        <v>0</v>
      </c>
      <c r="H89" s="58">
        <f>IFERROR(VLOOKUP(B89, 'HMMTPUMaC Algebra'!A$2:$B$500,2, 0), 0)</f>
        <v>0</v>
      </c>
      <c r="I89" s="53">
        <f>IFERROR(VLOOKUP(B89, 'HMMTPUMaC Geo'!$A$2:B$1500,2, 0), 0)</f>
        <v>0</v>
      </c>
      <c r="J89" s="47"/>
    </row>
    <row r="90">
      <c r="A90" s="52">
        <v>89.0</v>
      </c>
      <c r="B90" s="7" t="s">
        <v>97</v>
      </c>
      <c r="C90" s="53">
        <f t="shared" si="7"/>
        <v>0</v>
      </c>
      <c r="D90" s="53">
        <f t="shared" si="2"/>
        <v>0</v>
      </c>
      <c r="E90" s="57">
        <f>IFERROR(VLOOKUP(B90, Proof!A$2:$B$588,2, 0), 0)</f>
        <v>0</v>
      </c>
      <c r="F90" s="53">
        <f>IFERROR(VLOOKUP(B90, 'HMMTPUMaC Combo'!A$2:$B$500,2, 0), 0)</f>
        <v>0</v>
      </c>
      <c r="G90" s="53">
        <f>IFERROR(VLOOKUP(B90, 'HMMTPUMaC NT'!A$2:$B$500,2, 0), 0)</f>
        <v>0</v>
      </c>
      <c r="H90" s="58">
        <f>IFERROR(VLOOKUP(B90, 'HMMTPUMaC Algebra'!A$2:$B$500,2, 0), 0)</f>
        <v>0</v>
      </c>
      <c r="I90" s="53">
        <f>IFERROR(VLOOKUP(B90, 'HMMTPUMaC Geo'!$A$2:B$1500,2, 0), 0)</f>
        <v>0</v>
      </c>
      <c r="J90" s="47"/>
    </row>
    <row r="91">
      <c r="A91" s="52">
        <v>90.0</v>
      </c>
      <c r="B91" s="7" t="s">
        <v>335</v>
      </c>
      <c r="C91" s="53">
        <f t="shared" si="7"/>
        <v>0</v>
      </c>
      <c r="D91" s="53">
        <f t="shared" si="2"/>
        <v>0</v>
      </c>
      <c r="E91" s="57">
        <f>IFERROR(VLOOKUP(B91, Proof!A$2:$B$588,2, 0), 0)</f>
        <v>0</v>
      </c>
      <c r="F91" s="53">
        <f>IFERROR(VLOOKUP(B91, 'HMMTPUMaC Combo'!A$2:$B$500,2, 0), 0)</f>
        <v>0</v>
      </c>
      <c r="G91" s="53">
        <f>IFERROR(VLOOKUP(B91, 'HMMTPUMaC NT'!A$2:$B$500,2, 0), 0)</f>
        <v>0</v>
      </c>
      <c r="H91" s="58">
        <f>IFERROR(VLOOKUP(B91, 'HMMTPUMaC Algebra'!A$2:$B$500,2, 0), 0)</f>
        <v>0</v>
      </c>
      <c r="I91" s="53">
        <f>IFERROR(VLOOKUP(B91, 'HMMTPUMaC Geo'!$A$2:B$1500,2, 0), 0)</f>
        <v>0</v>
      </c>
      <c r="J91" s="47"/>
    </row>
    <row r="92">
      <c r="A92" s="52">
        <v>91.0</v>
      </c>
      <c r="B92" s="7" t="s">
        <v>450</v>
      </c>
      <c r="C92" s="53">
        <f t="shared" si="7"/>
        <v>0</v>
      </c>
      <c r="D92" s="53">
        <f t="shared" si="2"/>
        <v>0</v>
      </c>
      <c r="E92" s="57">
        <f>IFERROR(VLOOKUP(B92, Proof!A$2:$B$588,2, 0), 0)</f>
        <v>0</v>
      </c>
      <c r="F92" s="53">
        <f>IFERROR(VLOOKUP(B92, 'HMMTPUMaC Combo'!A$2:$B$500,2, 0), 0)</f>
        <v>0</v>
      </c>
      <c r="G92" s="53">
        <f>IFERROR(VLOOKUP(B92, 'HMMTPUMaC NT'!A$2:$B$500,2, 0), 0)</f>
        <v>0</v>
      </c>
      <c r="H92" s="58">
        <f>IFERROR(VLOOKUP(B92, 'HMMTPUMaC Algebra'!A$2:$B$500,2, 0), 0)</f>
        <v>0</v>
      </c>
      <c r="I92" s="53">
        <f>IFERROR(VLOOKUP(B92, 'HMMTPUMaC Geo'!$A$2:B$1500,2, 0), 0)</f>
        <v>0</v>
      </c>
      <c r="J92" s="47"/>
    </row>
    <row r="93">
      <c r="A93" s="52">
        <v>92.0</v>
      </c>
      <c r="B93" s="7" t="s">
        <v>351</v>
      </c>
      <c r="C93" s="53">
        <f t="shared" si="7"/>
        <v>0</v>
      </c>
      <c r="D93" s="53">
        <f t="shared" si="2"/>
        <v>0</v>
      </c>
      <c r="E93" s="57">
        <f>IFERROR(VLOOKUP(B93, Proof!A$2:$B$588,2, 0), 0)</f>
        <v>0</v>
      </c>
      <c r="F93" s="53">
        <f>IFERROR(VLOOKUP(B93, 'HMMTPUMaC Combo'!A$2:$B$500,2, 0), 0)</f>
        <v>0</v>
      </c>
      <c r="G93" s="53">
        <f>IFERROR(VLOOKUP(B93, 'HMMTPUMaC NT'!A$2:$B$500,2, 0), 0)</f>
        <v>0</v>
      </c>
      <c r="H93" s="58">
        <f>IFERROR(VLOOKUP(B93, 'HMMTPUMaC Algebra'!A$2:$B$500,2, 0), 0)</f>
        <v>0</v>
      </c>
      <c r="I93" s="53">
        <f>IFERROR(VLOOKUP(B93, 'HMMTPUMaC Geo'!$A$2:B$1500,2, 0), 0)</f>
        <v>0</v>
      </c>
      <c r="J93" s="47"/>
    </row>
    <row r="94">
      <c r="A94" s="52">
        <v>93.0</v>
      </c>
      <c r="B94" s="7" t="s">
        <v>291</v>
      </c>
      <c r="C94" s="53">
        <f t="shared" si="7"/>
        <v>0</v>
      </c>
      <c r="D94" s="53">
        <f t="shared" si="2"/>
        <v>0</v>
      </c>
      <c r="E94" s="57">
        <f>IFERROR(VLOOKUP(B94, Proof!A$2:$B$588,2, 0), 0)</f>
        <v>0</v>
      </c>
      <c r="F94" s="53">
        <f>IFERROR(VLOOKUP(B94, 'HMMTPUMaC Combo'!A$2:$B$500,2, 0), 0)</f>
        <v>0</v>
      </c>
      <c r="G94" s="53">
        <f>IFERROR(VLOOKUP(B94, 'HMMTPUMaC NT'!A$2:$B$500,2, 0), 0)</f>
        <v>0</v>
      </c>
      <c r="H94" s="58">
        <f>IFERROR(VLOOKUP(B94, 'HMMTPUMaC Algebra'!A$2:$B$500,2, 0), 0)</f>
        <v>0</v>
      </c>
      <c r="I94" s="53">
        <f>IFERROR(VLOOKUP(B94, 'HMMTPUMaC Geo'!$A$2:B$1500,2, 0), 0)</f>
        <v>0</v>
      </c>
      <c r="J94" s="47"/>
    </row>
    <row r="95">
      <c r="A95" s="52">
        <v>94.0</v>
      </c>
      <c r="B95" s="7" t="s">
        <v>253</v>
      </c>
      <c r="C95" s="53">
        <f t="shared" si="7"/>
        <v>0</v>
      </c>
      <c r="D95" s="53">
        <f t="shared" si="2"/>
        <v>0</v>
      </c>
      <c r="E95" s="57">
        <f>IFERROR(VLOOKUP(B95, Proof!A$2:$B$588,2, 0), 0)</f>
        <v>0</v>
      </c>
      <c r="F95" s="53">
        <f>IFERROR(VLOOKUP(B95, 'HMMTPUMaC Combo'!A$2:$B$500,2, 0), 0)</f>
        <v>0</v>
      </c>
      <c r="G95" s="53">
        <f>IFERROR(VLOOKUP(B95, 'HMMTPUMaC NT'!A$2:$B$500,2, 0), 0)</f>
        <v>0</v>
      </c>
      <c r="H95" s="58">
        <f>IFERROR(VLOOKUP(B95, 'HMMTPUMaC Algebra'!A$2:$B$500,2, 0), 0)</f>
        <v>0</v>
      </c>
      <c r="I95" s="53">
        <f>IFERROR(VLOOKUP(B95, 'HMMTPUMaC Geo'!$A$2:B$1500,2, 0), 0)</f>
        <v>0</v>
      </c>
      <c r="J95" s="47"/>
    </row>
    <row r="96">
      <c r="A96" s="52">
        <v>95.0</v>
      </c>
      <c r="B96" s="7" t="s">
        <v>326</v>
      </c>
      <c r="C96" s="53">
        <f t="shared" si="7"/>
        <v>0</v>
      </c>
      <c r="D96" s="53">
        <f t="shared" si="2"/>
        <v>0</v>
      </c>
      <c r="E96" s="57">
        <f>IFERROR(VLOOKUP(B96, Proof!A$2:$B$588,2, 0), 0)</f>
        <v>0</v>
      </c>
      <c r="F96" s="53">
        <f>IFERROR(VLOOKUP(B96, 'HMMTPUMaC Combo'!A$2:$B$500,2, 0), 0)</f>
        <v>0</v>
      </c>
      <c r="G96" s="53">
        <f>IFERROR(VLOOKUP(B96, 'HMMTPUMaC NT'!A$2:$B$500,2, 0), 0)</f>
        <v>0</v>
      </c>
      <c r="H96" s="58">
        <f>IFERROR(VLOOKUP(B96, 'HMMTPUMaC Algebra'!A$2:$B$500,2, 0), 0)</f>
        <v>0</v>
      </c>
      <c r="I96" s="53">
        <f>IFERROR(VLOOKUP(B96, 'HMMTPUMaC Geo'!$A$2:B$1500,2, 0), 0)</f>
        <v>0</v>
      </c>
      <c r="J96" s="47"/>
    </row>
    <row r="97">
      <c r="A97" s="52">
        <v>96.0</v>
      </c>
      <c r="B97" s="7" t="s">
        <v>50</v>
      </c>
      <c r="C97" s="53">
        <f t="shared" si="7"/>
        <v>0</v>
      </c>
      <c r="D97" s="53">
        <f t="shared" si="2"/>
        <v>0</v>
      </c>
      <c r="E97" s="57">
        <f>IFERROR(VLOOKUP(B97, Proof!A$2:$B$588,2, 0), 0)</f>
        <v>0</v>
      </c>
      <c r="F97" s="53">
        <f>IFERROR(VLOOKUP(B97, 'HMMTPUMaC Combo'!A$2:$B$500,2, 0), 0)</f>
        <v>0</v>
      </c>
      <c r="G97" s="53">
        <f>IFERROR(VLOOKUP(B97, 'HMMTPUMaC NT'!A$2:$B$500,2, 0), 0)</f>
        <v>0</v>
      </c>
      <c r="H97" s="58">
        <f>IFERROR(VLOOKUP(B97, 'HMMTPUMaC Algebra'!A$2:$B$500,2, 0), 0)</f>
        <v>0</v>
      </c>
      <c r="I97" s="53">
        <f>IFERROR(VLOOKUP(B97, 'HMMTPUMaC Geo'!$A$2:B$1500,2, 0), 0)</f>
        <v>0</v>
      </c>
      <c r="J97" s="47"/>
    </row>
    <row r="98">
      <c r="A98" s="52">
        <v>97.0</v>
      </c>
      <c r="B98" s="7" t="s">
        <v>294</v>
      </c>
      <c r="C98" s="53">
        <f t="shared" si="7"/>
        <v>0</v>
      </c>
      <c r="D98" s="53">
        <f t="shared" si="2"/>
        <v>0</v>
      </c>
      <c r="E98" s="57">
        <f>IFERROR(VLOOKUP(B98, Proof!A$2:$B$588,2, 0), 0)</f>
        <v>0</v>
      </c>
      <c r="F98" s="53">
        <f>IFERROR(VLOOKUP(B98, 'HMMTPUMaC Combo'!A$2:$B$500,2, 0), 0)</f>
        <v>0</v>
      </c>
      <c r="G98" s="53">
        <f>IFERROR(VLOOKUP(B98, 'HMMTPUMaC NT'!A$2:$B$500,2, 0), 0)</f>
        <v>0</v>
      </c>
      <c r="H98" s="58">
        <f>IFERROR(VLOOKUP(B98, 'HMMTPUMaC Algebra'!A$2:$B$500,2, 0), 0)</f>
        <v>0</v>
      </c>
      <c r="I98" s="53">
        <f>IFERROR(VLOOKUP(B98, 'HMMTPUMaC Geo'!$A$2:B$1500,2, 0), 0)</f>
        <v>0</v>
      </c>
      <c r="J98" s="47"/>
    </row>
    <row r="99">
      <c r="A99" s="52">
        <v>98.0</v>
      </c>
      <c r="B99" s="7" t="s">
        <v>300</v>
      </c>
      <c r="C99" s="53">
        <f t="shared" si="7"/>
        <v>0</v>
      </c>
      <c r="D99" s="53">
        <f t="shared" si="2"/>
        <v>0</v>
      </c>
      <c r="E99" s="57">
        <f>IFERROR(VLOOKUP(B99, Proof!A$2:$B$588,2, 0), 0)</f>
        <v>0</v>
      </c>
      <c r="F99" s="53">
        <f>IFERROR(VLOOKUP(B99, 'HMMTPUMaC Combo'!A$2:$B$500,2, 0), 0)</f>
        <v>0</v>
      </c>
      <c r="G99" s="53">
        <f>IFERROR(VLOOKUP(B99, 'HMMTPUMaC NT'!A$2:$B$500,2, 0), 0)</f>
        <v>0</v>
      </c>
      <c r="H99" s="58">
        <f>IFERROR(VLOOKUP(B99, 'HMMTPUMaC Algebra'!A$2:$B$500,2, 0), 0)</f>
        <v>0</v>
      </c>
      <c r="I99" s="53">
        <f>IFERROR(VLOOKUP(B99, 'HMMTPUMaC Geo'!$A$2:B$1500,2, 0), 0)</f>
        <v>0</v>
      </c>
      <c r="J99" s="47"/>
    </row>
    <row r="100">
      <c r="A100" s="52">
        <v>99.0</v>
      </c>
      <c r="B100" s="7" t="s">
        <v>98</v>
      </c>
      <c r="C100" s="53">
        <f t="shared" si="7"/>
        <v>0</v>
      </c>
      <c r="D100" s="53">
        <f t="shared" si="2"/>
        <v>0</v>
      </c>
      <c r="E100" s="57">
        <f>IFERROR(VLOOKUP(B100, Proof!A$2:$B$588,2, 0), 0)</f>
        <v>0</v>
      </c>
      <c r="F100" s="53">
        <f>IFERROR(VLOOKUP(B100, 'HMMTPUMaC Combo'!A$2:$B$500,2, 0), 0)</f>
        <v>0</v>
      </c>
      <c r="G100" s="53">
        <f>IFERROR(VLOOKUP(B100, 'HMMTPUMaC NT'!A$2:$B$500,2, 0), 0)</f>
        <v>0</v>
      </c>
      <c r="H100" s="58">
        <f>IFERROR(VLOOKUP(B100, 'HMMTPUMaC Algebra'!A$2:$B$500,2, 0), 0)</f>
        <v>0</v>
      </c>
      <c r="I100" s="53">
        <f>IFERROR(VLOOKUP(B100, 'HMMTPUMaC Geo'!$A$2:B$1500,2, 0), 0)</f>
        <v>0</v>
      </c>
      <c r="J100" s="47"/>
    </row>
    <row r="101">
      <c r="A101" s="52">
        <v>100.0</v>
      </c>
      <c r="B101" s="7" t="s">
        <v>103</v>
      </c>
      <c r="C101" s="53">
        <f t="shared" si="7"/>
        <v>0</v>
      </c>
      <c r="D101" s="53">
        <f t="shared" si="2"/>
        <v>0</v>
      </c>
      <c r="E101" s="57">
        <f>IFERROR(VLOOKUP(B101, Proof!A$2:$B$588,2, 0), 0)</f>
        <v>0</v>
      </c>
      <c r="F101" s="53">
        <f>IFERROR(VLOOKUP(B101, 'HMMTPUMaC Combo'!A$2:$B$500,2, 0), 0)</f>
        <v>0</v>
      </c>
      <c r="G101" s="53">
        <f>IFERROR(VLOOKUP(B101, 'HMMTPUMaC NT'!A$2:$B$500,2, 0), 0)</f>
        <v>0</v>
      </c>
      <c r="H101" s="58">
        <f>IFERROR(VLOOKUP(B101, 'HMMTPUMaC Algebra'!A$2:$B$500,2, 0), 0)</f>
        <v>0</v>
      </c>
      <c r="I101" s="53">
        <f>IFERROR(VLOOKUP(B101, 'HMMTPUMaC Geo'!$A$2:B$1500,2, 0), 0)</f>
        <v>0</v>
      </c>
      <c r="J101" s="47"/>
    </row>
    <row r="102">
      <c r="A102" s="52">
        <v>101.0</v>
      </c>
      <c r="B102" s="7" t="s">
        <v>173</v>
      </c>
      <c r="C102" s="53">
        <f t="shared" si="7"/>
        <v>0</v>
      </c>
      <c r="D102" s="53">
        <f t="shared" si="2"/>
        <v>0</v>
      </c>
      <c r="E102" s="57">
        <f>IFERROR(VLOOKUP(B102, Proof!A$2:$B$588,2, 0), 0)</f>
        <v>0</v>
      </c>
      <c r="F102" s="53">
        <f>IFERROR(VLOOKUP(B102, 'HMMTPUMaC Combo'!A$2:$B$500,2, 0), 0)</f>
        <v>0</v>
      </c>
      <c r="G102" s="53">
        <f>IFERROR(VLOOKUP(B102, 'HMMTPUMaC NT'!A$2:$B$500,2, 0), 0)</f>
        <v>0</v>
      </c>
      <c r="H102" s="58">
        <f>IFERROR(VLOOKUP(B102, 'HMMTPUMaC Algebra'!A$2:$B$500,2, 0), 0)</f>
        <v>0</v>
      </c>
      <c r="I102" s="53">
        <f>IFERROR(VLOOKUP(B102, 'HMMTPUMaC Geo'!$A$2:B$1500,2, 0), 0)</f>
        <v>0</v>
      </c>
      <c r="J102" s="47"/>
    </row>
    <row r="103">
      <c r="A103" s="52">
        <v>102.0</v>
      </c>
      <c r="B103" s="7" t="s">
        <v>341</v>
      </c>
      <c r="C103" s="53">
        <f t="shared" si="7"/>
        <v>0</v>
      </c>
      <c r="D103" s="53">
        <f t="shared" si="2"/>
        <v>0</v>
      </c>
      <c r="E103" s="57">
        <f>IFERROR(VLOOKUP(B103, Proof!A$2:$B$588,2, 0), 0)</f>
        <v>0</v>
      </c>
      <c r="F103" s="53">
        <f>IFERROR(VLOOKUP(B103, 'HMMTPUMaC Combo'!A$2:$B$500,2, 0), 0)</f>
        <v>0</v>
      </c>
      <c r="G103" s="53">
        <f>IFERROR(VLOOKUP(B103, 'HMMTPUMaC NT'!A$2:$B$500,2, 0), 0)</f>
        <v>0</v>
      </c>
      <c r="H103" s="58">
        <f>IFERROR(VLOOKUP(B103, 'HMMTPUMaC Algebra'!A$2:$B$500,2, 0), 0)</f>
        <v>0</v>
      </c>
      <c r="I103" s="53">
        <f>IFERROR(VLOOKUP(B103, 'HMMTPUMaC Geo'!$A$2:B$1500,2, 0), 0)</f>
        <v>0</v>
      </c>
      <c r="J103" s="47"/>
    </row>
    <row r="104">
      <c r="A104" s="52">
        <v>103.0</v>
      </c>
      <c r="B104" s="7" t="s">
        <v>609</v>
      </c>
      <c r="C104" s="53">
        <f t="shared" si="7"/>
        <v>0</v>
      </c>
      <c r="D104" s="53">
        <f t="shared" si="2"/>
        <v>0</v>
      </c>
      <c r="E104" s="57">
        <f>IFERROR(VLOOKUP(B104, Proof!A$2:$B$588,2, 0), 0)</f>
        <v>0</v>
      </c>
      <c r="F104" s="53">
        <f>IFERROR(VLOOKUP(B104, 'HMMTPUMaC Combo'!A$2:$B$500,2, 0), 0)</f>
        <v>0</v>
      </c>
      <c r="G104" s="53">
        <f>IFERROR(VLOOKUP(B104, 'HMMTPUMaC NT'!A$2:$B$500,2, 0), 0)</f>
        <v>0</v>
      </c>
      <c r="H104" s="58">
        <f>IFERROR(VLOOKUP(B104, 'HMMTPUMaC Algebra'!A$2:$B$500,2, 0), 0)</f>
        <v>0</v>
      </c>
      <c r="I104" s="53">
        <f>IFERROR(VLOOKUP(B104, 'HMMTPUMaC Geo'!$A$2:B$1500,2, 0), 0)</f>
        <v>0</v>
      </c>
      <c r="J104" s="47"/>
    </row>
    <row r="105">
      <c r="A105" s="52">
        <v>104.0</v>
      </c>
      <c r="B105" s="7" t="s">
        <v>610</v>
      </c>
      <c r="C105" s="53">
        <f t="shared" si="7"/>
        <v>0</v>
      </c>
      <c r="D105" s="53">
        <f t="shared" si="2"/>
        <v>0</v>
      </c>
      <c r="E105" s="57">
        <f>IFERROR(VLOOKUP(B105, Proof!A$2:$B$588,2, 0), 0)</f>
        <v>0</v>
      </c>
      <c r="F105" s="53">
        <f>IFERROR(VLOOKUP(B105, 'HMMTPUMaC Combo'!A$2:$B$500,2, 0), 0)</f>
        <v>0</v>
      </c>
      <c r="G105" s="53">
        <f>IFERROR(VLOOKUP(B105, 'HMMTPUMaC NT'!A$2:$B$500,2, 0), 0)</f>
        <v>0</v>
      </c>
      <c r="H105" s="58">
        <f>IFERROR(VLOOKUP(B105, 'HMMTPUMaC Algebra'!A$2:$B$500,2, 0), 0)</f>
        <v>0</v>
      </c>
      <c r="I105" s="53">
        <f>IFERROR(VLOOKUP(B105, 'HMMTPUMaC Geo'!$A$2:B$1500,2, 0), 0)</f>
        <v>0</v>
      </c>
      <c r="J105" s="47"/>
    </row>
    <row r="106">
      <c r="A106" s="52">
        <v>105.0</v>
      </c>
      <c r="B106" s="7" t="s">
        <v>620</v>
      </c>
      <c r="C106" s="53">
        <f t="shared" si="7"/>
        <v>0</v>
      </c>
      <c r="D106" s="53">
        <f t="shared" si="2"/>
        <v>0</v>
      </c>
      <c r="E106" s="57">
        <f>IFERROR(VLOOKUP(B106, Proof!A$2:$B$588,2, 0), 0)</f>
        <v>0</v>
      </c>
      <c r="F106" s="53">
        <f>IFERROR(VLOOKUP(B106, 'HMMTPUMaC Combo'!A$2:$B$500,2, 0), 0)</f>
        <v>0</v>
      </c>
      <c r="G106" s="53">
        <f>IFERROR(VLOOKUP(B106, 'HMMTPUMaC NT'!A$2:$B$500,2, 0), 0)</f>
        <v>0</v>
      </c>
      <c r="H106" s="58">
        <f>IFERROR(VLOOKUP(B106, 'HMMTPUMaC Algebra'!A$2:$B$500,2, 0), 0)</f>
        <v>0</v>
      </c>
      <c r="I106" s="53">
        <f>IFERROR(VLOOKUP(B106, 'HMMTPUMaC Geo'!$A$2:B$1500,2, 0), 0)</f>
        <v>0</v>
      </c>
      <c r="J106" s="47"/>
    </row>
    <row r="107">
      <c r="A107" s="52">
        <v>106.0</v>
      </c>
      <c r="B107" s="7" t="s">
        <v>583</v>
      </c>
      <c r="C107" s="53">
        <f t="shared" si="7"/>
        <v>0</v>
      </c>
      <c r="D107" s="53">
        <f t="shared" si="2"/>
        <v>0</v>
      </c>
      <c r="E107" s="57">
        <f>IFERROR(VLOOKUP(B107, Proof!A$2:$B$588,2, 0), 0)</f>
        <v>0</v>
      </c>
      <c r="F107" s="53">
        <f>IFERROR(VLOOKUP(B107, 'HMMTPUMaC Combo'!A$2:$B$500,2, 0), 0)</f>
        <v>0</v>
      </c>
      <c r="G107" s="53">
        <f>IFERROR(VLOOKUP(B107, 'HMMTPUMaC NT'!A$2:$B$500,2, 0), 0)</f>
        <v>0</v>
      </c>
      <c r="H107" s="58">
        <f>IFERROR(VLOOKUP(B107, 'HMMTPUMaC Algebra'!A$2:$B$500,2, 0), 0)</f>
        <v>0</v>
      </c>
      <c r="I107" s="53">
        <f>IFERROR(VLOOKUP(B107, 'HMMTPUMaC Geo'!$A$2:B$1500,2, 0), 0)</f>
        <v>0</v>
      </c>
      <c r="J107" s="47"/>
    </row>
    <row r="108">
      <c r="A108" s="52">
        <v>107.0</v>
      </c>
      <c r="B108" s="7" t="s">
        <v>601</v>
      </c>
      <c r="C108" s="53">
        <f t="shared" si="7"/>
        <v>0</v>
      </c>
      <c r="D108" s="53">
        <f t="shared" si="2"/>
        <v>0</v>
      </c>
      <c r="E108" s="57">
        <f>IFERROR(VLOOKUP(B108, Proof!A$2:$B$588,2, 0), 0)</f>
        <v>0</v>
      </c>
      <c r="F108" s="53">
        <f>IFERROR(VLOOKUP(B108, 'HMMTPUMaC Combo'!A$2:$B$500,2, 0), 0)</f>
        <v>0</v>
      </c>
      <c r="G108" s="53">
        <f>IFERROR(VLOOKUP(B108, 'HMMTPUMaC NT'!A$2:$B$500,2, 0), 0)</f>
        <v>0</v>
      </c>
      <c r="H108" s="58">
        <f>IFERROR(VLOOKUP(B108, 'HMMTPUMaC Algebra'!A$2:$B$500,2, 0), 0)</f>
        <v>0</v>
      </c>
      <c r="I108" s="53">
        <f>IFERROR(VLOOKUP(B108, 'HMMTPUMaC Geo'!$A$2:B$1500,2, 0), 0)</f>
        <v>0</v>
      </c>
      <c r="J108" s="47"/>
    </row>
    <row r="109">
      <c r="A109" s="52">
        <v>108.0</v>
      </c>
      <c r="B109" s="7" t="s">
        <v>617</v>
      </c>
      <c r="C109" s="53">
        <f t="shared" si="7"/>
        <v>0</v>
      </c>
      <c r="D109" s="53">
        <f t="shared" si="2"/>
        <v>0</v>
      </c>
      <c r="E109" s="57">
        <f>IFERROR(VLOOKUP(B109, Proof!A$2:$B$588,2, 0), 0)</f>
        <v>0</v>
      </c>
      <c r="F109" s="53">
        <f>IFERROR(VLOOKUP(B109, 'HMMTPUMaC Combo'!A$2:$B$500,2, 0), 0)</f>
        <v>0</v>
      </c>
      <c r="G109" s="53">
        <f>IFERROR(VLOOKUP(B109, 'HMMTPUMaC NT'!A$2:$B$500,2, 0), 0)</f>
        <v>0</v>
      </c>
      <c r="H109" s="58">
        <f>IFERROR(VLOOKUP(B109, 'HMMTPUMaC Algebra'!A$2:$B$500,2, 0), 0)</f>
        <v>0</v>
      </c>
      <c r="I109" s="53">
        <f>IFERROR(VLOOKUP(B109, 'HMMTPUMaC Geo'!$A$2:B$1500,2, 0), 0)</f>
        <v>0</v>
      </c>
      <c r="J109" s="47"/>
    </row>
    <row r="110">
      <c r="A110" s="52">
        <v>109.0</v>
      </c>
      <c r="B110" s="7" t="s">
        <v>579</v>
      </c>
      <c r="C110" s="53">
        <f t="shared" si="7"/>
        <v>0</v>
      </c>
      <c r="D110" s="53">
        <f t="shared" si="2"/>
        <v>0</v>
      </c>
      <c r="E110" s="57">
        <f>IFERROR(VLOOKUP(B110, Proof!A$2:$B$588,2, 0), 0)</f>
        <v>0</v>
      </c>
      <c r="F110" s="53">
        <f>IFERROR(VLOOKUP(B110, 'HMMTPUMaC Combo'!A$2:$B$500,2, 0), 0)</f>
        <v>0</v>
      </c>
      <c r="G110" s="53">
        <f>IFERROR(VLOOKUP(B110, 'HMMTPUMaC NT'!A$2:$B$500,2, 0), 0)</f>
        <v>0</v>
      </c>
      <c r="H110" s="58">
        <f>IFERROR(VLOOKUP(B110, 'HMMTPUMaC Algebra'!A$2:$B$500,2, 0), 0)</f>
        <v>0</v>
      </c>
      <c r="I110" s="53">
        <f>IFERROR(VLOOKUP(B110, 'HMMTPUMaC Geo'!$A$2:B$1500,2, 0), 0)</f>
        <v>0</v>
      </c>
      <c r="J110" s="47"/>
    </row>
    <row r="111">
      <c r="A111" s="52">
        <v>110.0</v>
      </c>
      <c r="B111" s="7" t="s">
        <v>612</v>
      </c>
      <c r="C111" s="53">
        <f t="shared" si="7"/>
        <v>0</v>
      </c>
      <c r="D111" s="53">
        <f t="shared" si="2"/>
        <v>0</v>
      </c>
      <c r="E111" s="57">
        <f>IFERROR(VLOOKUP(B111, Proof!A$2:$B$588,2, 0), 0)</f>
        <v>0</v>
      </c>
      <c r="F111" s="53">
        <f>IFERROR(VLOOKUP(B111, 'HMMTPUMaC Combo'!A$2:$B$500,2, 0), 0)</f>
        <v>0</v>
      </c>
      <c r="G111" s="53">
        <f>IFERROR(VLOOKUP(B111, 'HMMTPUMaC NT'!A$2:$B$500,2, 0), 0)</f>
        <v>0</v>
      </c>
      <c r="H111" s="58">
        <f>IFERROR(VLOOKUP(B111, 'HMMTPUMaC Algebra'!A$2:$B$500,2, 0), 0)</f>
        <v>0</v>
      </c>
      <c r="I111" s="53">
        <f>IFERROR(VLOOKUP(B111, 'HMMTPUMaC Geo'!$A$2:B$1500,2, 0), 0)</f>
        <v>0</v>
      </c>
      <c r="J111" s="47"/>
    </row>
    <row r="112">
      <c r="A112" s="52">
        <v>111.0</v>
      </c>
      <c r="B112" s="7" t="s">
        <v>606</v>
      </c>
      <c r="C112" s="53">
        <f t="shared" si="7"/>
        <v>0</v>
      </c>
      <c r="D112" s="53">
        <f t="shared" si="2"/>
        <v>0</v>
      </c>
      <c r="E112" s="57">
        <f>IFERROR(VLOOKUP(B112, Proof!A$2:$B$588,2, 0), 0)</f>
        <v>0</v>
      </c>
      <c r="F112" s="53">
        <f>IFERROR(VLOOKUP(B112, 'HMMTPUMaC Combo'!A$2:$B$500,2, 0), 0)</f>
        <v>0</v>
      </c>
      <c r="G112" s="53">
        <f>IFERROR(VLOOKUP(B112, 'HMMTPUMaC NT'!A$2:$B$500,2, 0), 0)</f>
        <v>0</v>
      </c>
      <c r="H112" s="58">
        <f>IFERROR(VLOOKUP(B112, 'HMMTPUMaC Algebra'!A$2:$B$500,2, 0), 0)</f>
        <v>0</v>
      </c>
      <c r="I112" s="53">
        <f>IFERROR(VLOOKUP(B112, 'HMMTPUMaC Geo'!$A$2:B$1500,2, 0), 0)</f>
        <v>0</v>
      </c>
      <c r="J112" s="47"/>
    </row>
    <row r="113">
      <c r="A113" s="52">
        <v>112.0</v>
      </c>
      <c r="B113" s="7" t="s">
        <v>636</v>
      </c>
      <c r="C113" s="53">
        <f t="shared" si="7"/>
        <v>0</v>
      </c>
      <c r="D113" s="53">
        <f t="shared" si="2"/>
        <v>0</v>
      </c>
      <c r="E113" s="57">
        <f>IFERROR(VLOOKUP(B113, Proof!A$2:$B$588,2, 0), 0)</f>
        <v>0</v>
      </c>
      <c r="F113" s="53">
        <f>IFERROR(VLOOKUP(B113, 'HMMTPUMaC Combo'!A$2:$B$500,2, 0), 0)</f>
        <v>0</v>
      </c>
      <c r="G113" s="53">
        <f>IFERROR(VLOOKUP(B113, 'HMMTPUMaC NT'!A$2:$B$500,2, 0), 0)</f>
        <v>0</v>
      </c>
      <c r="H113" s="58">
        <f>IFERROR(VLOOKUP(B113, 'HMMTPUMaC Algebra'!A$2:$B$500,2, 0), 0)</f>
        <v>0</v>
      </c>
      <c r="I113" s="53">
        <f>IFERROR(VLOOKUP(B113, 'HMMTPUMaC Geo'!$A$2:B$1500,2, 0), 0)</f>
        <v>0</v>
      </c>
      <c r="J113" s="47"/>
    </row>
    <row r="114">
      <c r="A114" s="52">
        <v>113.0</v>
      </c>
      <c r="B114" s="7" t="s">
        <v>639</v>
      </c>
      <c r="C114" s="53">
        <f t="shared" si="7"/>
        <v>0</v>
      </c>
      <c r="D114" s="53">
        <f t="shared" si="2"/>
        <v>0</v>
      </c>
      <c r="E114" s="57">
        <f>IFERROR(VLOOKUP(B114, Proof!A$2:$B$588,2, 0), 0)</f>
        <v>0</v>
      </c>
      <c r="F114" s="53">
        <f>IFERROR(VLOOKUP(B114, 'HMMTPUMaC Combo'!A$2:$B$500,2, 0), 0)</f>
        <v>0</v>
      </c>
      <c r="G114" s="53">
        <f>IFERROR(VLOOKUP(B114, 'HMMTPUMaC NT'!A$2:$B$500,2, 0), 0)</f>
        <v>0</v>
      </c>
      <c r="H114" s="58">
        <f>IFERROR(VLOOKUP(B114, 'HMMTPUMaC Algebra'!A$2:$B$500,2, 0), 0)</f>
        <v>0</v>
      </c>
      <c r="I114" s="53">
        <f>IFERROR(VLOOKUP(B114, 'HMMTPUMaC Geo'!$A$2:B$1500,2, 0), 0)</f>
        <v>0</v>
      </c>
      <c r="J114" s="47"/>
    </row>
    <row r="115">
      <c r="A115" s="52">
        <v>114.0</v>
      </c>
      <c r="B115" s="7" t="s">
        <v>615</v>
      </c>
      <c r="C115" s="53">
        <f t="shared" si="7"/>
        <v>0</v>
      </c>
      <c r="D115" s="53">
        <f t="shared" si="2"/>
        <v>0</v>
      </c>
      <c r="E115" s="57">
        <f>IFERROR(VLOOKUP(B115, Proof!A$2:$B$588,2, 0), 0)</f>
        <v>0</v>
      </c>
      <c r="F115" s="53">
        <f>IFERROR(VLOOKUP(B115, 'HMMTPUMaC Combo'!A$2:$B$500,2, 0), 0)</f>
        <v>0</v>
      </c>
      <c r="G115" s="53">
        <f>IFERROR(VLOOKUP(B115, 'HMMTPUMaC NT'!A$2:$B$500,2, 0), 0)</f>
        <v>0</v>
      </c>
      <c r="H115" s="58">
        <f>IFERROR(VLOOKUP(B115, 'HMMTPUMaC Algebra'!A$2:$B$500,2, 0), 0)</f>
        <v>0</v>
      </c>
      <c r="I115" s="53">
        <f>IFERROR(VLOOKUP(B115, 'HMMTPUMaC Geo'!$A$2:B$1500,2, 0), 0)</f>
        <v>0</v>
      </c>
      <c r="J115" s="47"/>
    </row>
    <row r="116">
      <c r="A116" s="52">
        <v>115.0</v>
      </c>
      <c r="B116" s="7" t="s">
        <v>638</v>
      </c>
      <c r="C116" s="53">
        <f t="shared" si="7"/>
        <v>0</v>
      </c>
      <c r="D116" s="53">
        <f t="shared" si="2"/>
        <v>0</v>
      </c>
      <c r="E116" s="57">
        <f>IFERROR(VLOOKUP(B116, Proof!A$2:$B$588,2, 0), 0)</f>
        <v>0</v>
      </c>
      <c r="F116" s="53">
        <f>IFERROR(VLOOKUP(B116, 'HMMTPUMaC Combo'!A$2:$B$500,2, 0), 0)</f>
        <v>0</v>
      </c>
      <c r="G116" s="53">
        <f>IFERROR(VLOOKUP(B116, 'HMMTPUMaC NT'!A$2:$B$500,2, 0), 0)</f>
        <v>0</v>
      </c>
      <c r="H116" s="58">
        <f>IFERROR(VLOOKUP(B116, 'HMMTPUMaC Algebra'!A$2:$B$500,2, 0), 0)</f>
        <v>0</v>
      </c>
      <c r="I116" s="53">
        <f>IFERROR(VLOOKUP(B116, 'HMMTPUMaC Geo'!$A$2:B$1500,2, 0), 0)</f>
        <v>0</v>
      </c>
      <c r="J116" s="47"/>
    </row>
    <row r="117">
      <c r="A117" s="52">
        <v>116.0</v>
      </c>
      <c r="B117" s="7" t="s">
        <v>585</v>
      </c>
      <c r="C117" s="53">
        <f t="shared" si="7"/>
        <v>0</v>
      </c>
      <c r="D117" s="53">
        <f t="shared" si="2"/>
        <v>0</v>
      </c>
      <c r="E117" s="57">
        <f>IFERROR(VLOOKUP(B117, Proof!A$2:$B$588,2, 0), 0)</f>
        <v>0</v>
      </c>
      <c r="F117" s="53">
        <f>IFERROR(VLOOKUP(B117, 'HMMTPUMaC Combo'!A$2:$B$500,2, 0), 0)</f>
        <v>0</v>
      </c>
      <c r="G117" s="53">
        <f>IFERROR(VLOOKUP(B117, 'HMMTPUMaC NT'!A$2:$B$500,2, 0), 0)</f>
        <v>0</v>
      </c>
      <c r="H117" s="58">
        <f>IFERROR(VLOOKUP(B117, 'HMMTPUMaC Algebra'!A$2:$B$500,2, 0), 0)</f>
        <v>0</v>
      </c>
      <c r="I117" s="53">
        <f>IFERROR(VLOOKUP(B117, 'HMMTPUMaC Geo'!$A$2:B$1500,2, 0), 0)</f>
        <v>0</v>
      </c>
      <c r="J117" s="47"/>
    </row>
    <row r="118">
      <c r="A118" s="52">
        <v>117.0</v>
      </c>
      <c r="B118" s="7" t="s">
        <v>643</v>
      </c>
      <c r="C118" s="53">
        <f t="shared" si="7"/>
        <v>0</v>
      </c>
      <c r="D118" s="53">
        <f t="shared" si="2"/>
        <v>0</v>
      </c>
      <c r="E118" s="57">
        <f>IFERROR(VLOOKUP(B118, Proof!A$2:$B$588,2, 0), 0)</f>
        <v>0</v>
      </c>
      <c r="F118" s="53">
        <f>IFERROR(VLOOKUP(B118, 'HMMTPUMaC Combo'!A$2:$B$500,2, 0), 0)</f>
        <v>0</v>
      </c>
      <c r="G118" s="53">
        <f>IFERROR(VLOOKUP(B118, 'HMMTPUMaC NT'!A$2:$B$500,2, 0), 0)</f>
        <v>0</v>
      </c>
      <c r="H118" s="58">
        <f>IFERROR(VLOOKUP(B118, 'HMMTPUMaC Algebra'!A$2:$B$500,2, 0), 0)</f>
        <v>0</v>
      </c>
      <c r="I118" s="53">
        <f>IFERROR(VLOOKUP(B118, 'HMMTPUMaC Geo'!$A$2:B$1500,2, 0), 0)</f>
        <v>0</v>
      </c>
      <c r="J118" s="47"/>
    </row>
    <row r="119">
      <c r="A119" s="52">
        <v>118.0</v>
      </c>
      <c r="B119" s="7" t="s">
        <v>642</v>
      </c>
      <c r="C119" s="53">
        <f t="shared" si="7"/>
        <v>0</v>
      </c>
      <c r="D119" s="53">
        <f t="shared" si="2"/>
        <v>0</v>
      </c>
      <c r="E119" s="57">
        <f>IFERROR(VLOOKUP(B119, Proof!A$2:$B$588,2, 0), 0)</f>
        <v>0</v>
      </c>
      <c r="F119" s="53">
        <f>IFERROR(VLOOKUP(B119, 'HMMTPUMaC Combo'!A$2:$B$500,2, 0), 0)</f>
        <v>0</v>
      </c>
      <c r="G119" s="53">
        <f>IFERROR(VLOOKUP(B119, 'HMMTPUMaC NT'!A$2:$B$500,2, 0), 0)</f>
        <v>0</v>
      </c>
      <c r="H119" s="58">
        <f>IFERROR(VLOOKUP(B119, 'HMMTPUMaC Algebra'!A$2:$B$500,2, 0), 0)</f>
        <v>0</v>
      </c>
      <c r="I119" s="53">
        <f>IFERROR(VLOOKUP(B119, 'HMMTPUMaC Geo'!$A$2:B$1500,2, 0), 0)</f>
        <v>0</v>
      </c>
      <c r="J119" s="47"/>
    </row>
    <row r="120">
      <c r="A120" s="52">
        <v>119.0</v>
      </c>
      <c r="B120" s="7" t="s">
        <v>576</v>
      </c>
      <c r="C120" s="53">
        <f t="shared" si="7"/>
        <v>0</v>
      </c>
      <c r="D120" s="53">
        <f t="shared" si="2"/>
        <v>0</v>
      </c>
      <c r="E120" s="57">
        <f>IFERROR(VLOOKUP(B120, Proof!A$2:$B$588,2, 0), 0)</f>
        <v>0</v>
      </c>
      <c r="F120" s="53">
        <f>IFERROR(VLOOKUP(B120, 'HMMTPUMaC Combo'!A$2:$B$500,2, 0), 0)</f>
        <v>0</v>
      </c>
      <c r="G120" s="53">
        <f>IFERROR(VLOOKUP(B120, 'HMMTPUMaC NT'!A$2:$B$500,2, 0), 0)</f>
        <v>0</v>
      </c>
      <c r="H120" s="58">
        <f>IFERROR(VLOOKUP(B120, 'HMMTPUMaC Algebra'!A$2:$B$500,2, 0), 0)</f>
        <v>0</v>
      </c>
      <c r="I120" s="58">
        <v>0.0</v>
      </c>
      <c r="J120" s="47"/>
    </row>
    <row r="121">
      <c r="A121" s="52">
        <v>120.0</v>
      </c>
      <c r="B121" s="7" t="s">
        <v>624</v>
      </c>
      <c r="C121" s="53">
        <f t="shared" si="7"/>
        <v>0</v>
      </c>
      <c r="D121" s="53">
        <f t="shared" si="2"/>
        <v>0</v>
      </c>
      <c r="E121" s="57">
        <f>IFERROR(VLOOKUP(B121, Proof!A$2:$B$588,2, 0), 0)</f>
        <v>0</v>
      </c>
      <c r="F121" s="53">
        <f>IFERROR(VLOOKUP(B121, 'HMMTPUMaC Combo'!A$2:$B$500,2, 0), 0)</f>
        <v>0</v>
      </c>
      <c r="G121" s="53">
        <f>IFERROR(VLOOKUP(B121, 'HMMTPUMaC NT'!A$2:$B$500,2, 0), 0)</f>
        <v>0</v>
      </c>
      <c r="H121" s="58">
        <f>IFERROR(VLOOKUP(B121, 'HMMTPUMaC Algebra'!A$2:$B$500,2, 0), 0)</f>
        <v>0</v>
      </c>
      <c r="I121" s="53">
        <f>IFERROR(VLOOKUP(B121, 'HMMTPUMaC Geo'!$A$2:B$1500,2, 0), 0)</f>
        <v>0</v>
      </c>
      <c r="J121" s="47"/>
    </row>
    <row r="122">
      <c r="A122" s="52">
        <v>121.0</v>
      </c>
      <c r="B122" s="7" t="s">
        <v>595</v>
      </c>
      <c r="C122" s="53">
        <f t="shared" si="7"/>
        <v>0</v>
      </c>
      <c r="D122" s="53">
        <f t="shared" si="2"/>
        <v>0</v>
      </c>
      <c r="E122" s="57">
        <f>IFERROR(VLOOKUP(B122, Proof!A$2:$B$588,2, 0), 0)</f>
        <v>0</v>
      </c>
      <c r="F122" s="53">
        <f>IFERROR(VLOOKUP(B122, 'HMMTPUMaC Combo'!A$2:$B$500,2, 0), 0)</f>
        <v>0</v>
      </c>
      <c r="G122" s="53">
        <f>IFERROR(VLOOKUP(B122, 'HMMTPUMaC NT'!A$2:$B$500,2, 0), 0)</f>
        <v>0</v>
      </c>
      <c r="H122" s="58">
        <f>IFERROR(VLOOKUP(B122, 'HMMTPUMaC Algebra'!A$2:$B$500,2, 0), 0)</f>
        <v>0</v>
      </c>
      <c r="I122" s="53">
        <f>IFERROR(VLOOKUP(B122, 'HMMTPUMaC Geo'!$A$2:B$1500,2, 0), 0)</f>
        <v>0</v>
      </c>
      <c r="J122" s="47"/>
    </row>
    <row r="123">
      <c r="A123" s="52">
        <v>122.0</v>
      </c>
      <c r="B123" s="7" t="s">
        <v>633</v>
      </c>
      <c r="C123" s="53">
        <f t="shared" si="7"/>
        <v>0</v>
      </c>
      <c r="D123" s="53">
        <f t="shared" si="2"/>
        <v>0</v>
      </c>
      <c r="E123" s="57">
        <f>IFERROR(VLOOKUP(B123, Proof!A$2:$B$588,2, 0), 0)</f>
        <v>0</v>
      </c>
      <c r="F123" s="53">
        <f>IFERROR(VLOOKUP(B123, 'HMMTPUMaC Combo'!A$2:$B$500,2, 0), 0)</f>
        <v>0</v>
      </c>
      <c r="G123" s="53">
        <f>IFERROR(VLOOKUP(B123, 'HMMTPUMaC NT'!A$2:$B$500,2, 0), 0)</f>
        <v>0</v>
      </c>
      <c r="H123" s="58">
        <f>IFERROR(VLOOKUP(B123, 'HMMTPUMaC Algebra'!A$2:$B$500,2, 0), 0)</f>
        <v>0</v>
      </c>
      <c r="I123" s="53">
        <f>IFERROR(VLOOKUP(B123, 'HMMTPUMaC Geo'!$A$2:B$1500,2, 0), 0)</f>
        <v>0</v>
      </c>
      <c r="J123" s="47"/>
    </row>
    <row r="124">
      <c r="A124" s="52">
        <v>123.0</v>
      </c>
      <c r="B124" s="7" t="s">
        <v>599</v>
      </c>
      <c r="C124" s="53">
        <f t="shared" si="7"/>
        <v>0</v>
      </c>
      <c r="D124" s="53">
        <f t="shared" si="2"/>
        <v>0</v>
      </c>
      <c r="E124" s="57">
        <f>IFERROR(VLOOKUP(B124, Proof!A$2:$B$588,2, 0), 0)</f>
        <v>0</v>
      </c>
      <c r="F124" s="53">
        <f>IFERROR(VLOOKUP(B124, 'HMMTPUMaC Combo'!A$2:$B$500,2, 0), 0)</f>
        <v>0</v>
      </c>
      <c r="G124" s="53">
        <f>IFERROR(VLOOKUP(B124, 'HMMTPUMaC NT'!A$2:$B$500,2, 0), 0)</f>
        <v>0</v>
      </c>
      <c r="H124" s="58">
        <f>IFERROR(VLOOKUP(B124, 'HMMTPUMaC Algebra'!A$2:$B$500,2, 0), 0)</f>
        <v>0</v>
      </c>
      <c r="I124" s="53">
        <f>IFERROR(VLOOKUP(B124, 'HMMTPUMaC Geo'!$A$2:B$1500,2, 0), 0)</f>
        <v>0</v>
      </c>
      <c r="J124" s="47"/>
    </row>
    <row r="125">
      <c r="A125" s="52">
        <v>124.0</v>
      </c>
      <c r="B125" s="7" t="s">
        <v>621</v>
      </c>
      <c r="C125" s="53">
        <f t="shared" si="7"/>
        <v>0</v>
      </c>
      <c r="D125" s="53">
        <f t="shared" si="2"/>
        <v>0</v>
      </c>
      <c r="E125" s="57">
        <f>IFERROR(VLOOKUP(B125, Proof!A$2:$B$588,2, 0), 0)</f>
        <v>0</v>
      </c>
      <c r="F125" s="53">
        <f>IFERROR(VLOOKUP(B125, 'HMMTPUMaC Combo'!A$2:$B$500,2, 0), 0)</f>
        <v>0</v>
      </c>
      <c r="G125" s="53">
        <f>IFERROR(VLOOKUP(B125, 'HMMTPUMaC NT'!A$2:$B$500,2, 0), 0)</f>
        <v>0</v>
      </c>
      <c r="H125" s="58">
        <f>IFERROR(VLOOKUP(B125, 'HMMTPUMaC Algebra'!A$2:$B$500,2, 0), 0)</f>
        <v>0</v>
      </c>
      <c r="I125" s="53">
        <f>IFERROR(VLOOKUP(B125, 'HMMTPUMaC Geo'!$A$2:B$1500,2, 0), 0)</f>
        <v>0</v>
      </c>
      <c r="J125" s="47"/>
    </row>
    <row r="126">
      <c r="A126" s="52">
        <v>125.0</v>
      </c>
      <c r="B126" s="7" t="s">
        <v>584</v>
      </c>
      <c r="C126" s="53">
        <f t="shared" si="7"/>
        <v>0</v>
      </c>
      <c r="D126" s="53">
        <f t="shared" si="2"/>
        <v>0</v>
      </c>
      <c r="E126" s="57">
        <f>IFERROR(VLOOKUP(B126, Proof!A$2:$B$588,2, 0), 0)</f>
        <v>0</v>
      </c>
      <c r="F126" s="53">
        <f>IFERROR(VLOOKUP(B126, 'HMMTPUMaC Combo'!A$2:$B$500,2, 0), 0)</f>
        <v>0</v>
      </c>
      <c r="G126" s="53">
        <f>IFERROR(VLOOKUP(B126, 'HMMTPUMaC NT'!A$2:$B$500,2, 0), 0)</f>
        <v>0</v>
      </c>
      <c r="H126" s="58">
        <f>IFERROR(VLOOKUP(B126, 'HMMTPUMaC Algebra'!A$2:$B$500,2, 0), 0)</f>
        <v>0</v>
      </c>
      <c r="I126" s="53">
        <f>IFERROR(VLOOKUP(B126, 'HMMTPUMaC Geo'!$A$2:B$1500,2, 0), 0)</f>
        <v>0</v>
      </c>
      <c r="J126" s="47"/>
    </row>
    <row r="127">
      <c r="A127" s="52">
        <v>126.0</v>
      </c>
      <c r="B127" s="7" t="s">
        <v>611</v>
      </c>
      <c r="C127" s="53">
        <f t="shared" si="7"/>
        <v>0</v>
      </c>
      <c r="D127" s="53">
        <f t="shared" si="2"/>
        <v>0</v>
      </c>
      <c r="E127" s="57">
        <f>IFERROR(VLOOKUP(B127, Proof!A$2:$B$588,2, 0), 0)</f>
        <v>0</v>
      </c>
      <c r="F127" s="53">
        <f>IFERROR(VLOOKUP(B127, 'HMMTPUMaC Combo'!A$2:$B$500,2, 0), 0)</f>
        <v>0</v>
      </c>
      <c r="G127" s="53">
        <f>IFERROR(VLOOKUP(B127, 'HMMTPUMaC NT'!A$2:$B$500,2, 0), 0)</f>
        <v>0</v>
      </c>
      <c r="H127" s="58">
        <f>IFERROR(VLOOKUP(B127, 'HMMTPUMaC Algebra'!A$2:$B$500,2, 0), 0)</f>
        <v>0</v>
      </c>
      <c r="I127" s="53">
        <f>IFERROR(VLOOKUP(B127, 'HMMTPUMaC Geo'!$A$2:B$1500,2, 0), 0)</f>
        <v>0</v>
      </c>
      <c r="J127" s="47"/>
    </row>
    <row r="128">
      <c r="A128" s="52">
        <v>127.0</v>
      </c>
      <c r="B128" s="7" t="s">
        <v>586</v>
      </c>
      <c r="C128" s="53">
        <f t="shared" si="7"/>
        <v>0</v>
      </c>
      <c r="D128" s="53">
        <f t="shared" si="2"/>
        <v>0</v>
      </c>
      <c r="E128" s="57">
        <f>IFERROR(VLOOKUP(B128, Proof!A$2:$B$588,2, 0), 0)</f>
        <v>0</v>
      </c>
      <c r="F128" s="53">
        <f>IFERROR(VLOOKUP(B128, 'HMMTPUMaC Combo'!A$2:$B$500,2, 0), 0)</f>
        <v>0</v>
      </c>
      <c r="G128" s="53">
        <f>IFERROR(VLOOKUP(B128, 'HMMTPUMaC NT'!A$2:$B$500,2, 0), 0)</f>
        <v>0</v>
      </c>
      <c r="H128" s="58">
        <f>IFERROR(VLOOKUP(B128, 'HMMTPUMaC Algebra'!A$2:$B$500,2, 0), 0)</f>
        <v>0</v>
      </c>
      <c r="I128" s="53">
        <f>IFERROR(VLOOKUP(B128, 'HMMTPUMaC Geo'!$A$2:B$1500,2, 0), 0)</f>
        <v>0</v>
      </c>
      <c r="J128" s="47"/>
    </row>
    <row r="129">
      <c r="A129" s="52">
        <v>128.0</v>
      </c>
      <c r="B129" s="7" t="s">
        <v>627</v>
      </c>
      <c r="C129" s="53">
        <f t="shared" si="7"/>
        <v>0</v>
      </c>
      <c r="D129" s="53">
        <f t="shared" si="2"/>
        <v>0</v>
      </c>
      <c r="E129" s="57">
        <f>IFERROR(VLOOKUP(B129, Proof!A$2:$B$588,2, 0), 0)</f>
        <v>0</v>
      </c>
      <c r="F129" s="53">
        <f>IFERROR(VLOOKUP(B129, 'HMMTPUMaC Combo'!A$2:$B$500,2, 0), 0)</f>
        <v>0</v>
      </c>
      <c r="G129" s="53">
        <f>IFERROR(VLOOKUP(B129, 'HMMTPUMaC NT'!A$2:$B$500,2, 0), 0)</f>
        <v>0</v>
      </c>
      <c r="H129" s="58">
        <f>IFERROR(VLOOKUP(B129, 'HMMTPUMaC Algebra'!A$2:$B$500,2, 0), 0)</f>
        <v>0</v>
      </c>
      <c r="I129" s="53">
        <f>IFERROR(VLOOKUP(B129, 'HMMTPUMaC Geo'!$A$2:B$1500,2, 0), 0)</f>
        <v>0</v>
      </c>
      <c r="J129" s="47"/>
    </row>
    <row r="130">
      <c r="A130" s="52">
        <v>129.0</v>
      </c>
      <c r="B130" s="7" t="s">
        <v>591</v>
      </c>
      <c r="C130" s="53">
        <f t="shared" si="7"/>
        <v>0</v>
      </c>
      <c r="D130" s="53">
        <f t="shared" si="2"/>
        <v>0</v>
      </c>
      <c r="E130" s="57">
        <f>IFERROR(VLOOKUP(B130, Proof!A$2:$B$588,2, 0), 0)</f>
        <v>0</v>
      </c>
      <c r="F130" s="53">
        <f>IFERROR(VLOOKUP(B130, 'HMMTPUMaC Combo'!A$2:$B$500,2, 0), 0)</f>
        <v>0</v>
      </c>
      <c r="G130" s="53">
        <f>IFERROR(VLOOKUP(B130, 'HMMTPUMaC NT'!A$2:$B$500,2, 0), 0)</f>
        <v>0</v>
      </c>
      <c r="H130" s="58">
        <f>IFERROR(VLOOKUP(B130, 'HMMTPUMaC Algebra'!A$2:$B$500,2, 0), 0)</f>
        <v>0</v>
      </c>
      <c r="I130" s="53">
        <f>IFERROR(VLOOKUP(B130, 'HMMTPUMaC Geo'!$A$2:B$1500,2, 0), 0)</f>
        <v>0</v>
      </c>
      <c r="J130" s="47"/>
    </row>
    <row r="131">
      <c r="A131" s="52">
        <v>130.0</v>
      </c>
      <c r="B131" s="7" t="s">
        <v>600</v>
      </c>
      <c r="C131" s="53">
        <f t="shared" si="7"/>
        <v>0</v>
      </c>
      <c r="D131" s="53">
        <f t="shared" si="2"/>
        <v>0</v>
      </c>
      <c r="E131" s="57">
        <f>IFERROR(VLOOKUP(B131, Proof!A$2:$B$588,2, 0), 0)</f>
        <v>0</v>
      </c>
      <c r="F131" s="53">
        <f>IFERROR(VLOOKUP(B131, 'HMMTPUMaC Combo'!A$2:$B$500,2, 0), 0)</f>
        <v>0</v>
      </c>
      <c r="G131" s="53">
        <f>IFERROR(VLOOKUP(B131, 'HMMTPUMaC NT'!A$2:$B$500,2, 0), 0)</f>
        <v>0</v>
      </c>
      <c r="H131" s="58">
        <f>IFERROR(VLOOKUP(B131, 'HMMTPUMaC Algebra'!A$2:$B$500,2, 0), 0)</f>
        <v>0</v>
      </c>
      <c r="I131" s="53">
        <f>IFERROR(VLOOKUP(B131, 'HMMTPUMaC Geo'!$A$2:B$1500,2, 0), 0)</f>
        <v>0</v>
      </c>
      <c r="J131" s="47"/>
    </row>
    <row r="132">
      <c r="A132" s="52">
        <v>131.0</v>
      </c>
      <c r="B132" s="7" t="s">
        <v>613</v>
      </c>
      <c r="C132" s="53">
        <f t="shared" si="7"/>
        <v>0</v>
      </c>
      <c r="D132" s="53">
        <f t="shared" si="2"/>
        <v>0</v>
      </c>
      <c r="E132" s="57">
        <f>IFERROR(VLOOKUP(B132, Proof!A$2:$B$588,2, 0), 0)</f>
        <v>0</v>
      </c>
      <c r="F132" s="53">
        <f>IFERROR(VLOOKUP(B132, 'HMMTPUMaC Combo'!A$2:$B$500,2, 0), 0)</f>
        <v>0</v>
      </c>
      <c r="G132" s="53">
        <f>IFERROR(VLOOKUP(B132, 'HMMTPUMaC NT'!A$2:$B$500,2, 0), 0)</f>
        <v>0</v>
      </c>
      <c r="H132" s="58">
        <f>IFERROR(VLOOKUP(B132, 'HMMTPUMaC Algebra'!A$2:$B$500,2, 0), 0)</f>
        <v>0</v>
      </c>
      <c r="I132" s="53">
        <f>IFERROR(VLOOKUP(B132, 'HMMTPUMaC Geo'!$A$2:B$1500,2, 0), 0)</f>
        <v>0</v>
      </c>
      <c r="J132" s="47"/>
    </row>
    <row r="133">
      <c r="A133" s="52">
        <v>132.0</v>
      </c>
      <c r="B133" s="7" t="s">
        <v>618</v>
      </c>
      <c r="C133" s="53">
        <f t="shared" si="7"/>
        <v>0</v>
      </c>
      <c r="D133" s="53">
        <f t="shared" si="2"/>
        <v>0</v>
      </c>
      <c r="E133" s="57">
        <f>IFERROR(VLOOKUP(B133, Proof!A$2:$B$588,2, 0), 0)</f>
        <v>0</v>
      </c>
      <c r="F133" s="53">
        <f>IFERROR(VLOOKUP(B133, 'HMMTPUMaC Combo'!A$2:$B$500,2, 0), 0)</f>
        <v>0</v>
      </c>
      <c r="G133" s="53">
        <f>IFERROR(VLOOKUP(B133, 'HMMTPUMaC NT'!A$2:$B$500,2, 0), 0)</f>
        <v>0</v>
      </c>
      <c r="H133" s="58">
        <f>IFERROR(VLOOKUP(B133, 'HMMTPUMaC Algebra'!A$2:$B$500,2, 0), 0)</f>
        <v>0</v>
      </c>
      <c r="I133" s="53">
        <f>IFERROR(VLOOKUP(B133, 'HMMTPUMaC Geo'!$A$2:B$1500,2, 0), 0)</f>
        <v>0</v>
      </c>
      <c r="J133" s="47"/>
    </row>
    <row r="134">
      <c r="A134" s="52">
        <v>133.0</v>
      </c>
      <c r="B134" s="7" t="s">
        <v>614</v>
      </c>
      <c r="C134" s="53">
        <f t="shared" si="7"/>
        <v>0</v>
      </c>
      <c r="D134" s="53">
        <f t="shared" si="2"/>
        <v>0</v>
      </c>
      <c r="E134" s="57">
        <f>IFERROR(VLOOKUP(B134, Proof!A$2:$B$588,2, 0), 0)</f>
        <v>0</v>
      </c>
      <c r="F134" s="53">
        <f>IFERROR(VLOOKUP(B134, 'HMMTPUMaC Combo'!A$2:$B$500,2, 0), 0)</f>
        <v>0</v>
      </c>
      <c r="G134" s="53">
        <f>IFERROR(VLOOKUP(B134, 'HMMTPUMaC NT'!A$2:$B$500,2, 0), 0)</f>
        <v>0</v>
      </c>
      <c r="H134" s="58">
        <f>IFERROR(VLOOKUP(B134, 'HMMTPUMaC Algebra'!A$2:$B$500,2, 0), 0)</f>
        <v>0</v>
      </c>
      <c r="I134" s="53">
        <f>IFERROR(VLOOKUP(B134, 'HMMTPUMaC Geo'!$A$2:B$1500,2, 0), 0)</f>
        <v>0</v>
      </c>
      <c r="J134" s="47"/>
    </row>
    <row r="135">
      <c r="A135" s="52">
        <v>134.0</v>
      </c>
      <c r="B135" s="7" t="s">
        <v>625</v>
      </c>
      <c r="C135" s="53">
        <f t="shared" si="7"/>
        <v>0</v>
      </c>
      <c r="D135" s="53">
        <f t="shared" si="2"/>
        <v>0</v>
      </c>
      <c r="E135" s="57">
        <f>IFERROR(VLOOKUP(B135, Proof!A$2:$B$588,2, 0), 0)</f>
        <v>0</v>
      </c>
      <c r="F135" s="53">
        <f>IFERROR(VLOOKUP(B135, 'HMMTPUMaC Combo'!A$2:$B$500,2, 0), 0)</f>
        <v>0</v>
      </c>
      <c r="G135" s="53">
        <f>IFERROR(VLOOKUP(B135, 'HMMTPUMaC NT'!A$2:$B$500,2, 0), 0)</f>
        <v>0</v>
      </c>
      <c r="H135" s="58">
        <f>IFERROR(VLOOKUP(B135, 'HMMTPUMaC Algebra'!A$2:$B$500,2, 0), 0)</f>
        <v>0</v>
      </c>
      <c r="I135" s="53">
        <f>IFERROR(VLOOKUP(B135, 'HMMTPUMaC Geo'!$A$2:B$1500,2, 0), 0)</f>
        <v>0</v>
      </c>
      <c r="J135" s="47"/>
    </row>
    <row r="136">
      <c r="A136" s="52">
        <v>135.0</v>
      </c>
      <c r="B136" s="7" t="s">
        <v>575</v>
      </c>
      <c r="C136" s="53">
        <f t="shared" si="7"/>
        <v>0</v>
      </c>
      <c r="D136" s="53">
        <f t="shared" si="2"/>
        <v>0</v>
      </c>
      <c r="E136" s="57">
        <f>IFERROR(VLOOKUP(B136, Proof!A$2:$B$588,2, 0), 0)</f>
        <v>0</v>
      </c>
      <c r="F136" s="53">
        <f>IFERROR(VLOOKUP(B136, 'HMMTPUMaC Combo'!A$2:$B$500,2, 0), 0)</f>
        <v>0</v>
      </c>
      <c r="G136" s="53">
        <f>IFERROR(VLOOKUP(B136, 'HMMTPUMaC NT'!A$2:$B$500,2, 0), 0)</f>
        <v>0</v>
      </c>
      <c r="H136" s="58">
        <f>IFERROR(VLOOKUP(B136, 'HMMTPUMaC Algebra'!A$2:$B$500,2, 0), 0)</f>
        <v>0</v>
      </c>
      <c r="I136" s="53">
        <f>IFERROR(VLOOKUP(B136, 'HMMTPUMaC Geo'!$A$2:B$1500,2, 0), 0)</f>
        <v>0</v>
      </c>
      <c r="J136" s="47"/>
    </row>
    <row r="137">
      <c r="A137" s="52">
        <v>136.0</v>
      </c>
      <c r="B137" s="7" t="s">
        <v>593</v>
      </c>
      <c r="C137" s="53">
        <f t="shared" si="7"/>
        <v>0</v>
      </c>
      <c r="D137" s="53">
        <f t="shared" si="2"/>
        <v>0</v>
      </c>
      <c r="E137" s="57">
        <f>IFERROR(VLOOKUP(B137, Proof!A$2:$B$588,2, 0), 0)</f>
        <v>0</v>
      </c>
      <c r="F137" s="53">
        <f>IFERROR(VLOOKUP(B137, 'HMMTPUMaC Combo'!A$2:$B$500,2, 0), 0)</f>
        <v>0</v>
      </c>
      <c r="G137" s="53">
        <f>IFERROR(VLOOKUP(B137, 'HMMTPUMaC NT'!A$2:$B$500,2, 0), 0)</f>
        <v>0</v>
      </c>
      <c r="H137" s="58">
        <f>IFERROR(VLOOKUP(B137, 'HMMTPUMaC Algebra'!A$2:$B$500,2, 0), 0)</f>
        <v>0</v>
      </c>
      <c r="I137" s="53">
        <f>IFERROR(VLOOKUP(B137, 'HMMTPUMaC Geo'!$A$2:B$1500,2, 0), 0)</f>
        <v>0</v>
      </c>
      <c r="J137" s="47"/>
    </row>
    <row r="138">
      <c r="A138" s="52">
        <v>137.0</v>
      </c>
      <c r="B138" s="7" t="s">
        <v>616</v>
      </c>
      <c r="C138" s="53">
        <f t="shared" si="7"/>
        <v>0</v>
      </c>
      <c r="D138" s="53">
        <f t="shared" si="2"/>
        <v>0</v>
      </c>
      <c r="E138" s="57">
        <f>IFERROR(VLOOKUP(B138, Proof!A$2:$B$588,2, 0), 0)</f>
        <v>0</v>
      </c>
      <c r="F138" s="53">
        <f>IFERROR(VLOOKUP(B138, 'HMMTPUMaC Combo'!A$2:$B$500,2, 0), 0)</f>
        <v>0</v>
      </c>
      <c r="G138" s="53">
        <f>IFERROR(VLOOKUP(B138, 'HMMTPUMaC NT'!A$2:$B$500,2, 0), 0)</f>
        <v>0</v>
      </c>
      <c r="H138" s="58">
        <f>IFERROR(VLOOKUP(B138, 'HMMTPUMaC Algebra'!A$2:$B$500,2, 0), 0)</f>
        <v>0</v>
      </c>
      <c r="I138" s="53">
        <f>IFERROR(VLOOKUP(B138, 'HMMTPUMaC Geo'!$A$2:B$1500,2, 0), 0)</f>
        <v>0</v>
      </c>
      <c r="J138" s="47"/>
    </row>
    <row r="139">
      <c r="A139" s="52">
        <v>138.0</v>
      </c>
      <c r="B139" s="7" t="s">
        <v>574</v>
      </c>
      <c r="C139" s="53">
        <f t="shared" si="7"/>
        <v>0</v>
      </c>
      <c r="D139" s="53">
        <f t="shared" si="2"/>
        <v>0</v>
      </c>
      <c r="E139" s="57">
        <f>IFERROR(VLOOKUP(B139, Proof!A$2:$B$588,2, 0), 0)</f>
        <v>0</v>
      </c>
      <c r="F139" s="53">
        <f>IFERROR(VLOOKUP(B139, 'HMMTPUMaC Combo'!A$2:$B$500,2, 0), 0)</f>
        <v>0</v>
      </c>
      <c r="G139" s="53">
        <f>IFERROR(VLOOKUP(B139, 'HMMTPUMaC NT'!A$2:$B$500,2, 0), 0)</f>
        <v>0</v>
      </c>
      <c r="H139" s="58">
        <f>IFERROR(VLOOKUP(B139, 'HMMTPUMaC Algebra'!A$2:$B$500,2, 0), 0)</f>
        <v>0</v>
      </c>
      <c r="I139" s="53">
        <f>IFERROR(VLOOKUP(B139, 'HMMTPUMaC Geo'!$A$2:B$1500,2, 0), 0)</f>
        <v>0</v>
      </c>
      <c r="J139" s="47"/>
    </row>
    <row r="140">
      <c r="A140" s="52">
        <v>139.0</v>
      </c>
      <c r="B140" s="7" t="s">
        <v>628</v>
      </c>
      <c r="C140" s="53">
        <f t="shared" si="7"/>
        <v>0</v>
      </c>
      <c r="D140" s="53">
        <f t="shared" si="2"/>
        <v>0</v>
      </c>
      <c r="E140" s="57">
        <f>IFERROR(VLOOKUP(B140, Proof!A$2:$B$588,2, 0), 0)</f>
        <v>0</v>
      </c>
      <c r="F140" s="53">
        <f>IFERROR(VLOOKUP(B140, 'HMMTPUMaC Combo'!A$2:$B$500,2, 0), 0)</f>
        <v>0</v>
      </c>
      <c r="G140" s="53">
        <f>IFERROR(VLOOKUP(B140, 'HMMTPUMaC NT'!A$2:$B$500,2, 0), 0)</f>
        <v>0</v>
      </c>
      <c r="H140" s="58">
        <f>IFERROR(VLOOKUP(B140, 'HMMTPUMaC Algebra'!A$2:$B$500,2, 0), 0)</f>
        <v>0</v>
      </c>
      <c r="I140" s="53">
        <f>IFERROR(VLOOKUP(B140, 'HMMTPUMaC Geo'!$A$2:B$1500,2, 0), 0)</f>
        <v>0</v>
      </c>
      <c r="J140" s="47"/>
    </row>
    <row r="141">
      <c r="A141" s="52">
        <v>140.0</v>
      </c>
      <c r="B141" s="7" t="s">
        <v>582</v>
      </c>
      <c r="C141" s="53">
        <f t="shared" si="7"/>
        <v>0</v>
      </c>
      <c r="D141" s="53">
        <f t="shared" si="2"/>
        <v>0</v>
      </c>
      <c r="E141" s="57">
        <f>IFERROR(VLOOKUP(B141, Proof!A$2:$B$588,2, 0), 0)</f>
        <v>0</v>
      </c>
      <c r="F141" s="53">
        <f>IFERROR(VLOOKUP(B141, 'HMMTPUMaC Combo'!A$2:$B$500,2, 0), 0)</f>
        <v>0</v>
      </c>
      <c r="G141" s="53">
        <f>IFERROR(VLOOKUP(B141, 'HMMTPUMaC NT'!A$2:$B$500,2, 0), 0)</f>
        <v>0</v>
      </c>
      <c r="H141" s="58">
        <f>IFERROR(VLOOKUP(B141, 'HMMTPUMaC Algebra'!A$2:$B$500,2, 0), 0)</f>
        <v>0</v>
      </c>
      <c r="I141" s="53">
        <f>IFERROR(VLOOKUP(B141, 'HMMTPUMaC Geo'!$A$2:B$1500,2, 0), 0)</f>
        <v>0</v>
      </c>
      <c r="J141" s="47"/>
    </row>
    <row r="142">
      <c r="A142" s="52">
        <v>141.0</v>
      </c>
      <c r="B142" s="7" t="s">
        <v>603</v>
      </c>
      <c r="C142" s="53">
        <f t="shared" si="7"/>
        <v>0</v>
      </c>
      <c r="D142" s="53">
        <f t="shared" si="2"/>
        <v>0</v>
      </c>
      <c r="E142" s="57">
        <f>IFERROR(VLOOKUP(B142, Proof!A$2:$B$588,2, 0), 0)</f>
        <v>0</v>
      </c>
      <c r="F142" s="53">
        <f>IFERROR(VLOOKUP(B142, 'HMMTPUMaC Combo'!A$2:$B$500,2, 0), 0)</f>
        <v>0</v>
      </c>
      <c r="G142" s="53">
        <f>IFERROR(VLOOKUP(B142, 'HMMTPUMaC NT'!A$2:$B$500,2, 0), 0)</f>
        <v>0</v>
      </c>
      <c r="H142" s="58">
        <f>IFERROR(VLOOKUP(B142, 'HMMTPUMaC Algebra'!A$2:$B$500,2, 0), 0)</f>
        <v>0</v>
      </c>
      <c r="I142" s="53">
        <f>IFERROR(VLOOKUP(B142, 'HMMTPUMaC Geo'!$A$2:B$1500,2, 0), 0)</f>
        <v>0</v>
      </c>
      <c r="J142" s="47"/>
    </row>
    <row r="143">
      <c r="A143" s="52">
        <v>142.0</v>
      </c>
      <c r="B143" s="7" t="s">
        <v>581</v>
      </c>
      <c r="C143" s="53">
        <f t="shared" si="7"/>
        <v>0</v>
      </c>
      <c r="D143" s="53">
        <f t="shared" si="2"/>
        <v>0</v>
      </c>
      <c r="E143" s="57">
        <f>IFERROR(VLOOKUP(B143, Proof!A$2:$B$588,2, 0), 0)</f>
        <v>0</v>
      </c>
      <c r="F143" s="53">
        <f>IFERROR(VLOOKUP(B143, 'HMMTPUMaC Combo'!A$2:$B$500,2, 0), 0)</f>
        <v>0</v>
      </c>
      <c r="G143" s="53">
        <f>IFERROR(VLOOKUP(B143, 'HMMTPUMaC NT'!A$2:$B$500,2, 0), 0)</f>
        <v>0</v>
      </c>
      <c r="H143" s="58">
        <f>IFERROR(VLOOKUP(B143, 'HMMTPUMaC Algebra'!A$2:$B$500,2, 0), 0)</f>
        <v>0</v>
      </c>
      <c r="I143" s="53">
        <f>IFERROR(VLOOKUP(B143, 'HMMTPUMaC Geo'!$A$2:B$1500,2, 0), 0)</f>
        <v>0</v>
      </c>
      <c r="J143" s="47"/>
    </row>
    <row r="144">
      <c r="A144" s="52">
        <v>143.0</v>
      </c>
      <c r="B144" s="7" t="s">
        <v>631</v>
      </c>
      <c r="C144" s="53">
        <f t="shared" si="7"/>
        <v>0</v>
      </c>
      <c r="D144" s="53">
        <f t="shared" si="2"/>
        <v>0</v>
      </c>
      <c r="E144" s="57">
        <f>IFERROR(VLOOKUP(B144, Proof!A$2:$B$588,2, 0), 0)</f>
        <v>0</v>
      </c>
      <c r="F144" s="53">
        <f>IFERROR(VLOOKUP(B144, 'HMMTPUMaC Combo'!A$2:$B$500,2, 0), 0)</f>
        <v>0</v>
      </c>
      <c r="G144" s="53">
        <f>IFERROR(VLOOKUP(B144, 'HMMTPUMaC NT'!A$2:$B$500,2, 0), 0)</f>
        <v>0</v>
      </c>
      <c r="H144" s="58">
        <f>IFERROR(VLOOKUP(B144, 'HMMTPUMaC Algebra'!A$2:$B$500,2, 0), 0)</f>
        <v>0</v>
      </c>
      <c r="I144" s="53">
        <f>IFERROR(VLOOKUP(B144, 'HMMTPUMaC Geo'!$A$2:B$1500,2, 0), 0)</f>
        <v>0</v>
      </c>
      <c r="J144" s="47"/>
    </row>
    <row r="145">
      <c r="A145" s="52">
        <v>144.0</v>
      </c>
      <c r="B145" s="7" t="s">
        <v>607</v>
      </c>
      <c r="C145" s="53">
        <f t="shared" si="7"/>
        <v>0</v>
      </c>
      <c r="D145" s="53">
        <f t="shared" si="2"/>
        <v>0</v>
      </c>
      <c r="E145" s="57">
        <f>IFERROR(VLOOKUP(B145, Proof!A$2:$B$588,2, 0), 0)</f>
        <v>0</v>
      </c>
      <c r="F145" s="53">
        <f>IFERROR(VLOOKUP(B145, 'HMMTPUMaC Combo'!A$2:$B$500,2, 0), 0)</f>
        <v>0</v>
      </c>
      <c r="G145" s="53">
        <f>IFERROR(VLOOKUP(B145, 'HMMTPUMaC NT'!A$2:$B$500,2, 0), 0)</f>
        <v>0</v>
      </c>
      <c r="H145" s="58">
        <f>IFERROR(VLOOKUP(B145, 'HMMTPUMaC Algebra'!A$2:$B$500,2, 0), 0)</f>
        <v>0</v>
      </c>
      <c r="I145" s="53">
        <f>IFERROR(VLOOKUP(B145, 'HMMTPUMaC Geo'!$A$2:B$1500,2, 0), 0)</f>
        <v>0</v>
      </c>
      <c r="J145" s="47"/>
    </row>
    <row r="146">
      <c r="A146" s="52">
        <v>145.0</v>
      </c>
      <c r="B146" s="7" t="s">
        <v>604</v>
      </c>
      <c r="C146" s="53">
        <f t="shared" si="7"/>
        <v>0</v>
      </c>
      <c r="D146" s="53">
        <f t="shared" si="2"/>
        <v>0</v>
      </c>
      <c r="E146" s="57">
        <f>IFERROR(VLOOKUP(B146, Proof!A$2:$B$588,2, 0), 0)</f>
        <v>0</v>
      </c>
      <c r="F146" s="53">
        <f>IFERROR(VLOOKUP(B146, 'HMMTPUMaC Combo'!A$2:$B$500,2, 0), 0)</f>
        <v>0</v>
      </c>
      <c r="G146" s="53">
        <f>IFERROR(VLOOKUP(B146, 'HMMTPUMaC NT'!A$2:$B$500,2, 0), 0)</f>
        <v>0</v>
      </c>
      <c r="H146" s="58">
        <f>IFERROR(VLOOKUP(B146, 'HMMTPUMaC Algebra'!A$2:$B$500,2, 0), 0)</f>
        <v>0</v>
      </c>
      <c r="I146" s="53">
        <f>IFERROR(VLOOKUP(B146, 'HMMTPUMaC Geo'!$A$2:B$1500,2, 0), 0)</f>
        <v>0</v>
      </c>
      <c r="J146" s="47"/>
    </row>
    <row r="147">
      <c r="A147" s="52">
        <v>146.0</v>
      </c>
      <c r="B147" s="7" t="s">
        <v>635</v>
      </c>
      <c r="C147" s="53">
        <f t="shared" si="7"/>
        <v>0</v>
      </c>
      <c r="D147" s="53">
        <f t="shared" si="2"/>
        <v>0</v>
      </c>
      <c r="E147" s="57">
        <f>IFERROR(VLOOKUP(B147, Proof!A$2:$B$588,2, 0), 0)</f>
        <v>0</v>
      </c>
      <c r="F147" s="53">
        <f>IFERROR(VLOOKUP(B147, 'HMMTPUMaC Combo'!A$2:$B$500,2, 0), 0)</f>
        <v>0</v>
      </c>
      <c r="G147" s="53">
        <f>IFERROR(VLOOKUP(B147, 'HMMTPUMaC NT'!A$2:$B$500,2, 0), 0)</f>
        <v>0</v>
      </c>
      <c r="H147" s="58">
        <f>IFERROR(VLOOKUP(B147, 'HMMTPUMaC Algebra'!A$2:$B$500,2, 0), 0)</f>
        <v>0</v>
      </c>
      <c r="I147" s="53">
        <f>IFERROR(VLOOKUP(B147, 'HMMTPUMaC Geo'!$A$2:B$1500,2, 0), 0)</f>
        <v>0</v>
      </c>
      <c r="J147" s="47"/>
    </row>
    <row r="148">
      <c r="A148" s="52">
        <v>147.0</v>
      </c>
      <c r="B148" s="7" t="s">
        <v>637</v>
      </c>
      <c r="C148" s="53">
        <f t="shared" si="7"/>
        <v>0</v>
      </c>
      <c r="D148" s="53">
        <f t="shared" si="2"/>
        <v>0</v>
      </c>
      <c r="E148" s="57">
        <f>IFERROR(VLOOKUP(B148, Proof!A$2:$B$588,2, 0), 0)</f>
        <v>0</v>
      </c>
      <c r="F148" s="53">
        <f>IFERROR(VLOOKUP(B148, 'HMMTPUMaC Combo'!A$2:$B$500,2, 0), 0)</f>
        <v>0</v>
      </c>
      <c r="G148" s="53">
        <f>IFERROR(VLOOKUP(B148, 'HMMTPUMaC NT'!A$2:$B$500,2, 0), 0)</f>
        <v>0</v>
      </c>
      <c r="H148" s="58">
        <f>IFERROR(VLOOKUP(B148, 'HMMTPUMaC Algebra'!A$2:$B$500,2, 0), 0)</f>
        <v>0</v>
      </c>
      <c r="I148" s="53">
        <f>IFERROR(VLOOKUP(B148, 'HMMTPUMaC Geo'!$A$2:B$1500,2, 0), 0)</f>
        <v>0</v>
      </c>
      <c r="J148" s="47"/>
    </row>
    <row r="149">
      <c r="A149" s="52">
        <v>148.0</v>
      </c>
      <c r="B149" s="7" t="s">
        <v>640</v>
      </c>
      <c r="C149" s="53">
        <f t="shared" si="7"/>
        <v>0</v>
      </c>
      <c r="D149" s="53">
        <f t="shared" si="2"/>
        <v>0</v>
      </c>
      <c r="E149" s="57">
        <f>IFERROR(VLOOKUP(B149, Proof!A$2:$B$588,2, 0), 0)</f>
        <v>0</v>
      </c>
      <c r="F149" s="53">
        <f>IFERROR(VLOOKUP(B149, 'HMMTPUMaC Combo'!A$2:$B$500,2, 0), 0)</f>
        <v>0</v>
      </c>
      <c r="G149" s="53">
        <f>IFERROR(VLOOKUP(B149, 'HMMTPUMaC NT'!A$2:$B$500,2, 0), 0)</f>
        <v>0</v>
      </c>
      <c r="H149" s="58">
        <f>IFERROR(VLOOKUP(B149, 'HMMTPUMaC Algebra'!A$2:$B$500,2, 0), 0)</f>
        <v>0</v>
      </c>
      <c r="I149" s="53">
        <f>IFERROR(VLOOKUP(B149, 'HMMTPUMaC Geo'!$A$2:B$1500,2, 0), 0)</f>
        <v>0</v>
      </c>
      <c r="J149" s="47"/>
    </row>
    <row r="150">
      <c r="A150" s="52">
        <v>149.0</v>
      </c>
      <c r="B150" s="7" t="s">
        <v>580</v>
      </c>
      <c r="C150" s="53">
        <f t="shared" si="7"/>
        <v>0</v>
      </c>
      <c r="D150" s="53">
        <f t="shared" si="2"/>
        <v>0</v>
      </c>
      <c r="E150" s="57">
        <f>IFERROR(VLOOKUP(B150, Proof!A$2:$B$588,2, 0), 0)</f>
        <v>0</v>
      </c>
      <c r="F150" s="53">
        <f>IFERROR(VLOOKUP(B150, 'HMMTPUMaC Combo'!A$2:$B$500,2, 0), 0)</f>
        <v>0</v>
      </c>
      <c r="G150" s="53">
        <f>IFERROR(VLOOKUP(B150, 'HMMTPUMaC NT'!A$2:$B$500,2, 0), 0)</f>
        <v>0</v>
      </c>
      <c r="H150" s="58">
        <f>IFERROR(VLOOKUP(B150, 'HMMTPUMaC Algebra'!A$2:$B$500,2, 0), 0)</f>
        <v>0</v>
      </c>
      <c r="I150" s="53">
        <f>IFERROR(VLOOKUP(B150, 'HMMTPUMaC Geo'!$A$2:B$1500,2, 0), 0)</f>
        <v>0</v>
      </c>
      <c r="J150" s="47"/>
    </row>
    <row r="151">
      <c r="A151" s="52">
        <v>150.0</v>
      </c>
      <c r="B151" s="7" t="s">
        <v>596</v>
      </c>
      <c r="C151" s="53">
        <f t="shared" si="7"/>
        <v>0</v>
      </c>
      <c r="D151" s="53">
        <f t="shared" si="2"/>
        <v>0</v>
      </c>
      <c r="E151" s="57">
        <f>IFERROR(VLOOKUP(B151, Proof!A$2:$B$588,2, 0), 0)</f>
        <v>0</v>
      </c>
      <c r="F151" s="53">
        <f>IFERROR(VLOOKUP(B151, 'HMMTPUMaC Combo'!A$2:$B$500,2, 0), 0)</f>
        <v>0</v>
      </c>
      <c r="G151" s="53">
        <f>IFERROR(VLOOKUP(B151, 'HMMTPUMaC NT'!A$2:$B$500,2, 0), 0)</f>
        <v>0</v>
      </c>
      <c r="H151" s="58">
        <f>IFERROR(VLOOKUP(B151, 'HMMTPUMaC Algebra'!A$2:$B$500,2, 0), 0)</f>
        <v>0</v>
      </c>
      <c r="I151" s="53">
        <f>IFERROR(VLOOKUP(B151, 'HMMTPUMaC Geo'!$A$2:B$1500,2, 0), 0)</f>
        <v>0</v>
      </c>
      <c r="J151" s="47"/>
    </row>
    <row r="152">
      <c r="A152" s="52">
        <v>151.0</v>
      </c>
      <c r="B152" s="7" t="s">
        <v>622</v>
      </c>
      <c r="C152" s="53">
        <f t="shared" si="7"/>
        <v>0</v>
      </c>
      <c r="D152" s="53">
        <f t="shared" si="2"/>
        <v>0</v>
      </c>
      <c r="E152" s="57">
        <f>IFERROR(VLOOKUP(B152, Proof!A$2:$B$588,2, 0), 0)</f>
        <v>0</v>
      </c>
      <c r="F152" s="53">
        <f>IFERROR(VLOOKUP(B152, 'HMMTPUMaC Combo'!A$2:$B$500,2, 0), 0)</f>
        <v>0</v>
      </c>
      <c r="G152" s="53">
        <f>IFERROR(VLOOKUP(B152, 'HMMTPUMaC NT'!A$2:$B$500,2, 0), 0)</f>
        <v>0</v>
      </c>
      <c r="H152" s="58">
        <f>IFERROR(VLOOKUP(B152, 'HMMTPUMaC Algebra'!A$2:$B$500,2, 0), 0)</f>
        <v>0</v>
      </c>
      <c r="I152" s="53">
        <f>IFERROR(VLOOKUP(B152, 'HMMTPUMaC Geo'!$A$2:B$1500,2, 0), 0)</f>
        <v>0</v>
      </c>
      <c r="J152" s="47"/>
    </row>
    <row r="153">
      <c r="A153" s="52">
        <v>152.0</v>
      </c>
      <c r="B153" s="7" t="s">
        <v>632</v>
      </c>
      <c r="C153" s="53">
        <f t="shared" si="7"/>
        <v>0</v>
      </c>
      <c r="D153" s="53">
        <f t="shared" si="2"/>
        <v>0</v>
      </c>
      <c r="E153" s="57">
        <f>IFERROR(VLOOKUP(B153, Proof!A$2:$B$588,2, 0), 0)</f>
        <v>0</v>
      </c>
      <c r="F153" s="53">
        <f>IFERROR(VLOOKUP(B153, 'HMMTPUMaC Combo'!A$2:$B$500,2, 0), 0)</f>
        <v>0</v>
      </c>
      <c r="G153" s="53">
        <f>IFERROR(VLOOKUP(B153, 'HMMTPUMaC NT'!A$2:$B$500,2, 0), 0)</f>
        <v>0</v>
      </c>
      <c r="H153" s="58">
        <f>IFERROR(VLOOKUP(B153, 'HMMTPUMaC Algebra'!A$2:$B$500,2, 0), 0)</f>
        <v>0</v>
      </c>
      <c r="I153" s="53">
        <f>IFERROR(VLOOKUP(B153, 'HMMTPUMaC Geo'!$A$2:B$1500,2, 0), 0)</f>
        <v>0</v>
      </c>
      <c r="J153" s="47"/>
    </row>
    <row r="154">
      <c r="A154" s="52">
        <v>153.0</v>
      </c>
      <c r="B154" s="7" t="s">
        <v>608</v>
      </c>
      <c r="C154" s="53">
        <f t="shared" si="7"/>
        <v>0</v>
      </c>
      <c r="D154" s="53">
        <f t="shared" si="2"/>
        <v>0</v>
      </c>
      <c r="E154" s="57">
        <f>IFERROR(VLOOKUP(B154, Proof!A$2:$B$588,2, 0), 0)</f>
        <v>0</v>
      </c>
      <c r="F154" s="53">
        <f>IFERROR(VLOOKUP(B154, 'HMMTPUMaC Combo'!A$2:$B$500,2, 0), 0)</f>
        <v>0</v>
      </c>
      <c r="G154" s="53">
        <f>IFERROR(VLOOKUP(B154, 'HMMTPUMaC NT'!A$2:$B$500,2, 0), 0)</f>
        <v>0</v>
      </c>
      <c r="H154" s="58">
        <f>IFERROR(VLOOKUP(B154, 'HMMTPUMaC Algebra'!A$2:$B$500,2, 0), 0)</f>
        <v>0</v>
      </c>
      <c r="I154" s="53">
        <f>IFERROR(VLOOKUP(B154, 'HMMTPUMaC Geo'!$A$2:B$1500,2, 0), 0)</f>
        <v>0</v>
      </c>
      <c r="J154" s="47"/>
    </row>
    <row r="155">
      <c r="A155" s="52">
        <v>154.0</v>
      </c>
      <c r="B155" s="7" t="s">
        <v>626</v>
      </c>
      <c r="C155" s="53">
        <f t="shared" si="7"/>
        <v>0</v>
      </c>
      <c r="D155" s="53">
        <f t="shared" si="2"/>
        <v>0</v>
      </c>
      <c r="E155" s="57">
        <f>IFERROR(VLOOKUP(B155, Proof!A$2:$B$588,2, 0), 0)</f>
        <v>0</v>
      </c>
      <c r="F155" s="53">
        <f>IFERROR(VLOOKUP(B155, 'HMMTPUMaC Combo'!A$2:$B$500,2, 0), 0)</f>
        <v>0</v>
      </c>
      <c r="G155" s="53">
        <f>IFERROR(VLOOKUP(B155, 'HMMTPUMaC NT'!A$2:$B$500,2, 0), 0)</f>
        <v>0</v>
      </c>
      <c r="H155" s="58">
        <f>IFERROR(VLOOKUP(B155, 'HMMTPUMaC Algebra'!A$2:$B$500,2, 0), 0)</f>
        <v>0</v>
      </c>
      <c r="I155" s="53">
        <f>IFERROR(VLOOKUP(B155, 'HMMTPUMaC Geo'!$A$2:B$1500,2, 0), 0)</f>
        <v>0</v>
      </c>
      <c r="J155" s="47"/>
    </row>
    <row r="156">
      <c r="A156" s="52">
        <v>155.0</v>
      </c>
      <c r="B156" s="7" t="s">
        <v>577</v>
      </c>
      <c r="C156" s="53">
        <f t="shared" si="7"/>
        <v>0</v>
      </c>
      <c r="D156" s="53">
        <f t="shared" si="2"/>
        <v>0</v>
      </c>
      <c r="E156" s="57">
        <f>IFERROR(VLOOKUP(B156, Proof!A$2:$B$588,2, 0), 0)</f>
        <v>0</v>
      </c>
      <c r="F156" s="53">
        <f>IFERROR(VLOOKUP(B156, 'HMMTPUMaC Combo'!A$2:$B$500,2, 0), 0)</f>
        <v>0</v>
      </c>
      <c r="G156" s="53">
        <f>IFERROR(VLOOKUP(B156, 'HMMTPUMaC NT'!A$2:$B$500,2, 0), 0)</f>
        <v>0</v>
      </c>
      <c r="H156" s="58">
        <f>IFERROR(VLOOKUP(B156, 'HMMTPUMaC Algebra'!A$2:$B$500,2, 0), 0)</f>
        <v>0</v>
      </c>
      <c r="I156" s="53">
        <f>IFERROR(VLOOKUP(B156, 'HMMTPUMaC Geo'!$A$2:B$1500,2, 0), 0)</f>
        <v>0</v>
      </c>
      <c r="J156" s="47"/>
    </row>
    <row r="157">
      <c r="A157" s="52">
        <v>156.0</v>
      </c>
      <c r="B157" s="7" t="s">
        <v>641</v>
      </c>
      <c r="C157" s="53">
        <f t="shared" si="7"/>
        <v>0</v>
      </c>
      <c r="D157" s="53">
        <f t="shared" si="2"/>
        <v>0</v>
      </c>
      <c r="E157" s="57">
        <f>IFERROR(VLOOKUP(B157, Proof!A$2:$B$588,2, 0), 0)</f>
        <v>0</v>
      </c>
      <c r="F157" s="53">
        <f>IFERROR(VLOOKUP(B157, 'HMMTPUMaC Combo'!A$2:$B$500,2, 0), 0)</f>
        <v>0</v>
      </c>
      <c r="G157" s="53">
        <f>IFERROR(VLOOKUP(B157, 'HMMTPUMaC NT'!A$2:$B$500,2, 0), 0)</f>
        <v>0</v>
      </c>
      <c r="H157" s="58">
        <f>IFERROR(VLOOKUP(B157, 'HMMTPUMaC Algebra'!A$2:$B$500,2, 0), 0)</f>
        <v>0</v>
      </c>
      <c r="I157" s="53">
        <f>IFERROR(VLOOKUP(B157, 'HMMTPUMaC Geo'!$A$2:B$1500,2, 0), 0)</f>
        <v>0</v>
      </c>
      <c r="J157" s="47"/>
    </row>
    <row r="158">
      <c r="A158" s="52">
        <v>157.0</v>
      </c>
      <c r="B158" s="7" t="s">
        <v>644</v>
      </c>
      <c r="C158" s="53">
        <f t="shared" si="7"/>
        <v>0</v>
      </c>
      <c r="D158" s="53">
        <f t="shared" si="2"/>
        <v>0</v>
      </c>
      <c r="E158" s="57">
        <f>IFERROR(VLOOKUP(B158, Proof!A$2:$B$588,2, 0), 0)</f>
        <v>0</v>
      </c>
      <c r="F158" s="53">
        <f>IFERROR(VLOOKUP(B158, 'HMMTPUMaC Combo'!A$2:$B$500,2, 0), 0)</f>
        <v>0</v>
      </c>
      <c r="G158" s="53">
        <f>IFERROR(VLOOKUP(B158, 'HMMTPUMaC NT'!A$2:$B$500,2, 0), 0)</f>
        <v>0</v>
      </c>
      <c r="H158" s="58">
        <f>IFERROR(VLOOKUP(B158, 'HMMTPUMaC Algebra'!A$2:$B$500,2, 0), 0)</f>
        <v>0</v>
      </c>
      <c r="I158" s="53">
        <f>IFERROR(VLOOKUP(B158, 'HMMTPUMaC Geo'!$A$2:B$1500,2, 0), 0)</f>
        <v>0</v>
      </c>
      <c r="J158" s="47"/>
    </row>
    <row r="159">
      <c r="A159" s="52">
        <v>158.0</v>
      </c>
      <c r="B159" s="7" t="s">
        <v>588</v>
      </c>
      <c r="C159" s="53">
        <f t="shared" si="7"/>
        <v>0</v>
      </c>
      <c r="D159" s="53">
        <f t="shared" si="2"/>
        <v>0</v>
      </c>
      <c r="E159" s="57">
        <f>IFERROR(VLOOKUP(B159, Proof!A$2:$B$588,2, 0), 0)</f>
        <v>0</v>
      </c>
      <c r="F159" s="53">
        <f>IFERROR(VLOOKUP(B159, 'HMMTPUMaC Combo'!A$2:$B$500,2, 0), 0)</f>
        <v>0</v>
      </c>
      <c r="G159" s="53">
        <f>IFERROR(VLOOKUP(B159, 'HMMTPUMaC NT'!A$2:$B$500,2, 0), 0)</f>
        <v>0</v>
      </c>
      <c r="H159" s="58">
        <f>IFERROR(VLOOKUP(B159, 'HMMTPUMaC Algebra'!A$2:$B$500,2, 0), 0)</f>
        <v>0</v>
      </c>
      <c r="I159" s="53">
        <f>IFERROR(VLOOKUP(B159, 'HMMTPUMaC Geo'!$A$2:B$1500,2, 0), 0)</f>
        <v>0</v>
      </c>
      <c r="J159" s="47"/>
    </row>
    <row r="160">
      <c r="A160" s="52">
        <v>159.0</v>
      </c>
      <c r="B160" s="7" t="s">
        <v>605</v>
      </c>
      <c r="C160" s="53">
        <f t="shared" si="7"/>
        <v>0</v>
      </c>
      <c r="D160" s="53">
        <f t="shared" si="2"/>
        <v>0</v>
      </c>
      <c r="E160" s="57">
        <f>IFERROR(VLOOKUP(B160, Proof!A$2:$B$588,2, 0), 0)</f>
        <v>0</v>
      </c>
      <c r="F160" s="53">
        <f>IFERROR(VLOOKUP(B160, 'HMMTPUMaC Combo'!A$2:$B$500,2, 0), 0)</f>
        <v>0</v>
      </c>
      <c r="G160" s="53">
        <f>IFERROR(VLOOKUP(B160, 'HMMTPUMaC NT'!A$2:$B$500,2, 0), 0)</f>
        <v>0</v>
      </c>
      <c r="H160" s="58">
        <f>IFERROR(VLOOKUP(B160, 'HMMTPUMaC Algebra'!A$2:$B$500,2, 0), 0)</f>
        <v>0</v>
      </c>
      <c r="I160" s="53">
        <f>IFERROR(VLOOKUP(B160, 'HMMTPUMaC Geo'!$A$2:B$1500,2, 0), 0)</f>
        <v>0</v>
      </c>
      <c r="J160" s="47"/>
    </row>
    <row r="161">
      <c r="A161" s="52">
        <v>160.0</v>
      </c>
      <c r="B161" s="7" t="s">
        <v>589</v>
      </c>
      <c r="C161" s="53">
        <f t="shared" si="7"/>
        <v>0</v>
      </c>
      <c r="D161" s="53">
        <f t="shared" si="2"/>
        <v>0</v>
      </c>
      <c r="E161" s="57">
        <f>IFERROR(VLOOKUP(B161, Proof!A$2:$B$588,2, 0), 0)</f>
        <v>0</v>
      </c>
      <c r="F161" s="53">
        <f>IFERROR(VLOOKUP(B161, 'HMMTPUMaC Combo'!A$2:$B$500,2, 0), 0)</f>
        <v>0</v>
      </c>
      <c r="G161" s="53">
        <f>IFERROR(VLOOKUP(B161, 'HMMTPUMaC NT'!A$2:$B$500,2, 0), 0)</f>
        <v>0</v>
      </c>
      <c r="H161" s="58">
        <f>IFERROR(VLOOKUP(B161, 'HMMTPUMaC Algebra'!A$2:$B$500,2, 0), 0)</f>
        <v>0</v>
      </c>
      <c r="I161" s="53">
        <f>IFERROR(VLOOKUP(B161, 'HMMTPUMaC Geo'!$A$2:B$1500,2, 0), 0)</f>
        <v>0</v>
      </c>
      <c r="J161" s="47"/>
    </row>
    <row r="162">
      <c r="A162" s="52">
        <v>161.0</v>
      </c>
      <c r="B162" s="7" t="s">
        <v>598</v>
      </c>
      <c r="C162" s="53">
        <f t="shared" si="7"/>
        <v>0</v>
      </c>
      <c r="D162" s="53">
        <f t="shared" si="2"/>
        <v>0</v>
      </c>
      <c r="E162" s="57">
        <f>IFERROR(VLOOKUP(B162, Proof!A$2:$B$588,2, 0), 0)</f>
        <v>0</v>
      </c>
      <c r="F162" s="53">
        <f>IFERROR(VLOOKUP(B162, 'HMMTPUMaC Combo'!A$2:$B$500,2, 0), 0)</f>
        <v>0</v>
      </c>
      <c r="G162" s="53">
        <f>IFERROR(VLOOKUP(B162, 'HMMTPUMaC NT'!A$2:$B$500,2, 0), 0)</f>
        <v>0</v>
      </c>
      <c r="H162" s="58">
        <f>IFERROR(VLOOKUP(B162, 'HMMTPUMaC Algebra'!A$2:$B$500,2, 0), 0)</f>
        <v>0</v>
      </c>
      <c r="I162" s="53">
        <f>IFERROR(VLOOKUP(B162, 'HMMTPUMaC Geo'!$A$2:B$1500,2, 0), 0)</f>
        <v>0</v>
      </c>
      <c r="J162" s="47"/>
    </row>
    <row r="163">
      <c r="A163" s="52">
        <v>162.0</v>
      </c>
      <c r="B163" s="7" t="s">
        <v>602</v>
      </c>
      <c r="C163" s="53">
        <f t="shared" si="7"/>
        <v>0</v>
      </c>
      <c r="D163" s="53">
        <f t="shared" si="2"/>
        <v>0</v>
      </c>
      <c r="E163" s="57">
        <f>IFERROR(VLOOKUP(B163, Proof!A$2:$B$588,2, 0), 0)</f>
        <v>0</v>
      </c>
      <c r="F163" s="53">
        <f>IFERROR(VLOOKUP(B163, 'HMMTPUMaC Combo'!A$2:$B$500,2, 0), 0)</f>
        <v>0</v>
      </c>
      <c r="G163" s="53">
        <f>IFERROR(VLOOKUP(B163, 'HMMTPUMaC NT'!A$2:$B$500,2, 0), 0)</f>
        <v>0</v>
      </c>
      <c r="H163" s="58">
        <f>IFERROR(VLOOKUP(B163, 'HMMTPUMaC Algebra'!A$2:$B$500,2, 0), 0)</f>
        <v>0</v>
      </c>
      <c r="I163" s="53">
        <f>IFERROR(VLOOKUP(B163, 'HMMTPUMaC Geo'!$A$2:B$1500,2, 0), 0)</f>
        <v>0</v>
      </c>
      <c r="J163" s="47"/>
    </row>
    <row r="164">
      <c r="A164" s="52">
        <v>163.0</v>
      </c>
      <c r="B164" s="7" t="s">
        <v>629</v>
      </c>
      <c r="C164" s="53">
        <f t="shared" si="7"/>
        <v>0</v>
      </c>
      <c r="D164" s="53">
        <f t="shared" si="2"/>
        <v>0</v>
      </c>
      <c r="E164" s="57">
        <f>IFERROR(VLOOKUP(B164, Proof!A$2:$B$588,2, 0), 0)</f>
        <v>0</v>
      </c>
      <c r="F164" s="53">
        <f>IFERROR(VLOOKUP(B164, 'HMMTPUMaC Combo'!A$2:$B$500,2, 0), 0)</f>
        <v>0</v>
      </c>
      <c r="G164" s="53">
        <f>IFERROR(VLOOKUP(B164, 'HMMTPUMaC NT'!A$2:$B$500,2, 0), 0)</f>
        <v>0</v>
      </c>
      <c r="H164" s="58">
        <f>IFERROR(VLOOKUP(B164, 'HMMTPUMaC Algebra'!A$2:$B$500,2, 0), 0)</f>
        <v>0</v>
      </c>
      <c r="I164" s="53">
        <f>IFERROR(VLOOKUP(B164, 'HMMTPUMaC Geo'!$A$2:B$1500,2, 0), 0)</f>
        <v>0</v>
      </c>
      <c r="J164" s="47"/>
    </row>
    <row r="165">
      <c r="A165" s="52">
        <v>164.0</v>
      </c>
      <c r="B165" s="7" t="s">
        <v>592</v>
      </c>
      <c r="C165" s="53">
        <f t="shared" si="7"/>
        <v>0</v>
      </c>
      <c r="D165" s="53">
        <f t="shared" si="2"/>
        <v>0</v>
      </c>
      <c r="E165" s="57">
        <f>IFERROR(VLOOKUP(B165, Proof!A$2:$B$588,2, 0), 0)</f>
        <v>0</v>
      </c>
      <c r="F165" s="53">
        <f>IFERROR(VLOOKUP(B165, 'HMMTPUMaC Combo'!A$2:$B$500,2, 0), 0)</f>
        <v>0</v>
      </c>
      <c r="G165" s="53">
        <f>IFERROR(VLOOKUP(B165, 'HMMTPUMaC NT'!A$2:$B$500,2, 0), 0)</f>
        <v>0</v>
      </c>
      <c r="H165" s="58">
        <f>IFERROR(VLOOKUP(B165, 'HMMTPUMaC Algebra'!A$2:$B$500,2, 0), 0)</f>
        <v>0</v>
      </c>
      <c r="I165" s="53">
        <f>IFERROR(VLOOKUP(B165, 'HMMTPUMaC Geo'!$A$2:B$1500,2, 0), 0)</f>
        <v>0</v>
      </c>
      <c r="J165" s="47"/>
    </row>
    <row r="166">
      <c r="A166" s="52">
        <v>165.0</v>
      </c>
      <c r="B166" s="7" t="s">
        <v>619</v>
      </c>
      <c r="C166" s="53">
        <f t="shared" si="7"/>
        <v>0</v>
      </c>
      <c r="D166" s="53">
        <f t="shared" si="2"/>
        <v>0</v>
      </c>
      <c r="E166" s="57">
        <f>IFERROR(VLOOKUP(B166, Proof!A$2:$B$588,2, 0), 0)</f>
        <v>0</v>
      </c>
      <c r="F166" s="53">
        <f>IFERROR(VLOOKUP(B166, 'HMMTPUMaC Combo'!A$2:$B$500,2, 0), 0)</f>
        <v>0</v>
      </c>
      <c r="G166" s="53">
        <f>IFERROR(VLOOKUP(B166, 'HMMTPUMaC NT'!A$2:$B$500,2, 0), 0)</f>
        <v>0</v>
      </c>
      <c r="H166" s="58">
        <f>IFERROR(VLOOKUP(B166, 'HMMTPUMaC Algebra'!A$2:$B$500,2, 0), 0)</f>
        <v>0</v>
      </c>
      <c r="I166" s="53">
        <f>IFERROR(VLOOKUP(B166, 'HMMTPUMaC Geo'!$A$2:B$1500,2, 0), 0)</f>
        <v>0</v>
      </c>
      <c r="J166" s="47"/>
    </row>
    <row r="167">
      <c r="A167" s="52">
        <v>166.0</v>
      </c>
      <c r="B167" s="7" t="s">
        <v>158</v>
      </c>
      <c r="C167" s="53">
        <f t="shared" si="7"/>
        <v>0</v>
      </c>
      <c r="D167" s="53">
        <f t="shared" si="2"/>
        <v>0</v>
      </c>
      <c r="E167" s="57">
        <f>IFERROR(VLOOKUP(B167, Proof!A$2:$B$588,2, 0), 0)</f>
        <v>0</v>
      </c>
      <c r="F167" s="53">
        <f>IFERROR(VLOOKUP(B167, 'HMMTPUMaC Combo'!A$2:$B$500,2, 0), 0)</f>
        <v>0</v>
      </c>
      <c r="G167" s="53">
        <f>IFERROR(VLOOKUP(B167, 'HMMTPUMaC NT'!A$2:$B$500,2, 0), 0)</f>
        <v>0</v>
      </c>
      <c r="H167" s="58">
        <f>IFERROR(VLOOKUP(B167, 'HMMTPUMaC Algebra'!A$2:$B$500,2, 0), 0)</f>
        <v>0</v>
      </c>
      <c r="I167" s="53">
        <f>IFERROR(VLOOKUP(B167, 'HMMTPUMaC Geo'!$A$2:B$1500,2, 0), 0)</f>
        <v>0</v>
      </c>
      <c r="J167" s="47"/>
    </row>
    <row r="168">
      <c r="A168" s="52">
        <v>167.0</v>
      </c>
      <c r="B168" s="7" t="s">
        <v>452</v>
      </c>
      <c r="C168" s="53">
        <f t="shared" si="7"/>
        <v>0</v>
      </c>
      <c r="D168" s="53">
        <f t="shared" si="2"/>
        <v>0</v>
      </c>
      <c r="E168" s="57">
        <f>IFERROR(VLOOKUP(B168, Proof!A$2:$B$588,2, 0), 0)</f>
        <v>0</v>
      </c>
      <c r="F168" s="53">
        <f>IFERROR(VLOOKUP(B168, 'HMMTPUMaC Combo'!A$2:$B$500,2, 0), 0)</f>
        <v>0</v>
      </c>
      <c r="G168" s="53">
        <f>IFERROR(VLOOKUP(B168, 'HMMTPUMaC NT'!A$2:$B$500,2, 0), 0)</f>
        <v>0</v>
      </c>
      <c r="H168" s="58">
        <f>IFERROR(VLOOKUP(B168, 'HMMTPUMaC Algebra'!A$2:$B$500,2, 0), 0)</f>
        <v>0</v>
      </c>
      <c r="I168" s="53">
        <f>IFERROR(VLOOKUP(B168, 'HMMTPUMaC Geo'!$A$2:B$1500,2, 0), 0)</f>
        <v>0</v>
      </c>
      <c r="J168" s="47"/>
    </row>
    <row r="169">
      <c r="A169" s="52">
        <v>168.0</v>
      </c>
      <c r="B169" s="7" t="s">
        <v>115</v>
      </c>
      <c r="C169" s="53">
        <f t="shared" si="7"/>
        <v>0</v>
      </c>
      <c r="D169" s="53">
        <f t="shared" si="2"/>
        <v>0</v>
      </c>
      <c r="E169" s="57">
        <f>IFERROR(VLOOKUP(B169, Proof!A$2:$B$588,2, 0), 0)</f>
        <v>0</v>
      </c>
      <c r="F169" s="53">
        <f>IFERROR(VLOOKUP(B169, 'HMMTPUMaC Combo'!A$2:$B$500,2, 0), 0)</f>
        <v>0</v>
      </c>
      <c r="G169" s="53">
        <f>IFERROR(VLOOKUP(B169, 'HMMTPUMaC NT'!A$2:$B$500,2, 0), 0)</f>
        <v>0</v>
      </c>
      <c r="H169" s="58">
        <f>IFERROR(VLOOKUP(B169, 'HMMTPUMaC Algebra'!A$2:$B$500,2, 0), 0)</f>
        <v>0</v>
      </c>
      <c r="I169" s="53">
        <f>IFERROR(VLOOKUP(B169, 'HMMTPUMaC Geo'!$A$2:B$1500,2, 0), 0)</f>
        <v>0</v>
      </c>
      <c r="J169" s="47"/>
    </row>
    <row r="170">
      <c r="A170" s="52">
        <v>169.0</v>
      </c>
      <c r="B170" s="7" t="s">
        <v>494</v>
      </c>
      <c r="C170" s="53">
        <f t="shared" si="7"/>
        <v>0</v>
      </c>
      <c r="D170" s="53">
        <f t="shared" si="2"/>
        <v>0</v>
      </c>
      <c r="E170" s="57">
        <f>IFERROR(VLOOKUP(B170, Proof!A$2:$B$588,2, 0), 0)</f>
        <v>0</v>
      </c>
      <c r="F170" s="53">
        <f>IFERROR(VLOOKUP(B170, 'HMMTPUMaC Combo'!A$2:$B$500,2, 0), 0)</f>
        <v>0</v>
      </c>
      <c r="G170" s="53">
        <f>IFERROR(VLOOKUP(B170, 'HMMTPUMaC NT'!A$2:$B$500,2, 0), 0)</f>
        <v>0</v>
      </c>
      <c r="H170" s="58">
        <f>IFERROR(VLOOKUP(B170, 'HMMTPUMaC Algebra'!A$2:$B$500,2, 0), 0)</f>
        <v>0</v>
      </c>
      <c r="I170" s="53">
        <f>IFERROR(VLOOKUP(B170, 'HMMTPUMaC Geo'!$A$2:B$1500,2, 0), 0)</f>
        <v>0</v>
      </c>
      <c r="J170" s="47"/>
    </row>
    <row r="171">
      <c r="A171" s="52">
        <v>170.0</v>
      </c>
      <c r="B171" s="17" t="s">
        <v>472</v>
      </c>
      <c r="C171" s="53">
        <f t="shared" si="7"/>
        <v>0</v>
      </c>
      <c r="D171" s="53">
        <f t="shared" si="2"/>
        <v>0</v>
      </c>
      <c r="E171" s="57">
        <f>IFERROR(VLOOKUP(B171, Proof!A$2:$B$588,2, 0), 0)</f>
        <v>0</v>
      </c>
      <c r="F171" s="53">
        <f>IFERROR(VLOOKUP(B171, 'HMMTPUMaC Combo'!A$2:$B$500,2, 0), 0)</f>
        <v>0</v>
      </c>
      <c r="G171" s="53">
        <f>IFERROR(VLOOKUP(B171, 'HMMTPUMaC NT'!A$2:$B$500,2, 0), 0)</f>
        <v>0</v>
      </c>
      <c r="H171" s="58">
        <f>IFERROR(VLOOKUP(B171, 'HMMTPUMaC Algebra'!A$2:$B$500,2, 0), 0)</f>
        <v>0</v>
      </c>
      <c r="I171" s="53">
        <f>IFERROR(VLOOKUP(B171, 'HMMTPUMaC Geo'!$A$2:B$1500,2, 0), 0)</f>
        <v>0</v>
      </c>
      <c r="J171" s="47"/>
    </row>
    <row r="172">
      <c r="A172" s="52">
        <v>171.0</v>
      </c>
      <c r="B172" s="7" t="s">
        <v>444</v>
      </c>
      <c r="C172" s="53">
        <f t="shared" si="7"/>
        <v>0</v>
      </c>
      <c r="D172" s="53">
        <f t="shared" si="2"/>
        <v>0</v>
      </c>
      <c r="E172" s="57">
        <f>IFERROR(VLOOKUP(B172, Proof!A$2:$B$588,2, 0), 0)</f>
        <v>0</v>
      </c>
      <c r="F172" s="53">
        <f>IFERROR(VLOOKUP(B172, 'HMMTPUMaC Combo'!A$2:$B$500,2, 0), 0)</f>
        <v>0</v>
      </c>
      <c r="G172" s="53">
        <f>IFERROR(VLOOKUP(B172, 'HMMTPUMaC NT'!A$2:$B$500,2, 0), 0)</f>
        <v>0</v>
      </c>
      <c r="H172" s="58">
        <f>IFERROR(VLOOKUP(B172, 'HMMTPUMaC Algebra'!A$2:$B$500,2, 0), 0)</f>
        <v>0</v>
      </c>
      <c r="I172" s="53">
        <f>IFERROR(VLOOKUP(B172, 'HMMTPUMaC Geo'!$A$2:B$1500,2, 0), 0)</f>
        <v>0</v>
      </c>
      <c r="J172" s="47"/>
    </row>
    <row r="173">
      <c r="A173" s="52">
        <v>172.0</v>
      </c>
      <c r="B173" s="7" t="s">
        <v>510</v>
      </c>
      <c r="C173" s="53">
        <f t="shared" si="7"/>
        <v>0</v>
      </c>
      <c r="D173" s="53">
        <f t="shared" si="2"/>
        <v>0</v>
      </c>
      <c r="E173" s="57">
        <f>IFERROR(VLOOKUP(B173, Proof!A$2:$B$588,2, 0), 0)</f>
        <v>0</v>
      </c>
      <c r="F173" s="53">
        <f>IFERROR(VLOOKUP(B173, 'HMMTPUMaC Combo'!A$2:$B$500,2, 0), 0)</f>
        <v>0</v>
      </c>
      <c r="G173" s="53">
        <f>IFERROR(VLOOKUP(B173, 'HMMTPUMaC NT'!A$2:$B$500,2, 0), 0)</f>
        <v>0</v>
      </c>
      <c r="H173" s="58">
        <f>IFERROR(VLOOKUP(B173, 'HMMTPUMaC Algebra'!A$2:$B$500,2, 0), 0)</f>
        <v>0</v>
      </c>
      <c r="I173" s="53">
        <f>IFERROR(VLOOKUP(B173, 'HMMTPUMaC Geo'!$A$2:B$1500,2, 0), 0)</f>
        <v>0</v>
      </c>
      <c r="J173" s="47"/>
    </row>
    <row r="174">
      <c r="A174" s="52">
        <v>173.0</v>
      </c>
      <c r="B174" s="7" t="s">
        <v>246</v>
      </c>
      <c r="C174" s="53">
        <f t="shared" si="7"/>
        <v>0</v>
      </c>
      <c r="D174" s="53">
        <f t="shared" si="2"/>
        <v>0</v>
      </c>
      <c r="E174" s="57">
        <f>IFERROR(VLOOKUP(B174, Proof!A$2:$B$588,2, 0), 0)</f>
        <v>0</v>
      </c>
      <c r="F174" s="53">
        <f>IFERROR(VLOOKUP(B174, 'HMMTPUMaC Combo'!A$2:$B$500,2, 0), 0)</f>
        <v>0</v>
      </c>
      <c r="G174" s="53">
        <f>IFERROR(VLOOKUP(B174, 'HMMTPUMaC NT'!A$2:$B$500,2, 0), 0)</f>
        <v>0</v>
      </c>
      <c r="H174" s="58">
        <f>IFERROR(VLOOKUP(B174, 'HMMTPUMaC Algebra'!A$2:$B$500,2, 0), 0)</f>
        <v>0</v>
      </c>
      <c r="I174" s="53">
        <f>IFERROR(VLOOKUP(B174, 'HMMTPUMaC Geo'!$A$2:B$1500,2, 0), 0)</f>
        <v>0</v>
      </c>
      <c r="J174" s="47"/>
    </row>
    <row r="175">
      <c r="A175" s="52">
        <v>174.0</v>
      </c>
      <c r="B175" s="7" t="s">
        <v>116</v>
      </c>
      <c r="C175" s="53">
        <f t="shared" si="7"/>
        <v>0</v>
      </c>
      <c r="D175" s="53">
        <f t="shared" si="2"/>
        <v>0</v>
      </c>
      <c r="E175" s="57">
        <f>IFERROR(VLOOKUP(B175, Proof!A$2:$B$588,2, 0), 0)</f>
        <v>0</v>
      </c>
      <c r="F175" s="53">
        <f>IFERROR(VLOOKUP(B175, 'HMMTPUMaC Combo'!A$2:$B$500,2, 0), 0)</f>
        <v>0</v>
      </c>
      <c r="G175" s="53">
        <f>IFERROR(VLOOKUP(B175, 'HMMTPUMaC NT'!A$2:$B$500,2, 0), 0)</f>
        <v>0</v>
      </c>
      <c r="H175" s="58">
        <f>IFERROR(VLOOKUP(B175, 'HMMTPUMaC Algebra'!A$2:$B$500,2, 0), 0)</f>
        <v>0</v>
      </c>
      <c r="I175" s="53">
        <f>IFERROR(VLOOKUP(B175, 'HMMTPUMaC Geo'!$A$2:B$1500,2, 0), 0)</f>
        <v>0</v>
      </c>
      <c r="J175" s="47"/>
    </row>
    <row r="176">
      <c r="A176" s="52">
        <v>175.0</v>
      </c>
      <c r="B176" s="7" t="s">
        <v>487</v>
      </c>
      <c r="C176" s="53">
        <f t="shared" si="7"/>
        <v>0</v>
      </c>
      <c r="D176" s="53">
        <f t="shared" si="2"/>
        <v>0</v>
      </c>
      <c r="E176" s="57">
        <f>IFERROR(VLOOKUP(B176, Proof!A$2:$B$588,2, 0), 0)</f>
        <v>0</v>
      </c>
      <c r="F176" s="53">
        <f>IFERROR(VLOOKUP(B176, 'HMMTPUMaC Combo'!A$2:$B$500,2, 0), 0)</f>
        <v>0</v>
      </c>
      <c r="G176" s="53">
        <f>IFERROR(VLOOKUP(B176, 'HMMTPUMaC NT'!A$2:$B$500,2, 0), 0)</f>
        <v>0</v>
      </c>
      <c r="H176" s="58">
        <f>IFERROR(VLOOKUP(B176, 'HMMTPUMaC Algebra'!A$2:$B$500,2, 0), 0)</f>
        <v>0</v>
      </c>
      <c r="I176" s="53">
        <f>IFERROR(VLOOKUP(B176, 'HMMTPUMaC Geo'!$A$2:B$1500,2, 0), 0)</f>
        <v>0</v>
      </c>
      <c r="J176" s="47"/>
    </row>
    <row r="177">
      <c r="A177" s="52">
        <v>176.0</v>
      </c>
      <c r="B177" s="7" t="s">
        <v>139</v>
      </c>
      <c r="C177" s="53">
        <f t="shared" si="7"/>
        <v>0</v>
      </c>
      <c r="D177" s="53">
        <f t="shared" si="2"/>
        <v>0</v>
      </c>
      <c r="E177" s="57">
        <f>IFERROR(VLOOKUP(B177, Proof!A$2:$B$588,2, 0), 0)</f>
        <v>0</v>
      </c>
      <c r="F177" s="53">
        <f>IFERROR(VLOOKUP(B177, 'HMMTPUMaC Combo'!A$2:$B$500,2, 0), 0)</f>
        <v>0</v>
      </c>
      <c r="G177" s="53">
        <f>IFERROR(VLOOKUP(B177, 'HMMTPUMaC NT'!A$2:$B$500,2, 0), 0)</f>
        <v>0</v>
      </c>
      <c r="H177" s="58">
        <f>IFERROR(VLOOKUP(B177, 'HMMTPUMaC Algebra'!A$2:$B$500,2, 0), 0)</f>
        <v>0</v>
      </c>
      <c r="I177" s="53">
        <f>IFERROR(VLOOKUP(B177, 'HMMTPUMaC Geo'!$A$2:B$1500,2, 0), 0)</f>
        <v>0</v>
      </c>
      <c r="J177" s="47"/>
    </row>
    <row r="178">
      <c r="A178" s="52">
        <v>177.0</v>
      </c>
      <c r="B178" s="7" t="s">
        <v>219</v>
      </c>
      <c r="C178" s="53">
        <f t="shared" si="7"/>
        <v>0</v>
      </c>
      <c r="D178" s="53">
        <f t="shared" si="2"/>
        <v>0</v>
      </c>
      <c r="E178" s="57">
        <f>IFERROR(VLOOKUP(B178, Proof!A$2:$B$588,2, 0), 0)</f>
        <v>0</v>
      </c>
      <c r="F178" s="53">
        <f>IFERROR(VLOOKUP(B178, 'HMMTPUMaC Combo'!A$2:$B$500,2, 0), 0)</f>
        <v>0</v>
      </c>
      <c r="G178" s="53">
        <f>IFERROR(VLOOKUP(B178, 'HMMTPUMaC NT'!A$2:$B$500,2, 0), 0)</f>
        <v>0</v>
      </c>
      <c r="H178" s="58">
        <f>IFERROR(VLOOKUP(B178, 'HMMTPUMaC Algebra'!A$2:$B$500,2, 0), 0)</f>
        <v>0</v>
      </c>
      <c r="I178" s="53">
        <f>IFERROR(VLOOKUP(B178, 'HMMTPUMaC Geo'!$A$2:B$1500,2, 0), 0)</f>
        <v>0</v>
      </c>
      <c r="J178" s="47"/>
    </row>
    <row r="179">
      <c r="A179" s="52">
        <v>178.0</v>
      </c>
      <c r="B179" s="7" t="s">
        <v>466</v>
      </c>
      <c r="C179" s="53">
        <f t="shared" si="7"/>
        <v>0</v>
      </c>
      <c r="D179" s="53">
        <f t="shared" si="2"/>
        <v>0</v>
      </c>
      <c r="E179" s="57">
        <f>IFERROR(VLOOKUP(B179, Proof!A$2:$B$588,2, 0), 0)</f>
        <v>0</v>
      </c>
      <c r="F179" s="53">
        <f>IFERROR(VLOOKUP(B179, 'HMMTPUMaC Combo'!A$2:$B$500,2, 0), 0)</f>
        <v>0</v>
      </c>
      <c r="G179" s="53">
        <f>IFERROR(VLOOKUP(B179, 'HMMTPUMaC NT'!A$2:$B$500,2, 0), 0)</f>
        <v>0</v>
      </c>
      <c r="H179" s="58">
        <f>IFERROR(VLOOKUP(B179, 'HMMTPUMaC Algebra'!A$2:$B$500,2, 0), 0)</f>
        <v>0</v>
      </c>
      <c r="I179" s="53">
        <f>IFERROR(VLOOKUP(B179, 'HMMTPUMaC Geo'!$A$2:B$1500,2, 0), 0)</f>
        <v>0</v>
      </c>
      <c r="J179" s="47"/>
    </row>
    <row r="180">
      <c r="A180" s="52">
        <v>179.0</v>
      </c>
      <c r="B180" s="7" t="s">
        <v>287</v>
      </c>
      <c r="C180" s="53">
        <f t="shared" si="7"/>
        <v>0</v>
      </c>
      <c r="D180" s="53">
        <f t="shared" si="2"/>
        <v>0</v>
      </c>
      <c r="E180" s="57">
        <f>IFERROR(VLOOKUP(B180, Proof!A$2:$B$588,2, 0), 0)</f>
        <v>0</v>
      </c>
      <c r="F180" s="53">
        <f>IFERROR(VLOOKUP(B180, 'HMMTPUMaC Combo'!A$2:$B$500,2, 0), 0)</f>
        <v>0</v>
      </c>
      <c r="G180" s="53">
        <f>IFERROR(VLOOKUP(B180, 'HMMTPUMaC NT'!A$2:$B$500,2, 0), 0)</f>
        <v>0</v>
      </c>
      <c r="H180" s="58">
        <f>IFERROR(VLOOKUP(B180, 'HMMTPUMaC Algebra'!A$2:$B$500,2, 0), 0)</f>
        <v>0</v>
      </c>
      <c r="I180" s="53">
        <f>IFERROR(VLOOKUP(B180, 'HMMTPUMaC Geo'!$A$2:B$1500,2, 0), 0)</f>
        <v>0</v>
      </c>
      <c r="J180" s="47"/>
    </row>
    <row r="181">
      <c r="A181" s="52">
        <v>180.0</v>
      </c>
      <c r="B181" s="7" t="s">
        <v>107</v>
      </c>
      <c r="C181" s="53">
        <f t="shared" ref="C181:C462" si="8">0.3*LARGE(G181:I181, 1)+0.3*LARGE(G181:I181, 2)+0.1*LARGE(G181:I181, 3)+0.3*E181</f>
        <v>0</v>
      </c>
      <c r="D181" s="53">
        <f t="shared" si="2"/>
        <v>0</v>
      </c>
      <c r="E181" s="57">
        <f>IFERROR(VLOOKUP(B181, Proof!A$2:$B$588,2, 0), 0)</f>
        <v>0</v>
      </c>
      <c r="F181" s="53">
        <f>IFERROR(VLOOKUP(B181, 'HMMTPUMaC Combo'!A$2:$B$500,2, 0), 0)</f>
        <v>0</v>
      </c>
      <c r="G181" s="53">
        <f>IFERROR(VLOOKUP(B181, 'HMMTPUMaC NT'!A$2:$B$500,2, 0), 0)</f>
        <v>0</v>
      </c>
      <c r="H181" s="58">
        <f>IFERROR(VLOOKUP(B181, 'HMMTPUMaC Algebra'!A$2:$B$500,2, 0), 0)</f>
        <v>0</v>
      </c>
      <c r="I181" s="53">
        <f>IFERROR(VLOOKUP(B181, 'HMMTPUMaC Geo'!$A$2:B$1500,2, 0), 0)</f>
        <v>0</v>
      </c>
      <c r="J181" s="47"/>
    </row>
    <row r="182">
      <c r="A182" s="52">
        <v>181.0</v>
      </c>
      <c r="B182" s="7" t="s">
        <v>469</v>
      </c>
      <c r="C182" s="53">
        <f t="shared" si="8"/>
        <v>0</v>
      </c>
      <c r="D182" s="53">
        <f t="shared" si="2"/>
        <v>0</v>
      </c>
      <c r="E182" s="57">
        <f>IFERROR(VLOOKUP(B182, Proof!A$2:$B$588,2, 0), 0)</f>
        <v>0</v>
      </c>
      <c r="F182" s="53">
        <f>IFERROR(VLOOKUP(B182, 'HMMTPUMaC Combo'!A$2:$B$500,2, 0), 0)</f>
        <v>0</v>
      </c>
      <c r="G182" s="53">
        <f>IFERROR(VLOOKUP(B182, 'HMMTPUMaC NT'!A$2:$B$500,2, 0), 0)</f>
        <v>0</v>
      </c>
      <c r="H182" s="58">
        <f>IFERROR(VLOOKUP(B182, 'HMMTPUMaC Algebra'!A$2:$B$500,2, 0), 0)</f>
        <v>0</v>
      </c>
      <c r="I182" s="53">
        <f>IFERROR(VLOOKUP(B182, 'HMMTPUMaC Geo'!$A$2:B$1500,2, 0), 0)</f>
        <v>0</v>
      </c>
      <c r="J182" s="47"/>
    </row>
    <row r="183">
      <c r="A183" s="52">
        <v>182.0</v>
      </c>
      <c r="B183" s="7" t="s">
        <v>440</v>
      </c>
      <c r="C183" s="53">
        <f t="shared" si="8"/>
        <v>0</v>
      </c>
      <c r="D183" s="53">
        <f t="shared" si="2"/>
        <v>0</v>
      </c>
      <c r="E183" s="57">
        <f>IFERROR(VLOOKUP(B183, Proof!A$2:$B$588,2, 0), 0)</f>
        <v>0</v>
      </c>
      <c r="F183" s="53">
        <f>IFERROR(VLOOKUP(B183, 'HMMTPUMaC Combo'!A$2:$B$500,2, 0), 0)</f>
        <v>0</v>
      </c>
      <c r="G183" s="53">
        <f>IFERROR(VLOOKUP(B183, 'HMMTPUMaC NT'!A$2:$B$500,2, 0), 0)</f>
        <v>0</v>
      </c>
      <c r="H183" s="58">
        <f>IFERROR(VLOOKUP(B183, 'HMMTPUMaC Algebra'!A$2:$B$500,2, 0), 0)</f>
        <v>0</v>
      </c>
      <c r="I183" s="53">
        <f>IFERROR(VLOOKUP(B183, 'HMMTPUMaC Geo'!$A$2:B$1500,2, 0), 0)</f>
        <v>0</v>
      </c>
      <c r="J183" s="47"/>
    </row>
    <row r="184">
      <c r="A184" s="52">
        <v>183.0</v>
      </c>
      <c r="B184" s="7" t="s">
        <v>477</v>
      </c>
      <c r="C184" s="53">
        <f t="shared" si="8"/>
        <v>0</v>
      </c>
      <c r="D184" s="53">
        <f t="shared" si="2"/>
        <v>0</v>
      </c>
      <c r="E184" s="57">
        <f>IFERROR(VLOOKUP(B184, Proof!A$2:$B$588,2, 0), 0)</f>
        <v>0</v>
      </c>
      <c r="F184" s="53">
        <f>IFERROR(VLOOKUP(B184, 'HMMTPUMaC Combo'!A$2:$B$500,2, 0), 0)</f>
        <v>0</v>
      </c>
      <c r="G184" s="53">
        <f>IFERROR(VLOOKUP(B184, 'HMMTPUMaC NT'!A$2:$B$500,2, 0), 0)</f>
        <v>0</v>
      </c>
      <c r="H184" s="58">
        <f>IFERROR(VLOOKUP(B184, 'HMMTPUMaC Algebra'!A$2:$B$500,2, 0), 0)</f>
        <v>0</v>
      </c>
      <c r="I184" s="53">
        <f>IFERROR(VLOOKUP(B184, 'HMMTPUMaC Geo'!$A$2:B$1500,2, 0), 0)</f>
        <v>0</v>
      </c>
      <c r="J184" s="47"/>
    </row>
    <row r="185">
      <c r="A185" s="52">
        <v>184.0</v>
      </c>
      <c r="B185" s="7" t="s">
        <v>439</v>
      </c>
      <c r="C185" s="53">
        <f t="shared" si="8"/>
        <v>0</v>
      </c>
      <c r="D185" s="53">
        <f t="shared" si="2"/>
        <v>0</v>
      </c>
      <c r="E185" s="57">
        <f>IFERROR(VLOOKUP(B185, Proof!A$2:$B$588,2, 0), 0)</f>
        <v>0</v>
      </c>
      <c r="F185" s="53">
        <f>IFERROR(VLOOKUP(B185, 'HMMTPUMaC Combo'!A$2:$B$500,2, 0), 0)</f>
        <v>0</v>
      </c>
      <c r="G185" s="53">
        <f>IFERROR(VLOOKUP(B185, 'HMMTPUMaC NT'!A$2:$B$500,2, 0), 0)</f>
        <v>0</v>
      </c>
      <c r="H185" s="58">
        <f>IFERROR(VLOOKUP(B185, 'HMMTPUMaC Algebra'!A$2:$B$500,2, 0), 0)</f>
        <v>0</v>
      </c>
      <c r="I185" s="53">
        <f>IFERROR(VLOOKUP(B185, 'HMMTPUMaC Geo'!$A$2:B$1500,2, 0), 0)</f>
        <v>0</v>
      </c>
      <c r="J185" s="47"/>
    </row>
    <row r="186">
      <c r="A186" s="52">
        <v>185.0</v>
      </c>
      <c r="B186" s="7" t="s">
        <v>117</v>
      </c>
      <c r="C186" s="53">
        <f t="shared" si="8"/>
        <v>0</v>
      </c>
      <c r="D186" s="53">
        <f t="shared" si="2"/>
        <v>0</v>
      </c>
      <c r="E186" s="57">
        <f>IFERROR(VLOOKUP(B186, Proof!A$2:$B$588,2, 0), 0)</f>
        <v>0</v>
      </c>
      <c r="F186" s="53">
        <f>IFERROR(VLOOKUP(B186, 'HMMTPUMaC Combo'!A$2:$B$500,2, 0), 0)</f>
        <v>0</v>
      </c>
      <c r="G186" s="53">
        <f>IFERROR(VLOOKUP(B186, 'HMMTPUMaC NT'!A$2:$B$500,2, 0), 0)</f>
        <v>0</v>
      </c>
      <c r="H186" s="58">
        <f>IFERROR(VLOOKUP(B186, 'HMMTPUMaC Algebra'!A$2:$B$500,2, 0), 0)</f>
        <v>0</v>
      </c>
      <c r="I186" s="53">
        <f>IFERROR(VLOOKUP(B186, 'HMMTPUMaC Geo'!$A$2:B$1500,2, 0), 0)</f>
        <v>0</v>
      </c>
      <c r="J186" s="47"/>
    </row>
    <row r="187">
      <c r="A187" s="52">
        <v>186.0</v>
      </c>
      <c r="B187" s="7" t="s">
        <v>468</v>
      </c>
      <c r="C187" s="53">
        <f t="shared" si="8"/>
        <v>0</v>
      </c>
      <c r="D187" s="53">
        <f t="shared" si="2"/>
        <v>0</v>
      </c>
      <c r="E187" s="57">
        <f>IFERROR(VLOOKUP(B187, Proof!A$2:$B$588,2, 0), 0)</f>
        <v>0</v>
      </c>
      <c r="F187" s="53">
        <f>IFERROR(VLOOKUP(B187, 'HMMTPUMaC Combo'!A$2:$B$500,2, 0), 0)</f>
        <v>0</v>
      </c>
      <c r="G187" s="53">
        <f>IFERROR(VLOOKUP(B187, 'HMMTPUMaC NT'!A$2:$B$500,2, 0), 0)</f>
        <v>0</v>
      </c>
      <c r="H187" s="58">
        <f>IFERROR(VLOOKUP(B187, 'HMMTPUMaC Algebra'!A$2:$B$500,2, 0), 0)</f>
        <v>0</v>
      </c>
      <c r="I187" s="53">
        <f>IFERROR(VLOOKUP(B187, 'HMMTPUMaC Geo'!$A$2:B$1500,2, 0), 0)</f>
        <v>0</v>
      </c>
      <c r="J187" s="47"/>
    </row>
    <row r="188">
      <c r="A188" s="52">
        <v>187.0</v>
      </c>
      <c r="B188" s="7" t="s">
        <v>114</v>
      </c>
      <c r="C188" s="53">
        <f t="shared" si="8"/>
        <v>0</v>
      </c>
      <c r="D188" s="53">
        <f t="shared" si="2"/>
        <v>0</v>
      </c>
      <c r="E188" s="57">
        <f>IFERROR(VLOOKUP(B188, Proof!A$2:$B$588,2, 0), 0)</f>
        <v>0</v>
      </c>
      <c r="F188" s="53">
        <f>IFERROR(VLOOKUP(B188, 'HMMTPUMaC Combo'!A$2:$B$500,2, 0), 0)</f>
        <v>0</v>
      </c>
      <c r="G188" s="53">
        <f>IFERROR(VLOOKUP(B188, 'HMMTPUMaC NT'!A$2:$B$500,2, 0), 0)</f>
        <v>0</v>
      </c>
      <c r="H188" s="58">
        <f>IFERROR(VLOOKUP(B188, 'HMMTPUMaC Algebra'!A$2:$B$500,2, 0), 0)</f>
        <v>0</v>
      </c>
      <c r="I188" s="53">
        <f>IFERROR(VLOOKUP(B188, 'HMMTPUMaC Geo'!$A$2:B$1500,2, 0), 0)</f>
        <v>0</v>
      </c>
      <c r="J188" s="47"/>
    </row>
    <row r="189">
      <c r="A189" s="52">
        <v>188.0</v>
      </c>
      <c r="B189" s="7" t="s">
        <v>474</v>
      </c>
      <c r="C189" s="53">
        <f t="shared" si="8"/>
        <v>0</v>
      </c>
      <c r="D189" s="53">
        <f t="shared" si="2"/>
        <v>0</v>
      </c>
      <c r="E189" s="57">
        <f>IFERROR(VLOOKUP(B189, Proof!A$2:$B$588,2, 0), 0)</f>
        <v>0</v>
      </c>
      <c r="F189" s="53">
        <f>IFERROR(VLOOKUP(B189, 'HMMTPUMaC Combo'!A$2:$B$500,2, 0), 0)</f>
        <v>0</v>
      </c>
      <c r="G189" s="53">
        <f>IFERROR(VLOOKUP(B189, 'HMMTPUMaC NT'!A$2:$B$500,2, 0), 0)</f>
        <v>0</v>
      </c>
      <c r="H189" s="58">
        <f>IFERROR(VLOOKUP(B189, 'HMMTPUMaC Algebra'!A$2:$B$500,2, 0), 0)</f>
        <v>0</v>
      </c>
      <c r="I189" s="53">
        <f>IFERROR(VLOOKUP(B189, 'HMMTPUMaC Geo'!$A$2:B$1500,2, 0), 0)</f>
        <v>0</v>
      </c>
      <c r="J189" s="47"/>
    </row>
    <row r="190">
      <c r="A190" s="52">
        <v>189.0</v>
      </c>
      <c r="B190" s="7" t="s">
        <v>106</v>
      </c>
      <c r="C190" s="53">
        <f t="shared" si="8"/>
        <v>0</v>
      </c>
      <c r="D190" s="53">
        <f t="shared" si="2"/>
        <v>0</v>
      </c>
      <c r="E190" s="57">
        <f>IFERROR(VLOOKUP(B190, Proof!A$2:$B$588,2, 0), 0)</f>
        <v>0</v>
      </c>
      <c r="F190" s="53">
        <f>IFERROR(VLOOKUP(B190, 'HMMTPUMaC Combo'!A$2:$B$500,2, 0), 0)</f>
        <v>0</v>
      </c>
      <c r="G190" s="53">
        <f>IFERROR(VLOOKUP(B190, 'HMMTPUMaC NT'!A$2:$B$500,2, 0), 0)</f>
        <v>0</v>
      </c>
      <c r="H190" s="58">
        <f>IFERROR(VLOOKUP(B190, 'HMMTPUMaC Algebra'!A$2:$B$500,2, 0), 0)</f>
        <v>0</v>
      </c>
      <c r="I190" s="53">
        <f>IFERROR(VLOOKUP(B190, 'HMMTPUMaC Geo'!$A$2:B$1500,2, 0), 0)</f>
        <v>0</v>
      </c>
      <c r="J190" s="47"/>
    </row>
    <row r="191">
      <c r="A191" s="52">
        <v>190.0</v>
      </c>
      <c r="B191" s="7" t="s">
        <v>206</v>
      </c>
      <c r="C191" s="53">
        <f t="shared" si="8"/>
        <v>0</v>
      </c>
      <c r="D191" s="53">
        <f t="shared" si="2"/>
        <v>0</v>
      </c>
      <c r="E191" s="57">
        <f>IFERROR(VLOOKUP(B191, Proof!A$2:$B$588,2, 0), 0)</f>
        <v>0</v>
      </c>
      <c r="F191" s="53">
        <f>IFERROR(VLOOKUP(B191, 'HMMTPUMaC Combo'!A$2:$B$500,2, 0), 0)</f>
        <v>0</v>
      </c>
      <c r="G191" s="53">
        <f>IFERROR(VLOOKUP(B191, 'HMMTPUMaC NT'!A$2:$B$500,2, 0), 0)</f>
        <v>0</v>
      </c>
      <c r="H191" s="58">
        <f>IFERROR(VLOOKUP(B191, 'HMMTPUMaC Algebra'!A$2:$B$500,2, 0), 0)</f>
        <v>0</v>
      </c>
      <c r="I191" s="53">
        <f>IFERROR(VLOOKUP(B191, 'HMMTPUMaC Geo'!$A$2:B$1500,2, 0), 0)</f>
        <v>0</v>
      </c>
      <c r="J191" s="47"/>
    </row>
    <row r="192">
      <c r="A192" s="52">
        <v>191.0</v>
      </c>
      <c r="B192" s="7" t="s">
        <v>479</v>
      </c>
      <c r="C192" s="53">
        <f t="shared" si="8"/>
        <v>0</v>
      </c>
      <c r="D192" s="53">
        <f t="shared" si="2"/>
        <v>0</v>
      </c>
      <c r="E192" s="57">
        <f>IFERROR(VLOOKUP(B192, Proof!A$2:$B$588,2, 0), 0)</f>
        <v>0</v>
      </c>
      <c r="F192" s="53">
        <f>IFERROR(VLOOKUP(B192, 'HMMTPUMaC Combo'!A$2:$B$500,2, 0), 0)</f>
        <v>0</v>
      </c>
      <c r="G192" s="53">
        <f>IFERROR(VLOOKUP(B192, 'HMMTPUMaC NT'!A$2:$B$500,2, 0), 0)</f>
        <v>0</v>
      </c>
      <c r="H192" s="58">
        <f>IFERROR(VLOOKUP(B192, 'HMMTPUMaC Algebra'!A$2:$B$500,2, 0), 0)</f>
        <v>0</v>
      </c>
      <c r="I192" s="53">
        <f>IFERROR(VLOOKUP(B192, 'HMMTPUMaC Geo'!$A$2:B$1500,2, 0), 0)</f>
        <v>0</v>
      </c>
      <c r="J192" s="47"/>
    </row>
    <row r="193">
      <c r="A193" s="52">
        <v>192.0</v>
      </c>
      <c r="B193" s="7" t="s">
        <v>447</v>
      </c>
      <c r="C193" s="53">
        <f t="shared" si="8"/>
        <v>0</v>
      </c>
      <c r="D193" s="53">
        <f t="shared" si="2"/>
        <v>0</v>
      </c>
      <c r="E193" s="57">
        <f>IFERROR(VLOOKUP(B193, Proof!A$2:$B$588,2, 0), 0)</f>
        <v>0</v>
      </c>
      <c r="F193" s="53">
        <f>IFERROR(VLOOKUP(B193, 'HMMTPUMaC Combo'!A$2:$B$500,2, 0), 0)</f>
        <v>0</v>
      </c>
      <c r="G193" s="53">
        <f>IFERROR(VLOOKUP(B193, 'HMMTPUMaC NT'!A$2:$B$500,2, 0), 0)</f>
        <v>0</v>
      </c>
      <c r="H193" s="58">
        <f>IFERROR(VLOOKUP(B193, 'HMMTPUMaC Algebra'!A$2:$B$500,2, 0), 0)</f>
        <v>0</v>
      </c>
      <c r="I193" s="53">
        <f>IFERROR(VLOOKUP(B193, 'HMMTPUMaC Geo'!$A$2:B$1500,2, 0), 0)</f>
        <v>0</v>
      </c>
      <c r="J193" s="47"/>
    </row>
    <row r="194">
      <c r="A194" s="52">
        <v>193.0</v>
      </c>
      <c r="B194" s="7" t="s">
        <v>152</v>
      </c>
      <c r="C194" s="53">
        <f t="shared" si="8"/>
        <v>0</v>
      </c>
      <c r="D194" s="53">
        <f t="shared" si="2"/>
        <v>0</v>
      </c>
      <c r="E194" s="57">
        <f>IFERROR(VLOOKUP(B194, Proof!A$2:$B$588,2, 0), 0)</f>
        <v>0</v>
      </c>
      <c r="F194" s="53">
        <f>IFERROR(VLOOKUP(B194, 'HMMTPUMaC Combo'!A$2:$B$500,2, 0), 0)</f>
        <v>0</v>
      </c>
      <c r="G194" s="53">
        <f>IFERROR(VLOOKUP(B194, 'HMMTPUMaC NT'!A$2:$B$500,2, 0), 0)</f>
        <v>0</v>
      </c>
      <c r="H194" s="58">
        <f>IFERROR(VLOOKUP(B194, 'HMMTPUMaC Algebra'!A$2:$B$500,2, 0), 0)</f>
        <v>0</v>
      </c>
      <c r="I194" s="53">
        <f>IFERROR(VLOOKUP(B194, 'HMMTPUMaC Geo'!$A$2:B$1500,2, 0), 0)</f>
        <v>0</v>
      </c>
      <c r="J194" s="47"/>
    </row>
    <row r="195">
      <c r="A195" s="52">
        <v>194.0</v>
      </c>
      <c r="B195" s="7" t="s">
        <v>229</v>
      </c>
      <c r="C195" s="53">
        <f t="shared" si="8"/>
        <v>0</v>
      </c>
      <c r="D195" s="53">
        <f t="shared" si="2"/>
        <v>0</v>
      </c>
      <c r="E195" s="57">
        <f>IFERROR(VLOOKUP(B195, Proof!A$2:$B$588,2, 0), 0)</f>
        <v>0</v>
      </c>
      <c r="F195" s="53">
        <f>IFERROR(VLOOKUP(B195, 'HMMTPUMaC Combo'!A$2:$B$500,2, 0), 0)</f>
        <v>0</v>
      </c>
      <c r="G195" s="53">
        <f>IFERROR(VLOOKUP(B195, 'HMMTPUMaC NT'!A$2:$B$500,2, 0), 0)</f>
        <v>0</v>
      </c>
      <c r="H195" s="58">
        <f>IFERROR(VLOOKUP(B195, 'HMMTPUMaC Algebra'!A$2:$B$500,2, 0), 0)</f>
        <v>0</v>
      </c>
      <c r="I195" s="53">
        <f>IFERROR(VLOOKUP(B195, 'HMMTPUMaC Geo'!$A$2:B$1500,2, 0), 0)</f>
        <v>0</v>
      </c>
      <c r="J195" s="47"/>
    </row>
    <row r="196">
      <c r="A196" s="52">
        <v>195.0</v>
      </c>
      <c r="B196" s="7" t="s">
        <v>480</v>
      </c>
      <c r="C196" s="53">
        <f t="shared" si="8"/>
        <v>0</v>
      </c>
      <c r="D196" s="53">
        <f t="shared" si="2"/>
        <v>0</v>
      </c>
      <c r="E196" s="57">
        <f>IFERROR(VLOOKUP(B196, Proof!A$2:$B$588,2, 0), 0)</f>
        <v>0</v>
      </c>
      <c r="F196" s="53">
        <f>IFERROR(VLOOKUP(B196, 'HMMTPUMaC Combo'!A$2:$B$500,2, 0), 0)</f>
        <v>0</v>
      </c>
      <c r="G196" s="53">
        <f>IFERROR(VLOOKUP(B196, 'HMMTPUMaC NT'!A$2:$B$500,2, 0), 0)</f>
        <v>0</v>
      </c>
      <c r="H196" s="58">
        <f>IFERROR(VLOOKUP(B196, 'HMMTPUMaC Algebra'!A$2:$B$500,2, 0), 0)</f>
        <v>0</v>
      </c>
      <c r="I196" s="53">
        <f>IFERROR(VLOOKUP(B196, 'HMMTPUMaC Geo'!$A$2:B$1500,2, 0), 0)</f>
        <v>0</v>
      </c>
      <c r="J196" s="47"/>
    </row>
    <row r="197">
      <c r="A197" s="52">
        <v>196.0</v>
      </c>
      <c r="B197" s="7" t="s">
        <v>455</v>
      </c>
      <c r="C197" s="53">
        <f t="shared" si="8"/>
        <v>0</v>
      </c>
      <c r="D197" s="53">
        <f t="shared" si="2"/>
        <v>0</v>
      </c>
      <c r="E197" s="57">
        <f>IFERROR(VLOOKUP(B197, Proof!A$2:$B$588,2, 0), 0)</f>
        <v>0</v>
      </c>
      <c r="F197" s="53">
        <f>IFERROR(VLOOKUP(B197, 'HMMTPUMaC Combo'!A$2:$B$500,2, 0), 0)</f>
        <v>0</v>
      </c>
      <c r="G197" s="53">
        <f>IFERROR(VLOOKUP(B197, 'HMMTPUMaC NT'!A$2:$B$500,2, 0), 0)</f>
        <v>0</v>
      </c>
      <c r="H197" s="58">
        <f>IFERROR(VLOOKUP(B197, 'HMMTPUMaC Algebra'!A$2:$B$500,2, 0), 0)</f>
        <v>0</v>
      </c>
      <c r="I197" s="53">
        <f>IFERROR(VLOOKUP(B197, 'HMMTPUMaC Geo'!$A$2:B$1500,2, 0), 0)</f>
        <v>0</v>
      </c>
      <c r="J197" s="47"/>
    </row>
    <row r="198">
      <c r="A198" s="52">
        <v>197.0</v>
      </c>
      <c r="B198" s="7" t="s">
        <v>183</v>
      </c>
      <c r="C198" s="53">
        <f t="shared" si="8"/>
        <v>0</v>
      </c>
      <c r="D198" s="53">
        <f t="shared" si="2"/>
        <v>0</v>
      </c>
      <c r="E198" s="57">
        <f>IFERROR(VLOOKUP(B198, Proof!A$2:$B$588,2, 0), 0)</f>
        <v>0</v>
      </c>
      <c r="F198" s="53">
        <f>IFERROR(VLOOKUP(B198, 'HMMTPUMaC Combo'!A$2:$B$500,2, 0), 0)</f>
        <v>0</v>
      </c>
      <c r="G198" s="53">
        <f>IFERROR(VLOOKUP(B198, 'HMMTPUMaC NT'!A$2:$B$500,2, 0), 0)</f>
        <v>0</v>
      </c>
      <c r="H198" s="58">
        <f>IFERROR(VLOOKUP(B198, 'HMMTPUMaC Algebra'!A$2:$B$500,2, 0), 0)</f>
        <v>0</v>
      </c>
      <c r="I198" s="53">
        <f>IFERROR(VLOOKUP(B198, 'HMMTPUMaC Geo'!$A$2:B$1500,2, 0), 0)</f>
        <v>0</v>
      </c>
      <c r="J198" s="47"/>
    </row>
    <row r="199">
      <c r="A199" s="52">
        <v>198.0</v>
      </c>
      <c r="B199" s="7" t="s">
        <v>102</v>
      </c>
      <c r="C199" s="53">
        <f t="shared" si="8"/>
        <v>0</v>
      </c>
      <c r="D199" s="53">
        <f t="shared" si="2"/>
        <v>0</v>
      </c>
      <c r="E199" s="57">
        <f>IFERROR(VLOOKUP(B199, Proof!A$2:$B$588,2, 0), 0)</f>
        <v>0</v>
      </c>
      <c r="F199" s="53">
        <f>IFERROR(VLOOKUP(B199, 'HMMTPUMaC Combo'!A$2:$B$500,2, 0), 0)</f>
        <v>0</v>
      </c>
      <c r="G199" s="53">
        <f>IFERROR(VLOOKUP(B199, 'HMMTPUMaC NT'!A$2:$B$500,2, 0), 0)</f>
        <v>0</v>
      </c>
      <c r="H199" s="58">
        <f>IFERROR(VLOOKUP(B199, 'HMMTPUMaC Algebra'!A$2:$B$500,2, 0), 0)</f>
        <v>0</v>
      </c>
      <c r="I199" s="53">
        <f>IFERROR(VLOOKUP(B199, 'HMMTPUMaC Geo'!$A$2:B$1500,2, 0), 0)</f>
        <v>0</v>
      </c>
      <c r="J199" s="47"/>
    </row>
    <row r="200">
      <c r="A200" s="52">
        <v>199.0</v>
      </c>
      <c r="B200" s="7" t="s">
        <v>125</v>
      </c>
      <c r="C200" s="53">
        <f t="shared" si="8"/>
        <v>0</v>
      </c>
      <c r="D200" s="53">
        <f t="shared" si="2"/>
        <v>0</v>
      </c>
      <c r="E200" s="57">
        <f>IFERROR(VLOOKUP(B200, Proof!A$2:$B$588,2, 0), 0)</f>
        <v>0</v>
      </c>
      <c r="F200" s="53">
        <f>IFERROR(VLOOKUP(B200, 'HMMTPUMaC Combo'!A$2:$B$500,2, 0), 0)</f>
        <v>0</v>
      </c>
      <c r="G200" s="53">
        <f>IFERROR(VLOOKUP(B200, 'HMMTPUMaC NT'!A$2:$B$500,2, 0), 0)</f>
        <v>0</v>
      </c>
      <c r="H200" s="58">
        <f>IFERROR(VLOOKUP(B200, 'HMMTPUMaC Algebra'!A$2:$B$500,2, 0), 0)</f>
        <v>0</v>
      </c>
      <c r="I200" s="53">
        <f>IFERROR(VLOOKUP(B200, 'HMMTPUMaC Geo'!$A$2:B$1500,2, 0), 0)</f>
        <v>0</v>
      </c>
      <c r="J200" s="47"/>
    </row>
    <row r="201">
      <c r="A201" s="52">
        <v>200.0</v>
      </c>
      <c r="B201" s="7" t="s">
        <v>121</v>
      </c>
      <c r="C201" s="53">
        <f t="shared" si="8"/>
        <v>0</v>
      </c>
      <c r="D201" s="53">
        <f t="shared" si="2"/>
        <v>0</v>
      </c>
      <c r="E201" s="57">
        <f>IFERROR(VLOOKUP(B201, Proof!A$2:$B$588,2, 0), 0)</f>
        <v>0</v>
      </c>
      <c r="F201" s="53">
        <f>IFERROR(VLOOKUP(B201, 'HMMTPUMaC Combo'!A$2:$B$500,2, 0), 0)</f>
        <v>0</v>
      </c>
      <c r="G201" s="53">
        <f>IFERROR(VLOOKUP(B201, 'HMMTPUMaC NT'!A$2:$B$500,2, 0), 0)</f>
        <v>0</v>
      </c>
      <c r="H201" s="58">
        <f>IFERROR(VLOOKUP(B201, 'HMMTPUMaC Algebra'!A$2:$B$500,2, 0), 0)</f>
        <v>0</v>
      </c>
      <c r="I201" s="53">
        <f>IFERROR(VLOOKUP(B201, 'HMMTPUMaC Geo'!$A$2:B$1500,2, 0), 0)</f>
        <v>0</v>
      </c>
      <c r="J201" s="47"/>
    </row>
    <row r="202">
      <c r="A202" s="52">
        <v>201.0</v>
      </c>
      <c r="B202" s="7" t="s">
        <v>220</v>
      </c>
      <c r="C202" s="53">
        <f t="shared" si="8"/>
        <v>0</v>
      </c>
      <c r="D202" s="53">
        <f t="shared" si="2"/>
        <v>0</v>
      </c>
      <c r="E202" s="57">
        <f>IFERROR(VLOOKUP(B202, Proof!A$2:$B$588,2, 0), 0)</f>
        <v>0</v>
      </c>
      <c r="F202" s="53">
        <f>IFERROR(VLOOKUP(B202, 'HMMTPUMaC Combo'!A$2:$B$500,2, 0), 0)</f>
        <v>0</v>
      </c>
      <c r="G202" s="53">
        <f>IFERROR(VLOOKUP(B202, 'HMMTPUMaC NT'!A$2:$B$500,2, 0), 0)</f>
        <v>0</v>
      </c>
      <c r="H202" s="58">
        <f>IFERROR(VLOOKUP(B202, 'HMMTPUMaC Algebra'!A$2:$B$500,2, 0), 0)</f>
        <v>0</v>
      </c>
      <c r="I202" s="53">
        <f>IFERROR(VLOOKUP(B202, 'HMMTPUMaC Geo'!$A$2:B$1500,2, 0), 0)</f>
        <v>0</v>
      </c>
      <c r="J202" s="47"/>
    </row>
    <row r="203">
      <c r="A203" s="52">
        <v>202.0</v>
      </c>
      <c r="B203" s="7" t="s">
        <v>481</v>
      </c>
      <c r="C203" s="53">
        <f t="shared" si="8"/>
        <v>0</v>
      </c>
      <c r="D203" s="53">
        <f t="shared" si="2"/>
        <v>0</v>
      </c>
      <c r="E203" s="57">
        <f>IFERROR(VLOOKUP(B203, Proof!A$2:$B$588,2, 0), 0)</f>
        <v>0</v>
      </c>
      <c r="F203" s="53">
        <f>IFERROR(VLOOKUP(B203, 'HMMTPUMaC Combo'!A$2:$B$500,2, 0), 0)</f>
        <v>0</v>
      </c>
      <c r="G203" s="53">
        <f>IFERROR(VLOOKUP(B203, 'HMMTPUMaC NT'!A$2:$B$500,2, 0), 0)</f>
        <v>0</v>
      </c>
      <c r="H203" s="58">
        <f>IFERROR(VLOOKUP(B203, 'HMMTPUMaC Algebra'!A$2:$B$500,2, 0), 0)</f>
        <v>0</v>
      </c>
      <c r="I203" s="53">
        <f>IFERROR(VLOOKUP(B203, 'HMMTPUMaC Geo'!$A$2:B$1500,2, 0), 0)</f>
        <v>0</v>
      </c>
      <c r="J203" s="47"/>
    </row>
    <row r="204">
      <c r="A204" s="52">
        <v>203.0</v>
      </c>
      <c r="B204" s="7" t="s">
        <v>445</v>
      </c>
      <c r="C204" s="53">
        <f t="shared" si="8"/>
        <v>0</v>
      </c>
      <c r="D204" s="53">
        <f t="shared" si="2"/>
        <v>0</v>
      </c>
      <c r="E204" s="57">
        <f>IFERROR(VLOOKUP(B204, Proof!A$2:$B$588,2, 0), 0)</f>
        <v>0</v>
      </c>
      <c r="F204" s="53">
        <f>IFERROR(VLOOKUP(B204, 'HMMTPUMaC Combo'!A$2:$B$500,2, 0), 0)</f>
        <v>0</v>
      </c>
      <c r="G204" s="53">
        <f>IFERROR(VLOOKUP(B204, 'HMMTPUMaC NT'!A$2:$B$500,2, 0), 0)</f>
        <v>0</v>
      </c>
      <c r="H204" s="58">
        <f>IFERROR(VLOOKUP(B204, 'HMMTPUMaC Algebra'!A$2:$B$500,2, 0), 0)</f>
        <v>0</v>
      </c>
      <c r="I204" s="53">
        <f>IFERROR(VLOOKUP(B204, 'HMMTPUMaC Geo'!$A$2:B$1500,2, 0), 0)</f>
        <v>0</v>
      </c>
      <c r="J204" s="47"/>
    </row>
    <row r="205">
      <c r="A205" s="52">
        <v>204.0</v>
      </c>
      <c r="B205" s="7" t="s">
        <v>231</v>
      </c>
      <c r="C205" s="53">
        <f t="shared" si="8"/>
        <v>0</v>
      </c>
      <c r="D205" s="53">
        <f t="shared" si="2"/>
        <v>0</v>
      </c>
      <c r="E205" s="57">
        <f>IFERROR(VLOOKUP(B205, Proof!A$2:$B$588,2, 0), 0)</f>
        <v>0</v>
      </c>
      <c r="F205" s="53">
        <f>IFERROR(VLOOKUP(B205, 'HMMTPUMaC Combo'!A$2:$B$500,2, 0), 0)</f>
        <v>0</v>
      </c>
      <c r="G205" s="53">
        <f>IFERROR(VLOOKUP(B205, 'HMMTPUMaC NT'!A$2:$B$500,2, 0), 0)</f>
        <v>0</v>
      </c>
      <c r="H205" s="58">
        <f>IFERROR(VLOOKUP(B205, 'HMMTPUMaC Algebra'!A$2:$B$500,2, 0), 0)</f>
        <v>0</v>
      </c>
      <c r="I205" s="53">
        <f>IFERROR(VLOOKUP(B205, 'HMMTPUMaC Geo'!$A$2:B$1500,2, 0), 0)</f>
        <v>0</v>
      </c>
      <c r="J205" s="47"/>
    </row>
    <row r="206">
      <c r="A206" s="52">
        <v>205.0</v>
      </c>
      <c r="B206" s="7" t="s">
        <v>495</v>
      </c>
      <c r="C206" s="53">
        <f t="shared" si="8"/>
        <v>0</v>
      </c>
      <c r="D206" s="53">
        <f t="shared" si="2"/>
        <v>0</v>
      </c>
      <c r="E206" s="57">
        <f>IFERROR(VLOOKUP(B206, Proof!A$2:$B$588,2, 0), 0)</f>
        <v>0</v>
      </c>
      <c r="F206" s="53">
        <f>IFERROR(VLOOKUP(B206, 'HMMTPUMaC Combo'!A$2:$B$500,2, 0), 0)</f>
        <v>0</v>
      </c>
      <c r="G206" s="53">
        <f>IFERROR(VLOOKUP(B206, 'HMMTPUMaC NT'!A$2:$B$500,2, 0), 0)</f>
        <v>0</v>
      </c>
      <c r="H206" s="58">
        <f>IFERROR(VLOOKUP(B206, 'HMMTPUMaC Algebra'!A$2:$B$500,2, 0), 0)</f>
        <v>0</v>
      </c>
      <c r="I206" s="53">
        <f>IFERROR(VLOOKUP(B206, 'HMMTPUMaC Geo'!$A$2:B$1500,2, 0), 0)</f>
        <v>0</v>
      </c>
    </row>
    <row r="207">
      <c r="A207" s="52">
        <v>206.0</v>
      </c>
      <c r="B207" s="7" t="s">
        <v>128</v>
      </c>
      <c r="C207" s="53">
        <f t="shared" si="8"/>
        <v>0</v>
      </c>
      <c r="D207" s="53">
        <f t="shared" si="2"/>
        <v>0</v>
      </c>
      <c r="E207" s="57">
        <f>IFERROR(VLOOKUP(B207, Proof!A$2:$B$588,2, 0), 0)</f>
        <v>0</v>
      </c>
      <c r="F207" s="53">
        <f>IFERROR(VLOOKUP(B207, 'HMMTPUMaC Combo'!A$2:$B$500,2, 0), 0)</f>
        <v>0</v>
      </c>
      <c r="G207" s="53">
        <f>IFERROR(VLOOKUP(B207, 'HMMTPUMaC NT'!A$2:$B$500,2, 0), 0)</f>
        <v>0</v>
      </c>
      <c r="H207" s="58">
        <f>IFERROR(VLOOKUP(B207, 'HMMTPUMaC Algebra'!A$2:$B$500,2, 0), 0)</f>
        <v>0</v>
      </c>
      <c r="I207" s="53">
        <f>IFERROR(VLOOKUP(B207, 'HMMTPUMaC Geo'!$A$2:B$1500,2, 0), 0)</f>
        <v>0</v>
      </c>
    </row>
    <row r="208">
      <c r="A208" s="52">
        <v>207.0</v>
      </c>
      <c r="B208" s="7" t="s">
        <v>120</v>
      </c>
      <c r="C208" s="53">
        <f t="shared" si="8"/>
        <v>0</v>
      </c>
      <c r="D208" s="53">
        <f t="shared" si="2"/>
        <v>0</v>
      </c>
      <c r="E208" s="57">
        <f>IFERROR(VLOOKUP(B208, Proof!A$2:$B$588,2, 0), 0)</f>
        <v>0</v>
      </c>
      <c r="F208" s="53">
        <f>IFERROR(VLOOKUP(B208, 'HMMTPUMaC Combo'!A$2:$B$500,2, 0), 0)</f>
        <v>0</v>
      </c>
      <c r="G208" s="53">
        <f>IFERROR(VLOOKUP(B208, 'HMMTPUMaC NT'!A$2:$B$500,2, 0), 0)</f>
        <v>0</v>
      </c>
      <c r="H208" s="58">
        <f>IFERROR(VLOOKUP(B208, 'HMMTPUMaC Algebra'!A$2:$B$500,2, 0), 0)</f>
        <v>0</v>
      </c>
      <c r="I208" s="53">
        <f>IFERROR(VLOOKUP(B208, 'HMMTPUMaC Geo'!$A$2:B$1500,2, 0), 0)</f>
        <v>0</v>
      </c>
    </row>
    <row r="209">
      <c r="A209" s="52">
        <v>208.0</v>
      </c>
      <c r="B209" s="7" t="s">
        <v>255</v>
      </c>
      <c r="C209" s="53">
        <f t="shared" si="8"/>
        <v>0</v>
      </c>
      <c r="D209" s="53">
        <f t="shared" si="2"/>
        <v>0</v>
      </c>
      <c r="E209" s="57">
        <f>IFERROR(VLOOKUP(B209, Proof!A$2:$B$588,2, 0), 0)</f>
        <v>0</v>
      </c>
      <c r="F209" s="53">
        <f>IFERROR(VLOOKUP(B209, 'HMMTPUMaC Combo'!A$2:$B$500,2, 0), 0)</f>
        <v>0</v>
      </c>
      <c r="G209" s="53">
        <f>IFERROR(VLOOKUP(B209, 'HMMTPUMaC NT'!A$2:$B$500,2, 0), 0)</f>
        <v>0</v>
      </c>
      <c r="H209" s="58">
        <f>IFERROR(VLOOKUP(B209, 'HMMTPUMaC Algebra'!A$2:$B$500,2, 0), 0)</f>
        <v>0</v>
      </c>
      <c r="I209" s="53">
        <f>IFERROR(VLOOKUP(B209, 'HMMTPUMaC Geo'!$A$2:B$1500,2, 0), 0)</f>
        <v>0</v>
      </c>
    </row>
    <row r="210">
      <c r="A210" s="52">
        <v>209.0</v>
      </c>
      <c r="B210" s="7" t="s">
        <v>256</v>
      </c>
      <c r="C210" s="53">
        <f t="shared" si="8"/>
        <v>0</v>
      </c>
      <c r="D210" s="53">
        <f t="shared" si="2"/>
        <v>0</v>
      </c>
      <c r="E210" s="57">
        <f>IFERROR(VLOOKUP(B210, Proof!A$2:$B$588,2, 0), 0)</f>
        <v>0</v>
      </c>
      <c r="F210" s="53">
        <f>IFERROR(VLOOKUP(B210, 'HMMTPUMaC Combo'!A$2:$B$500,2, 0), 0)</f>
        <v>0</v>
      </c>
      <c r="G210" s="53">
        <f>IFERROR(VLOOKUP(B210, 'HMMTPUMaC NT'!A$2:$B$500,2, 0), 0)</f>
        <v>0</v>
      </c>
      <c r="H210" s="58">
        <f>IFERROR(VLOOKUP(B210, 'HMMTPUMaC Algebra'!A$2:$B$500,2, 0), 0)</f>
        <v>0</v>
      </c>
      <c r="I210" s="53">
        <f>IFERROR(VLOOKUP(B210, 'HMMTPUMaC Geo'!$A$2:B$1500,2, 0), 0)</f>
        <v>0</v>
      </c>
    </row>
    <row r="211">
      <c r="A211" s="52">
        <v>210.0</v>
      </c>
      <c r="B211" s="7" t="s">
        <v>191</v>
      </c>
      <c r="C211" s="53">
        <f t="shared" si="8"/>
        <v>0</v>
      </c>
      <c r="D211" s="53">
        <f t="shared" si="2"/>
        <v>0</v>
      </c>
      <c r="E211" s="57">
        <f>IFERROR(VLOOKUP(B211, Proof!A$2:$B$588,2, 0), 0)</f>
        <v>0</v>
      </c>
      <c r="F211" s="53">
        <f>IFERROR(VLOOKUP(B211, 'HMMTPUMaC Combo'!A$2:$B$500,2, 0), 0)</f>
        <v>0</v>
      </c>
      <c r="G211" s="53">
        <f>IFERROR(VLOOKUP(B211, 'HMMTPUMaC NT'!A$2:$B$500,2, 0), 0)</f>
        <v>0</v>
      </c>
      <c r="H211" s="58">
        <f>IFERROR(VLOOKUP(B211, 'HMMTPUMaC Algebra'!A$2:$B$500,2, 0), 0)</f>
        <v>0</v>
      </c>
      <c r="I211" s="53">
        <f>IFERROR(VLOOKUP(B211, 'HMMTPUMaC Geo'!$A$2:B$1500,2, 0), 0)</f>
        <v>0</v>
      </c>
    </row>
    <row r="212">
      <c r="A212" s="52">
        <v>211.0</v>
      </c>
      <c r="B212" s="7" t="s">
        <v>486</v>
      </c>
      <c r="C212" s="53">
        <f t="shared" si="8"/>
        <v>0</v>
      </c>
      <c r="D212" s="53">
        <f t="shared" si="2"/>
        <v>0</v>
      </c>
      <c r="E212" s="57">
        <f>IFERROR(VLOOKUP(B212, Proof!A$2:$B$588,2, 0), 0)</f>
        <v>0</v>
      </c>
      <c r="F212" s="53">
        <f>IFERROR(VLOOKUP(B212, 'HMMTPUMaC Combo'!A$2:$B$500,2, 0), 0)</f>
        <v>0</v>
      </c>
      <c r="G212" s="53">
        <f>IFERROR(VLOOKUP(B212, 'HMMTPUMaC NT'!A$2:$B$500,2, 0), 0)</f>
        <v>0</v>
      </c>
      <c r="H212" s="58">
        <f>IFERROR(VLOOKUP(B212, 'HMMTPUMaC Algebra'!A$2:$B$500,2, 0), 0)</f>
        <v>0</v>
      </c>
      <c r="I212" s="53">
        <f>IFERROR(VLOOKUP(B212, 'HMMTPUMaC Geo'!$A$2:B$1500,2, 0), 0)</f>
        <v>0</v>
      </c>
    </row>
    <row r="213">
      <c r="A213" s="52">
        <v>212.0</v>
      </c>
      <c r="B213" s="7" t="s">
        <v>462</v>
      </c>
      <c r="C213" s="53">
        <f t="shared" si="8"/>
        <v>0</v>
      </c>
      <c r="D213" s="53">
        <f t="shared" si="2"/>
        <v>0</v>
      </c>
      <c r="E213" s="57">
        <f>IFERROR(VLOOKUP(B213, Proof!A$2:$B$588,2, 0), 0)</f>
        <v>0</v>
      </c>
      <c r="F213" s="53">
        <f>IFERROR(VLOOKUP(B213, 'HMMTPUMaC Combo'!A$2:$B$500,2, 0), 0)</f>
        <v>0</v>
      </c>
      <c r="G213" s="53">
        <f>IFERROR(VLOOKUP(B213, 'HMMTPUMaC NT'!A$2:$B$500,2, 0), 0)</f>
        <v>0</v>
      </c>
      <c r="H213" s="58">
        <f>IFERROR(VLOOKUP(B213, 'HMMTPUMaC Algebra'!A$2:$B$500,2, 0), 0)</f>
        <v>0</v>
      </c>
      <c r="I213" s="53">
        <f>IFERROR(VLOOKUP(B213, 'HMMTPUMaC Geo'!$A$2:B$1500,2, 0), 0)</f>
        <v>0</v>
      </c>
    </row>
    <row r="214">
      <c r="A214" s="52">
        <v>213.0</v>
      </c>
      <c r="B214" s="7" t="s">
        <v>161</v>
      </c>
      <c r="C214" s="53">
        <f t="shared" si="8"/>
        <v>0</v>
      </c>
      <c r="D214" s="53">
        <f t="shared" si="2"/>
        <v>0</v>
      </c>
      <c r="E214" s="57">
        <f>IFERROR(VLOOKUP(B214, Proof!A$2:$B$588,2, 0), 0)</f>
        <v>0</v>
      </c>
      <c r="F214" s="53">
        <f>IFERROR(VLOOKUP(B214, 'HMMTPUMaC Combo'!A$2:$B$500,2, 0), 0)</f>
        <v>0</v>
      </c>
      <c r="G214" s="53">
        <f>IFERROR(VLOOKUP(B214, 'HMMTPUMaC NT'!A$2:$B$500,2, 0), 0)</f>
        <v>0</v>
      </c>
      <c r="H214" s="58">
        <f>IFERROR(VLOOKUP(B214, 'HMMTPUMaC Algebra'!A$2:$B$500,2, 0), 0)</f>
        <v>0</v>
      </c>
      <c r="I214" s="53">
        <f>IFERROR(VLOOKUP(B214, 'HMMTPUMaC Geo'!$A$2:B$1500,2, 0), 0)</f>
        <v>0</v>
      </c>
    </row>
    <row r="215">
      <c r="A215" s="52">
        <v>214.0</v>
      </c>
      <c r="B215" s="7" t="s">
        <v>123</v>
      </c>
      <c r="C215" s="53">
        <f t="shared" si="8"/>
        <v>0</v>
      </c>
      <c r="D215" s="53">
        <f t="shared" si="2"/>
        <v>0</v>
      </c>
      <c r="E215" s="57">
        <f>IFERROR(VLOOKUP(B215, Proof!A$2:$B$588,2, 0), 0)</f>
        <v>0</v>
      </c>
      <c r="F215" s="53">
        <f>IFERROR(VLOOKUP(B215, 'HMMTPUMaC Combo'!A$2:$B$500,2, 0), 0)</f>
        <v>0</v>
      </c>
      <c r="G215" s="53">
        <f>IFERROR(VLOOKUP(B215, 'HMMTPUMaC NT'!A$2:$B$500,2, 0), 0)</f>
        <v>0</v>
      </c>
      <c r="H215" s="58">
        <f>IFERROR(VLOOKUP(B215, 'HMMTPUMaC Algebra'!A$2:$B$500,2, 0), 0)</f>
        <v>0</v>
      </c>
      <c r="I215" s="53">
        <f>IFERROR(VLOOKUP(B215, 'HMMTPUMaC Geo'!$A$2:B$1500,2, 0), 0)</f>
        <v>0</v>
      </c>
    </row>
    <row r="216">
      <c r="A216" s="52">
        <v>215.0</v>
      </c>
      <c r="B216" s="7" t="s">
        <v>135</v>
      </c>
      <c r="C216" s="53">
        <f t="shared" si="8"/>
        <v>0</v>
      </c>
      <c r="D216" s="53">
        <f t="shared" si="2"/>
        <v>0</v>
      </c>
      <c r="E216" s="57">
        <f>IFERROR(VLOOKUP(B216, Proof!A$2:$B$588,2, 0), 0)</f>
        <v>0</v>
      </c>
      <c r="F216" s="53">
        <f>IFERROR(VLOOKUP(B216, 'HMMTPUMaC Combo'!A$2:$B$500,2, 0), 0)</f>
        <v>0</v>
      </c>
      <c r="G216" s="53">
        <f>IFERROR(VLOOKUP(B216, 'HMMTPUMaC NT'!A$2:$B$500,2, 0), 0)</f>
        <v>0</v>
      </c>
      <c r="H216" s="58">
        <f>IFERROR(VLOOKUP(B216, 'HMMTPUMaC Algebra'!A$2:$B$500,2, 0), 0)</f>
        <v>0</v>
      </c>
      <c r="I216" s="53">
        <f>IFERROR(VLOOKUP(B216, 'HMMTPUMaC Geo'!$A$2:B$1500,2, 0), 0)</f>
        <v>0</v>
      </c>
    </row>
    <row r="217">
      <c r="A217" s="52">
        <v>216.0</v>
      </c>
      <c r="B217" s="7" t="s">
        <v>464</v>
      </c>
      <c r="C217" s="53">
        <f t="shared" si="8"/>
        <v>0</v>
      </c>
      <c r="D217" s="53">
        <f t="shared" si="2"/>
        <v>0</v>
      </c>
      <c r="E217" s="57">
        <f>IFERROR(VLOOKUP(B217, Proof!A$2:$B$588,2, 0), 0)</f>
        <v>0</v>
      </c>
      <c r="F217" s="53">
        <f>IFERROR(VLOOKUP(B217, 'HMMTPUMaC Combo'!A$2:$B$500,2, 0), 0)</f>
        <v>0</v>
      </c>
      <c r="G217" s="53">
        <f>IFERROR(VLOOKUP(B217, 'HMMTPUMaC NT'!A$2:$B$500,2, 0), 0)</f>
        <v>0</v>
      </c>
      <c r="H217" s="58">
        <f>IFERROR(VLOOKUP(B217, 'HMMTPUMaC Algebra'!A$2:$B$500,2, 0), 0)</f>
        <v>0</v>
      </c>
      <c r="I217" s="53">
        <f>IFERROR(VLOOKUP(B217, 'HMMTPUMaC Geo'!$A$2:B$1500,2, 0), 0)</f>
        <v>0</v>
      </c>
    </row>
    <row r="218">
      <c r="A218" s="52">
        <v>217.0</v>
      </c>
      <c r="B218" s="7" t="s">
        <v>491</v>
      </c>
      <c r="C218" s="53">
        <f t="shared" si="8"/>
        <v>0</v>
      </c>
      <c r="D218" s="53">
        <f t="shared" si="2"/>
        <v>0</v>
      </c>
      <c r="E218" s="57">
        <f>IFERROR(VLOOKUP(B218, Proof!A$2:$B$588,2, 0), 0)</f>
        <v>0</v>
      </c>
      <c r="F218" s="53">
        <f>IFERROR(VLOOKUP(B218, 'HMMTPUMaC Combo'!A$2:$B$500,2, 0), 0)</f>
        <v>0</v>
      </c>
      <c r="G218" s="53">
        <f>IFERROR(VLOOKUP(B218, 'HMMTPUMaC NT'!A$2:$B$500,2, 0), 0)</f>
        <v>0</v>
      </c>
      <c r="H218" s="58">
        <f>IFERROR(VLOOKUP(B218, 'HMMTPUMaC Algebra'!A$2:$B$500,2, 0), 0)</f>
        <v>0</v>
      </c>
      <c r="I218" s="53">
        <f>IFERROR(VLOOKUP(B218, 'HMMTPUMaC Geo'!$A$2:B$1500,2, 0), 0)</f>
        <v>0</v>
      </c>
    </row>
    <row r="219">
      <c r="A219" s="52">
        <v>218.0</v>
      </c>
      <c r="B219" s="7" t="s">
        <v>451</v>
      </c>
      <c r="C219" s="53">
        <f t="shared" si="8"/>
        <v>0</v>
      </c>
      <c r="D219" s="53">
        <f t="shared" si="2"/>
        <v>0</v>
      </c>
      <c r="E219" s="57">
        <f>IFERROR(VLOOKUP(B219, Proof!A$2:$B$588,2, 0), 0)</f>
        <v>0</v>
      </c>
      <c r="F219" s="53">
        <f>IFERROR(VLOOKUP(B219, 'HMMTPUMaC Combo'!A$2:$B$500,2, 0), 0)</f>
        <v>0</v>
      </c>
      <c r="G219" s="53">
        <f>IFERROR(VLOOKUP(B219, 'HMMTPUMaC NT'!A$2:$B$500,2, 0), 0)</f>
        <v>0</v>
      </c>
      <c r="H219" s="58">
        <f>IFERROR(VLOOKUP(B219, 'HMMTPUMaC Algebra'!A$2:$B$500,2, 0), 0)</f>
        <v>0</v>
      </c>
      <c r="I219" s="53">
        <f>IFERROR(VLOOKUP(B219, 'HMMTPUMaC Geo'!$A$2:B$1500,2, 0), 0)</f>
        <v>0</v>
      </c>
    </row>
    <row r="220">
      <c r="A220" s="52">
        <v>219.0</v>
      </c>
      <c r="B220" s="7" t="s">
        <v>456</v>
      </c>
      <c r="C220" s="53">
        <f t="shared" si="8"/>
        <v>0</v>
      </c>
      <c r="D220" s="53">
        <f t="shared" si="2"/>
        <v>0</v>
      </c>
      <c r="E220" s="57">
        <f>IFERROR(VLOOKUP(B220, Proof!A$2:$B$588,2, 0), 0)</f>
        <v>0</v>
      </c>
      <c r="F220" s="53">
        <f>IFERROR(VLOOKUP(B220, 'HMMTPUMaC Combo'!A$2:$B$500,2, 0), 0)</f>
        <v>0</v>
      </c>
      <c r="G220" s="53">
        <f>IFERROR(VLOOKUP(B220, 'HMMTPUMaC NT'!A$2:$B$500,2, 0), 0)</f>
        <v>0</v>
      </c>
      <c r="H220" s="58">
        <f>IFERROR(VLOOKUP(B220, 'HMMTPUMaC Algebra'!A$2:$B$500,2, 0), 0)</f>
        <v>0</v>
      </c>
      <c r="I220" s="53">
        <f>IFERROR(VLOOKUP(B220, 'HMMTPUMaC Geo'!$A$2:B$1500,2, 0), 0)</f>
        <v>0</v>
      </c>
    </row>
    <row r="221">
      <c r="A221" s="52">
        <v>220.0</v>
      </c>
      <c r="B221" s="17" t="s">
        <v>118</v>
      </c>
      <c r="C221" s="53">
        <f t="shared" si="8"/>
        <v>0</v>
      </c>
      <c r="D221" s="53">
        <f t="shared" si="2"/>
        <v>0</v>
      </c>
      <c r="E221" s="57">
        <f>IFERROR(VLOOKUP(B221, Proof!A$2:$B$588,2, 0), 0)</f>
        <v>0</v>
      </c>
      <c r="F221" s="53">
        <f>IFERROR(VLOOKUP(B221, 'HMMTPUMaC Combo'!A$2:$B$500,2, 0), 0)</f>
        <v>0</v>
      </c>
      <c r="G221" s="53">
        <f>IFERROR(VLOOKUP(B221, 'HMMTPUMaC NT'!A$2:$B$500,2, 0), 0)</f>
        <v>0</v>
      </c>
      <c r="H221" s="58">
        <f>IFERROR(VLOOKUP(B221, 'HMMTPUMaC Algebra'!A$2:$B$500,2, 0), 0)</f>
        <v>0</v>
      </c>
      <c r="I221" s="53">
        <f>IFERROR(VLOOKUP(B221, 'HMMTPUMaC Geo'!$A$2:B$1500,2, 0), 0)</f>
        <v>0</v>
      </c>
    </row>
    <row r="222">
      <c r="A222" s="52">
        <v>221.0</v>
      </c>
      <c r="B222" s="7" t="s">
        <v>483</v>
      </c>
      <c r="C222" s="53">
        <f t="shared" si="8"/>
        <v>0</v>
      </c>
      <c r="D222" s="53">
        <f t="shared" si="2"/>
        <v>0</v>
      </c>
      <c r="E222" s="57">
        <f>IFERROR(VLOOKUP(B222, Proof!A$2:$B$588,2, 0), 0)</f>
        <v>0</v>
      </c>
      <c r="F222" s="53">
        <f>IFERROR(VLOOKUP(B222, 'HMMTPUMaC Combo'!A$2:$B$500,2, 0), 0)</f>
        <v>0</v>
      </c>
      <c r="G222" s="53">
        <f>IFERROR(VLOOKUP(B222, 'HMMTPUMaC NT'!A$2:$B$500,2, 0), 0)</f>
        <v>0</v>
      </c>
      <c r="H222" s="58">
        <f>IFERROR(VLOOKUP(B222, 'HMMTPUMaC Algebra'!A$2:$B$500,2, 0), 0)</f>
        <v>0</v>
      </c>
      <c r="I222" s="53">
        <f>IFERROR(VLOOKUP(B222, 'HMMTPUMaC Geo'!$A$2:B$1500,2, 0), 0)</f>
        <v>0</v>
      </c>
    </row>
    <row r="223">
      <c r="A223" s="52">
        <v>222.0</v>
      </c>
      <c r="B223" s="7" t="s">
        <v>488</v>
      </c>
      <c r="C223" s="53">
        <f t="shared" si="8"/>
        <v>0</v>
      </c>
      <c r="D223" s="53">
        <f t="shared" si="2"/>
        <v>0</v>
      </c>
      <c r="E223" s="57">
        <f>IFERROR(VLOOKUP(B223, Proof!A$2:$B$588,2, 0), 0)</f>
        <v>0</v>
      </c>
      <c r="F223" s="53">
        <f>IFERROR(VLOOKUP(B223, 'HMMTPUMaC Combo'!A$2:$B$500,2, 0), 0)</f>
        <v>0</v>
      </c>
      <c r="G223" s="53">
        <f>IFERROR(VLOOKUP(B223, 'HMMTPUMaC NT'!A$2:$B$500,2, 0), 0)</f>
        <v>0</v>
      </c>
      <c r="H223" s="58">
        <f>IFERROR(VLOOKUP(B223, 'HMMTPUMaC Algebra'!A$2:$B$500,2, 0), 0)</f>
        <v>0</v>
      </c>
      <c r="I223" s="53">
        <f>IFERROR(VLOOKUP(B223, 'HMMTPUMaC Geo'!$A$2:B$1500,2, 0), 0)</f>
        <v>0</v>
      </c>
    </row>
    <row r="224">
      <c r="A224" s="52">
        <v>223.0</v>
      </c>
      <c r="B224" s="7" t="s">
        <v>437</v>
      </c>
      <c r="C224" s="53">
        <f t="shared" si="8"/>
        <v>0</v>
      </c>
      <c r="D224" s="53">
        <f t="shared" si="2"/>
        <v>0</v>
      </c>
      <c r="E224" s="57">
        <f>IFERROR(VLOOKUP(B224, Proof!A$2:$B$588,2, 0), 0)</f>
        <v>0</v>
      </c>
      <c r="F224" s="53">
        <f>IFERROR(VLOOKUP(B224, 'HMMTPUMaC Combo'!A$2:$B$500,2, 0), 0)</f>
        <v>0</v>
      </c>
      <c r="G224" s="53">
        <f>IFERROR(VLOOKUP(B224, 'HMMTPUMaC NT'!A$2:$B$500,2, 0), 0)</f>
        <v>0</v>
      </c>
      <c r="H224" s="58">
        <f>IFERROR(VLOOKUP(B224, 'HMMTPUMaC Algebra'!A$2:$B$500,2, 0), 0)</f>
        <v>0</v>
      </c>
      <c r="I224" s="53">
        <f>IFERROR(VLOOKUP(B224, 'HMMTPUMaC Geo'!$A$2:B$1500,2, 0), 0)</f>
        <v>0</v>
      </c>
    </row>
    <row r="225">
      <c r="A225" s="52">
        <v>224.0</v>
      </c>
      <c r="B225" s="7" t="s">
        <v>137</v>
      </c>
      <c r="C225" s="53">
        <f t="shared" si="8"/>
        <v>0</v>
      </c>
      <c r="D225" s="53">
        <f t="shared" si="2"/>
        <v>0</v>
      </c>
      <c r="E225" s="57">
        <f>IFERROR(VLOOKUP(B225, Proof!A$2:$B$588,2, 0), 0)</f>
        <v>0</v>
      </c>
      <c r="F225" s="53">
        <f>IFERROR(VLOOKUP(B225, 'HMMTPUMaC Combo'!A$2:$B$500,2, 0), 0)</f>
        <v>0</v>
      </c>
      <c r="G225" s="53">
        <f>IFERROR(VLOOKUP(B225, 'HMMTPUMaC NT'!A$2:$B$500,2, 0), 0)</f>
        <v>0</v>
      </c>
      <c r="H225" s="58">
        <f>IFERROR(VLOOKUP(B225, 'HMMTPUMaC Algebra'!A$2:$B$500,2, 0), 0)</f>
        <v>0</v>
      </c>
      <c r="I225" s="53">
        <f>IFERROR(VLOOKUP(B225, 'HMMTPUMaC Geo'!$A$2:B$1500,2, 0), 0)</f>
        <v>0</v>
      </c>
    </row>
    <row r="226">
      <c r="A226" s="52">
        <v>225.0</v>
      </c>
      <c r="B226" s="7" t="s">
        <v>101</v>
      </c>
      <c r="C226" s="53">
        <f t="shared" si="8"/>
        <v>0</v>
      </c>
      <c r="D226" s="53">
        <f t="shared" si="2"/>
        <v>0</v>
      </c>
      <c r="E226" s="57">
        <f>IFERROR(VLOOKUP(B226, Proof!A$2:$B$588,2, 0), 0)</f>
        <v>0</v>
      </c>
      <c r="F226" s="53">
        <f>IFERROR(VLOOKUP(B226, 'HMMTPUMaC Combo'!A$2:$B$500,2, 0), 0)</f>
        <v>0</v>
      </c>
      <c r="G226" s="53">
        <f>IFERROR(VLOOKUP(B226, 'HMMTPUMaC NT'!A$2:$B$500,2, 0), 0)</f>
        <v>0</v>
      </c>
      <c r="H226" s="58">
        <f>IFERROR(VLOOKUP(B226, 'HMMTPUMaC Algebra'!A$2:$B$500,2, 0), 0)</f>
        <v>0</v>
      </c>
      <c r="I226" s="53">
        <f>IFERROR(VLOOKUP(B226, 'HMMTPUMaC Geo'!$A$2:B$1500,2, 0), 0)</f>
        <v>0</v>
      </c>
    </row>
    <row r="227">
      <c r="A227" s="52">
        <v>226.0</v>
      </c>
      <c r="B227" s="7" t="s">
        <v>108</v>
      </c>
      <c r="C227" s="53">
        <f t="shared" si="8"/>
        <v>0</v>
      </c>
      <c r="D227" s="53">
        <f t="shared" si="2"/>
        <v>0</v>
      </c>
      <c r="E227" s="57">
        <f>IFERROR(VLOOKUP(B227, Proof!A$2:$B$588,2, 0), 0)</f>
        <v>0</v>
      </c>
      <c r="F227" s="53">
        <f>IFERROR(VLOOKUP(B227, 'HMMTPUMaC Combo'!A$2:$B$500,2, 0), 0)</f>
        <v>0</v>
      </c>
      <c r="G227" s="53">
        <f>IFERROR(VLOOKUP(B227, 'HMMTPUMaC NT'!A$2:$B$500,2, 0), 0)</f>
        <v>0</v>
      </c>
      <c r="H227" s="58">
        <f>IFERROR(VLOOKUP(B227, 'HMMTPUMaC Algebra'!A$2:$B$500,2, 0), 0)</f>
        <v>0</v>
      </c>
      <c r="I227" s="53">
        <f>IFERROR(VLOOKUP(B227, 'HMMTPUMaC Geo'!$A$2:B$1500,2, 0), 0)</f>
        <v>0</v>
      </c>
    </row>
    <row r="228">
      <c r="A228" s="52">
        <v>227.0</v>
      </c>
      <c r="B228" s="7" t="s">
        <v>470</v>
      </c>
      <c r="C228" s="53">
        <f t="shared" si="8"/>
        <v>0</v>
      </c>
      <c r="D228" s="53">
        <f t="shared" si="2"/>
        <v>0</v>
      </c>
      <c r="E228" s="57">
        <f>IFERROR(VLOOKUP(B228, Proof!A$2:$B$588,2, 0), 0)</f>
        <v>0</v>
      </c>
      <c r="F228" s="53">
        <f>IFERROR(VLOOKUP(B228, 'HMMTPUMaC Combo'!A$2:$B$500,2, 0), 0)</f>
        <v>0</v>
      </c>
      <c r="G228" s="53">
        <f>IFERROR(VLOOKUP(B228, 'HMMTPUMaC NT'!A$2:$B$500,2, 0), 0)</f>
        <v>0</v>
      </c>
      <c r="H228" s="58">
        <f>IFERROR(VLOOKUP(B228, 'HMMTPUMaC Algebra'!A$2:$B$500,2, 0), 0)</f>
        <v>0</v>
      </c>
      <c r="I228" s="53">
        <f>IFERROR(VLOOKUP(B228, 'HMMTPUMaC Geo'!$A$2:B$1500,2, 0), 0)</f>
        <v>0</v>
      </c>
    </row>
    <row r="229">
      <c r="A229" s="52">
        <v>228.0</v>
      </c>
      <c r="B229" s="7" t="s">
        <v>105</v>
      </c>
      <c r="C229" s="53">
        <f t="shared" si="8"/>
        <v>0</v>
      </c>
      <c r="D229" s="53">
        <f t="shared" si="2"/>
        <v>0</v>
      </c>
      <c r="E229" s="57">
        <f>IFERROR(VLOOKUP(B229, Proof!A$2:$B$588,2, 0), 0)</f>
        <v>0</v>
      </c>
      <c r="F229" s="53">
        <f>IFERROR(VLOOKUP(B229, 'HMMTPUMaC Combo'!A$2:$B$500,2, 0), 0)</f>
        <v>0</v>
      </c>
      <c r="G229" s="53">
        <f>IFERROR(VLOOKUP(B229, 'HMMTPUMaC NT'!A$2:$B$500,2, 0), 0)</f>
        <v>0</v>
      </c>
      <c r="H229" s="58">
        <f>IFERROR(VLOOKUP(B229, 'HMMTPUMaC Algebra'!A$2:$B$500,2, 0), 0)</f>
        <v>0</v>
      </c>
      <c r="I229" s="53">
        <f>IFERROR(VLOOKUP(B229, 'HMMTPUMaC Geo'!$A$2:B$1500,2, 0), 0)</f>
        <v>0</v>
      </c>
    </row>
    <row r="230">
      <c r="A230" s="52">
        <v>229.0</v>
      </c>
      <c r="B230" s="7" t="s">
        <v>210</v>
      </c>
      <c r="C230" s="53">
        <f t="shared" si="8"/>
        <v>0</v>
      </c>
      <c r="D230" s="53">
        <f t="shared" si="2"/>
        <v>0</v>
      </c>
      <c r="E230" s="57">
        <f>IFERROR(VLOOKUP(B230, Proof!A$2:$B$588,2, 0), 0)</f>
        <v>0</v>
      </c>
      <c r="F230" s="53">
        <f>IFERROR(VLOOKUP(B230, 'HMMTPUMaC Combo'!A$2:$B$500,2, 0), 0)</f>
        <v>0</v>
      </c>
      <c r="G230" s="53">
        <f>IFERROR(VLOOKUP(B230, 'HMMTPUMaC NT'!A$2:$B$500,2, 0), 0)</f>
        <v>0</v>
      </c>
      <c r="H230" s="58">
        <f>IFERROR(VLOOKUP(B230, 'HMMTPUMaC Algebra'!A$2:$B$500,2, 0), 0)</f>
        <v>0</v>
      </c>
      <c r="I230" s="53">
        <f>IFERROR(VLOOKUP(B230, 'HMMTPUMaC Geo'!$A$2:B$1500,2, 0), 0)</f>
        <v>0</v>
      </c>
    </row>
    <row r="231">
      <c r="A231" s="52">
        <v>230.0</v>
      </c>
      <c r="B231" s="7" t="s">
        <v>119</v>
      </c>
      <c r="C231" s="53">
        <f t="shared" si="8"/>
        <v>0</v>
      </c>
      <c r="D231" s="53">
        <f t="shared" si="2"/>
        <v>0</v>
      </c>
      <c r="E231" s="57">
        <f>IFERROR(VLOOKUP(B231, Proof!A$2:$B$588,2, 0), 0)</f>
        <v>0</v>
      </c>
      <c r="F231" s="53">
        <f>IFERROR(VLOOKUP(B231, 'HMMTPUMaC Combo'!A$2:$B$500,2, 0), 0)</f>
        <v>0</v>
      </c>
      <c r="G231" s="53">
        <f>IFERROR(VLOOKUP(B231, 'HMMTPUMaC NT'!A$2:$B$500,2, 0), 0)</f>
        <v>0</v>
      </c>
      <c r="H231" s="58">
        <f>IFERROR(VLOOKUP(B231, 'HMMTPUMaC Algebra'!A$2:$B$500,2, 0), 0)</f>
        <v>0</v>
      </c>
      <c r="I231" s="53">
        <f>IFERROR(VLOOKUP(B231, 'HMMTPUMaC Geo'!$A$2:B$1500,2, 0), 0)</f>
        <v>0</v>
      </c>
    </row>
    <row r="232">
      <c r="A232" s="52">
        <v>231.0</v>
      </c>
      <c r="B232" s="7" t="s">
        <v>230</v>
      </c>
      <c r="C232" s="53">
        <f t="shared" si="8"/>
        <v>0</v>
      </c>
      <c r="D232" s="53">
        <f t="shared" si="2"/>
        <v>0</v>
      </c>
      <c r="E232" s="57">
        <f>IFERROR(VLOOKUP(B232, Proof!A$2:$B$588,2, 0), 0)</f>
        <v>0</v>
      </c>
      <c r="F232" s="53">
        <f>IFERROR(VLOOKUP(B232, 'HMMTPUMaC Combo'!A$2:$B$500,2, 0), 0)</f>
        <v>0</v>
      </c>
      <c r="G232" s="53">
        <f>IFERROR(VLOOKUP(B232, 'HMMTPUMaC NT'!A$2:$B$500,2, 0), 0)</f>
        <v>0</v>
      </c>
      <c r="H232" s="58">
        <f>IFERROR(VLOOKUP(B232, 'HMMTPUMaC Algebra'!A$2:$B$500,2, 0), 0)</f>
        <v>0</v>
      </c>
      <c r="I232" s="53">
        <f>IFERROR(VLOOKUP(B232, 'HMMTPUMaC Geo'!$A$2:B$1500,2, 0), 0)</f>
        <v>0</v>
      </c>
    </row>
    <row r="233">
      <c r="A233" s="52">
        <v>232.0</v>
      </c>
      <c r="B233" s="7" t="s">
        <v>233</v>
      </c>
      <c r="C233" s="53">
        <f t="shared" si="8"/>
        <v>0</v>
      </c>
      <c r="D233" s="53">
        <f t="shared" si="2"/>
        <v>0</v>
      </c>
      <c r="E233" s="57">
        <f>IFERROR(VLOOKUP(B233, Proof!A$2:$B$588,2, 0), 0)</f>
        <v>0</v>
      </c>
      <c r="F233" s="53">
        <f>IFERROR(VLOOKUP(B233, 'HMMTPUMaC Combo'!A$2:$B$500,2, 0), 0)</f>
        <v>0</v>
      </c>
      <c r="G233" s="53">
        <f>IFERROR(VLOOKUP(B233, 'HMMTPUMaC NT'!A$2:$B$500,2, 0), 0)</f>
        <v>0</v>
      </c>
      <c r="H233" s="58">
        <f>IFERROR(VLOOKUP(B233, 'HMMTPUMaC Algebra'!A$2:$B$500,2, 0), 0)</f>
        <v>0</v>
      </c>
      <c r="I233" s="53">
        <f>IFERROR(VLOOKUP(B233, 'HMMTPUMaC Geo'!$A$2:B$1500,2, 0), 0)</f>
        <v>0</v>
      </c>
    </row>
    <row r="234">
      <c r="A234" s="52">
        <v>233.0</v>
      </c>
      <c r="B234" s="7" t="s">
        <v>259</v>
      </c>
      <c r="C234" s="53">
        <f t="shared" si="8"/>
        <v>0</v>
      </c>
      <c r="D234" s="53">
        <f t="shared" si="2"/>
        <v>0</v>
      </c>
      <c r="E234" s="57">
        <f>IFERROR(VLOOKUP(B234, Proof!A$2:$B$588,2, 0), 0)</f>
        <v>0</v>
      </c>
      <c r="F234" s="53">
        <f>IFERROR(VLOOKUP(B234, 'HMMTPUMaC Combo'!A$2:$B$500,2, 0), 0)</f>
        <v>0</v>
      </c>
      <c r="G234" s="53">
        <f>IFERROR(VLOOKUP(B234, 'HMMTPUMaC NT'!A$2:$B$500,2, 0), 0)</f>
        <v>0</v>
      </c>
      <c r="H234" s="58">
        <f>IFERROR(VLOOKUP(B234, 'HMMTPUMaC Algebra'!A$2:$B$500,2, 0), 0)</f>
        <v>0</v>
      </c>
      <c r="I234" s="53">
        <f>IFERROR(VLOOKUP(B234, 'HMMTPUMaC Geo'!$A$2:B$1500,2, 0), 0)</f>
        <v>0</v>
      </c>
    </row>
    <row r="235">
      <c r="A235" s="52">
        <v>234.0</v>
      </c>
      <c r="B235" s="7" t="s">
        <v>236</v>
      </c>
      <c r="C235" s="53">
        <f t="shared" si="8"/>
        <v>0</v>
      </c>
      <c r="D235" s="53">
        <f t="shared" si="2"/>
        <v>0</v>
      </c>
      <c r="E235" s="57">
        <f>IFERROR(VLOOKUP(B235, Proof!A$2:$B$588,2, 0), 0)</f>
        <v>0</v>
      </c>
      <c r="F235" s="53">
        <f>IFERROR(VLOOKUP(B235, 'HMMTPUMaC Combo'!A$2:$B$500,2, 0), 0)</f>
        <v>0</v>
      </c>
      <c r="G235" s="53">
        <f>IFERROR(VLOOKUP(B235, 'HMMTPUMaC NT'!A$2:$B$500,2, 0), 0)</f>
        <v>0</v>
      </c>
      <c r="H235" s="58">
        <f>IFERROR(VLOOKUP(B235, 'HMMTPUMaC Algebra'!A$2:$B$500,2, 0), 0)</f>
        <v>0</v>
      </c>
      <c r="I235" s="53">
        <f>IFERROR(VLOOKUP(B235, 'HMMTPUMaC Geo'!$A$2:B$1500,2, 0), 0)</f>
        <v>0</v>
      </c>
    </row>
    <row r="236">
      <c r="A236" s="52">
        <v>235.0</v>
      </c>
      <c r="B236" s="17" t="s">
        <v>476</v>
      </c>
      <c r="C236" s="53">
        <f t="shared" si="8"/>
        <v>0</v>
      </c>
      <c r="D236" s="53">
        <f t="shared" si="2"/>
        <v>0</v>
      </c>
      <c r="E236" s="57">
        <f>IFERROR(VLOOKUP(B236, Proof!A$2:$B$588,2, 0), 0)</f>
        <v>0</v>
      </c>
      <c r="F236" s="53">
        <f>IFERROR(VLOOKUP(B236, 'HMMTPUMaC Combo'!A$2:$B$500,2, 0), 0)</f>
        <v>0</v>
      </c>
      <c r="G236" s="53">
        <f>IFERROR(VLOOKUP(B236, 'HMMTPUMaC NT'!A$2:$B$500,2, 0), 0)</f>
        <v>0</v>
      </c>
      <c r="H236" s="58">
        <f>IFERROR(VLOOKUP(B236, 'HMMTPUMaC Algebra'!A$2:$B$500,2, 0), 0)</f>
        <v>0</v>
      </c>
      <c r="I236" s="53">
        <f>IFERROR(VLOOKUP(B236, 'HMMTPUMaC Geo'!$A$2:B$1500,2, 0), 0)</f>
        <v>0</v>
      </c>
    </row>
    <row r="237">
      <c r="A237" s="52">
        <v>236.0</v>
      </c>
      <c r="B237" s="7" t="s">
        <v>453</v>
      </c>
      <c r="C237" s="53">
        <f t="shared" si="8"/>
        <v>0</v>
      </c>
      <c r="D237" s="53">
        <f t="shared" si="2"/>
        <v>0</v>
      </c>
      <c r="E237" s="57">
        <f>IFERROR(VLOOKUP(B237, Proof!A$2:$B$588,2, 0), 0)</f>
        <v>0</v>
      </c>
      <c r="F237" s="53">
        <f>IFERROR(VLOOKUP(B237, 'HMMTPUMaC Combo'!A$2:$B$500,2, 0), 0)</f>
        <v>0</v>
      </c>
      <c r="G237" s="53">
        <f>IFERROR(VLOOKUP(B237, 'HMMTPUMaC NT'!A$2:$B$500,2, 0), 0)</f>
        <v>0</v>
      </c>
      <c r="H237" s="58">
        <f>IFERROR(VLOOKUP(B237, 'HMMTPUMaC Algebra'!A$2:$B$500,2, 0), 0)</f>
        <v>0</v>
      </c>
      <c r="I237" s="53">
        <f>IFERROR(VLOOKUP(B237, 'HMMTPUMaC Geo'!$A$2:B$1500,2, 0), 0)</f>
        <v>0</v>
      </c>
    </row>
    <row r="238">
      <c r="A238" s="52">
        <v>237.0</v>
      </c>
      <c r="B238" s="7" t="s">
        <v>471</v>
      </c>
      <c r="C238" s="53">
        <f t="shared" si="8"/>
        <v>0</v>
      </c>
      <c r="D238" s="53">
        <f t="shared" si="2"/>
        <v>0</v>
      </c>
      <c r="E238" s="57">
        <f>IFERROR(VLOOKUP(B238, Proof!A$2:$B$588,2, 0), 0)</f>
        <v>0</v>
      </c>
      <c r="F238" s="53">
        <f>IFERROR(VLOOKUP(B238, 'HMMTPUMaC Combo'!A$2:$B$500,2, 0), 0)</f>
        <v>0</v>
      </c>
      <c r="G238" s="53">
        <f>IFERROR(VLOOKUP(B238, 'HMMTPUMaC NT'!A$2:$B$500,2, 0), 0)</f>
        <v>0</v>
      </c>
      <c r="H238" s="58">
        <f>IFERROR(VLOOKUP(B238, 'HMMTPUMaC Algebra'!A$2:$B$500,2, 0), 0)</f>
        <v>0</v>
      </c>
      <c r="I238" s="53">
        <f>IFERROR(VLOOKUP(B238, 'HMMTPUMaC Geo'!$A$2:B$1500,2, 0), 0)</f>
        <v>0</v>
      </c>
    </row>
    <row r="239">
      <c r="A239" s="52">
        <v>238.0</v>
      </c>
      <c r="B239" s="7" t="s">
        <v>449</v>
      </c>
      <c r="C239" s="53">
        <f t="shared" si="8"/>
        <v>0</v>
      </c>
      <c r="D239" s="53">
        <f t="shared" si="2"/>
        <v>0</v>
      </c>
      <c r="E239" s="57">
        <f>IFERROR(VLOOKUP(B239, Proof!A$2:$B$588,2, 0), 0)</f>
        <v>0</v>
      </c>
      <c r="F239" s="53">
        <f>IFERROR(VLOOKUP(B239, 'HMMTPUMaC Combo'!A$2:$B$500,2, 0), 0)</f>
        <v>0</v>
      </c>
      <c r="G239" s="53">
        <f>IFERROR(VLOOKUP(B239, 'HMMTPUMaC NT'!A$2:$B$500,2, 0), 0)</f>
        <v>0</v>
      </c>
      <c r="H239" s="58">
        <f>IFERROR(VLOOKUP(B239, 'HMMTPUMaC Algebra'!A$2:$B$500,2, 0), 0)</f>
        <v>0</v>
      </c>
      <c r="I239" s="53">
        <f>IFERROR(VLOOKUP(B239, 'HMMTPUMaC Geo'!$A$2:B$1500,2, 0), 0)</f>
        <v>0</v>
      </c>
    </row>
    <row r="240">
      <c r="A240" s="52">
        <v>239.0</v>
      </c>
      <c r="B240" s="7" t="s">
        <v>467</v>
      </c>
      <c r="C240" s="53">
        <f t="shared" si="8"/>
        <v>0</v>
      </c>
      <c r="D240" s="53">
        <f t="shared" si="2"/>
        <v>0</v>
      </c>
      <c r="E240" s="57">
        <f>IFERROR(VLOOKUP(B240, Proof!A$2:$B$588,2, 0), 0)</f>
        <v>0</v>
      </c>
      <c r="F240" s="53">
        <f>IFERROR(VLOOKUP(B240, 'HMMTPUMaC Combo'!A$2:$B$500,2, 0), 0)</f>
        <v>0</v>
      </c>
      <c r="G240" s="53">
        <f>IFERROR(VLOOKUP(B240, 'HMMTPUMaC NT'!A$2:$B$500,2, 0), 0)</f>
        <v>0</v>
      </c>
      <c r="H240" s="58">
        <f>IFERROR(VLOOKUP(B240, 'HMMTPUMaC Algebra'!A$2:$B$500,2, 0), 0)</f>
        <v>0</v>
      </c>
      <c r="I240" s="53">
        <f>IFERROR(VLOOKUP(B240, 'HMMTPUMaC Geo'!$A$2:B$1500,2, 0), 0)</f>
        <v>0</v>
      </c>
    </row>
    <row r="241">
      <c r="A241" s="52">
        <v>240.0</v>
      </c>
      <c r="B241" s="7" t="s">
        <v>188</v>
      </c>
      <c r="C241" s="53">
        <f t="shared" si="8"/>
        <v>0</v>
      </c>
      <c r="D241" s="53">
        <f t="shared" si="2"/>
        <v>0</v>
      </c>
      <c r="E241" s="57">
        <f>IFERROR(VLOOKUP(B241, Proof!A$2:$B$588,2, 0), 0)</f>
        <v>0</v>
      </c>
      <c r="F241" s="53">
        <f>IFERROR(VLOOKUP(B241, 'HMMTPUMaC Combo'!A$2:$B$500,2, 0), 0)</f>
        <v>0</v>
      </c>
      <c r="G241" s="53">
        <f>IFERROR(VLOOKUP(B241, 'HMMTPUMaC NT'!A$2:$B$500,2, 0), 0)</f>
        <v>0</v>
      </c>
      <c r="H241" s="58">
        <f>IFERROR(VLOOKUP(B241, 'HMMTPUMaC Algebra'!A$2:$B$500,2, 0), 0)</f>
        <v>0</v>
      </c>
      <c r="I241" s="53">
        <f>IFERROR(VLOOKUP(B241, 'HMMTPUMaC Geo'!$A$2:B$1500,2, 0), 0)</f>
        <v>0</v>
      </c>
    </row>
    <row r="242">
      <c r="A242" s="52">
        <v>241.0</v>
      </c>
      <c r="B242" s="7" t="s">
        <v>235</v>
      </c>
      <c r="C242" s="53">
        <f t="shared" si="8"/>
        <v>0</v>
      </c>
      <c r="D242" s="53">
        <f t="shared" si="2"/>
        <v>0</v>
      </c>
      <c r="E242" s="57">
        <f>IFERROR(VLOOKUP(B242, Proof!A$2:$B$588,2, 0), 0)</f>
        <v>0</v>
      </c>
      <c r="F242" s="53">
        <f>IFERROR(VLOOKUP(B242, 'HMMTPUMaC Combo'!A$2:$B$500,2, 0), 0)</f>
        <v>0</v>
      </c>
      <c r="G242" s="53">
        <f>IFERROR(VLOOKUP(B242, 'HMMTPUMaC NT'!A$2:$B$500,2, 0), 0)</f>
        <v>0</v>
      </c>
      <c r="H242" s="58">
        <f>IFERROR(VLOOKUP(B242, 'HMMTPUMaC Algebra'!A$2:$B$500,2, 0), 0)</f>
        <v>0</v>
      </c>
      <c r="I242" s="53">
        <f>IFERROR(VLOOKUP(B242, 'HMMTPUMaC Geo'!$A$2:B$1500,2, 0), 0)</f>
        <v>0</v>
      </c>
    </row>
    <row r="243">
      <c r="A243" s="52">
        <v>242.0</v>
      </c>
      <c r="B243" s="7" t="s">
        <v>214</v>
      </c>
      <c r="C243" s="53">
        <f t="shared" si="8"/>
        <v>0</v>
      </c>
      <c r="D243" s="53">
        <f t="shared" si="2"/>
        <v>0</v>
      </c>
      <c r="E243" s="57">
        <f>IFERROR(VLOOKUP(B243, Proof!A$2:$B$588,2, 0), 0)</f>
        <v>0</v>
      </c>
      <c r="F243" s="53">
        <f>IFERROR(VLOOKUP(B243, 'HMMTPUMaC Combo'!A$2:$B$500,2, 0), 0)</f>
        <v>0</v>
      </c>
      <c r="G243" s="53">
        <f>IFERROR(VLOOKUP(B243, 'HMMTPUMaC NT'!A$2:$B$500,2, 0), 0)</f>
        <v>0</v>
      </c>
      <c r="H243" s="58">
        <f>IFERROR(VLOOKUP(B243, 'HMMTPUMaC Algebra'!A$2:$B$500,2, 0), 0)</f>
        <v>0</v>
      </c>
      <c r="I243" s="53">
        <f>IFERROR(VLOOKUP(B243, 'HMMTPUMaC Geo'!$A$2:B$1500,2, 0), 0)</f>
        <v>0</v>
      </c>
    </row>
    <row r="244">
      <c r="A244" s="52">
        <v>243.0</v>
      </c>
      <c r="B244" s="7" t="s">
        <v>460</v>
      </c>
      <c r="C244" s="53">
        <f t="shared" si="8"/>
        <v>0</v>
      </c>
      <c r="D244" s="53">
        <f t="shared" si="2"/>
        <v>0</v>
      </c>
      <c r="E244" s="57">
        <f>IFERROR(VLOOKUP(B244, Proof!A$2:$B$588,2, 0), 0)</f>
        <v>0</v>
      </c>
      <c r="F244" s="53">
        <f>IFERROR(VLOOKUP(B244, 'HMMTPUMaC Combo'!A$2:$B$500,2, 0), 0)</f>
        <v>0</v>
      </c>
      <c r="G244" s="53">
        <f>IFERROR(VLOOKUP(B244, 'HMMTPUMaC NT'!A$2:$B$500,2, 0), 0)</f>
        <v>0</v>
      </c>
      <c r="H244" s="58">
        <f>IFERROR(VLOOKUP(B244, 'HMMTPUMaC Algebra'!A$2:$B$500,2, 0), 0)</f>
        <v>0</v>
      </c>
      <c r="I244" s="53">
        <f>IFERROR(VLOOKUP(B244, 'HMMTPUMaC Geo'!$A$2:B$1500,2, 0), 0)</f>
        <v>0</v>
      </c>
    </row>
    <row r="245">
      <c r="A245" s="52">
        <v>244.0</v>
      </c>
      <c r="B245" s="7" t="s">
        <v>111</v>
      </c>
      <c r="C245" s="53">
        <f t="shared" si="8"/>
        <v>0</v>
      </c>
      <c r="D245" s="53">
        <f t="shared" si="2"/>
        <v>0</v>
      </c>
      <c r="E245" s="57">
        <f>IFERROR(VLOOKUP(B245, Proof!A$2:$B$588,2, 0), 0)</f>
        <v>0</v>
      </c>
      <c r="F245" s="53">
        <f>IFERROR(VLOOKUP(B245, 'HMMTPUMaC Combo'!A$2:$B$500,2, 0), 0)</f>
        <v>0</v>
      </c>
      <c r="G245" s="53">
        <f>IFERROR(VLOOKUP(B245, 'HMMTPUMaC NT'!A$2:$B$500,2, 0), 0)</f>
        <v>0</v>
      </c>
      <c r="H245" s="58">
        <f>IFERROR(VLOOKUP(B245, 'HMMTPUMaC Algebra'!A$2:$B$500,2, 0), 0)</f>
        <v>0</v>
      </c>
      <c r="I245" s="53">
        <f>IFERROR(VLOOKUP(B245, 'HMMTPUMaC Geo'!$A$2:B$1500,2, 0), 0)</f>
        <v>0</v>
      </c>
    </row>
    <row r="246">
      <c r="A246" s="52">
        <v>245.0</v>
      </c>
      <c r="B246" s="7" t="s">
        <v>165</v>
      </c>
      <c r="C246" s="53">
        <f t="shared" si="8"/>
        <v>0</v>
      </c>
      <c r="D246" s="53">
        <f t="shared" si="2"/>
        <v>0</v>
      </c>
      <c r="E246" s="57">
        <f>IFERROR(VLOOKUP(B246, Proof!A$2:$B$588,2, 0), 0)</f>
        <v>0</v>
      </c>
      <c r="F246" s="53">
        <f>IFERROR(VLOOKUP(B246, 'HMMTPUMaC Combo'!A$2:$B$500,2, 0), 0)</f>
        <v>0</v>
      </c>
      <c r="G246" s="53">
        <f>IFERROR(VLOOKUP(B246, 'HMMTPUMaC NT'!A$2:$B$500,2, 0), 0)</f>
        <v>0</v>
      </c>
      <c r="H246" s="58">
        <f>IFERROR(VLOOKUP(B246, 'HMMTPUMaC Algebra'!A$2:$B$500,2, 0), 0)</f>
        <v>0</v>
      </c>
      <c r="I246" s="53">
        <f>IFERROR(VLOOKUP(B246, 'HMMTPUMaC Geo'!$A$2:B$1500,2, 0), 0)</f>
        <v>0</v>
      </c>
    </row>
    <row r="247">
      <c r="A247" s="52">
        <v>246.0</v>
      </c>
      <c r="B247" s="7" t="s">
        <v>110</v>
      </c>
      <c r="C247" s="53">
        <f t="shared" si="8"/>
        <v>0</v>
      </c>
      <c r="D247" s="53">
        <f t="shared" si="2"/>
        <v>0</v>
      </c>
      <c r="E247" s="57">
        <f>IFERROR(VLOOKUP(B247, Proof!A$2:$B$588,2, 0), 0)</f>
        <v>0</v>
      </c>
      <c r="F247" s="53">
        <f>IFERROR(VLOOKUP(B247, 'HMMTPUMaC Combo'!A$2:$B$500,2, 0), 0)</f>
        <v>0</v>
      </c>
      <c r="G247" s="53">
        <f>IFERROR(VLOOKUP(B247, 'HMMTPUMaC NT'!A$2:$B$500,2, 0), 0)</f>
        <v>0</v>
      </c>
      <c r="H247" s="58">
        <f>IFERROR(VLOOKUP(B247, 'HMMTPUMaC Algebra'!A$2:$B$500,2, 0), 0)</f>
        <v>0</v>
      </c>
      <c r="I247" s="53">
        <f>IFERROR(VLOOKUP(B247, 'HMMTPUMaC Geo'!$A$2:B$1500,2, 0), 0)</f>
        <v>0</v>
      </c>
    </row>
    <row r="248">
      <c r="A248" s="52">
        <v>247.0</v>
      </c>
      <c r="B248" s="7" t="s">
        <v>443</v>
      </c>
      <c r="C248" s="53">
        <f t="shared" si="8"/>
        <v>0</v>
      </c>
      <c r="D248" s="53">
        <f t="shared" si="2"/>
        <v>0</v>
      </c>
      <c r="E248" s="57">
        <f>IFERROR(VLOOKUP(B248, Proof!A$2:$B$588,2, 0), 0)</f>
        <v>0</v>
      </c>
      <c r="F248" s="53">
        <f>IFERROR(VLOOKUP(B248, 'HMMTPUMaC Combo'!A$2:$B$500,2, 0), 0)</f>
        <v>0</v>
      </c>
      <c r="G248" s="53">
        <f>IFERROR(VLOOKUP(B248, 'HMMTPUMaC NT'!A$2:$B$500,2, 0), 0)</f>
        <v>0</v>
      </c>
      <c r="H248" s="58">
        <f>IFERROR(VLOOKUP(B248, 'HMMTPUMaC Algebra'!A$2:$B$500,2, 0), 0)</f>
        <v>0</v>
      </c>
      <c r="I248" s="53">
        <f>IFERROR(VLOOKUP(B248, 'HMMTPUMaC Geo'!$A$2:B$1500,2, 0), 0)</f>
        <v>0</v>
      </c>
    </row>
    <row r="249">
      <c r="A249" s="52">
        <v>248.0</v>
      </c>
      <c r="B249" s="7" t="s">
        <v>473</v>
      </c>
      <c r="C249" s="53">
        <f t="shared" si="8"/>
        <v>0</v>
      </c>
      <c r="D249" s="53">
        <f t="shared" si="2"/>
        <v>0</v>
      </c>
      <c r="E249" s="57">
        <f>IFERROR(VLOOKUP(B249, Proof!A$2:$B$588,2, 0), 0)</f>
        <v>0</v>
      </c>
      <c r="F249" s="53">
        <f>IFERROR(VLOOKUP(B249, 'HMMTPUMaC Combo'!A$2:$B$500,2, 0), 0)</f>
        <v>0</v>
      </c>
      <c r="G249" s="53">
        <f>IFERROR(VLOOKUP(B249, 'HMMTPUMaC NT'!A$2:$B$500,2, 0), 0)</f>
        <v>0</v>
      </c>
      <c r="H249" s="58">
        <f>IFERROR(VLOOKUP(B249, 'HMMTPUMaC Algebra'!A$2:$B$500,2, 0), 0)</f>
        <v>0</v>
      </c>
      <c r="I249" s="53">
        <f>IFERROR(VLOOKUP(B249, 'HMMTPUMaC Geo'!$A$2:B$1500,2, 0), 0)</f>
        <v>0</v>
      </c>
    </row>
    <row r="250">
      <c r="A250" s="52">
        <v>249.0</v>
      </c>
      <c r="B250" s="7" t="s">
        <v>238</v>
      </c>
      <c r="C250" s="53">
        <f t="shared" si="8"/>
        <v>0</v>
      </c>
      <c r="D250" s="53">
        <f t="shared" si="2"/>
        <v>0</v>
      </c>
      <c r="E250" s="57">
        <f>IFERROR(VLOOKUP(B250, Proof!A$2:$B$588,2, 0), 0)</f>
        <v>0</v>
      </c>
      <c r="F250" s="53">
        <f>IFERROR(VLOOKUP(B250, 'HMMTPUMaC Combo'!A$2:$B$500,2, 0), 0)</f>
        <v>0</v>
      </c>
      <c r="G250" s="53">
        <f>IFERROR(VLOOKUP(B250, 'HMMTPUMaC NT'!A$2:$B$500,2, 0), 0)</f>
        <v>0</v>
      </c>
      <c r="H250" s="58">
        <f>IFERROR(VLOOKUP(B250, 'HMMTPUMaC Algebra'!A$2:$B$500,2, 0), 0)</f>
        <v>0</v>
      </c>
      <c r="I250" s="53">
        <f>IFERROR(VLOOKUP(B250, 'HMMTPUMaC Geo'!$A$2:B$1500,2, 0), 0)</f>
        <v>0</v>
      </c>
    </row>
    <row r="251">
      <c r="A251" s="52">
        <v>250.0</v>
      </c>
      <c r="B251" s="7" t="s">
        <v>182</v>
      </c>
      <c r="C251" s="53">
        <f t="shared" si="8"/>
        <v>0</v>
      </c>
      <c r="D251" s="53">
        <f t="shared" si="2"/>
        <v>0</v>
      </c>
      <c r="E251" s="57">
        <f>IFERROR(VLOOKUP(B251, Proof!A$2:$B$588,2, 0), 0)</f>
        <v>0</v>
      </c>
      <c r="F251" s="53">
        <f>IFERROR(VLOOKUP(B251, 'HMMTPUMaC Combo'!A$2:$B$500,2, 0), 0)</f>
        <v>0</v>
      </c>
      <c r="G251" s="53">
        <f>IFERROR(VLOOKUP(B251, 'HMMTPUMaC NT'!A$2:$B$500,2, 0), 0)</f>
        <v>0</v>
      </c>
      <c r="H251" s="58">
        <f>IFERROR(VLOOKUP(B251, 'HMMTPUMaC Algebra'!A$2:$B$500,2, 0), 0)</f>
        <v>0</v>
      </c>
      <c r="I251" s="53">
        <f>IFERROR(VLOOKUP(B251, 'HMMTPUMaC Geo'!$A$2:B$1500,2, 0), 0)</f>
        <v>0</v>
      </c>
    </row>
    <row r="252">
      <c r="A252" s="52">
        <v>251.0</v>
      </c>
      <c r="B252" s="7" t="s">
        <v>354</v>
      </c>
      <c r="C252" s="53">
        <f t="shared" si="8"/>
        <v>0</v>
      </c>
      <c r="D252" s="53">
        <f t="shared" si="2"/>
        <v>0</v>
      </c>
      <c r="E252" s="57">
        <f>IFERROR(VLOOKUP(B252, Proof!A$2:$B$588,2, 0), 0)</f>
        <v>0</v>
      </c>
      <c r="F252" s="53">
        <f>IFERROR(VLOOKUP(B252, 'HMMTPUMaC Combo'!A$2:$B$500,2, 0), 0)</f>
        <v>0</v>
      </c>
      <c r="G252" s="53">
        <f>IFERROR(VLOOKUP(B252, 'HMMTPUMaC NT'!A$2:$B$500,2, 0), 0)</f>
        <v>0</v>
      </c>
      <c r="H252" s="58">
        <f>IFERROR(VLOOKUP(B252, 'HMMTPUMaC Algebra'!A$2:$B$500,2, 0), 0)</f>
        <v>0</v>
      </c>
      <c r="I252" s="53">
        <f>IFERROR(VLOOKUP(B252, 'HMMTPUMaC Geo'!$A$2:B$1500,2, 0), 0)</f>
        <v>0</v>
      </c>
    </row>
    <row r="253">
      <c r="A253" s="52">
        <v>252.0</v>
      </c>
      <c r="B253" s="7" t="s">
        <v>465</v>
      </c>
      <c r="C253" s="53">
        <f t="shared" si="8"/>
        <v>0</v>
      </c>
      <c r="D253" s="53">
        <f t="shared" si="2"/>
        <v>0</v>
      </c>
      <c r="E253" s="57">
        <f>IFERROR(VLOOKUP(B253, Proof!A$2:$B$588,2, 0), 0)</f>
        <v>0</v>
      </c>
      <c r="F253" s="53">
        <f>IFERROR(VLOOKUP(B253, 'HMMTPUMaC Combo'!A$2:$B$500,2, 0), 0)</f>
        <v>0</v>
      </c>
      <c r="G253" s="53">
        <f>IFERROR(VLOOKUP(B253, 'HMMTPUMaC NT'!A$2:$B$500,2, 0), 0)</f>
        <v>0</v>
      </c>
      <c r="H253" s="58">
        <f>IFERROR(VLOOKUP(B253, 'HMMTPUMaC Algebra'!A$2:$B$500,2, 0), 0)</f>
        <v>0</v>
      </c>
      <c r="I253" s="53">
        <f>IFERROR(VLOOKUP(B253, 'HMMTPUMaC Geo'!$A$2:B$1500,2, 0), 0)</f>
        <v>0</v>
      </c>
    </row>
    <row r="254">
      <c r="A254" s="52">
        <v>253.0</v>
      </c>
      <c r="B254" s="7" t="s">
        <v>490</v>
      </c>
      <c r="C254" s="53">
        <f t="shared" si="8"/>
        <v>0</v>
      </c>
      <c r="D254" s="53">
        <f t="shared" si="2"/>
        <v>0</v>
      </c>
      <c r="E254" s="57">
        <f>IFERROR(VLOOKUP(B254, Proof!A$2:$B$588,2, 0), 0)</f>
        <v>0</v>
      </c>
      <c r="F254" s="53">
        <f>IFERROR(VLOOKUP(B254, 'HMMTPUMaC Combo'!A$2:$B$500,2, 0), 0)</f>
        <v>0</v>
      </c>
      <c r="G254" s="53">
        <f>IFERROR(VLOOKUP(B254, 'HMMTPUMaC NT'!A$2:$B$500,2, 0), 0)</f>
        <v>0</v>
      </c>
      <c r="H254" s="58">
        <f>IFERROR(VLOOKUP(B254, 'HMMTPUMaC Algebra'!A$2:$B$500,2, 0), 0)</f>
        <v>0</v>
      </c>
      <c r="I254" s="53">
        <f>IFERROR(VLOOKUP(B254, 'HMMTPUMaC Geo'!$A$2:B$1500,2, 0), 0)</f>
        <v>0</v>
      </c>
    </row>
    <row r="255">
      <c r="A255" s="52">
        <v>254.0</v>
      </c>
      <c r="B255" s="7" t="s">
        <v>263</v>
      </c>
      <c r="C255" s="53">
        <f t="shared" si="8"/>
        <v>0</v>
      </c>
      <c r="D255" s="53">
        <f t="shared" si="2"/>
        <v>0</v>
      </c>
      <c r="E255" s="57">
        <f>IFERROR(VLOOKUP(B255, Proof!A$2:$B$588,2, 0), 0)</f>
        <v>0</v>
      </c>
      <c r="F255" s="53">
        <f>IFERROR(VLOOKUP(B255, 'HMMTPUMaC Combo'!A$2:$B$500,2, 0), 0)</f>
        <v>0</v>
      </c>
      <c r="G255" s="53">
        <f>IFERROR(VLOOKUP(B255, 'HMMTPUMaC NT'!A$2:$B$500,2, 0), 0)</f>
        <v>0</v>
      </c>
      <c r="H255" s="58">
        <f>IFERROR(VLOOKUP(B255, 'HMMTPUMaC Algebra'!A$2:$B$500,2, 0), 0)</f>
        <v>0</v>
      </c>
      <c r="I255" s="53">
        <f>IFERROR(VLOOKUP(B255, 'HMMTPUMaC Geo'!$A$2:B$1500,2, 0), 0)</f>
        <v>0</v>
      </c>
    </row>
    <row r="256">
      <c r="A256" s="52">
        <v>255.0</v>
      </c>
      <c r="B256" s="7" t="s">
        <v>151</v>
      </c>
      <c r="C256" s="53">
        <f t="shared" si="8"/>
        <v>0</v>
      </c>
      <c r="D256" s="53">
        <f t="shared" si="2"/>
        <v>0</v>
      </c>
      <c r="E256" s="57">
        <f>IFERROR(VLOOKUP(B256, Proof!A$2:$B$588,2, 0), 0)</f>
        <v>0</v>
      </c>
      <c r="F256" s="53">
        <f>IFERROR(VLOOKUP(B256, 'HMMTPUMaC Combo'!A$2:$B$500,2, 0), 0)</f>
        <v>0</v>
      </c>
      <c r="G256" s="53">
        <f>IFERROR(VLOOKUP(B256, 'HMMTPUMaC NT'!A$2:$B$500,2, 0), 0)</f>
        <v>0</v>
      </c>
      <c r="H256" s="58">
        <f>IFERROR(VLOOKUP(B256, 'HMMTPUMaC Algebra'!A$2:$B$500,2, 0), 0)</f>
        <v>0</v>
      </c>
      <c r="I256" s="53">
        <f>IFERROR(VLOOKUP(B256, 'HMMTPUMaC Geo'!$A$2:B$1500,2, 0), 0)</f>
        <v>0</v>
      </c>
    </row>
    <row r="257">
      <c r="A257" s="52">
        <v>256.0</v>
      </c>
      <c r="B257" s="7" t="s">
        <v>493</v>
      </c>
      <c r="C257" s="53">
        <f t="shared" si="8"/>
        <v>0</v>
      </c>
      <c r="D257" s="53">
        <f t="shared" si="2"/>
        <v>0</v>
      </c>
      <c r="E257" s="57">
        <f>IFERROR(VLOOKUP(B257, Proof!A$2:$B$588,2, 0), 0)</f>
        <v>0</v>
      </c>
      <c r="F257" s="53">
        <f>IFERROR(VLOOKUP(B257, 'HMMTPUMaC Combo'!A$2:$B$500,2, 0), 0)</f>
        <v>0</v>
      </c>
      <c r="G257" s="53">
        <f>IFERROR(VLOOKUP(B257, 'HMMTPUMaC NT'!A$2:$B$500,2, 0), 0)</f>
        <v>0</v>
      </c>
      <c r="H257" s="58">
        <f>IFERROR(VLOOKUP(B257, 'HMMTPUMaC Algebra'!A$2:$B$500,2, 0), 0)</f>
        <v>0</v>
      </c>
      <c r="I257" s="53">
        <f>IFERROR(VLOOKUP(B257, 'HMMTPUMaC Geo'!$A$2:B$1500,2, 0), 0)</f>
        <v>0</v>
      </c>
    </row>
    <row r="258">
      <c r="A258" s="52">
        <v>257.0</v>
      </c>
      <c r="B258" s="7" t="s">
        <v>147</v>
      </c>
      <c r="C258" s="53">
        <f t="shared" si="8"/>
        <v>0</v>
      </c>
      <c r="D258" s="53">
        <f t="shared" si="2"/>
        <v>0</v>
      </c>
      <c r="E258" s="57">
        <f>IFERROR(VLOOKUP(B258, Proof!A$2:$B$588,2, 0), 0)</f>
        <v>0</v>
      </c>
      <c r="F258" s="53">
        <f>IFERROR(VLOOKUP(B258, 'HMMTPUMaC Combo'!A$2:$B$500,2, 0), 0)</f>
        <v>0</v>
      </c>
      <c r="G258" s="53">
        <f>IFERROR(VLOOKUP(B258, 'HMMTPUMaC NT'!A$2:$B$500,2, 0), 0)</f>
        <v>0</v>
      </c>
      <c r="H258" s="58">
        <f>IFERROR(VLOOKUP(B258, 'HMMTPUMaC Algebra'!A$2:$B$500,2, 0), 0)</f>
        <v>0</v>
      </c>
      <c r="I258" s="53">
        <f>IFERROR(VLOOKUP(B258, 'HMMTPUMaC Geo'!$A$2:B$1500,2, 0), 0)</f>
        <v>0</v>
      </c>
    </row>
    <row r="259">
      <c r="A259" s="52">
        <v>258.0</v>
      </c>
      <c r="B259" s="7" t="s">
        <v>485</v>
      </c>
      <c r="C259" s="53">
        <f t="shared" si="8"/>
        <v>0</v>
      </c>
      <c r="D259" s="53">
        <f t="shared" si="2"/>
        <v>0</v>
      </c>
      <c r="E259" s="57">
        <f>IFERROR(VLOOKUP(B259, Proof!A$2:$B$588,2, 0), 0)</f>
        <v>0</v>
      </c>
      <c r="F259" s="53">
        <f>IFERROR(VLOOKUP(B259, 'HMMTPUMaC Combo'!A$2:$B$500,2, 0), 0)</f>
        <v>0</v>
      </c>
      <c r="G259" s="53">
        <f>IFERROR(VLOOKUP(B259, 'HMMTPUMaC NT'!A$2:$B$500,2, 0), 0)</f>
        <v>0</v>
      </c>
      <c r="H259" s="58">
        <f>IFERROR(VLOOKUP(B259, 'HMMTPUMaC Algebra'!A$2:$B$500,2, 0), 0)</f>
        <v>0</v>
      </c>
      <c r="I259" s="53">
        <f>IFERROR(VLOOKUP(B259, 'HMMTPUMaC Geo'!$A$2:B$1500,2, 0), 0)</f>
        <v>0</v>
      </c>
    </row>
    <row r="260">
      <c r="A260" s="52">
        <v>259.0</v>
      </c>
      <c r="B260" s="7" t="s">
        <v>454</v>
      </c>
      <c r="C260" s="53">
        <f t="shared" si="8"/>
        <v>0</v>
      </c>
      <c r="D260" s="53">
        <f t="shared" si="2"/>
        <v>0</v>
      </c>
      <c r="E260" s="57">
        <f>IFERROR(VLOOKUP(B260, Proof!A$2:$B$588,2, 0), 0)</f>
        <v>0</v>
      </c>
      <c r="F260" s="53">
        <f>IFERROR(VLOOKUP(B260, 'HMMTPUMaC Combo'!A$2:$B$500,2, 0), 0)</f>
        <v>0</v>
      </c>
      <c r="G260" s="53">
        <f>IFERROR(VLOOKUP(B260, 'HMMTPUMaC NT'!A$2:$B$500,2, 0), 0)</f>
        <v>0</v>
      </c>
      <c r="H260" s="58">
        <f>IFERROR(VLOOKUP(B260, 'HMMTPUMaC Algebra'!A$2:$B$500,2, 0), 0)</f>
        <v>0</v>
      </c>
      <c r="I260" s="53">
        <f>IFERROR(VLOOKUP(B260, 'HMMTPUMaC Geo'!$A$2:B$1500,2, 0), 0)</f>
        <v>0</v>
      </c>
    </row>
    <row r="261">
      <c r="A261" s="52">
        <v>260.0</v>
      </c>
      <c r="B261" s="7" t="s">
        <v>463</v>
      </c>
      <c r="C261" s="53">
        <f t="shared" si="8"/>
        <v>0</v>
      </c>
      <c r="D261" s="53">
        <f t="shared" si="2"/>
        <v>0</v>
      </c>
      <c r="E261" s="57">
        <f>IFERROR(VLOOKUP(B261, Proof!A$2:$B$588,2, 0), 0)</f>
        <v>0</v>
      </c>
      <c r="F261" s="53">
        <f>IFERROR(VLOOKUP(B261, 'HMMTPUMaC Combo'!A$2:$B$500,2, 0), 0)</f>
        <v>0</v>
      </c>
      <c r="G261" s="53">
        <f>IFERROR(VLOOKUP(B261, 'HMMTPUMaC NT'!A$2:$B$500,2, 0), 0)</f>
        <v>0</v>
      </c>
      <c r="H261" s="58">
        <f>IFERROR(VLOOKUP(B261, 'HMMTPUMaC Algebra'!A$2:$B$500,2, 0), 0)</f>
        <v>0</v>
      </c>
      <c r="I261" s="53">
        <f>IFERROR(VLOOKUP(B261, 'HMMTPUMaC Geo'!$A$2:B$1500,2, 0), 0)</f>
        <v>0</v>
      </c>
    </row>
    <row r="262">
      <c r="A262" s="52">
        <v>261.0</v>
      </c>
      <c r="B262" s="7" t="s">
        <v>482</v>
      </c>
      <c r="C262" s="53">
        <f t="shared" si="8"/>
        <v>0</v>
      </c>
      <c r="D262" s="53">
        <f t="shared" si="2"/>
        <v>0</v>
      </c>
      <c r="E262" s="57">
        <f>IFERROR(VLOOKUP(B262, Proof!A$2:$B$588,2, 0), 0)</f>
        <v>0</v>
      </c>
      <c r="F262" s="53">
        <f>IFERROR(VLOOKUP(B262, 'HMMTPUMaC Combo'!A$2:$B$500,2, 0), 0)</f>
        <v>0</v>
      </c>
      <c r="G262" s="53">
        <f>IFERROR(VLOOKUP(B262, 'HMMTPUMaC NT'!A$2:$B$500,2, 0), 0)</f>
        <v>0</v>
      </c>
      <c r="H262" s="58">
        <f>IFERROR(VLOOKUP(B262, 'HMMTPUMaC Algebra'!A$2:$B$500,2, 0), 0)</f>
        <v>0</v>
      </c>
      <c r="I262" s="53">
        <f>IFERROR(VLOOKUP(B262, 'HMMTPUMaC Geo'!$A$2:B$1500,2, 0), 0)</f>
        <v>0</v>
      </c>
    </row>
    <row r="263">
      <c r="A263" s="52">
        <v>262.0</v>
      </c>
      <c r="B263" s="7" t="s">
        <v>457</v>
      </c>
      <c r="C263" s="53">
        <f t="shared" si="8"/>
        <v>0</v>
      </c>
      <c r="D263" s="53">
        <f t="shared" si="2"/>
        <v>0</v>
      </c>
      <c r="E263" s="57">
        <f>IFERROR(VLOOKUP(B263, Proof!A$2:$B$588,2, 0), 0)</f>
        <v>0</v>
      </c>
      <c r="F263" s="53">
        <f>IFERROR(VLOOKUP(B263, 'HMMTPUMaC Combo'!A$2:$B$500,2, 0), 0)</f>
        <v>0</v>
      </c>
      <c r="G263" s="53">
        <f>IFERROR(VLOOKUP(B263, 'HMMTPUMaC NT'!A$2:$B$500,2, 0), 0)</f>
        <v>0</v>
      </c>
      <c r="H263" s="58">
        <f>IFERROR(VLOOKUP(B263, 'HMMTPUMaC Algebra'!A$2:$B$500,2, 0), 0)</f>
        <v>0</v>
      </c>
      <c r="I263" s="53">
        <f>IFERROR(VLOOKUP(B263, 'HMMTPUMaC Geo'!$A$2:B$1500,2, 0), 0)</f>
        <v>0</v>
      </c>
    </row>
    <row r="264">
      <c r="A264" s="52">
        <v>263.0</v>
      </c>
      <c r="B264" s="7" t="s">
        <v>104</v>
      </c>
      <c r="C264" s="53">
        <f t="shared" si="8"/>
        <v>0</v>
      </c>
      <c r="D264" s="53">
        <f t="shared" si="2"/>
        <v>0</v>
      </c>
      <c r="E264" s="57">
        <f>IFERROR(VLOOKUP(B264, Proof!A$2:$B$588,2, 0), 0)</f>
        <v>0</v>
      </c>
      <c r="F264" s="53">
        <f>IFERROR(VLOOKUP(B264, 'HMMTPUMaC Combo'!A$2:$B$500,2, 0), 0)</f>
        <v>0</v>
      </c>
      <c r="G264" s="53">
        <f>IFERROR(VLOOKUP(B264, 'HMMTPUMaC NT'!A$2:$B$500,2, 0), 0)</f>
        <v>0</v>
      </c>
      <c r="H264" s="58">
        <f>IFERROR(VLOOKUP(B264, 'HMMTPUMaC Algebra'!A$2:$B$500,2, 0), 0)</f>
        <v>0</v>
      </c>
      <c r="I264" s="53">
        <f>IFERROR(VLOOKUP(B264, 'HMMTPUMaC Geo'!$A$2:B$1500,2, 0), 0)</f>
        <v>0</v>
      </c>
    </row>
    <row r="265">
      <c r="A265" s="52">
        <v>264.0</v>
      </c>
      <c r="B265" s="7" t="s">
        <v>133</v>
      </c>
      <c r="C265" s="53">
        <f t="shared" si="8"/>
        <v>0</v>
      </c>
      <c r="D265" s="53">
        <f t="shared" si="2"/>
        <v>0</v>
      </c>
      <c r="E265" s="57">
        <f>IFERROR(VLOOKUP(B265, Proof!A$2:$B$588,2, 0), 0)</f>
        <v>0</v>
      </c>
      <c r="F265" s="53">
        <f>IFERROR(VLOOKUP(B265, 'HMMTPUMaC Combo'!A$2:$B$500,2, 0), 0)</f>
        <v>0</v>
      </c>
      <c r="G265" s="53">
        <f>IFERROR(VLOOKUP(B265, 'HMMTPUMaC NT'!A$2:$B$500,2, 0), 0)</f>
        <v>0</v>
      </c>
      <c r="H265" s="58">
        <f>IFERROR(VLOOKUP(B265, 'HMMTPUMaC Algebra'!A$2:$B$500,2, 0), 0)</f>
        <v>0</v>
      </c>
      <c r="I265" s="53">
        <f>IFERROR(VLOOKUP(B265, 'HMMTPUMaC Geo'!$A$2:B$1500,2, 0), 0)</f>
        <v>0</v>
      </c>
    </row>
    <row r="266">
      <c r="A266" s="52">
        <v>265.0</v>
      </c>
      <c r="B266" s="7" t="s">
        <v>458</v>
      </c>
      <c r="C266" s="53">
        <f t="shared" si="8"/>
        <v>0</v>
      </c>
      <c r="D266" s="53">
        <f t="shared" si="2"/>
        <v>0</v>
      </c>
      <c r="E266" s="57">
        <f>IFERROR(VLOOKUP(B266, Proof!A$2:$B$588,2, 0), 0)</f>
        <v>0</v>
      </c>
      <c r="F266" s="53">
        <f>IFERROR(VLOOKUP(B266, 'HMMTPUMaC Combo'!A$2:$B$500,2, 0), 0)</f>
        <v>0</v>
      </c>
      <c r="G266" s="53">
        <f>IFERROR(VLOOKUP(B266, 'HMMTPUMaC NT'!A$2:$B$500,2, 0), 0)</f>
        <v>0</v>
      </c>
      <c r="H266" s="58">
        <f>IFERROR(VLOOKUP(B266, 'HMMTPUMaC Algebra'!A$2:$B$500,2, 0), 0)</f>
        <v>0</v>
      </c>
      <c r="I266" s="53">
        <f>IFERROR(VLOOKUP(B266, 'HMMTPUMaC Geo'!$A$2:B$1500,2, 0), 0)</f>
        <v>0</v>
      </c>
    </row>
    <row r="267">
      <c r="A267" s="52">
        <v>266.0</v>
      </c>
      <c r="B267" s="7" t="s">
        <v>241</v>
      </c>
      <c r="C267" s="53">
        <f t="shared" si="8"/>
        <v>0</v>
      </c>
      <c r="D267" s="53">
        <f t="shared" si="2"/>
        <v>0</v>
      </c>
      <c r="E267" s="57">
        <f>IFERROR(VLOOKUP(B267, Proof!A$2:$B$588,2, 0), 0)</f>
        <v>0</v>
      </c>
      <c r="F267" s="53">
        <f>IFERROR(VLOOKUP(B267, 'HMMTPUMaC Combo'!A$2:$B$500,2, 0), 0)</f>
        <v>0</v>
      </c>
      <c r="G267" s="53">
        <f>IFERROR(VLOOKUP(B267, 'HMMTPUMaC NT'!A$2:$B$500,2, 0), 0)</f>
        <v>0</v>
      </c>
      <c r="H267" s="58">
        <f>IFERROR(VLOOKUP(B267, 'HMMTPUMaC Algebra'!A$2:$B$500,2, 0), 0)</f>
        <v>0</v>
      </c>
      <c r="I267" s="53">
        <f>IFERROR(VLOOKUP(B267, 'HMMTPUMaC Geo'!$A$2:B$1500,2, 0), 0)</f>
        <v>0</v>
      </c>
    </row>
    <row r="268">
      <c r="A268" s="52">
        <v>267.0</v>
      </c>
      <c r="B268" s="7" t="s">
        <v>478</v>
      </c>
      <c r="C268" s="53">
        <f t="shared" si="8"/>
        <v>0</v>
      </c>
      <c r="D268" s="53">
        <f t="shared" si="2"/>
        <v>0</v>
      </c>
      <c r="E268" s="57">
        <f>IFERROR(VLOOKUP(B268, Proof!A$2:$B$588,2, 0), 0)</f>
        <v>0</v>
      </c>
      <c r="F268" s="53">
        <f>IFERROR(VLOOKUP(B268, 'HMMTPUMaC Combo'!A$2:$B$500,2, 0), 0)</f>
        <v>0</v>
      </c>
      <c r="G268" s="53">
        <f>IFERROR(VLOOKUP(B268, 'HMMTPUMaC NT'!A$2:$B$500,2, 0), 0)</f>
        <v>0</v>
      </c>
      <c r="H268" s="58">
        <f>IFERROR(VLOOKUP(B268, 'HMMTPUMaC Algebra'!A$2:$B$500,2, 0), 0)</f>
        <v>0</v>
      </c>
      <c r="I268" s="53">
        <f>IFERROR(VLOOKUP(B268, 'HMMTPUMaC Geo'!$A$2:B$1500,2, 0), 0)</f>
        <v>0</v>
      </c>
    </row>
    <row r="269">
      <c r="A269" s="52">
        <v>268.0</v>
      </c>
      <c r="B269" s="7" t="s">
        <v>112</v>
      </c>
      <c r="C269" s="53">
        <f t="shared" si="8"/>
        <v>0</v>
      </c>
      <c r="D269" s="53">
        <f t="shared" si="2"/>
        <v>0</v>
      </c>
      <c r="E269" s="57">
        <f>IFERROR(VLOOKUP(B269, Proof!A$2:$B$588,2, 0), 0)</f>
        <v>0</v>
      </c>
      <c r="F269" s="53">
        <f>IFERROR(VLOOKUP(B269, 'HMMTPUMaC Combo'!A$2:$B$500,2, 0), 0)</f>
        <v>0</v>
      </c>
      <c r="G269" s="53">
        <f>IFERROR(VLOOKUP(B269, 'HMMTPUMaC NT'!A$2:$B$500,2, 0), 0)</f>
        <v>0</v>
      </c>
      <c r="H269" s="58">
        <f>IFERROR(VLOOKUP(B269, 'HMMTPUMaC Algebra'!A$2:$B$500,2, 0), 0)</f>
        <v>0</v>
      </c>
      <c r="I269" s="53">
        <f>IFERROR(VLOOKUP(B269, 'HMMTPUMaC Geo'!$A$2:B$1500,2, 0), 0)</f>
        <v>0</v>
      </c>
    </row>
    <row r="270">
      <c r="A270" s="52">
        <v>269.0</v>
      </c>
      <c r="B270" s="7" t="s">
        <v>113</v>
      </c>
      <c r="C270" s="53">
        <f t="shared" si="8"/>
        <v>0</v>
      </c>
      <c r="D270" s="53">
        <f t="shared" si="2"/>
        <v>0</v>
      </c>
      <c r="E270" s="57">
        <f>IFERROR(VLOOKUP(B270, Proof!A$2:$B$588,2, 0), 0)</f>
        <v>0</v>
      </c>
      <c r="F270" s="53">
        <f>IFERROR(VLOOKUP(B270, 'HMMTPUMaC Combo'!A$2:$B$500,2, 0), 0)</f>
        <v>0</v>
      </c>
      <c r="G270" s="53">
        <f>IFERROR(VLOOKUP(B270, 'HMMTPUMaC NT'!A$2:$B$500,2, 0), 0)</f>
        <v>0</v>
      </c>
      <c r="H270" s="58">
        <f>IFERROR(VLOOKUP(B270, 'HMMTPUMaC Algebra'!A$2:$B$500,2, 0), 0)</f>
        <v>0</v>
      </c>
      <c r="I270" s="53">
        <f>IFERROR(VLOOKUP(B270, 'HMMTPUMaC Geo'!$A$2:B$1500,2, 0), 0)</f>
        <v>0</v>
      </c>
    </row>
    <row r="271">
      <c r="A271" s="52">
        <v>270.0</v>
      </c>
      <c r="B271" s="7" t="s">
        <v>484</v>
      </c>
      <c r="C271" s="53">
        <f t="shared" si="8"/>
        <v>0</v>
      </c>
      <c r="D271" s="53">
        <f t="shared" si="2"/>
        <v>0</v>
      </c>
      <c r="E271" s="57">
        <f>IFERROR(VLOOKUP(B271, Proof!A$2:$B$588,2, 0), 0)</f>
        <v>0</v>
      </c>
      <c r="F271" s="53">
        <f>IFERROR(VLOOKUP(B271, 'HMMTPUMaC Combo'!A$2:$B$500,2, 0), 0)</f>
        <v>0</v>
      </c>
      <c r="G271" s="53">
        <f>IFERROR(VLOOKUP(B271, 'HMMTPUMaC NT'!A$2:$B$500,2, 0), 0)</f>
        <v>0</v>
      </c>
      <c r="H271" s="58">
        <f>IFERROR(VLOOKUP(B271, 'HMMTPUMaC Algebra'!A$2:$B$500,2, 0), 0)</f>
        <v>0</v>
      </c>
      <c r="I271" s="53">
        <f>IFERROR(VLOOKUP(B271, 'HMMTPUMaC Geo'!$A$2:B$1500,2, 0), 0)</f>
        <v>0</v>
      </c>
    </row>
    <row r="272">
      <c r="A272" s="52">
        <v>271.0</v>
      </c>
      <c r="B272" s="7" t="s">
        <v>126</v>
      </c>
      <c r="C272" s="53">
        <f t="shared" si="8"/>
        <v>0</v>
      </c>
      <c r="D272" s="53">
        <f t="shared" si="2"/>
        <v>0</v>
      </c>
      <c r="E272" s="57">
        <f>IFERROR(VLOOKUP(B272, Proof!A$2:$B$588,2, 0), 0)</f>
        <v>0</v>
      </c>
      <c r="F272" s="53">
        <f>IFERROR(VLOOKUP(B272, 'HMMTPUMaC Combo'!A$2:$B$500,2, 0), 0)</f>
        <v>0</v>
      </c>
      <c r="G272" s="53">
        <f>IFERROR(VLOOKUP(B272, 'HMMTPUMaC NT'!A$2:$B$500,2, 0), 0)</f>
        <v>0</v>
      </c>
      <c r="H272" s="58">
        <f>IFERROR(VLOOKUP(B272, 'HMMTPUMaC Algebra'!A$2:$B$500,2, 0), 0)</f>
        <v>0</v>
      </c>
      <c r="I272" s="53">
        <f>IFERROR(VLOOKUP(B272, 'HMMTPUMaC Geo'!$A$2:B$1500,2, 0), 0)</f>
        <v>0</v>
      </c>
    </row>
    <row r="273">
      <c r="A273" s="52">
        <v>272.0</v>
      </c>
      <c r="B273" s="7" t="s">
        <v>244</v>
      </c>
      <c r="C273" s="53">
        <f t="shared" si="8"/>
        <v>0</v>
      </c>
      <c r="D273" s="53">
        <f t="shared" si="2"/>
        <v>0</v>
      </c>
      <c r="E273" s="57">
        <f>IFERROR(VLOOKUP(B273, Proof!A$2:$B$588,2, 0), 0)</f>
        <v>0</v>
      </c>
      <c r="F273" s="53">
        <f>IFERROR(VLOOKUP(B273, 'HMMTPUMaC Combo'!A$2:$B$500,2, 0), 0)</f>
        <v>0</v>
      </c>
      <c r="G273" s="53">
        <f>IFERROR(VLOOKUP(B273, 'HMMTPUMaC NT'!A$2:$B$500,2, 0), 0)</f>
        <v>0</v>
      </c>
      <c r="H273" s="58">
        <f>IFERROR(VLOOKUP(B273, 'HMMTPUMaC Algebra'!A$2:$B$500,2, 0), 0)</f>
        <v>0</v>
      </c>
      <c r="I273" s="53">
        <f>IFERROR(VLOOKUP(B273, 'HMMTPUMaC Geo'!$A$2:B$1500,2, 0), 0)</f>
        <v>0</v>
      </c>
    </row>
    <row r="274">
      <c r="A274" s="52">
        <v>273.0</v>
      </c>
      <c r="B274" s="7" t="s">
        <v>459</v>
      </c>
      <c r="C274" s="53">
        <f t="shared" si="8"/>
        <v>0</v>
      </c>
      <c r="D274" s="53">
        <f t="shared" si="2"/>
        <v>0</v>
      </c>
      <c r="E274" s="57">
        <f>IFERROR(VLOOKUP(B274, Proof!A$2:$B$588,2, 0), 0)</f>
        <v>0</v>
      </c>
      <c r="F274" s="53">
        <f>IFERROR(VLOOKUP(B274, 'HMMTPUMaC Combo'!A$2:$B$500,2, 0), 0)</f>
        <v>0</v>
      </c>
      <c r="G274" s="53">
        <f>IFERROR(VLOOKUP(B274, 'HMMTPUMaC NT'!A$2:$B$500,2, 0), 0)</f>
        <v>0</v>
      </c>
      <c r="H274" s="58">
        <f>IFERROR(VLOOKUP(B274, 'HMMTPUMaC Algebra'!A$2:$B$500,2, 0), 0)</f>
        <v>0</v>
      </c>
      <c r="I274" s="53">
        <f>IFERROR(VLOOKUP(B274, 'HMMTPUMaC Geo'!$A$2:B$1500,2, 0), 0)</f>
        <v>0</v>
      </c>
    </row>
    <row r="275">
      <c r="A275" s="52">
        <v>274.0</v>
      </c>
      <c r="B275" s="7" t="s">
        <v>109</v>
      </c>
      <c r="C275" s="53">
        <f t="shared" si="8"/>
        <v>0</v>
      </c>
      <c r="D275" s="53">
        <f t="shared" si="2"/>
        <v>0</v>
      </c>
      <c r="E275" s="57">
        <f>IFERROR(VLOOKUP(B275, Proof!A$2:$B$588,2, 0), 0)</f>
        <v>0</v>
      </c>
      <c r="F275" s="53">
        <f>IFERROR(VLOOKUP(B275, 'HMMTPUMaC Combo'!A$2:$B$500,2, 0), 0)</f>
        <v>0</v>
      </c>
      <c r="G275" s="53">
        <f>IFERROR(VLOOKUP(B275, 'HMMTPUMaC NT'!A$2:$B$500,2, 0), 0)</f>
        <v>0</v>
      </c>
      <c r="H275" s="58">
        <f>IFERROR(VLOOKUP(B275, 'HMMTPUMaC Algebra'!A$2:$B$500,2, 0), 0)</f>
        <v>0</v>
      </c>
      <c r="I275" s="53">
        <f>IFERROR(VLOOKUP(B275, 'HMMTPUMaC Geo'!$A$2:B$1500,2, 0), 0)</f>
        <v>0</v>
      </c>
    </row>
    <row r="276">
      <c r="A276" s="52">
        <v>275.0</v>
      </c>
      <c r="B276" s="7" t="s">
        <v>461</v>
      </c>
      <c r="C276" s="53">
        <f t="shared" si="8"/>
        <v>0</v>
      </c>
      <c r="D276" s="53">
        <f t="shared" si="2"/>
        <v>0</v>
      </c>
      <c r="E276" s="57">
        <f>IFERROR(VLOOKUP(B276, Proof!A$2:$B$588,2, 0), 0)</f>
        <v>0</v>
      </c>
      <c r="F276" s="53">
        <f>IFERROR(VLOOKUP(B276, 'HMMTPUMaC Combo'!A$2:$B$500,2, 0), 0)</f>
        <v>0</v>
      </c>
      <c r="G276" s="53">
        <f>IFERROR(VLOOKUP(B276, 'HMMTPUMaC NT'!A$2:$B$500,2, 0), 0)</f>
        <v>0</v>
      </c>
      <c r="H276" s="58">
        <f>IFERROR(VLOOKUP(B276, 'HMMTPUMaC Algebra'!A$2:$B$500,2, 0), 0)</f>
        <v>0</v>
      </c>
      <c r="I276" s="53">
        <f>IFERROR(VLOOKUP(B276, 'HMMTPUMaC Geo'!$A$2:B$1500,2, 0), 0)</f>
        <v>0</v>
      </c>
    </row>
    <row r="277">
      <c r="A277" s="52">
        <v>276.0</v>
      </c>
      <c r="B277" s="7" t="s">
        <v>489</v>
      </c>
      <c r="C277" s="53">
        <f t="shared" si="8"/>
        <v>0</v>
      </c>
      <c r="D277" s="53">
        <f t="shared" si="2"/>
        <v>0</v>
      </c>
      <c r="E277" s="57">
        <f>IFERROR(VLOOKUP(B277, Proof!A$2:$B$588,2, 0), 0)</f>
        <v>0</v>
      </c>
      <c r="F277" s="53">
        <f>IFERROR(VLOOKUP(B277, 'HMMTPUMaC Combo'!A$2:$B$500,2, 0), 0)</f>
        <v>0</v>
      </c>
      <c r="G277" s="53">
        <f>IFERROR(VLOOKUP(B277, 'HMMTPUMaC NT'!A$2:$B$500,2, 0), 0)</f>
        <v>0</v>
      </c>
      <c r="H277" s="58">
        <f>IFERROR(VLOOKUP(B277, 'HMMTPUMaC Algebra'!A$2:$B$500,2, 0), 0)</f>
        <v>0</v>
      </c>
      <c r="I277" s="53">
        <f>IFERROR(VLOOKUP(B277, 'HMMTPUMaC Geo'!$A$2:B$1500,2, 0), 0)</f>
        <v>0</v>
      </c>
    </row>
    <row r="278">
      <c r="A278" s="52">
        <v>277.0</v>
      </c>
      <c r="B278" s="7" t="s">
        <v>124</v>
      </c>
      <c r="C278" s="53">
        <f t="shared" si="8"/>
        <v>0</v>
      </c>
      <c r="D278" s="53">
        <f t="shared" si="2"/>
        <v>0</v>
      </c>
      <c r="E278" s="57">
        <f>IFERROR(VLOOKUP(B278, Proof!A$2:$B$588,2, 0), 0)</f>
        <v>0</v>
      </c>
      <c r="F278" s="53">
        <f>IFERROR(VLOOKUP(B278, 'HMMTPUMaC Combo'!A$2:$B$500,2, 0), 0)</f>
        <v>0</v>
      </c>
      <c r="G278" s="53">
        <f>IFERROR(VLOOKUP(B278, 'HMMTPUMaC NT'!A$2:$B$500,2, 0), 0)</f>
        <v>0</v>
      </c>
      <c r="H278" s="58">
        <f>IFERROR(VLOOKUP(B278, 'HMMTPUMaC Algebra'!A$2:$B$500,2, 0), 0)</f>
        <v>0</v>
      </c>
      <c r="I278" s="53">
        <f>IFERROR(VLOOKUP(B278, 'HMMTPUMaC Geo'!$A$2:B$1500,2, 0), 0)</f>
        <v>0</v>
      </c>
    </row>
    <row r="279">
      <c r="A279" s="52">
        <v>278.0</v>
      </c>
      <c r="B279" s="7" t="s">
        <v>446</v>
      </c>
      <c r="C279" s="53">
        <f t="shared" si="8"/>
        <v>0</v>
      </c>
      <c r="D279" s="53">
        <f t="shared" si="2"/>
        <v>0</v>
      </c>
      <c r="E279" s="57">
        <f>IFERROR(VLOOKUP(B279, Proof!A$2:$B$588,2, 0), 0)</f>
        <v>0</v>
      </c>
      <c r="F279" s="53">
        <f>IFERROR(VLOOKUP(B279, 'HMMTPUMaC Combo'!A$2:$B$500,2, 0), 0)</f>
        <v>0</v>
      </c>
      <c r="G279" s="53">
        <f>IFERROR(VLOOKUP(B279, 'HMMTPUMaC NT'!A$2:$B$500,2, 0), 0)</f>
        <v>0</v>
      </c>
      <c r="H279" s="58">
        <f>IFERROR(VLOOKUP(B279, 'HMMTPUMaC Algebra'!A$2:$B$500,2, 0), 0)</f>
        <v>0</v>
      </c>
      <c r="I279" s="53">
        <f>IFERROR(VLOOKUP(B279, 'HMMTPUMaC Geo'!$A$2:B$1500,2, 0), 0)</f>
        <v>0</v>
      </c>
    </row>
    <row r="280">
      <c r="A280" s="52">
        <v>279.0</v>
      </c>
      <c r="B280" s="7" t="s">
        <v>258</v>
      </c>
      <c r="C280" s="53">
        <f t="shared" si="8"/>
        <v>0</v>
      </c>
      <c r="D280" s="53">
        <f t="shared" si="2"/>
        <v>0</v>
      </c>
      <c r="E280" s="57">
        <f>IFERROR(VLOOKUP(B280, Proof!A$2:$B$588,2, 0), 0)</f>
        <v>0</v>
      </c>
      <c r="F280" s="53">
        <f>IFERROR(VLOOKUP(B280, 'HMMTPUMaC Combo'!A$2:$B$500,2, 0), 0)</f>
        <v>0</v>
      </c>
      <c r="G280" s="53">
        <f>IFERROR(VLOOKUP(B280, 'HMMTPUMaC NT'!A$2:$B$500,2, 0), 0)</f>
        <v>0</v>
      </c>
      <c r="H280" s="58">
        <f>IFERROR(VLOOKUP(B280, 'HMMTPUMaC Algebra'!A$2:$B$500,2, 0), 0)</f>
        <v>0</v>
      </c>
      <c r="I280" s="53">
        <f>IFERROR(VLOOKUP(B280, 'HMMTPUMaC Geo'!$A$2:B$1500,2, 0), 0)</f>
        <v>0</v>
      </c>
    </row>
    <row r="281">
      <c r="A281" s="52">
        <v>280.0</v>
      </c>
      <c r="B281" s="7" t="s">
        <v>475</v>
      </c>
      <c r="C281" s="53">
        <f t="shared" si="8"/>
        <v>0</v>
      </c>
      <c r="D281" s="53">
        <f t="shared" si="2"/>
        <v>0</v>
      </c>
      <c r="E281" s="57">
        <f>IFERROR(VLOOKUP(B281, Proof!A$2:$B$588,2, 0), 0)</f>
        <v>0</v>
      </c>
      <c r="F281" s="53">
        <f>IFERROR(VLOOKUP(B281, 'HMMTPUMaC Combo'!A$2:$B$500,2, 0), 0)</f>
        <v>0</v>
      </c>
      <c r="G281" s="53">
        <f>IFERROR(VLOOKUP(B281, 'HMMTPUMaC NT'!A$2:$B$500,2, 0), 0)</f>
        <v>0</v>
      </c>
      <c r="H281" s="58">
        <f>IFERROR(VLOOKUP(B281, 'HMMTPUMaC Algebra'!A$2:$B$500,2, 0), 0)</f>
        <v>0</v>
      </c>
      <c r="I281" s="53">
        <f>IFERROR(VLOOKUP(B281, 'HMMTPUMaC Geo'!$A$2:B$1500,2, 0), 0)</f>
        <v>0</v>
      </c>
    </row>
    <row r="282">
      <c r="A282" s="52">
        <v>281.0</v>
      </c>
      <c r="B282" s="7" t="s">
        <v>257</v>
      </c>
      <c r="C282" s="53">
        <f t="shared" si="8"/>
        <v>0</v>
      </c>
      <c r="D282" s="53">
        <f t="shared" si="2"/>
        <v>0</v>
      </c>
      <c r="E282" s="57">
        <f>IFERROR(VLOOKUP(B282, Proof!A$2:$B$588,2, 0), 0)</f>
        <v>0</v>
      </c>
      <c r="F282" s="53">
        <f>IFERROR(VLOOKUP(B282, 'HMMTPUMaC Combo'!A$2:$B$500,2, 0), 0)</f>
        <v>0</v>
      </c>
      <c r="G282" s="53">
        <f>IFERROR(VLOOKUP(B282, 'HMMTPUMaC NT'!A$2:$B$500,2, 0), 0)</f>
        <v>0</v>
      </c>
      <c r="H282" s="58">
        <f>IFERROR(VLOOKUP(B282, 'HMMTPUMaC Algebra'!A$2:$B$500,2, 0), 0)</f>
        <v>0</v>
      </c>
      <c r="I282" s="53">
        <f>IFERROR(VLOOKUP(B282, 'HMMTPUMaC Geo'!$A$2:B$1500,2, 0), 0)</f>
        <v>0</v>
      </c>
    </row>
    <row r="283">
      <c r="A283" s="52">
        <v>282.0</v>
      </c>
      <c r="B283" s="7" t="s">
        <v>252</v>
      </c>
      <c r="C283" s="53">
        <f t="shared" si="8"/>
        <v>0</v>
      </c>
      <c r="D283" s="53">
        <f t="shared" si="2"/>
        <v>0</v>
      </c>
      <c r="E283" s="57">
        <f>IFERROR(VLOOKUP(B283, Proof!A$2:$B$588,2, 0), 0)</f>
        <v>0</v>
      </c>
      <c r="F283" s="53">
        <f>IFERROR(VLOOKUP(B283, 'HMMTPUMaC Combo'!A$2:$B$500,2, 0), 0)</f>
        <v>0</v>
      </c>
      <c r="G283" s="53">
        <f>IFERROR(VLOOKUP(B283, 'HMMTPUMaC NT'!A$2:$B$500,2, 0), 0)</f>
        <v>0</v>
      </c>
      <c r="H283" s="58">
        <f>IFERROR(VLOOKUP(B283, 'HMMTPUMaC Algebra'!A$2:$B$500,2, 0), 0)</f>
        <v>0</v>
      </c>
      <c r="I283" s="53">
        <f>IFERROR(VLOOKUP(B283, 'HMMTPUMaC Geo'!$A$2:B$1500,2, 0), 0)</f>
        <v>0</v>
      </c>
    </row>
    <row r="284">
      <c r="A284" s="52">
        <v>283.0</v>
      </c>
      <c r="B284" s="7" t="s">
        <v>155</v>
      </c>
      <c r="C284" s="53">
        <f t="shared" si="8"/>
        <v>0</v>
      </c>
      <c r="D284" s="53">
        <f t="shared" si="2"/>
        <v>0</v>
      </c>
      <c r="E284" s="57">
        <f>IFERROR(VLOOKUP(B284, Proof!A$2:$B$588,2, 0), 0)</f>
        <v>0</v>
      </c>
      <c r="F284" s="53">
        <f>IFERROR(VLOOKUP(B284, 'HMMTPUMaC Combo'!A$2:$B$500,2, 0), 0)</f>
        <v>0</v>
      </c>
      <c r="G284" s="53">
        <f>IFERROR(VLOOKUP(B284, 'HMMTPUMaC NT'!A$2:$B$500,2, 0), 0)</f>
        <v>0</v>
      </c>
      <c r="H284" s="58">
        <f>IFERROR(VLOOKUP(B284, 'HMMTPUMaC Algebra'!A$2:$B$500,2, 0), 0)</f>
        <v>0</v>
      </c>
      <c r="I284" s="53">
        <f>IFERROR(VLOOKUP(B284, 'HMMTPUMaC Geo'!$A$2:B$1500,2, 0), 0)</f>
        <v>0</v>
      </c>
    </row>
    <row r="285">
      <c r="A285" s="52">
        <v>284.0</v>
      </c>
      <c r="B285" s="7" t="s">
        <v>492</v>
      </c>
      <c r="C285" s="53">
        <f t="shared" si="8"/>
        <v>0</v>
      </c>
      <c r="D285" s="53">
        <f t="shared" si="2"/>
        <v>0</v>
      </c>
      <c r="E285" s="57">
        <f>IFERROR(VLOOKUP(B285, Proof!A$2:$B$588,2, 0), 0)</f>
        <v>0</v>
      </c>
      <c r="F285" s="53">
        <f>IFERROR(VLOOKUP(B285, 'HMMTPUMaC Combo'!A$2:$B$500,2, 0), 0)</f>
        <v>0</v>
      </c>
      <c r="G285" s="53">
        <f>IFERROR(VLOOKUP(B285, 'HMMTPUMaC NT'!A$2:$B$500,2, 0), 0)</f>
        <v>0</v>
      </c>
      <c r="H285" s="58">
        <f>IFERROR(VLOOKUP(B285, 'HMMTPUMaC Algebra'!A$2:$B$500,2, 0), 0)</f>
        <v>0</v>
      </c>
      <c r="I285" s="53">
        <f>IFERROR(VLOOKUP(B285, 'HMMTPUMaC Geo'!$A$2:B$1500,2, 0), 0)</f>
        <v>0</v>
      </c>
    </row>
    <row r="286">
      <c r="A286" s="52">
        <v>285.0</v>
      </c>
      <c r="B286" s="7" t="s">
        <v>448</v>
      </c>
      <c r="C286" s="53">
        <f t="shared" si="8"/>
        <v>0</v>
      </c>
      <c r="D286" s="53">
        <f t="shared" si="2"/>
        <v>0</v>
      </c>
      <c r="E286" s="57">
        <f>IFERROR(VLOOKUP(B286, Proof!A$2:$B$588,2, 0), 0)</f>
        <v>0</v>
      </c>
      <c r="F286" s="53">
        <f>IFERROR(VLOOKUP(B286, 'HMMTPUMaC Combo'!A$2:$B$500,2, 0), 0)</f>
        <v>0</v>
      </c>
      <c r="G286" s="53">
        <f>IFERROR(VLOOKUP(B286, 'HMMTPUMaC NT'!A$2:$B$500,2, 0), 0)</f>
        <v>0</v>
      </c>
      <c r="H286" s="58">
        <f>IFERROR(VLOOKUP(B286, 'HMMTPUMaC Algebra'!A$2:$B$500,2, 0), 0)</f>
        <v>0</v>
      </c>
      <c r="I286" s="53">
        <f>IFERROR(VLOOKUP(B286, 'HMMTPUMaC Geo'!$A$2:B$1500,2, 0), 0)</f>
        <v>0</v>
      </c>
    </row>
    <row r="287">
      <c r="A287" s="52">
        <v>286.0</v>
      </c>
      <c r="B287" s="7" t="s">
        <v>122</v>
      </c>
      <c r="C287" s="53">
        <f t="shared" si="8"/>
        <v>0</v>
      </c>
      <c r="D287" s="53">
        <f t="shared" si="2"/>
        <v>0</v>
      </c>
      <c r="E287" s="57">
        <f>IFERROR(VLOOKUP(B287, Proof!A$2:$B$588,2, 0), 0)</f>
        <v>0</v>
      </c>
      <c r="F287" s="53">
        <f>IFERROR(VLOOKUP(B287, 'HMMTPUMaC Combo'!A$2:$B$500,2, 0), 0)</f>
        <v>0</v>
      </c>
      <c r="G287" s="53">
        <f>IFERROR(VLOOKUP(B287, 'HMMTPUMaC NT'!A$2:$B$500,2, 0), 0)</f>
        <v>0</v>
      </c>
      <c r="H287" s="58">
        <f>IFERROR(VLOOKUP(B287, 'HMMTPUMaC Algebra'!A$2:$B$500,2, 0), 0)</f>
        <v>0</v>
      </c>
      <c r="I287" s="53">
        <f>IFERROR(VLOOKUP(B287, 'HMMTPUMaC Geo'!$A$2:B$1500,2, 0), 0)</f>
        <v>0</v>
      </c>
    </row>
    <row r="288">
      <c r="A288" s="52">
        <v>287.0</v>
      </c>
      <c r="B288" s="7" t="s">
        <v>216</v>
      </c>
      <c r="C288" s="53">
        <f t="shared" si="8"/>
        <v>0</v>
      </c>
      <c r="D288" s="53">
        <f t="shared" si="2"/>
        <v>0</v>
      </c>
      <c r="E288" s="57">
        <f>IFERROR(VLOOKUP(B288, Proof!A$2:$B$588,2, 0), 0)</f>
        <v>0</v>
      </c>
      <c r="F288" s="53">
        <f>IFERROR(VLOOKUP(B288, 'HMMTPUMaC Combo'!A$2:$B$500,2, 0), 0)</f>
        <v>0</v>
      </c>
      <c r="G288" s="53">
        <f>IFERROR(VLOOKUP(B288, 'HMMTPUMaC NT'!A$2:$B$500,2, 0), 0)</f>
        <v>0</v>
      </c>
      <c r="H288" s="58">
        <f>IFERROR(VLOOKUP(B288, 'HMMTPUMaC Algebra'!A$2:$B$500,2, 0), 0)</f>
        <v>0</v>
      </c>
      <c r="I288" s="53">
        <f>IFERROR(VLOOKUP(B288, 'HMMTPUMaC Geo'!$A$2:B$1500,2, 0), 0)</f>
        <v>0</v>
      </c>
    </row>
    <row r="289">
      <c r="A289" s="52">
        <v>288.0</v>
      </c>
      <c r="B289" s="7" t="s">
        <v>217</v>
      </c>
      <c r="C289" s="53">
        <f t="shared" si="8"/>
        <v>0</v>
      </c>
      <c r="D289" s="53">
        <f t="shared" si="2"/>
        <v>0</v>
      </c>
      <c r="E289" s="57">
        <f>IFERROR(VLOOKUP(B289, Proof!A$2:$B$588,2, 0), 0)</f>
        <v>0</v>
      </c>
      <c r="F289" s="53">
        <f>IFERROR(VLOOKUP(B289, 'HMMTPUMaC Combo'!A$2:$B$500,2, 0), 0)</f>
        <v>0</v>
      </c>
      <c r="G289" s="53">
        <f>IFERROR(VLOOKUP(B289, 'HMMTPUMaC NT'!A$2:$B$500,2, 0), 0)</f>
        <v>0</v>
      </c>
      <c r="H289" s="58">
        <f>IFERROR(VLOOKUP(B289, 'HMMTPUMaC Algebra'!A$2:$B$500,2, 0), 0)</f>
        <v>0</v>
      </c>
      <c r="I289" s="53">
        <f>IFERROR(VLOOKUP(B289, 'HMMTPUMaC Geo'!$A$2:B$1500,2, 0), 0)</f>
        <v>0</v>
      </c>
    </row>
    <row r="290">
      <c r="A290" s="52">
        <v>289.0</v>
      </c>
      <c r="B290" s="7" t="s">
        <v>176</v>
      </c>
      <c r="C290" s="53">
        <f t="shared" si="8"/>
        <v>0</v>
      </c>
      <c r="D290" s="53">
        <f t="shared" si="2"/>
        <v>0</v>
      </c>
      <c r="E290" s="57">
        <f>IFERROR(VLOOKUP(B290, Proof!A$2:$B$588,2, 0), 0)</f>
        <v>0</v>
      </c>
      <c r="F290" s="53">
        <f>IFERROR(VLOOKUP(B290, 'HMMTPUMaC Combo'!A$2:$B$500,2, 0), 0)</f>
        <v>0</v>
      </c>
      <c r="G290" s="53">
        <f>IFERROR(VLOOKUP(B290, 'HMMTPUMaC NT'!A$2:$B$500,2, 0), 0)</f>
        <v>0</v>
      </c>
      <c r="H290" s="58">
        <f>IFERROR(VLOOKUP(B290, 'HMMTPUMaC Algebra'!A$2:$B$500,2, 0), 0)</f>
        <v>0</v>
      </c>
      <c r="I290" s="53">
        <f>IFERROR(VLOOKUP(B290, 'HMMTPUMaC Geo'!$A$2:B$1500,2, 0), 0)</f>
        <v>0</v>
      </c>
    </row>
    <row r="291">
      <c r="A291" s="52">
        <v>290.0</v>
      </c>
      <c r="B291" s="7" t="s">
        <v>337</v>
      </c>
      <c r="C291" s="53">
        <f t="shared" si="8"/>
        <v>0</v>
      </c>
      <c r="D291" s="53">
        <f t="shared" si="2"/>
        <v>0</v>
      </c>
      <c r="E291" s="57">
        <f>IFERROR(VLOOKUP(B291, Proof!A$2:$B$588,2, 0), 0)</f>
        <v>0</v>
      </c>
      <c r="F291" s="53">
        <f>IFERROR(VLOOKUP(B291, 'HMMTPUMaC Combo'!A$2:$B$500,2, 0), 0)</f>
        <v>0</v>
      </c>
      <c r="G291" s="53">
        <f>IFERROR(VLOOKUP(B291, 'HMMTPUMaC NT'!A$2:$B$500,2, 0), 0)</f>
        <v>0</v>
      </c>
      <c r="H291" s="58">
        <f>IFERROR(VLOOKUP(B291, 'HMMTPUMaC Algebra'!A$2:$B$500,2, 0), 0)</f>
        <v>0</v>
      </c>
      <c r="I291" s="53">
        <f>IFERROR(VLOOKUP(B291, 'HMMTPUMaC Geo'!$A$2:B$1500,2, 0), 0)</f>
        <v>0</v>
      </c>
    </row>
    <row r="292">
      <c r="A292" s="52">
        <v>291.0</v>
      </c>
      <c r="B292" s="7" t="s">
        <v>205</v>
      </c>
      <c r="C292" s="53">
        <f t="shared" si="8"/>
        <v>0</v>
      </c>
      <c r="D292" s="53">
        <f t="shared" si="2"/>
        <v>0</v>
      </c>
      <c r="E292" s="57">
        <f>IFERROR(VLOOKUP(B292, Proof!A$2:$B$588,2, 0), 0)</f>
        <v>0</v>
      </c>
      <c r="F292" s="53">
        <f>IFERROR(VLOOKUP(B292, 'HMMTPUMaC Combo'!A$2:$B$500,2, 0), 0)</f>
        <v>0</v>
      </c>
      <c r="G292" s="53">
        <f>IFERROR(VLOOKUP(B292, 'HMMTPUMaC NT'!A$2:$B$500,2, 0), 0)</f>
        <v>0</v>
      </c>
      <c r="H292" s="58">
        <f>IFERROR(VLOOKUP(B292, 'HMMTPUMaC Algebra'!A$2:$B$500,2, 0), 0)</f>
        <v>0</v>
      </c>
      <c r="I292" s="53">
        <f>IFERROR(VLOOKUP(B292, 'HMMTPUMaC Geo'!$A$2:B$1500,2, 0), 0)</f>
        <v>0</v>
      </c>
    </row>
    <row r="293">
      <c r="A293" s="52">
        <v>292.0</v>
      </c>
      <c r="B293" s="7" t="s">
        <v>138</v>
      </c>
      <c r="C293" s="53">
        <f t="shared" si="8"/>
        <v>0</v>
      </c>
      <c r="D293" s="53">
        <f t="shared" si="2"/>
        <v>0</v>
      </c>
      <c r="E293" s="57">
        <f>IFERROR(VLOOKUP(B293, Proof!A$2:$B$588,2, 0), 0)</f>
        <v>0</v>
      </c>
      <c r="F293" s="53">
        <f>IFERROR(VLOOKUP(B293, 'HMMTPUMaC Combo'!A$2:$B$500,2, 0), 0)</f>
        <v>0</v>
      </c>
      <c r="G293" s="53">
        <f>IFERROR(VLOOKUP(B293, 'HMMTPUMaC NT'!A$2:$B$500,2, 0), 0)</f>
        <v>0</v>
      </c>
      <c r="H293" s="58">
        <f>IFERROR(VLOOKUP(B293, 'HMMTPUMaC Algebra'!A$2:$B$500,2, 0), 0)</f>
        <v>0</v>
      </c>
      <c r="I293" s="53">
        <f>IFERROR(VLOOKUP(B293, 'HMMTPUMaC Geo'!$A$2:B$1500,2, 0), 0)</f>
        <v>0</v>
      </c>
    </row>
    <row r="294">
      <c r="A294" s="52">
        <v>293.0</v>
      </c>
      <c r="B294" s="7" t="s">
        <v>164</v>
      </c>
      <c r="C294" s="53">
        <f t="shared" si="8"/>
        <v>0</v>
      </c>
      <c r="D294" s="53">
        <f t="shared" si="2"/>
        <v>0</v>
      </c>
      <c r="E294" s="57">
        <f>IFERROR(VLOOKUP(B294, Proof!A$2:$B$588,2, 0), 0)</f>
        <v>0</v>
      </c>
      <c r="F294" s="53">
        <f>IFERROR(VLOOKUP(B294, 'HMMTPUMaC Combo'!A$2:$B$500,2, 0), 0)</f>
        <v>0</v>
      </c>
      <c r="G294" s="53">
        <f>IFERROR(VLOOKUP(B294, 'HMMTPUMaC NT'!A$2:$B$500,2, 0), 0)</f>
        <v>0</v>
      </c>
      <c r="H294" s="58">
        <f>IFERROR(VLOOKUP(B294, 'HMMTPUMaC Algebra'!A$2:$B$500,2, 0), 0)</f>
        <v>0</v>
      </c>
      <c r="I294" s="53">
        <f>IFERROR(VLOOKUP(B294, 'HMMTPUMaC Geo'!$A$2:B$1500,2, 0), 0)</f>
        <v>0</v>
      </c>
    </row>
    <row r="295">
      <c r="A295" s="52">
        <v>294.0</v>
      </c>
      <c r="B295" s="7" t="s">
        <v>218</v>
      </c>
      <c r="C295" s="53">
        <f t="shared" si="8"/>
        <v>0</v>
      </c>
      <c r="D295" s="53">
        <f t="shared" si="2"/>
        <v>0</v>
      </c>
      <c r="E295" s="57">
        <f>IFERROR(VLOOKUP(B295, Proof!A$2:$B$588,2, 0), 0)</f>
        <v>0</v>
      </c>
      <c r="F295" s="53">
        <f>IFERROR(VLOOKUP(B295, 'HMMTPUMaC Combo'!A$2:$B$500,2, 0), 0)</f>
        <v>0</v>
      </c>
      <c r="G295" s="53">
        <f>IFERROR(VLOOKUP(B295, 'HMMTPUMaC NT'!A$2:$B$500,2, 0), 0)</f>
        <v>0</v>
      </c>
      <c r="H295" s="58">
        <f>IFERROR(VLOOKUP(B295, 'HMMTPUMaC Algebra'!A$2:$B$500,2, 0), 0)</f>
        <v>0</v>
      </c>
      <c r="I295" s="53">
        <f>IFERROR(VLOOKUP(B295, 'HMMTPUMaC Geo'!$A$2:B$1500,2, 0), 0)</f>
        <v>0</v>
      </c>
    </row>
    <row r="296">
      <c r="A296" s="52">
        <v>295.0</v>
      </c>
      <c r="B296" s="7" t="s">
        <v>166</v>
      </c>
      <c r="C296" s="53">
        <f t="shared" si="8"/>
        <v>0</v>
      </c>
      <c r="D296" s="53">
        <f t="shared" si="2"/>
        <v>0</v>
      </c>
      <c r="E296" s="57">
        <f>IFERROR(VLOOKUP(B296, Proof!A$2:$B$588,2, 0), 0)</f>
        <v>0</v>
      </c>
      <c r="F296" s="53">
        <f>IFERROR(VLOOKUP(B296, 'HMMTPUMaC Combo'!A$2:$B$500,2, 0), 0)</f>
        <v>0</v>
      </c>
      <c r="G296" s="53">
        <f>IFERROR(VLOOKUP(B296, 'HMMTPUMaC NT'!A$2:$B$500,2, 0), 0)</f>
        <v>0</v>
      </c>
      <c r="H296" s="58">
        <f>IFERROR(VLOOKUP(B296, 'HMMTPUMaC Algebra'!A$2:$B$500,2, 0), 0)</f>
        <v>0</v>
      </c>
      <c r="I296" s="53">
        <f>IFERROR(VLOOKUP(B296, 'HMMTPUMaC Geo'!$A$2:B$1500,2, 0), 0)</f>
        <v>0</v>
      </c>
    </row>
    <row r="297">
      <c r="A297" s="52">
        <v>296.0</v>
      </c>
      <c r="B297" s="7" t="s">
        <v>178</v>
      </c>
      <c r="C297" s="53">
        <f t="shared" si="8"/>
        <v>0</v>
      </c>
      <c r="D297" s="53">
        <f t="shared" si="2"/>
        <v>0</v>
      </c>
      <c r="E297" s="57">
        <f>IFERROR(VLOOKUP(B297, Proof!A$2:$B$588,2, 0), 0)</f>
        <v>0</v>
      </c>
      <c r="F297" s="53">
        <f>IFERROR(VLOOKUP(B297, 'HMMTPUMaC Combo'!A$2:$B$500,2, 0), 0)</f>
        <v>0</v>
      </c>
      <c r="G297" s="53">
        <f>IFERROR(VLOOKUP(B297, 'HMMTPUMaC NT'!A$2:$B$500,2, 0), 0)</f>
        <v>0</v>
      </c>
      <c r="H297" s="58">
        <f>IFERROR(VLOOKUP(B297, 'HMMTPUMaC Algebra'!A$2:$B$500,2, 0), 0)</f>
        <v>0</v>
      </c>
      <c r="I297" s="53">
        <f>IFERROR(VLOOKUP(B297, 'HMMTPUMaC Geo'!$A$2:B$1500,2, 0), 0)</f>
        <v>0</v>
      </c>
    </row>
    <row r="298">
      <c r="A298" s="52">
        <v>297.0</v>
      </c>
      <c r="B298" s="7" t="s">
        <v>240</v>
      </c>
      <c r="C298" s="53">
        <f t="shared" si="8"/>
        <v>0</v>
      </c>
      <c r="D298" s="53">
        <f t="shared" si="2"/>
        <v>0</v>
      </c>
      <c r="E298" s="57">
        <f>IFERROR(VLOOKUP(B298, Proof!A$2:$B$588,2, 0), 0)</f>
        <v>0</v>
      </c>
      <c r="F298" s="53">
        <f>IFERROR(VLOOKUP(B298, 'HMMTPUMaC Combo'!A$2:$B$500,2, 0), 0)</f>
        <v>0</v>
      </c>
      <c r="G298" s="53">
        <f>IFERROR(VLOOKUP(B298, 'HMMTPUMaC NT'!A$2:$B$500,2, 0), 0)</f>
        <v>0</v>
      </c>
      <c r="H298" s="58">
        <f>IFERROR(VLOOKUP(B298, 'HMMTPUMaC Algebra'!A$2:$B$500,2, 0), 0)</f>
        <v>0</v>
      </c>
      <c r="I298" s="53">
        <f>IFERROR(VLOOKUP(B298, 'HMMTPUMaC Geo'!$A$2:B$1500,2, 0), 0)</f>
        <v>0</v>
      </c>
    </row>
    <row r="299">
      <c r="A299" s="52">
        <v>298.0</v>
      </c>
      <c r="B299" s="7" t="s">
        <v>227</v>
      </c>
      <c r="C299" s="53">
        <f t="shared" si="8"/>
        <v>0</v>
      </c>
      <c r="D299" s="53">
        <f t="shared" si="2"/>
        <v>0</v>
      </c>
      <c r="E299" s="57">
        <f>IFERROR(VLOOKUP(B299, Proof!A$2:$B$588,2, 0), 0)</f>
        <v>0</v>
      </c>
      <c r="F299" s="53">
        <f>IFERROR(VLOOKUP(B299, 'HMMTPUMaC Combo'!A$2:$B$500,2, 0), 0)</f>
        <v>0</v>
      </c>
      <c r="G299" s="53">
        <f>IFERROR(VLOOKUP(B299, 'HMMTPUMaC NT'!A$2:$B$500,2, 0), 0)</f>
        <v>0</v>
      </c>
      <c r="H299" s="58">
        <f>IFERROR(VLOOKUP(B299, 'HMMTPUMaC Algebra'!A$2:$B$500,2, 0), 0)</f>
        <v>0</v>
      </c>
      <c r="I299" s="53">
        <f>IFERROR(VLOOKUP(B299, 'HMMTPUMaC Geo'!$A$2:B$1500,2, 0), 0)</f>
        <v>0</v>
      </c>
    </row>
    <row r="300">
      <c r="A300" s="52">
        <v>299.0</v>
      </c>
      <c r="B300" s="7" t="s">
        <v>162</v>
      </c>
      <c r="C300" s="53">
        <f t="shared" si="8"/>
        <v>0</v>
      </c>
      <c r="D300" s="53">
        <f t="shared" si="2"/>
        <v>0</v>
      </c>
      <c r="E300" s="57">
        <f>IFERROR(VLOOKUP(B300, Proof!A$2:$B$588,2, 0), 0)</f>
        <v>0</v>
      </c>
      <c r="F300" s="53">
        <f>IFERROR(VLOOKUP(B300, 'HMMTPUMaC Combo'!A$2:$B$500,2, 0), 0)</f>
        <v>0</v>
      </c>
      <c r="G300" s="53">
        <f>IFERROR(VLOOKUP(B300, 'HMMTPUMaC NT'!A$2:$B$500,2, 0), 0)</f>
        <v>0</v>
      </c>
      <c r="H300" s="58">
        <f>IFERROR(VLOOKUP(B300, 'HMMTPUMaC Algebra'!A$2:$B$500,2, 0), 0)</f>
        <v>0</v>
      </c>
      <c r="I300" s="53">
        <f>IFERROR(VLOOKUP(B300, 'HMMTPUMaC Geo'!$A$2:B$1500,2, 0), 0)</f>
        <v>0</v>
      </c>
    </row>
    <row r="301">
      <c r="A301" s="52">
        <v>300.0</v>
      </c>
      <c r="B301" s="7" t="s">
        <v>185</v>
      </c>
      <c r="C301" s="53">
        <f t="shared" si="8"/>
        <v>0</v>
      </c>
      <c r="D301" s="53">
        <f t="shared" si="2"/>
        <v>0</v>
      </c>
      <c r="E301" s="57">
        <f>IFERROR(VLOOKUP(B301, Proof!A$2:$B$588,2, 0), 0)</f>
        <v>0</v>
      </c>
      <c r="F301" s="53">
        <f>IFERROR(VLOOKUP(B301, 'HMMTPUMaC Combo'!A$2:$B$500,2, 0), 0)</f>
        <v>0</v>
      </c>
      <c r="G301" s="53">
        <f>IFERROR(VLOOKUP(B301, 'HMMTPUMaC NT'!A$2:$B$500,2, 0), 0)</f>
        <v>0</v>
      </c>
      <c r="H301" s="58">
        <f>IFERROR(VLOOKUP(B301, 'HMMTPUMaC Algebra'!A$2:$B$500,2, 0), 0)</f>
        <v>0</v>
      </c>
      <c r="I301" s="53">
        <f>IFERROR(VLOOKUP(B301, 'HMMTPUMaC Geo'!$A$2:B$1500,2, 0), 0)</f>
        <v>0</v>
      </c>
    </row>
    <row r="302">
      <c r="A302" s="52">
        <v>301.0</v>
      </c>
      <c r="B302" s="7" t="s">
        <v>186</v>
      </c>
      <c r="C302" s="53">
        <f t="shared" si="8"/>
        <v>0</v>
      </c>
      <c r="D302" s="53">
        <f t="shared" si="2"/>
        <v>0</v>
      </c>
      <c r="E302" s="57">
        <f>IFERROR(VLOOKUP(B302, Proof!A$2:$B$588,2, 0), 0)</f>
        <v>0</v>
      </c>
      <c r="F302" s="53">
        <f>IFERROR(VLOOKUP(B302, 'HMMTPUMaC Combo'!A$2:$B$500,2, 0), 0)</f>
        <v>0</v>
      </c>
      <c r="G302" s="53">
        <f>IFERROR(VLOOKUP(B302, 'HMMTPUMaC NT'!A$2:$B$500,2, 0), 0)</f>
        <v>0</v>
      </c>
      <c r="H302" s="58">
        <f>IFERROR(VLOOKUP(B302, 'HMMTPUMaC Algebra'!A$2:$B$500,2, 0), 0)</f>
        <v>0</v>
      </c>
      <c r="I302" s="53">
        <f>IFERROR(VLOOKUP(B302, 'HMMTPUMaC Geo'!$A$2:B$1500,2, 0), 0)</f>
        <v>0</v>
      </c>
    </row>
    <row r="303">
      <c r="A303" s="52">
        <v>302.0</v>
      </c>
      <c r="B303" s="7" t="s">
        <v>203</v>
      </c>
      <c r="C303" s="53">
        <f t="shared" si="8"/>
        <v>0</v>
      </c>
      <c r="D303" s="53">
        <f t="shared" si="2"/>
        <v>0</v>
      </c>
      <c r="E303" s="57">
        <f>IFERROR(VLOOKUP(B303, Proof!A$2:$B$588,2, 0), 0)</f>
        <v>0</v>
      </c>
      <c r="F303" s="53">
        <f>IFERROR(VLOOKUP(B303, 'HMMTPUMaC Combo'!A$2:$B$500,2, 0), 0)</f>
        <v>0</v>
      </c>
      <c r="G303" s="53">
        <f>IFERROR(VLOOKUP(B303, 'HMMTPUMaC NT'!A$2:$B$500,2, 0), 0)</f>
        <v>0</v>
      </c>
      <c r="H303" s="58">
        <f>IFERROR(VLOOKUP(B303, 'HMMTPUMaC Algebra'!A$2:$B$500,2, 0), 0)</f>
        <v>0</v>
      </c>
      <c r="I303" s="53">
        <f>IFERROR(VLOOKUP(B303, 'HMMTPUMaC Geo'!$A$2:B$1500,2, 0), 0)</f>
        <v>0</v>
      </c>
    </row>
    <row r="304">
      <c r="A304" s="52">
        <v>303.0</v>
      </c>
      <c r="B304" s="7" t="s">
        <v>223</v>
      </c>
      <c r="C304" s="53">
        <f t="shared" si="8"/>
        <v>0</v>
      </c>
      <c r="D304" s="53">
        <f t="shared" si="2"/>
        <v>0</v>
      </c>
      <c r="E304" s="57">
        <f>IFERROR(VLOOKUP(B304, Proof!A$2:$B$588,2, 0), 0)</f>
        <v>0</v>
      </c>
      <c r="F304" s="53">
        <f>IFERROR(VLOOKUP(B304, 'HMMTPUMaC Combo'!A$2:$B$500,2, 0), 0)</f>
        <v>0</v>
      </c>
      <c r="G304" s="53">
        <f>IFERROR(VLOOKUP(B304, 'HMMTPUMaC NT'!A$2:$B$500,2, 0), 0)</f>
        <v>0</v>
      </c>
      <c r="H304" s="58">
        <f>IFERROR(VLOOKUP(B304, 'HMMTPUMaC Algebra'!A$2:$B$500,2, 0), 0)</f>
        <v>0</v>
      </c>
      <c r="I304" s="53">
        <f>IFERROR(VLOOKUP(B304, 'HMMTPUMaC Geo'!$A$2:B$1500,2, 0), 0)</f>
        <v>0</v>
      </c>
    </row>
    <row r="305">
      <c r="A305" s="52">
        <v>304.0</v>
      </c>
      <c r="B305" s="7" t="s">
        <v>200</v>
      </c>
      <c r="C305" s="53">
        <f t="shared" si="8"/>
        <v>0</v>
      </c>
      <c r="D305" s="53">
        <f t="shared" si="2"/>
        <v>0</v>
      </c>
      <c r="E305" s="57">
        <f>IFERROR(VLOOKUP(B305, Proof!A$2:$B$588,2, 0), 0)</f>
        <v>0</v>
      </c>
      <c r="F305" s="53">
        <f>IFERROR(VLOOKUP(B305, 'HMMTPUMaC Combo'!A$2:$B$500,2, 0), 0)</f>
        <v>0</v>
      </c>
      <c r="G305" s="53">
        <f>IFERROR(VLOOKUP(B305, 'HMMTPUMaC NT'!A$2:$B$500,2, 0), 0)</f>
        <v>0</v>
      </c>
      <c r="H305" s="58">
        <f>IFERROR(VLOOKUP(B305, 'HMMTPUMaC Algebra'!A$2:$B$500,2, 0), 0)</f>
        <v>0</v>
      </c>
      <c r="I305" s="53">
        <f>IFERROR(VLOOKUP(B305, 'HMMTPUMaC Geo'!$A$2:B$1500,2, 0), 0)</f>
        <v>0</v>
      </c>
    </row>
    <row r="306">
      <c r="A306" s="52">
        <v>305.0</v>
      </c>
      <c r="B306" s="7" t="s">
        <v>248</v>
      </c>
      <c r="C306" s="53">
        <f t="shared" si="8"/>
        <v>0</v>
      </c>
      <c r="D306" s="53">
        <f t="shared" si="2"/>
        <v>0</v>
      </c>
      <c r="E306" s="57">
        <f>IFERROR(VLOOKUP(B306, Proof!A$2:$B$588,2, 0), 0)</f>
        <v>0</v>
      </c>
      <c r="F306" s="53">
        <f>IFERROR(VLOOKUP(B306, 'HMMTPUMaC Combo'!A$2:$B$500,2, 0), 0)</f>
        <v>0</v>
      </c>
      <c r="G306" s="53">
        <f>IFERROR(VLOOKUP(B306, 'HMMTPUMaC NT'!A$2:$B$500,2, 0), 0)</f>
        <v>0</v>
      </c>
      <c r="H306" s="58">
        <f>IFERROR(VLOOKUP(B306, 'HMMTPUMaC Algebra'!A$2:$B$500,2, 0), 0)</f>
        <v>0</v>
      </c>
      <c r="I306" s="53">
        <f>IFERROR(VLOOKUP(B306, 'HMMTPUMaC Geo'!$A$2:B$1500,2, 0), 0)</f>
        <v>0</v>
      </c>
    </row>
    <row r="307">
      <c r="A307" s="52">
        <v>306.0</v>
      </c>
      <c r="B307" s="7" t="s">
        <v>237</v>
      </c>
      <c r="C307" s="53">
        <f t="shared" si="8"/>
        <v>0</v>
      </c>
      <c r="D307" s="53">
        <f t="shared" si="2"/>
        <v>0</v>
      </c>
      <c r="E307" s="57">
        <f>IFERROR(VLOOKUP(B307, Proof!A$2:$B$588,2, 0), 0)</f>
        <v>0</v>
      </c>
      <c r="F307" s="53">
        <f>IFERROR(VLOOKUP(B307, 'HMMTPUMaC Combo'!A$2:$B$500,2, 0), 0)</f>
        <v>0</v>
      </c>
      <c r="G307" s="53">
        <f>IFERROR(VLOOKUP(B307, 'HMMTPUMaC NT'!A$2:$B$500,2, 0), 0)</f>
        <v>0</v>
      </c>
      <c r="H307" s="58">
        <f>IFERROR(VLOOKUP(B307, 'HMMTPUMaC Algebra'!A$2:$B$500,2, 0), 0)</f>
        <v>0</v>
      </c>
      <c r="I307" s="53">
        <f>IFERROR(VLOOKUP(B307, 'HMMTPUMaC Geo'!$A$2:B$1500,2, 0), 0)</f>
        <v>0</v>
      </c>
    </row>
    <row r="308">
      <c r="A308" s="52">
        <v>307.0</v>
      </c>
      <c r="B308" s="7" t="s">
        <v>260</v>
      </c>
      <c r="C308" s="53">
        <f t="shared" si="8"/>
        <v>0</v>
      </c>
      <c r="D308" s="53">
        <f t="shared" si="2"/>
        <v>0</v>
      </c>
      <c r="E308" s="57">
        <f>IFERROR(VLOOKUP(B308, Proof!A$2:$B$588,2, 0), 0)</f>
        <v>0</v>
      </c>
      <c r="F308" s="53">
        <f>IFERROR(VLOOKUP(B308, 'HMMTPUMaC Combo'!A$2:$B$500,2, 0), 0)</f>
        <v>0</v>
      </c>
      <c r="G308" s="53">
        <f>IFERROR(VLOOKUP(B308, 'HMMTPUMaC NT'!A$2:$B$500,2, 0), 0)</f>
        <v>0</v>
      </c>
      <c r="H308" s="58">
        <f>IFERROR(VLOOKUP(B308, 'HMMTPUMaC Algebra'!A$2:$B$500,2, 0), 0)</f>
        <v>0</v>
      </c>
      <c r="I308" s="53">
        <f>IFERROR(VLOOKUP(B308, 'HMMTPUMaC Geo'!$A$2:B$1500,2, 0), 0)</f>
        <v>0</v>
      </c>
    </row>
    <row r="309">
      <c r="A309" s="52">
        <v>308.0</v>
      </c>
      <c r="B309" s="7" t="s">
        <v>167</v>
      </c>
      <c r="C309" s="53">
        <f t="shared" si="8"/>
        <v>0</v>
      </c>
      <c r="D309" s="53">
        <f t="shared" si="2"/>
        <v>0</v>
      </c>
      <c r="E309" s="57">
        <f>IFERROR(VLOOKUP(B309, Proof!A$2:$B$588,2, 0), 0)</f>
        <v>0</v>
      </c>
      <c r="F309" s="53">
        <f>IFERROR(VLOOKUP(B309, 'HMMTPUMaC Combo'!A$2:$B$500,2, 0), 0)</f>
        <v>0</v>
      </c>
      <c r="G309" s="53">
        <f>IFERROR(VLOOKUP(B309, 'HMMTPUMaC NT'!A$2:$B$500,2, 0), 0)</f>
        <v>0</v>
      </c>
      <c r="H309" s="58">
        <f>IFERROR(VLOOKUP(B309, 'HMMTPUMaC Algebra'!A$2:$B$500,2, 0), 0)</f>
        <v>0</v>
      </c>
      <c r="I309" s="53">
        <f>IFERROR(VLOOKUP(B309, 'HMMTPUMaC Geo'!$A$2:B$1500,2, 0), 0)</f>
        <v>0</v>
      </c>
    </row>
    <row r="310">
      <c r="A310" s="52">
        <v>309.0</v>
      </c>
      <c r="B310" s="7" t="s">
        <v>177</v>
      </c>
      <c r="C310" s="53">
        <f t="shared" si="8"/>
        <v>0</v>
      </c>
      <c r="D310" s="53">
        <f t="shared" si="2"/>
        <v>0</v>
      </c>
      <c r="E310" s="57">
        <f>IFERROR(VLOOKUP(B310, Proof!A$2:$B$588,2, 0), 0)</f>
        <v>0</v>
      </c>
      <c r="F310" s="53">
        <f>IFERROR(VLOOKUP(B310, 'HMMTPUMaC Combo'!A$2:$B$500,2, 0), 0)</f>
        <v>0</v>
      </c>
      <c r="G310" s="53">
        <f>IFERROR(VLOOKUP(B310, 'HMMTPUMaC NT'!A$2:$B$500,2, 0), 0)</f>
        <v>0</v>
      </c>
      <c r="H310" s="58">
        <f>IFERROR(VLOOKUP(B310, 'HMMTPUMaC Algebra'!A$2:$B$500,2, 0), 0)</f>
        <v>0</v>
      </c>
      <c r="I310" s="53">
        <f>IFERROR(VLOOKUP(B310, 'HMMTPUMaC Geo'!$A$2:B$1500,2, 0), 0)</f>
        <v>0</v>
      </c>
    </row>
    <row r="311">
      <c r="A311" s="52">
        <v>310.0</v>
      </c>
      <c r="B311" s="7" t="s">
        <v>273</v>
      </c>
      <c r="C311" s="53">
        <f t="shared" si="8"/>
        <v>0</v>
      </c>
      <c r="D311" s="53">
        <f t="shared" si="2"/>
        <v>0</v>
      </c>
      <c r="E311" s="57">
        <f>IFERROR(VLOOKUP(B311, Proof!A$2:$B$588,2, 0), 0)</f>
        <v>0</v>
      </c>
      <c r="F311" s="53">
        <f>IFERROR(VLOOKUP(B311, 'HMMTPUMaC Combo'!A$2:$B$500,2, 0), 0)</f>
        <v>0</v>
      </c>
      <c r="G311" s="53">
        <f>IFERROR(VLOOKUP(B311, 'HMMTPUMaC NT'!A$2:$B$500,2, 0), 0)</f>
        <v>0</v>
      </c>
      <c r="H311" s="58">
        <f>IFERROR(VLOOKUP(B311, 'HMMTPUMaC Algebra'!A$2:$B$500,2, 0), 0)</f>
        <v>0</v>
      </c>
      <c r="I311" s="53">
        <f>IFERROR(VLOOKUP(B311, 'HMMTPUMaC Geo'!$A$2:B$1500,2, 0), 0)</f>
        <v>0</v>
      </c>
    </row>
    <row r="312">
      <c r="A312" s="52">
        <v>311.0</v>
      </c>
      <c r="B312" s="7" t="s">
        <v>286</v>
      </c>
      <c r="C312" s="53">
        <f t="shared" si="8"/>
        <v>0</v>
      </c>
      <c r="D312" s="53">
        <f t="shared" si="2"/>
        <v>0</v>
      </c>
      <c r="E312" s="57">
        <f>IFERROR(VLOOKUP(B312, Proof!A$2:$B$588,2, 0), 0)</f>
        <v>0</v>
      </c>
      <c r="F312" s="53">
        <f>IFERROR(VLOOKUP(B312, 'HMMTPUMaC Combo'!A$2:$B$500,2, 0), 0)</f>
        <v>0</v>
      </c>
      <c r="G312" s="53">
        <f>IFERROR(VLOOKUP(B312, 'HMMTPUMaC NT'!A$2:$B$500,2, 0), 0)</f>
        <v>0</v>
      </c>
      <c r="H312" s="58">
        <f>IFERROR(VLOOKUP(B312, 'HMMTPUMaC Algebra'!A$2:$B$500,2, 0), 0)</f>
        <v>0</v>
      </c>
      <c r="I312" s="53">
        <f>IFERROR(VLOOKUP(B312, 'HMMTPUMaC Geo'!$A$2:B$1500,2, 0), 0)</f>
        <v>0</v>
      </c>
    </row>
    <row r="313">
      <c r="A313" s="52">
        <v>312.0</v>
      </c>
      <c r="B313" s="7" t="s">
        <v>280</v>
      </c>
      <c r="C313" s="53">
        <f t="shared" si="8"/>
        <v>0</v>
      </c>
      <c r="D313" s="53">
        <f t="shared" si="2"/>
        <v>0</v>
      </c>
      <c r="E313" s="57">
        <f>IFERROR(VLOOKUP(B313, Proof!A$2:$B$588,2, 0), 0)</f>
        <v>0</v>
      </c>
      <c r="F313" s="53">
        <f>IFERROR(VLOOKUP(B313, 'HMMTPUMaC Combo'!A$2:$B$500,2, 0), 0)</f>
        <v>0</v>
      </c>
      <c r="G313" s="53">
        <f>IFERROR(VLOOKUP(B313, 'HMMTPUMaC NT'!A$2:$B$500,2, 0), 0)</f>
        <v>0</v>
      </c>
      <c r="H313" s="58">
        <f>IFERROR(VLOOKUP(B313, 'HMMTPUMaC Algebra'!A$2:$B$500,2, 0), 0)</f>
        <v>0</v>
      </c>
      <c r="I313" s="53">
        <f>IFERROR(VLOOKUP(B313, 'HMMTPUMaC Geo'!$A$2:B$1500,2, 0), 0)</f>
        <v>0</v>
      </c>
    </row>
    <row r="314">
      <c r="A314" s="52">
        <v>313.0</v>
      </c>
      <c r="B314" s="7" t="s">
        <v>212</v>
      </c>
      <c r="C314" s="53">
        <f t="shared" si="8"/>
        <v>0</v>
      </c>
      <c r="D314" s="53">
        <f t="shared" si="2"/>
        <v>0</v>
      </c>
      <c r="E314" s="57">
        <f>IFERROR(VLOOKUP(B314, Proof!A$2:$B$588,2, 0), 0)</f>
        <v>0</v>
      </c>
      <c r="F314" s="53">
        <f>IFERROR(VLOOKUP(B314, 'HMMTPUMaC Combo'!A$2:$B$500,2, 0), 0)</f>
        <v>0</v>
      </c>
      <c r="G314" s="53">
        <f>IFERROR(VLOOKUP(B314, 'HMMTPUMaC NT'!A$2:$B$500,2, 0), 0)</f>
        <v>0</v>
      </c>
      <c r="H314" s="58">
        <f>IFERROR(VLOOKUP(B314, 'HMMTPUMaC Algebra'!A$2:$B$500,2, 0), 0)</f>
        <v>0</v>
      </c>
      <c r="I314" s="53">
        <f>IFERROR(VLOOKUP(B314, 'HMMTPUMaC Geo'!$A$2:B$1500,2, 0), 0)</f>
        <v>0</v>
      </c>
    </row>
    <row r="315">
      <c r="A315" s="52">
        <v>314.0</v>
      </c>
      <c r="B315" s="7" t="s">
        <v>168</v>
      </c>
      <c r="C315" s="53">
        <f t="shared" si="8"/>
        <v>0</v>
      </c>
      <c r="D315" s="53">
        <f t="shared" si="2"/>
        <v>0</v>
      </c>
      <c r="E315" s="57">
        <f>IFERROR(VLOOKUP(B315, Proof!A$2:$B$588,2, 0), 0)</f>
        <v>0</v>
      </c>
      <c r="F315" s="53">
        <f>IFERROR(VLOOKUP(B315, 'HMMTPUMaC Combo'!A$2:$B$500,2, 0), 0)</f>
        <v>0</v>
      </c>
      <c r="G315" s="53">
        <f>IFERROR(VLOOKUP(B315, 'HMMTPUMaC NT'!A$2:$B$500,2, 0), 0)</f>
        <v>0</v>
      </c>
      <c r="H315" s="58">
        <f>IFERROR(VLOOKUP(B315, 'HMMTPUMaC Algebra'!A$2:$B$500,2, 0), 0)</f>
        <v>0</v>
      </c>
      <c r="I315" s="53">
        <f>IFERROR(VLOOKUP(B315, 'HMMTPUMaC Geo'!$A$2:B$1500,2, 0), 0)</f>
        <v>0</v>
      </c>
    </row>
    <row r="316">
      <c r="A316" s="52">
        <v>315.0</v>
      </c>
      <c r="B316" s="7" t="s">
        <v>163</v>
      </c>
      <c r="C316" s="53">
        <f t="shared" si="8"/>
        <v>0</v>
      </c>
      <c r="D316" s="53">
        <f t="shared" si="2"/>
        <v>0</v>
      </c>
      <c r="E316" s="57">
        <f>IFERROR(VLOOKUP(B316, Proof!A$2:$B$588,2, 0), 0)</f>
        <v>0</v>
      </c>
      <c r="F316" s="53">
        <f>IFERROR(VLOOKUP(B316, 'HMMTPUMaC Combo'!A$2:$B$500,2, 0), 0)</f>
        <v>0</v>
      </c>
      <c r="G316" s="53">
        <f>IFERROR(VLOOKUP(B316, 'HMMTPUMaC NT'!A$2:$B$500,2, 0), 0)</f>
        <v>0</v>
      </c>
      <c r="H316" s="58">
        <f>IFERROR(VLOOKUP(B316, 'HMMTPUMaC Algebra'!A$2:$B$500,2, 0), 0)</f>
        <v>0</v>
      </c>
      <c r="I316" s="53">
        <f>IFERROR(VLOOKUP(B316, 'HMMTPUMaC Geo'!$A$2:B$1500,2, 0), 0)</f>
        <v>0</v>
      </c>
    </row>
    <row r="317">
      <c r="A317" s="52">
        <v>316.0</v>
      </c>
      <c r="B317" s="7" t="s">
        <v>225</v>
      </c>
      <c r="C317" s="53">
        <f t="shared" si="8"/>
        <v>0</v>
      </c>
      <c r="D317" s="53">
        <f t="shared" si="2"/>
        <v>0</v>
      </c>
      <c r="E317" s="57">
        <f>IFERROR(VLOOKUP(B317, Proof!A$2:$B$588,2, 0), 0)</f>
        <v>0</v>
      </c>
      <c r="F317" s="53">
        <f>IFERROR(VLOOKUP(B317, 'HMMTPUMaC Combo'!A$2:$B$500,2, 0), 0)</f>
        <v>0</v>
      </c>
      <c r="G317" s="53">
        <f>IFERROR(VLOOKUP(B317, 'HMMTPUMaC NT'!A$2:$B$500,2, 0), 0)</f>
        <v>0</v>
      </c>
      <c r="H317" s="58">
        <f>IFERROR(VLOOKUP(B317, 'HMMTPUMaC Algebra'!A$2:$B$500,2, 0), 0)</f>
        <v>0</v>
      </c>
      <c r="I317" s="53">
        <f>IFERROR(VLOOKUP(B317, 'HMMTPUMaC Geo'!$A$2:B$1500,2, 0), 0)</f>
        <v>0</v>
      </c>
    </row>
    <row r="318">
      <c r="A318" s="52">
        <v>317.0</v>
      </c>
      <c r="B318" s="7" t="s">
        <v>228</v>
      </c>
      <c r="C318" s="53">
        <f t="shared" si="8"/>
        <v>0</v>
      </c>
      <c r="D318" s="53">
        <f t="shared" si="2"/>
        <v>0</v>
      </c>
      <c r="E318" s="57">
        <f>IFERROR(VLOOKUP(B318, Proof!A$2:$B$588,2, 0), 0)</f>
        <v>0</v>
      </c>
      <c r="F318" s="53">
        <f>IFERROR(VLOOKUP(B318, 'HMMTPUMaC Combo'!A$2:$B$500,2, 0), 0)</f>
        <v>0</v>
      </c>
      <c r="G318" s="53">
        <f>IFERROR(VLOOKUP(B318, 'HMMTPUMaC NT'!A$2:$B$500,2, 0), 0)</f>
        <v>0</v>
      </c>
      <c r="H318" s="58">
        <f>IFERROR(VLOOKUP(B318, 'HMMTPUMaC Algebra'!A$2:$B$500,2, 0), 0)</f>
        <v>0</v>
      </c>
      <c r="I318" s="53">
        <f>IFERROR(VLOOKUP(B318, 'HMMTPUMaC Geo'!$A$2:B$1500,2, 0), 0)</f>
        <v>0</v>
      </c>
    </row>
    <row r="319">
      <c r="A319" s="52">
        <v>318.0</v>
      </c>
      <c r="B319" s="7" t="s">
        <v>192</v>
      </c>
      <c r="C319" s="53">
        <f t="shared" si="8"/>
        <v>0</v>
      </c>
      <c r="D319" s="53">
        <f t="shared" si="2"/>
        <v>0</v>
      </c>
      <c r="E319" s="57">
        <f>IFERROR(VLOOKUP(B319, Proof!A$2:$B$588,2, 0), 0)</f>
        <v>0</v>
      </c>
      <c r="F319" s="53">
        <f>IFERROR(VLOOKUP(B319, 'HMMTPUMaC Combo'!A$2:$B$500,2, 0), 0)</f>
        <v>0</v>
      </c>
      <c r="G319" s="53">
        <f>IFERROR(VLOOKUP(B319, 'HMMTPUMaC NT'!A$2:$B$500,2, 0), 0)</f>
        <v>0</v>
      </c>
      <c r="H319" s="58">
        <f>IFERROR(VLOOKUP(B319, 'HMMTPUMaC Algebra'!A$2:$B$500,2, 0), 0)</f>
        <v>0</v>
      </c>
      <c r="I319" s="53">
        <f>IFERROR(VLOOKUP(B319, 'HMMTPUMaC Geo'!$A$2:B$1500,2, 0), 0)</f>
        <v>0</v>
      </c>
    </row>
    <row r="320">
      <c r="A320" s="52">
        <v>319.0</v>
      </c>
      <c r="B320" s="7" t="s">
        <v>195</v>
      </c>
      <c r="C320" s="53">
        <f t="shared" si="8"/>
        <v>0</v>
      </c>
      <c r="D320" s="53">
        <f t="shared" si="2"/>
        <v>0</v>
      </c>
      <c r="E320" s="57">
        <f>IFERROR(VLOOKUP(B320, Proof!A$2:$B$588,2, 0), 0)</f>
        <v>0</v>
      </c>
      <c r="F320" s="53">
        <f>IFERROR(VLOOKUP(B320, 'HMMTPUMaC Combo'!A$2:$B$500,2, 0), 0)</f>
        <v>0</v>
      </c>
      <c r="G320" s="53">
        <f>IFERROR(VLOOKUP(B320, 'HMMTPUMaC NT'!A$2:$B$500,2, 0), 0)</f>
        <v>0</v>
      </c>
      <c r="H320" s="58">
        <f>IFERROR(VLOOKUP(B320, 'HMMTPUMaC Algebra'!A$2:$B$500,2, 0), 0)</f>
        <v>0</v>
      </c>
      <c r="I320" s="53">
        <f>IFERROR(VLOOKUP(B320, 'HMMTPUMaC Geo'!$A$2:B$1500,2, 0), 0)</f>
        <v>0</v>
      </c>
    </row>
    <row r="321">
      <c r="A321" s="52">
        <v>320.0</v>
      </c>
      <c r="B321" s="7" t="s">
        <v>275</v>
      </c>
      <c r="C321" s="53">
        <f t="shared" si="8"/>
        <v>0</v>
      </c>
      <c r="D321" s="53">
        <f t="shared" si="2"/>
        <v>0</v>
      </c>
      <c r="E321" s="57">
        <f>IFERROR(VLOOKUP(B321, Proof!A$2:$B$588,2, 0), 0)</f>
        <v>0</v>
      </c>
      <c r="F321" s="53">
        <f>IFERROR(VLOOKUP(B321, 'HMMTPUMaC Combo'!A$2:$B$500,2, 0), 0)</f>
        <v>0</v>
      </c>
      <c r="G321" s="53">
        <f>IFERROR(VLOOKUP(B321, 'HMMTPUMaC NT'!A$2:$B$500,2, 0), 0)</f>
        <v>0</v>
      </c>
      <c r="H321" s="58">
        <f>IFERROR(VLOOKUP(B321, 'HMMTPUMaC Algebra'!A$2:$B$500,2, 0), 0)</f>
        <v>0</v>
      </c>
      <c r="I321" s="53">
        <f>IFERROR(VLOOKUP(B321, 'HMMTPUMaC Geo'!$A$2:B$1500,2, 0), 0)</f>
        <v>0</v>
      </c>
    </row>
    <row r="322">
      <c r="A322" s="52">
        <v>321.0</v>
      </c>
      <c r="B322" s="7" t="s">
        <v>171</v>
      </c>
      <c r="C322" s="53">
        <f t="shared" si="8"/>
        <v>0</v>
      </c>
      <c r="D322" s="53">
        <f t="shared" si="2"/>
        <v>0</v>
      </c>
      <c r="E322" s="57">
        <f>IFERROR(VLOOKUP(B322, Proof!A$2:$B$588,2, 0), 0)</f>
        <v>0</v>
      </c>
      <c r="F322" s="53">
        <f>IFERROR(VLOOKUP(B322, 'HMMTPUMaC Combo'!A$2:$B$500,2, 0), 0)</f>
        <v>0</v>
      </c>
      <c r="G322" s="53">
        <f>IFERROR(VLOOKUP(B322, 'HMMTPUMaC NT'!A$2:$B$500,2, 0), 0)</f>
        <v>0</v>
      </c>
      <c r="H322" s="58">
        <f>IFERROR(VLOOKUP(B322, 'HMMTPUMaC Algebra'!A$2:$B$500,2, 0), 0)</f>
        <v>0</v>
      </c>
      <c r="I322" s="53">
        <f>IFERROR(VLOOKUP(B322, 'HMMTPUMaC Geo'!$A$2:B$1500,2, 0), 0)</f>
        <v>0</v>
      </c>
    </row>
    <row r="323">
      <c r="A323" s="52">
        <v>322.0</v>
      </c>
      <c r="B323" s="7" t="s">
        <v>266</v>
      </c>
      <c r="C323" s="53">
        <f t="shared" si="8"/>
        <v>0</v>
      </c>
      <c r="D323" s="53">
        <f t="shared" si="2"/>
        <v>0</v>
      </c>
      <c r="E323" s="57">
        <f>IFERROR(VLOOKUP(B323, Proof!A$2:$B$588,2, 0), 0)</f>
        <v>0</v>
      </c>
      <c r="F323" s="53">
        <f>IFERROR(VLOOKUP(B323, 'HMMTPUMaC Combo'!A$2:$B$500,2, 0), 0)</f>
        <v>0</v>
      </c>
      <c r="G323" s="53">
        <f>IFERROR(VLOOKUP(B323, 'HMMTPUMaC NT'!A$2:$B$500,2, 0), 0)</f>
        <v>0</v>
      </c>
      <c r="H323" s="58">
        <f>IFERROR(VLOOKUP(B323, 'HMMTPUMaC Algebra'!A$2:$B$500,2, 0), 0)</f>
        <v>0</v>
      </c>
      <c r="I323" s="53">
        <f>IFERROR(VLOOKUP(B323, 'HMMTPUMaC Geo'!$A$2:B$1500,2, 0), 0)</f>
        <v>0</v>
      </c>
    </row>
    <row r="324">
      <c r="A324" s="52">
        <v>323.0</v>
      </c>
      <c r="B324" s="7" t="s">
        <v>232</v>
      </c>
      <c r="C324" s="53">
        <f t="shared" si="8"/>
        <v>0</v>
      </c>
      <c r="D324" s="53">
        <f t="shared" si="2"/>
        <v>0</v>
      </c>
      <c r="E324" s="57">
        <f>IFERROR(VLOOKUP(B324, Proof!A$2:$B$588,2, 0), 0)</f>
        <v>0</v>
      </c>
      <c r="F324" s="53">
        <f>IFERROR(VLOOKUP(B324, 'HMMTPUMaC Combo'!A$2:$B$500,2, 0), 0)</f>
        <v>0</v>
      </c>
      <c r="G324" s="53">
        <f>IFERROR(VLOOKUP(B324, 'HMMTPUMaC NT'!A$2:$B$500,2, 0), 0)</f>
        <v>0</v>
      </c>
      <c r="H324" s="58">
        <f>IFERROR(VLOOKUP(B324, 'HMMTPUMaC Algebra'!A$2:$B$500,2, 0), 0)</f>
        <v>0</v>
      </c>
      <c r="I324" s="53">
        <f>IFERROR(VLOOKUP(B324, 'HMMTPUMaC Geo'!$A$2:B$1500,2, 0), 0)</f>
        <v>0</v>
      </c>
    </row>
    <row r="325">
      <c r="A325" s="52">
        <v>324.0</v>
      </c>
      <c r="B325" s="7" t="s">
        <v>307</v>
      </c>
      <c r="C325" s="53">
        <f t="shared" si="8"/>
        <v>0</v>
      </c>
      <c r="D325" s="53">
        <f t="shared" si="2"/>
        <v>0</v>
      </c>
      <c r="E325" s="57">
        <f>IFERROR(VLOOKUP(B325, Proof!A$2:$B$588,2, 0), 0)</f>
        <v>0</v>
      </c>
      <c r="F325" s="53">
        <f>IFERROR(VLOOKUP(B325, 'HMMTPUMaC Combo'!A$2:$B$500,2, 0), 0)</f>
        <v>0</v>
      </c>
      <c r="G325" s="53">
        <f>IFERROR(VLOOKUP(B325, 'HMMTPUMaC NT'!A$2:$B$500,2, 0), 0)</f>
        <v>0</v>
      </c>
      <c r="H325" s="58">
        <f>IFERROR(VLOOKUP(B325, 'HMMTPUMaC Algebra'!A$2:$B$500,2, 0), 0)</f>
        <v>0</v>
      </c>
      <c r="I325" s="53">
        <f>IFERROR(VLOOKUP(B325, 'HMMTPUMaC Geo'!$A$2:B$1500,2, 0), 0)</f>
        <v>0</v>
      </c>
    </row>
    <row r="326">
      <c r="A326" s="52">
        <v>325.0</v>
      </c>
      <c r="B326" s="7" t="s">
        <v>172</v>
      </c>
      <c r="C326" s="53">
        <f t="shared" si="8"/>
        <v>0</v>
      </c>
      <c r="D326" s="53">
        <f t="shared" si="2"/>
        <v>0</v>
      </c>
      <c r="E326" s="57">
        <f>IFERROR(VLOOKUP(B326, Proof!A$2:$B$588,2, 0), 0)</f>
        <v>0</v>
      </c>
      <c r="F326" s="53">
        <f>IFERROR(VLOOKUP(B326, 'HMMTPUMaC Combo'!A$2:$B$500,2, 0), 0)</f>
        <v>0</v>
      </c>
      <c r="G326" s="53">
        <f>IFERROR(VLOOKUP(B326, 'HMMTPUMaC NT'!A$2:$B$500,2, 0), 0)</f>
        <v>0</v>
      </c>
      <c r="H326" s="58">
        <f>IFERROR(VLOOKUP(B326, 'HMMTPUMaC Algebra'!A$2:$B$500,2, 0), 0)</f>
        <v>0</v>
      </c>
      <c r="I326" s="53">
        <f>IFERROR(VLOOKUP(B326, 'HMMTPUMaC Geo'!$A$2:B$1500,2, 0), 0)</f>
        <v>0</v>
      </c>
    </row>
    <row r="327">
      <c r="A327" s="52">
        <v>326.0</v>
      </c>
      <c r="B327" s="7" t="s">
        <v>243</v>
      </c>
      <c r="C327" s="53">
        <f t="shared" si="8"/>
        <v>0</v>
      </c>
      <c r="D327" s="53">
        <f t="shared" si="2"/>
        <v>0</v>
      </c>
      <c r="E327" s="57">
        <f>IFERROR(VLOOKUP(B327, Proof!A$2:$B$588,2, 0), 0)</f>
        <v>0</v>
      </c>
      <c r="F327" s="53">
        <f>IFERROR(VLOOKUP(B327, 'HMMTPUMaC Combo'!A$2:$B$500,2, 0), 0)</f>
        <v>0</v>
      </c>
      <c r="G327" s="53">
        <f>IFERROR(VLOOKUP(B327, 'HMMTPUMaC NT'!A$2:$B$500,2, 0), 0)</f>
        <v>0</v>
      </c>
      <c r="H327" s="58">
        <f>IFERROR(VLOOKUP(B327, 'HMMTPUMaC Algebra'!A$2:$B$500,2, 0), 0)</f>
        <v>0</v>
      </c>
      <c r="I327" s="53">
        <f>IFERROR(VLOOKUP(B327, 'HMMTPUMaC Geo'!$A$2:B$1500,2, 0), 0)</f>
        <v>0</v>
      </c>
    </row>
    <row r="328">
      <c r="A328" s="52">
        <v>327.0</v>
      </c>
      <c r="B328" s="7" t="s">
        <v>239</v>
      </c>
      <c r="C328" s="53">
        <f t="shared" si="8"/>
        <v>0</v>
      </c>
      <c r="D328" s="53">
        <f t="shared" si="2"/>
        <v>0</v>
      </c>
      <c r="E328" s="57">
        <f>IFERROR(VLOOKUP(B328, Proof!A$2:$B$588,2, 0), 0)</f>
        <v>0</v>
      </c>
      <c r="F328" s="53">
        <f>IFERROR(VLOOKUP(B328, 'HMMTPUMaC Combo'!A$2:$B$500,2, 0), 0)</f>
        <v>0</v>
      </c>
      <c r="G328" s="53">
        <f>IFERROR(VLOOKUP(B328, 'HMMTPUMaC NT'!A$2:$B$500,2, 0), 0)</f>
        <v>0</v>
      </c>
      <c r="H328" s="58">
        <f>IFERROR(VLOOKUP(B328, 'HMMTPUMaC Algebra'!A$2:$B$500,2, 0), 0)</f>
        <v>0</v>
      </c>
      <c r="I328" s="53">
        <f>IFERROR(VLOOKUP(B328, 'HMMTPUMaC Geo'!$A$2:B$1500,2, 0), 0)</f>
        <v>0</v>
      </c>
    </row>
    <row r="329">
      <c r="A329" s="52">
        <v>328.0</v>
      </c>
      <c r="B329" s="7" t="s">
        <v>271</v>
      </c>
      <c r="C329" s="53">
        <f t="shared" si="8"/>
        <v>0</v>
      </c>
      <c r="D329" s="53">
        <f t="shared" si="2"/>
        <v>0</v>
      </c>
      <c r="E329" s="57">
        <f>IFERROR(VLOOKUP(B329, Proof!A$2:$B$588,2, 0), 0)</f>
        <v>0</v>
      </c>
      <c r="F329" s="53">
        <f>IFERROR(VLOOKUP(B329, 'HMMTPUMaC Combo'!A$2:$B$500,2, 0), 0)</f>
        <v>0</v>
      </c>
      <c r="G329" s="53">
        <f>IFERROR(VLOOKUP(B329, 'HMMTPUMaC NT'!A$2:$B$500,2, 0), 0)</f>
        <v>0</v>
      </c>
      <c r="H329" s="58">
        <f>IFERROR(VLOOKUP(B329, 'HMMTPUMaC Algebra'!A$2:$B$500,2, 0), 0)</f>
        <v>0</v>
      </c>
      <c r="I329" s="53">
        <f>IFERROR(VLOOKUP(B329, 'HMMTPUMaC Geo'!$A$2:B$1500,2, 0), 0)</f>
        <v>0</v>
      </c>
    </row>
    <row r="330">
      <c r="A330" s="52">
        <v>329.0</v>
      </c>
      <c r="B330" s="7" t="s">
        <v>170</v>
      </c>
      <c r="C330" s="53">
        <f t="shared" si="8"/>
        <v>0</v>
      </c>
      <c r="D330" s="53">
        <f t="shared" si="2"/>
        <v>0</v>
      </c>
      <c r="E330" s="57">
        <f>IFERROR(VLOOKUP(B330, Proof!A$2:$B$588,2, 0), 0)</f>
        <v>0</v>
      </c>
      <c r="F330" s="53">
        <f>IFERROR(VLOOKUP(B330, 'HMMTPUMaC Combo'!A$2:$B$500,2, 0), 0)</f>
        <v>0</v>
      </c>
      <c r="G330" s="53">
        <f>IFERROR(VLOOKUP(B330, 'HMMTPUMaC NT'!A$2:$B$500,2, 0), 0)</f>
        <v>0</v>
      </c>
      <c r="H330" s="58">
        <f>IFERROR(VLOOKUP(B330, 'HMMTPUMaC Algebra'!A$2:$B$500,2, 0), 0)</f>
        <v>0</v>
      </c>
      <c r="I330" s="53">
        <f>IFERROR(VLOOKUP(B330, 'HMMTPUMaC Geo'!$A$2:B$1500,2, 0), 0)</f>
        <v>0</v>
      </c>
    </row>
    <row r="331">
      <c r="A331" s="52">
        <v>330.0</v>
      </c>
      <c r="B331" s="7" t="s">
        <v>224</v>
      </c>
      <c r="C331" s="53">
        <f t="shared" si="8"/>
        <v>0</v>
      </c>
      <c r="D331" s="53">
        <f t="shared" si="2"/>
        <v>0</v>
      </c>
      <c r="E331" s="57">
        <f>IFERROR(VLOOKUP(B331, Proof!A$2:$B$588,2, 0), 0)</f>
        <v>0</v>
      </c>
      <c r="F331" s="53">
        <f>IFERROR(VLOOKUP(B331, 'HMMTPUMaC Combo'!A$2:$B$500,2, 0), 0)</f>
        <v>0</v>
      </c>
      <c r="G331" s="53">
        <f>IFERROR(VLOOKUP(B331, 'HMMTPUMaC NT'!A$2:$B$500,2, 0), 0)</f>
        <v>0</v>
      </c>
      <c r="H331" s="58">
        <f>IFERROR(VLOOKUP(B331, 'HMMTPUMaC Algebra'!A$2:$B$500,2, 0), 0)</f>
        <v>0</v>
      </c>
      <c r="I331" s="53">
        <f>IFERROR(VLOOKUP(B331, 'HMMTPUMaC Geo'!$A$2:B$1500,2, 0), 0)</f>
        <v>0</v>
      </c>
    </row>
    <row r="332">
      <c r="A332" s="52">
        <v>331.0</v>
      </c>
      <c r="B332" s="7" t="s">
        <v>149</v>
      </c>
      <c r="C332" s="53">
        <f t="shared" si="8"/>
        <v>0</v>
      </c>
      <c r="D332" s="53">
        <f t="shared" si="2"/>
        <v>0</v>
      </c>
      <c r="E332" s="57">
        <f>IFERROR(VLOOKUP(B332, Proof!A$2:$B$588,2, 0), 0)</f>
        <v>0</v>
      </c>
      <c r="F332" s="53">
        <f>IFERROR(VLOOKUP(B332, 'HMMTPUMaC Combo'!A$2:$B$500,2, 0), 0)</f>
        <v>0</v>
      </c>
      <c r="G332" s="53">
        <f>IFERROR(VLOOKUP(B332, 'HMMTPUMaC NT'!A$2:$B$500,2, 0), 0)</f>
        <v>0</v>
      </c>
      <c r="H332" s="58">
        <f>IFERROR(VLOOKUP(B332, 'HMMTPUMaC Algebra'!A$2:$B$500,2, 0), 0)</f>
        <v>0</v>
      </c>
      <c r="I332" s="53">
        <f>IFERROR(VLOOKUP(B332, 'HMMTPUMaC Geo'!$A$2:B$1500,2, 0), 0)</f>
        <v>0</v>
      </c>
    </row>
    <row r="333">
      <c r="A333" s="52">
        <v>332.0</v>
      </c>
      <c r="B333" s="7" t="s">
        <v>38</v>
      </c>
      <c r="C333" s="53">
        <f t="shared" si="8"/>
        <v>0</v>
      </c>
      <c r="D333" s="53">
        <f t="shared" si="2"/>
        <v>0</v>
      </c>
      <c r="E333" s="57">
        <f>IFERROR(VLOOKUP(B333, Proof!A$2:$B$588,2, 0), 0)</f>
        <v>0</v>
      </c>
      <c r="F333" s="53">
        <f>IFERROR(VLOOKUP(B333, 'HMMTPUMaC Combo'!A$2:$B$500,2, 0), 0)</f>
        <v>0</v>
      </c>
      <c r="G333" s="53">
        <f>IFERROR(VLOOKUP(B333, 'HMMTPUMaC NT'!A$2:$B$500,2, 0), 0)</f>
        <v>0</v>
      </c>
      <c r="H333" s="58">
        <f>IFERROR(VLOOKUP(B333, 'HMMTPUMaC Algebra'!A$2:$B$500,2, 0), 0)</f>
        <v>0</v>
      </c>
      <c r="I333" s="53">
        <f>IFERROR(VLOOKUP(B333, 'HMMTPUMaC Geo'!$A$2:B$1500,2, 0), 0)</f>
        <v>0</v>
      </c>
    </row>
    <row r="334">
      <c r="A334" s="52">
        <v>333.0</v>
      </c>
      <c r="B334" s="7" t="s">
        <v>154</v>
      </c>
      <c r="C334" s="53">
        <f t="shared" si="8"/>
        <v>0</v>
      </c>
      <c r="D334" s="53">
        <f t="shared" si="2"/>
        <v>0</v>
      </c>
      <c r="E334" s="57">
        <f>IFERROR(VLOOKUP(B334, Proof!A$2:$B$588,2, 0), 0)</f>
        <v>0</v>
      </c>
      <c r="F334" s="53">
        <f>IFERROR(VLOOKUP(B334, 'HMMTPUMaC Combo'!A$2:$B$500,2, 0), 0)</f>
        <v>0</v>
      </c>
      <c r="G334" s="53">
        <f>IFERROR(VLOOKUP(B334, 'HMMTPUMaC NT'!A$2:$B$500,2, 0), 0)</f>
        <v>0</v>
      </c>
      <c r="H334" s="58">
        <f>IFERROR(VLOOKUP(B334, 'HMMTPUMaC Algebra'!A$2:$B$500,2, 0), 0)</f>
        <v>0</v>
      </c>
      <c r="I334" s="53">
        <f>IFERROR(VLOOKUP(B334, 'HMMTPUMaC Geo'!$A$2:B$1500,2, 0), 0)</f>
        <v>0</v>
      </c>
    </row>
    <row r="335">
      <c r="A335" s="52">
        <v>334.0</v>
      </c>
      <c r="B335" s="7" t="s">
        <v>187</v>
      </c>
      <c r="C335" s="53">
        <f t="shared" si="8"/>
        <v>0</v>
      </c>
      <c r="D335" s="53">
        <f t="shared" si="2"/>
        <v>0</v>
      </c>
      <c r="E335" s="57">
        <f>IFERROR(VLOOKUP(B335, Proof!A$2:$B$588,2, 0), 0)</f>
        <v>0</v>
      </c>
      <c r="F335" s="53">
        <f>IFERROR(VLOOKUP(B335, 'HMMTPUMaC Combo'!A$2:$B$500,2, 0), 0)</f>
        <v>0</v>
      </c>
      <c r="G335" s="53">
        <f>IFERROR(VLOOKUP(B335, 'HMMTPUMaC NT'!A$2:$B$500,2, 0), 0)</f>
        <v>0</v>
      </c>
      <c r="H335" s="58">
        <f>IFERROR(VLOOKUP(B335, 'HMMTPUMaC Algebra'!A$2:$B$500,2, 0), 0)</f>
        <v>0</v>
      </c>
      <c r="I335" s="53">
        <f>IFERROR(VLOOKUP(B335, 'HMMTPUMaC Geo'!$A$2:B$1500,2, 0), 0)</f>
        <v>0</v>
      </c>
    </row>
    <row r="336">
      <c r="A336" s="52">
        <v>335.0</v>
      </c>
      <c r="B336" s="7" t="s">
        <v>274</v>
      </c>
      <c r="C336" s="53">
        <f t="shared" si="8"/>
        <v>0</v>
      </c>
      <c r="D336" s="53">
        <f t="shared" si="2"/>
        <v>0</v>
      </c>
      <c r="E336" s="57">
        <f>IFERROR(VLOOKUP(B336, Proof!A$2:$B$588,2, 0), 0)</f>
        <v>0</v>
      </c>
      <c r="F336" s="53">
        <f>IFERROR(VLOOKUP(B336, 'HMMTPUMaC Combo'!A$2:$B$500,2, 0), 0)</f>
        <v>0</v>
      </c>
      <c r="G336" s="53">
        <f>IFERROR(VLOOKUP(B336, 'HMMTPUMaC NT'!A$2:$B$500,2, 0), 0)</f>
        <v>0</v>
      </c>
      <c r="H336" s="58">
        <f>IFERROR(VLOOKUP(B336, 'HMMTPUMaC Algebra'!A$2:$B$500,2, 0), 0)</f>
        <v>0</v>
      </c>
      <c r="I336" s="53">
        <f>IFERROR(VLOOKUP(B336, 'HMMTPUMaC Geo'!$A$2:B$1500,2, 0), 0)</f>
        <v>0</v>
      </c>
    </row>
    <row r="337">
      <c r="A337" s="52">
        <v>336.0</v>
      </c>
      <c r="B337" s="7" t="s">
        <v>211</v>
      </c>
      <c r="C337" s="53">
        <f t="shared" si="8"/>
        <v>0</v>
      </c>
      <c r="D337" s="53">
        <f t="shared" si="2"/>
        <v>0</v>
      </c>
      <c r="E337" s="57">
        <f>IFERROR(VLOOKUP(B337, Proof!A$2:$B$588,2, 0), 0)</f>
        <v>0</v>
      </c>
      <c r="F337" s="53">
        <f>IFERROR(VLOOKUP(B337, 'HMMTPUMaC Combo'!A$2:$B$500,2, 0), 0)</f>
        <v>0</v>
      </c>
      <c r="G337" s="53">
        <f>IFERROR(VLOOKUP(B337, 'HMMTPUMaC NT'!A$2:$B$500,2, 0), 0)</f>
        <v>0</v>
      </c>
      <c r="H337" s="58">
        <f>IFERROR(VLOOKUP(B337, 'HMMTPUMaC Algebra'!A$2:$B$500,2, 0), 0)</f>
        <v>0</v>
      </c>
      <c r="I337" s="53">
        <f>IFERROR(VLOOKUP(B337, 'HMMTPUMaC Geo'!$A$2:B$1500,2, 0), 0)</f>
        <v>0</v>
      </c>
    </row>
    <row r="338">
      <c r="A338" s="52">
        <v>337.0</v>
      </c>
      <c r="B338" s="7" t="s">
        <v>142</v>
      </c>
      <c r="C338" s="53">
        <f t="shared" si="8"/>
        <v>0</v>
      </c>
      <c r="D338" s="53">
        <f t="shared" si="2"/>
        <v>0</v>
      </c>
      <c r="E338" s="57">
        <f>IFERROR(VLOOKUP(B338, Proof!A$2:$B$588,2, 0), 0)</f>
        <v>0</v>
      </c>
      <c r="F338" s="53">
        <f>IFERROR(VLOOKUP(B338, 'HMMTPUMaC Combo'!A$2:$B$500,2, 0), 0)</f>
        <v>0</v>
      </c>
      <c r="G338" s="53">
        <f>IFERROR(VLOOKUP(B338, 'HMMTPUMaC NT'!A$2:$B$500,2, 0), 0)</f>
        <v>0</v>
      </c>
      <c r="H338" s="58">
        <f>IFERROR(VLOOKUP(B338, 'HMMTPUMaC Algebra'!A$2:$B$500,2, 0), 0)</f>
        <v>0</v>
      </c>
      <c r="I338" s="53">
        <f>IFERROR(VLOOKUP(B338, 'HMMTPUMaC Geo'!$A$2:B$1500,2, 0), 0)</f>
        <v>0</v>
      </c>
    </row>
    <row r="339">
      <c r="A339" s="52">
        <v>338.0</v>
      </c>
      <c r="B339" s="7" t="s">
        <v>270</v>
      </c>
      <c r="C339" s="53">
        <f t="shared" si="8"/>
        <v>0</v>
      </c>
      <c r="D339" s="53">
        <f t="shared" si="2"/>
        <v>0</v>
      </c>
      <c r="E339" s="57">
        <f>IFERROR(VLOOKUP(B339, Proof!A$2:$B$588,2, 0), 0)</f>
        <v>0</v>
      </c>
      <c r="F339" s="53">
        <f>IFERROR(VLOOKUP(B339, 'HMMTPUMaC Combo'!A$2:$B$500,2, 0), 0)</f>
        <v>0</v>
      </c>
      <c r="G339" s="53">
        <f>IFERROR(VLOOKUP(B339, 'HMMTPUMaC NT'!A$2:$B$500,2, 0), 0)</f>
        <v>0</v>
      </c>
      <c r="H339" s="58">
        <f>IFERROR(VLOOKUP(B339, 'HMMTPUMaC Algebra'!A$2:$B$500,2, 0), 0)</f>
        <v>0</v>
      </c>
      <c r="I339" s="53">
        <f>IFERROR(VLOOKUP(B339, 'HMMTPUMaC Geo'!$A$2:B$1500,2, 0), 0)</f>
        <v>0</v>
      </c>
    </row>
    <row r="340">
      <c r="A340" s="52">
        <v>339.0</v>
      </c>
      <c r="B340" s="7" t="s">
        <v>208</v>
      </c>
      <c r="C340" s="53">
        <f t="shared" si="8"/>
        <v>0</v>
      </c>
      <c r="D340" s="53">
        <f t="shared" si="2"/>
        <v>0</v>
      </c>
      <c r="E340" s="57">
        <f>IFERROR(VLOOKUP(B340, Proof!A$2:$B$588,2, 0), 0)</f>
        <v>0</v>
      </c>
      <c r="F340" s="53">
        <f>IFERROR(VLOOKUP(B340, 'HMMTPUMaC Combo'!A$2:$B$500,2, 0), 0)</f>
        <v>0</v>
      </c>
      <c r="G340" s="53">
        <f>IFERROR(VLOOKUP(B340, 'HMMTPUMaC NT'!A$2:$B$500,2, 0), 0)</f>
        <v>0</v>
      </c>
      <c r="H340" s="58">
        <f>IFERROR(VLOOKUP(B340, 'HMMTPUMaC Algebra'!A$2:$B$500,2, 0), 0)</f>
        <v>0</v>
      </c>
      <c r="I340" s="53">
        <f>IFERROR(VLOOKUP(B340, 'HMMTPUMaC Geo'!$A$2:B$1500,2, 0), 0)</f>
        <v>0</v>
      </c>
    </row>
    <row r="341">
      <c r="A341" s="52">
        <v>340.0</v>
      </c>
      <c r="B341" s="7" t="s">
        <v>339</v>
      </c>
      <c r="C341" s="53">
        <f t="shared" si="8"/>
        <v>0</v>
      </c>
      <c r="D341" s="53">
        <f t="shared" si="2"/>
        <v>0</v>
      </c>
      <c r="E341" s="57">
        <f>IFERROR(VLOOKUP(B341, Proof!A$2:$B$588,2, 0), 0)</f>
        <v>0</v>
      </c>
      <c r="F341" s="53">
        <f>IFERROR(VLOOKUP(B341, 'HMMTPUMaC Combo'!A$2:$B$500,2, 0), 0)</f>
        <v>0</v>
      </c>
      <c r="G341" s="53">
        <f>IFERROR(VLOOKUP(B341, 'HMMTPUMaC NT'!A$2:$B$500,2, 0), 0)</f>
        <v>0</v>
      </c>
      <c r="H341" s="58">
        <f>IFERROR(VLOOKUP(B341, 'HMMTPUMaC Algebra'!A$2:$B$500,2, 0), 0)</f>
        <v>0</v>
      </c>
      <c r="I341" s="53">
        <f>IFERROR(VLOOKUP(B341, 'HMMTPUMaC Geo'!$A$2:B$1500,2, 0), 0)</f>
        <v>0</v>
      </c>
    </row>
    <row r="342">
      <c r="A342" s="52">
        <v>341.0</v>
      </c>
      <c r="B342" s="7" t="s">
        <v>145</v>
      </c>
      <c r="C342" s="53">
        <f t="shared" si="8"/>
        <v>0</v>
      </c>
      <c r="D342" s="53">
        <f t="shared" si="2"/>
        <v>0</v>
      </c>
      <c r="E342" s="57">
        <f>IFERROR(VLOOKUP(B342, Proof!A$2:$B$588,2, 0), 0)</f>
        <v>0</v>
      </c>
      <c r="F342" s="53">
        <f>IFERROR(VLOOKUP(B342, 'HMMTPUMaC Combo'!A$2:$B$500,2, 0), 0)</f>
        <v>0</v>
      </c>
      <c r="G342" s="53">
        <f>IFERROR(VLOOKUP(B342, 'HMMTPUMaC NT'!A$2:$B$500,2, 0), 0)</f>
        <v>0</v>
      </c>
      <c r="H342" s="58">
        <f>IFERROR(VLOOKUP(B342, 'HMMTPUMaC Algebra'!A$2:$B$500,2, 0), 0)</f>
        <v>0</v>
      </c>
      <c r="I342" s="53">
        <f>IFERROR(VLOOKUP(B342, 'HMMTPUMaC Geo'!$A$2:B$1500,2, 0), 0)</f>
        <v>0</v>
      </c>
    </row>
    <row r="343">
      <c r="A343" s="52">
        <v>342.0</v>
      </c>
      <c r="B343" s="7" t="s">
        <v>209</v>
      </c>
      <c r="C343" s="53">
        <f t="shared" si="8"/>
        <v>0</v>
      </c>
      <c r="D343" s="53">
        <f t="shared" si="2"/>
        <v>0</v>
      </c>
      <c r="E343" s="57">
        <f>IFERROR(VLOOKUP(B343, Proof!A$2:$B$588,2, 0), 0)</f>
        <v>0</v>
      </c>
      <c r="F343" s="53">
        <f>IFERROR(VLOOKUP(B343, 'HMMTPUMaC Combo'!A$2:$B$500,2, 0), 0)</f>
        <v>0</v>
      </c>
      <c r="G343" s="53">
        <f>IFERROR(VLOOKUP(B343, 'HMMTPUMaC NT'!A$2:$B$500,2, 0), 0)</f>
        <v>0</v>
      </c>
      <c r="H343" s="58">
        <f>IFERROR(VLOOKUP(B343, 'HMMTPUMaC Algebra'!A$2:$B$500,2, 0), 0)</f>
        <v>0</v>
      </c>
      <c r="I343" s="53">
        <f>IFERROR(VLOOKUP(B343, 'HMMTPUMaC Geo'!$A$2:B$1500,2, 0), 0)</f>
        <v>0</v>
      </c>
    </row>
    <row r="344">
      <c r="A344" s="52">
        <v>343.0</v>
      </c>
      <c r="B344" s="7" t="s">
        <v>213</v>
      </c>
      <c r="C344" s="53">
        <f t="shared" si="8"/>
        <v>0</v>
      </c>
      <c r="D344" s="53">
        <f t="shared" si="2"/>
        <v>0</v>
      </c>
      <c r="E344" s="57">
        <f>IFERROR(VLOOKUP(B344, Proof!A$2:$B$588,2, 0), 0)</f>
        <v>0</v>
      </c>
      <c r="F344" s="53">
        <f>IFERROR(VLOOKUP(B344, 'HMMTPUMaC Combo'!A$2:$B$500,2, 0), 0)</f>
        <v>0</v>
      </c>
      <c r="G344" s="53">
        <f>IFERROR(VLOOKUP(B344, 'HMMTPUMaC NT'!A$2:$B$500,2, 0), 0)</f>
        <v>0</v>
      </c>
      <c r="H344" s="58">
        <f>IFERROR(VLOOKUP(B344, 'HMMTPUMaC Algebra'!A$2:$B$500,2, 0), 0)</f>
        <v>0</v>
      </c>
      <c r="I344" s="53">
        <f>IFERROR(VLOOKUP(B344, 'HMMTPUMaC Geo'!$A$2:B$1500,2, 0), 0)</f>
        <v>0</v>
      </c>
    </row>
    <row r="345">
      <c r="A345" s="52">
        <v>344.0</v>
      </c>
      <c r="B345" s="7" t="s">
        <v>197</v>
      </c>
      <c r="C345" s="53">
        <f t="shared" si="8"/>
        <v>0</v>
      </c>
      <c r="D345" s="53">
        <f t="shared" si="2"/>
        <v>0</v>
      </c>
      <c r="E345" s="57">
        <f>IFERROR(VLOOKUP(B345, Proof!A$2:$B$588,2, 0), 0)</f>
        <v>0</v>
      </c>
      <c r="F345" s="53">
        <f>IFERROR(VLOOKUP(B345, 'HMMTPUMaC Combo'!A$2:$B$500,2, 0), 0)</f>
        <v>0</v>
      </c>
      <c r="G345" s="53">
        <f>IFERROR(VLOOKUP(B345, 'HMMTPUMaC NT'!A$2:$B$500,2, 0), 0)</f>
        <v>0</v>
      </c>
      <c r="H345" s="58">
        <f>IFERROR(VLOOKUP(B345, 'HMMTPUMaC Algebra'!A$2:$B$500,2, 0), 0)</f>
        <v>0</v>
      </c>
      <c r="I345" s="53">
        <f>IFERROR(VLOOKUP(B345, 'HMMTPUMaC Geo'!$A$2:B$1500,2, 0), 0)</f>
        <v>0</v>
      </c>
    </row>
    <row r="346">
      <c r="A346" s="52">
        <v>345.0</v>
      </c>
      <c r="B346" s="7" t="s">
        <v>284</v>
      </c>
      <c r="C346" s="53">
        <f t="shared" si="8"/>
        <v>0</v>
      </c>
      <c r="D346" s="53">
        <f t="shared" si="2"/>
        <v>0</v>
      </c>
      <c r="E346" s="57">
        <f>IFERROR(VLOOKUP(B346, Proof!A$2:$B$588,2, 0), 0)</f>
        <v>0</v>
      </c>
      <c r="F346" s="53">
        <f>IFERROR(VLOOKUP(B346, 'HMMTPUMaC Combo'!A$2:$B$500,2, 0), 0)</f>
        <v>0</v>
      </c>
      <c r="G346" s="53">
        <f>IFERROR(VLOOKUP(B346, 'HMMTPUMaC NT'!A$2:$B$500,2, 0), 0)</f>
        <v>0</v>
      </c>
      <c r="H346" s="58">
        <f>IFERROR(VLOOKUP(B346, 'HMMTPUMaC Algebra'!A$2:$B$500,2, 0), 0)</f>
        <v>0</v>
      </c>
      <c r="I346" s="53">
        <f>IFERROR(VLOOKUP(B346, 'HMMTPUMaC Geo'!$A$2:B$1500,2, 0), 0)</f>
        <v>0</v>
      </c>
    </row>
    <row r="347">
      <c r="A347" s="52">
        <v>346.0</v>
      </c>
      <c r="B347" s="7" t="s">
        <v>199</v>
      </c>
      <c r="C347" s="53">
        <f t="shared" si="8"/>
        <v>0</v>
      </c>
      <c r="D347" s="53">
        <f t="shared" si="2"/>
        <v>0</v>
      </c>
      <c r="E347" s="57">
        <f>IFERROR(VLOOKUP(B347, Proof!A$2:$B$588,2, 0), 0)</f>
        <v>0</v>
      </c>
      <c r="F347" s="53">
        <f>IFERROR(VLOOKUP(B347, 'HMMTPUMaC Combo'!A$2:$B$500,2, 0), 0)</f>
        <v>0</v>
      </c>
      <c r="G347" s="53">
        <f>IFERROR(VLOOKUP(B347, 'HMMTPUMaC NT'!A$2:$B$500,2, 0), 0)</f>
        <v>0</v>
      </c>
      <c r="H347" s="58">
        <f>IFERROR(VLOOKUP(B347, 'HMMTPUMaC Algebra'!A$2:$B$500,2, 0), 0)</f>
        <v>0</v>
      </c>
      <c r="I347" s="53">
        <f>IFERROR(VLOOKUP(B347, 'HMMTPUMaC Geo'!$A$2:B$1500,2, 0), 0)</f>
        <v>0</v>
      </c>
    </row>
    <row r="348">
      <c r="A348" s="52">
        <v>347.0</v>
      </c>
      <c r="B348" s="7" t="s">
        <v>146</v>
      </c>
      <c r="C348" s="53">
        <f t="shared" si="8"/>
        <v>0</v>
      </c>
      <c r="D348" s="53">
        <f t="shared" si="2"/>
        <v>0</v>
      </c>
      <c r="E348" s="57">
        <f>IFERROR(VLOOKUP(B348, Proof!A$2:$B$588,2, 0), 0)</f>
        <v>0</v>
      </c>
      <c r="F348" s="53">
        <f>IFERROR(VLOOKUP(B348, 'HMMTPUMaC Combo'!A$2:$B$500,2, 0), 0)</f>
        <v>0</v>
      </c>
      <c r="G348" s="53">
        <f>IFERROR(VLOOKUP(B348, 'HMMTPUMaC NT'!A$2:$B$500,2, 0), 0)</f>
        <v>0</v>
      </c>
      <c r="H348" s="58">
        <f>IFERROR(VLOOKUP(B348, 'HMMTPUMaC Algebra'!A$2:$B$500,2, 0), 0)</f>
        <v>0</v>
      </c>
      <c r="I348" s="53">
        <f>IFERROR(VLOOKUP(B348, 'HMMTPUMaC Geo'!$A$2:B$1500,2, 0), 0)</f>
        <v>0</v>
      </c>
    </row>
    <row r="349">
      <c r="A349" s="52">
        <v>348.0</v>
      </c>
      <c r="B349" s="7" t="s">
        <v>250</v>
      </c>
      <c r="C349" s="53">
        <f t="shared" si="8"/>
        <v>0</v>
      </c>
      <c r="D349" s="53">
        <f t="shared" si="2"/>
        <v>0</v>
      </c>
      <c r="E349" s="57">
        <f>IFERROR(VLOOKUP(B349, Proof!A$2:$B$588,2, 0), 0)</f>
        <v>0</v>
      </c>
      <c r="F349" s="53">
        <f>IFERROR(VLOOKUP(B349, 'HMMTPUMaC Combo'!A$2:$B$500,2, 0), 0)</f>
        <v>0</v>
      </c>
      <c r="G349" s="53">
        <f>IFERROR(VLOOKUP(B349, 'HMMTPUMaC NT'!A$2:$B$500,2, 0), 0)</f>
        <v>0</v>
      </c>
      <c r="H349" s="58">
        <f>IFERROR(VLOOKUP(B349, 'HMMTPUMaC Algebra'!A$2:$B$500,2, 0), 0)</f>
        <v>0</v>
      </c>
      <c r="I349" s="53">
        <f>IFERROR(VLOOKUP(B349, 'HMMTPUMaC Geo'!$A$2:B$1500,2, 0), 0)</f>
        <v>0</v>
      </c>
    </row>
    <row r="350">
      <c r="A350" s="52">
        <v>349.0</v>
      </c>
      <c r="B350" s="7" t="s">
        <v>265</v>
      </c>
      <c r="C350" s="53">
        <f t="shared" si="8"/>
        <v>0</v>
      </c>
      <c r="D350" s="53">
        <f t="shared" si="2"/>
        <v>0</v>
      </c>
      <c r="E350" s="57">
        <f>IFERROR(VLOOKUP(B350, Proof!A$2:$B$588,2, 0), 0)</f>
        <v>0</v>
      </c>
      <c r="F350" s="53">
        <f>IFERROR(VLOOKUP(B350, 'HMMTPUMaC Combo'!A$2:$B$500,2, 0), 0)</f>
        <v>0</v>
      </c>
      <c r="G350" s="53">
        <f>IFERROR(VLOOKUP(B350, 'HMMTPUMaC NT'!A$2:$B$500,2, 0), 0)</f>
        <v>0</v>
      </c>
      <c r="H350" s="58">
        <f>IFERROR(VLOOKUP(B350, 'HMMTPUMaC Algebra'!A$2:$B$500,2, 0), 0)</f>
        <v>0</v>
      </c>
      <c r="I350" s="53">
        <f>IFERROR(VLOOKUP(B350, 'HMMTPUMaC Geo'!$A$2:B$1500,2, 0), 0)</f>
        <v>0</v>
      </c>
    </row>
    <row r="351">
      <c r="A351" s="52">
        <v>350.0</v>
      </c>
      <c r="B351" s="7" t="s">
        <v>268</v>
      </c>
      <c r="C351" s="53">
        <f t="shared" si="8"/>
        <v>0</v>
      </c>
      <c r="D351" s="53">
        <f t="shared" si="2"/>
        <v>0</v>
      </c>
      <c r="E351" s="57">
        <f>IFERROR(VLOOKUP(B351, Proof!A$2:$B$588,2, 0), 0)</f>
        <v>0</v>
      </c>
      <c r="F351" s="53">
        <f>IFERROR(VLOOKUP(B351, 'HMMTPUMaC Combo'!A$2:$B$500,2, 0), 0)</f>
        <v>0</v>
      </c>
      <c r="G351" s="53">
        <f>IFERROR(VLOOKUP(B351, 'HMMTPUMaC NT'!A$2:$B$500,2, 0), 0)</f>
        <v>0</v>
      </c>
      <c r="H351" s="58">
        <f>IFERROR(VLOOKUP(B351, 'HMMTPUMaC Algebra'!A$2:$B$500,2, 0), 0)</f>
        <v>0</v>
      </c>
      <c r="I351" s="53">
        <f>IFERROR(VLOOKUP(B351, 'HMMTPUMaC Geo'!$A$2:B$1500,2, 0), 0)</f>
        <v>0</v>
      </c>
    </row>
    <row r="352">
      <c r="A352" s="52">
        <v>351.0</v>
      </c>
      <c r="B352" s="7" t="s">
        <v>249</v>
      </c>
      <c r="C352" s="53">
        <f t="shared" si="8"/>
        <v>0</v>
      </c>
      <c r="D352" s="53">
        <f t="shared" si="2"/>
        <v>0</v>
      </c>
      <c r="E352" s="57">
        <f>IFERROR(VLOOKUP(B352, Proof!A$2:$B$588,2, 0), 0)</f>
        <v>0</v>
      </c>
      <c r="F352" s="53">
        <f>IFERROR(VLOOKUP(B352, 'HMMTPUMaC Combo'!A$2:$B$500,2, 0), 0)</f>
        <v>0</v>
      </c>
      <c r="G352" s="53">
        <f>IFERROR(VLOOKUP(B352, 'HMMTPUMaC NT'!A$2:$B$500,2, 0), 0)</f>
        <v>0</v>
      </c>
      <c r="H352" s="58">
        <f>IFERROR(VLOOKUP(B352, 'HMMTPUMaC Algebra'!A$2:$B$500,2, 0), 0)</f>
        <v>0</v>
      </c>
      <c r="I352" s="53">
        <f>IFERROR(VLOOKUP(B352, 'HMMTPUMaC Geo'!$A$2:B$1500,2, 0), 0)</f>
        <v>0</v>
      </c>
    </row>
    <row r="353">
      <c r="A353" s="52">
        <v>352.0</v>
      </c>
      <c r="B353" s="7" t="s">
        <v>193</v>
      </c>
      <c r="C353" s="53">
        <f t="shared" si="8"/>
        <v>0</v>
      </c>
      <c r="D353" s="53">
        <f t="shared" si="2"/>
        <v>0</v>
      </c>
      <c r="E353" s="57">
        <f>IFERROR(VLOOKUP(B353, Proof!A$2:$B$588,2, 0), 0)</f>
        <v>0</v>
      </c>
      <c r="F353" s="53">
        <f>IFERROR(VLOOKUP(B353, 'HMMTPUMaC Combo'!A$2:$B$500,2, 0), 0)</f>
        <v>0</v>
      </c>
      <c r="G353" s="53">
        <f>IFERROR(VLOOKUP(B353, 'HMMTPUMaC NT'!A$2:$B$500,2, 0), 0)</f>
        <v>0</v>
      </c>
      <c r="H353" s="58">
        <f>IFERROR(VLOOKUP(B353, 'HMMTPUMaC Algebra'!A$2:$B$500,2, 0), 0)</f>
        <v>0</v>
      </c>
      <c r="I353" s="53">
        <f>IFERROR(VLOOKUP(B353, 'HMMTPUMaC Geo'!$A$2:B$1500,2, 0), 0)</f>
        <v>0</v>
      </c>
    </row>
    <row r="354">
      <c r="A354" s="52">
        <v>353.0</v>
      </c>
      <c r="B354" s="7" t="s">
        <v>160</v>
      </c>
      <c r="C354" s="53">
        <f t="shared" si="8"/>
        <v>0</v>
      </c>
      <c r="D354" s="53">
        <f t="shared" si="2"/>
        <v>0</v>
      </c>
      <c r="E354" s="57">
        <f>IFERROR(VLOOKUP(B354, Proof!A$2:$B$588,2, 0), 0)</f>
        <v>0</v>
      </c>
      <c r="F354" s="53">
        <f>IFERROR(VLOOKUP(B354, 'HMMTPUMaC Combo'!A$2:$B$500,2, 0), 0)</f>
        <v>0</v>
      </c>
      <c r="G354" s="53">
        <f>IFERROR(VLOOKUP(B354, 'HMMTPUMaC NT'!A$2:$B$500,2, 0), 0)</f>
        <v>0</v>
      </c>
      <c r="H354" s="58">
        <f>IFERROR(VLOOKUP(B354, 'HMMTPUMaC Algebra'!A$2:$B$500,2, 0), 0)</f>
        <v>0</v>
      </c>
      <c r="I354" s="53">
        <f>IFERROR(VLOOKUP(B354, 'HMMTPUMaC Geo'!$A$2:B$1500,2, 0), 0)</f>
        <v>0</v>
      </c>
    </row>
    <row r="355">
      <c r="A355" s="52">
        <v>354.0</v>
      </c>
      <c r="B355" s="7" t="s">
        <v>251</v>
      </c>
      <c r="C355" s="53">
        <f t="shared" si="8"/>
        <v>0</v>
      </c>
      <c r="D355" s="53">
        <f t="shared" si="2"/>
        <v>0</v>
      </c>
      <c r="E355" s="57">
        <f>IFERROR(VLOOKUP(B355, Proof!A$2:$B$588,2, 0), 0)</f>
        <v>0</v>
      </c>
      <c r="F355" s="53">
        <f>IFERROR(VLOOKUP(B355, 'HMMTPUMaC Combo'!A$2:$B$500,2, 0), 0)</f>
        <v>0</v>
      </c>
      <c r="G355" s="53">
        <f>IFERROR(VLOOKUP(B355, 'HMMTPUMaC NT'!A$2:$B$500,2, 0), 0)</f>
        <v>0</v>
      </c>
      <c r="H355" s="58">
        <f>IFERROR(VLOOKUP(B355, 'HMMTPUMaC Algebra'!A$2:$B$500,2, 0), 0)</f>
        <v>0</v>
      </c>
      <c r="I355" s="53">
        <f>IFERROR(VLOOKUP(B355, 'HMMTPUMaC Geo'!$A$2:B$1500,2, 0), 0)</f>
        <v>0</v>
      </c>
    </row>
    <row r="356">
      <c r="A356" s="52">
        <v>355.0</v>
      </c>
      <c r="B356" s="7" t="s">
        <v>221</v>
      </c>
      <c r="C356" s="53">
        <f t="shared" si="8"/>
        <v>0</v>
      </c>
      <c r="D356" s="53">
        <f t="shared" si="2"/>
        <v>0</v>
      </c>
      <c r="E356" s="57">
        <f>IFERROR(VLOOKUP(B356, Proof!A$2:$B$588,2, 0), 0)</f>
        <v>0</v>
      </c>
      <c r="F356" s="53">
        <f>IFERROR(VLOOKUP(B356, 'HMMTPUMaC Combo'!A$2:$B$500,2, 0), 0)</f>
        <v>0</v>
      </c>
      <c r="G356" s="53">
        <f>IFERROR(VLOOKUP(B356, 'HMMTPUMaC NT'!A$2:$B$500,2, 0), 0)</f>
        <v>0</v>
      </c>
      <c r="H356" s="58">
        <f>IFERROR(VLOOKUP(B356, 'HMMTPUMaC Algebra'!A$2:$B$500,2, 0), 0)</f>
        <v>0</v>
      </c>
      <c r="I356" s="53">
        <f>IFERROR(VLOOKUP(B356, 'HMMTPUMaC Geo'!$A$2:B$1500,2, 0), 0)</f>
        <v>0</v>
      </c>
    </row>
    <row r="357">
      <c r="A357" s="52">
        <v>356.0</v>
      </c>
      <c r="B357" s="7" t="s">
        <v>242</v>
      </c>
      <c r="C357" s="53">
        <f t="shared" si="8"/>
        <v>0</v>
      </c>
      <c r="D357" s="53">
        <f t="shared" si="2"/>
        <v>0</v>
      </c>
      <c r="E357" s="57">
        <f>IFERROR(VLOOKUP(B357, Proof!A$2:$B$588,2, 0), 0)</f>
        <v>0</v>
      </c>
      <c r="F357" s="53">
        <f>IFERROR(VLOOKUP(B357, 'HMMTPUMaC Combo'!A$2:$B$500,2, 0), 0)</f>
        <v>0</v>
      </c>
      <c r="G357" s="53">
        <f>IFERROR(VLOOKUP(B357, 'HMMTPUMaC NT'!A$2:$B$500,2, 0), 0)</f>
        <v>0</v>
      </c>
      <c r="H357" s="58">
        <f>IFERROR(VLOOKUP(B357, 'HMMTPUMaC Algebra'!A$2:$B$500,2, 0), 0)</f>
        <v>0</v>
      </c>
      <c r="I357" s="53">
        <f>IFERROR(VLOOKUP(B357, 'HMMTPUMaC Geo'!$A$2:B$1500,2, 0), 0)</f>
        <v>0</v>
      </c>
    </row>
    <row r="358">
      <c r="A358" s="52">
        <v>357.0</v>
      </c>
      <c r="B358" s="7" t="s">
        <v>144</v>
      </c>
      <c r="C358" s="53">
        <f t="shared" si="8"/>
        <v>0</v>
      </c>
      <c r="D358" s="53">
        <f t="shared" si="2"/>
        <v>0</v>
      </c>
      <c r="E358" s="57">
        <f>IFERROR(VLOOKUP(B358, Proof!A$2:$B$588,2, 0), 0)</f>
        <v>0</v>
      </c>
      <c r="F358" s="53">
        <f>IFERROR(VLOOKUP(B358, 'HMMTPUMaC Combo'!A$2:$B$500,2, 0), 0)</f>
        <v>0</v>
      </c>
      <c r="G358" s="53">
        <f>IFERROR(VLOOKUP(B358, 'HMMTPUMaC NT'!A$2:$B$500,2, 0), 0)</f>
        <v>0</v>
      </c>
      <c r="H358" s="58">
        <f>IFERROR(VLOOKUP(B358, 'HMMTPUMaC Algebra'!A$2:$B$500,2, 0), 0)</f>
        <v>0</v>
      </c>
      <c r="I358" s="53">
        <f>IFERROR(VLOOKUP(B358, 'HMMTPUMaC Geo'!$A$2:B$1500,2, 0), 0)</f>
        <v>0</v>
      </c>
    </row>
    <row r="359">
      <c r="A359" s="52">
        <v>358.0</v>
      </c>
      <c r="B359" s="7" t="s">
        <v>262</v>
      </c>
      <c r="C359" s="53">
        <f t="shared" si="8"/>
        <v>0</v>
      </c>
      <c r="D359" s="53">
        <f t="shared" si="2"/>
        <v>0</v>
      </c>
      <c r="E359" s="57">
        <f>IFERROR(VLOOKUP(B359, Proof!A$2:$B$588,2, 0), 0)</f>
        <v>0</v>
      </c>
      <c r="F359" s="53">
        <f>IFERROR(VLOOKUP(B359, 'HMMTPUMaC Combo'!A$2:$B$500,2, 0), 0)</f>
        <v>0</v>
      </c>
      <c r="G359" s="53">
        <f>IFERROR(VLOOKUP(B359, 'HMMTPUMaC NT'!A$2:$B$500,2, 0), 0)</f>
        <v>0</v>
      </c>
      <c r="H359" s="58">
        <f>IFERROR(VLOOKUP(B359, 'HMMTPUMaC Algebra'!A$2:$B$500,2, 0), 0)</f>
        <v>0</v>
      </c>
      <c r="I359" s="53">
        <f>IFERROR(VLOOKUP(B359, 'HMMTPUMaC Geo'!$A$2:B$1500,2, 0), 0)</f>
        <v>0</v>
      </c>
    </row>
    <row r="360">
      <c r="A360" s="52">
        <v>359.0</v>
      </c>
      <c r="B360" s="7" t="s">
        <v>311</v>
      </c>
      <c r="C360" s="53">
        <f t="shared" si="8"/>
        <v>0</v>
      </c>
      <c r="D360" s="53">
        <f t="shared" si="2"/>
        <v>0</v>
      </c>
      <c r="E360" s="57">
        <f>IFERROR(VLOOKUP(B360, Proof!A$2:$B$588,2, 0), 0)</f>
        <v>0</v>
      </c>
      <c r="F360" s="53">
        <f>IFERROR(VLOOKUP(B360, 'HMMTPUMaC Combo'!A$2:$B$500,2, 0), 0)</f>
        <v>0</v>
      </c>
      <c r="G360" s="53">
        <f>IFERROR(VLOOKUP(B360, 'HMMTPUMaC NT'!A$2:$B$500,2, 0), 0)</f>
        <v>0</v>
      </c>
      <c r="H360" s="58">
        <f>IFERROR(VLOOKUP(B360, 'HMMTPUMaC Algebra'!A$2:$B$500,2, 0), 0)</f>
        <v>0</v>
      </c>
      <c r="I360" s="53">
        <f>IFERROR(VLOOKUP(B360, 'HMMTPUMaC Geo'!$A$2:B$1500,2, 0), 0)</f>
        <v>0</v>
      </c>
    </row>
    <row r="361">
      <c r="A361" s="52">
        <v>360.0</v>
      </c>
      <c r="B361" s="7" t="s">
        <v>136</v>
      </c>
      <c r="C361" s="53">
        <f t="shared" si="8"/>
        <v>0</v>
      </c>
      <c r="D361" s="53">
        <f t="shared" si="2"/>
        <v>0</v>
      </c>
      <c r="E361" s="57">
        <f>IFERROR(VLOOKUP(B361, Proof!A$2:$B$588,2, 0), 0)</f>
        <v>0</v>
      </c>
      <c r="F361" s="53">
        <f>IFERROR(VLOOKUP(B361, 'HMMTPUMaC Combo'!A$2:$B$500,2, 0), 0)</f>
        <v>0</v>
      </c>
      <c r="G361" s="53">
        <f>IFERROR(VLOOKUP(B361, 'HMMTPUMaC NT'!A$2:$B$500,2, 0), 0)</f>
        <v>0</v>
      </c>
      <c r="H361" s="58">
        <f>IFERROR(VLOOKUP(B361, 'HMMTPUMaC Algebra'!A$2:$B$500,2, 0), 0)</f>
        <v>0</v>
      </c>
      <c r="I361" s="53">
        <f>IFERROR(VLOOKUP(B361, 'HMMTPUMaC Geo'!$A$2:B$1500,2, 0), 0)</f>
        <v>0</v>
      </c>
    </row>
    <row r="362">
      <c r="A362" s="52">
        <v>361.0</v>
      </c>
      <c r="B362" s="7" t="s">
        <v>194</v>
      </c>
      <c r="C362" s="53">
        <f t="shared" si="8"/>
        <v>0</v>
      </c>
      <c r="D362" s="53">
        <f t="shared" si="2"/>
        <v>0</v>
      </c>
      <c r="E362" s="57">
        <f>IFERROR(VLOOKUP(B362, Proof!A$2:$B$588,2, 0), 0)</f>
        <v>0</v>
      </c>
      <c r="F362" s="53">
        <f>IFERROR(VLOOKUP(B362, 'HMMTPUMaC Combo'!A$2:$B$500,2, 0), 0)</f>
        <v>0</v>
      </c>
      <c r="G362" s="53">
        <f>IFERROR(VLOOKUP(B362, 'HMMTPUMaC NT'!A$2:$B$500,2, 0), 0)</f>
        <v>0</v>
      </c>
      <c r="H362" s="58">
        <f>IFERROR(VLOOKUP(B362, 'HMMTPUMaC Algebra'!A$2:$B$500,2, 0), 0)</f>
        <v>0</v>
      </c>
      <c r="I362" s="53">
        <f>IFERROR(VLOOKUP(B362, 'HMMTPUMaC Geo'!$A$2:B$1500,2, 0), 0)</f>
        <v>0</v>
      </c>
    </row>
    <row r="363">
      <c r="A363" s="52">
        <v>362.0</v>
      </c>
      <c r="B363" s="7" t="s">
        <v>226</v>
      </c>
      <c r="C363" s="53">
        <f t="shared" si="8"/>
        <v>0</v>
      </c>
      <c r="D363" s="53">
        <f t="shared" si="2"/>
        <v>0</v>
      </c>
      <c r="E363" s="57">
        <f>IFERROR(VLOOKUP(B363, Proof!A$2:$B$588,2, 0), 0)</f>
        <v>0</v>
      </c>
      <c r="F363" s="53">
        <f>IFERROR(VLOOKUP(B363, 'HMMTPUMaC Combo'!A$2:$B$500,2, 0), 0)</f>
        <v>0</v>
      </c>
      <c r="G363" s="53">
        <f>IFERROR(VLOOKUP(B363, 'HMMTPUMaC NT'!A$2:$B$500,2, 0), 0)</f>
        <v>0</v>
      </c>
      <c r="H363" s="58">
        <f>IFERROR(VLOOKUP(B363, 'HMMTPUMaC Algebra'!A$2:$B$500,2, 0), 0)</f>
        <v>0</v>
      </c>
      <c r="I363" s="53">
        <f>IFERROR(VLOOKUP(B363, 'HMMTPUMaC Geo'!$A$2:B$1500,2, 0), 0)</f>
        <v>0</v>
      </c>
    </row>
    <row r="364">
      <c r="A364" s="52">
        <v>363.0</v>
      </c>
      <c r="B364" s="7" t="s">
        <v>202</v>
      </c>
      <c r="C364" s="53">
        <f t="shared" si="8"/>
        <v>0</v>
      </c>
      <c r="D364" s="53">
        <f t="shared" si="2"/>
        <v>0</v>
      </c>
      <c r="E364" s="57">
        <f>IFERROR(VLOOKUP(B364, Proof!A$2:$B$588,2, 0), 0)</f>
        <v>0</v>
      </c>
      <c r="F364" s="53">
        <f>IFERROR(VLOOKUP(B364, 'HMMTPUMaC Combo'!A$2:$B$500,2, 0), 0)</f>
        <v>0</v>
      </c>
      <c r="G364" s="53">
        <f>IFERROR(VLOOKUP(B364, 'HMMTPUMaC NT'!A$2:$B$500,2, 0), 0)</f>
        <v>0</v>
      </c>
      <c r="H364" s="58">
        <f>IFERROR(VLOOKUP(B364, 'HMMTPUMaC Algebra'!A$2:$B$500,2, 0), 0)</f>
        <v>0</v>
      </c>
      <c r="I364" s="53">
        <f>IFERROR(VLOOKUP(B364, 'HMMTPUMaC Geo'!$A$2:B$1500,2, 0), 0)</f>
        <v>0</v>
      </c>
    </row>
    <row r="365">
      <c r="A365" s="52">
        <v>364.0</v>
      </c>
      <c r="B365" s="7" t="s">
        <v>150</v>
      </c>
      <c r="C365" s="53">
        <f t="shared" si="8"/>
        <v>0</v>
      </c>
      <c r="D365" s="53">
        <f t="shared" si="2"/>
        <v>0</v>
      </c>
      <c r="E365" s="57">
        <f>IFERROR(VLOOKUP(B365, Proof!A$2:$B$588,2, 0), 0)</f>
        <v>0</v>
      </c>
      <c r="F365" s="53">
        <f>IFERROR(VLOOKUP(B365, 'HMMTPUMaC Combo'!A$2:$B$500,2, 0), 0)</f>
        <v>0</v>
      </c>
      <c r="G365" s="53">
        <f>IFERROR(VLOOKUP(B365, 'HMMTPUMaC NT'!A$2:$B$500,2, 0), 0)</f>
        <v>0</v>
      </c>
      <c r="H365" s="58">
        <f>IFERROR(VLOOKUP(B365, 'HMMTPUMaC Algebra'!A$2:$B$500,2, 0), 0)</f>
        <v>0</v>
      </c>
      <c r="I365" s="53">
        <f>IFERROR(VLOOKUP(B365, 'HMMTPUMaC Geo'!$A$2:B$1500,2, 0), 0)</f>
        <v>0</v>
      </c>
    </row>
    <row r="366">
      <c r="A366" s="52">
        <v>365.0</v>
      </c>
      <c r="B366" s="7" t="s">
        <v>314</v>
      </c>
      <c r="C366" s="53">
        <f t="shared" si="8"/>
        <v>0</v>
      </c>
      <c r="D366" s="53">
        <f t="shared" si="2"/>
        <v>0</v>
      </c>
      <c r="E366" s="57">
        <f>IFERROR(VLOOKUP(B366, Proof!A$2:$B$588,2, 0), 0)</f>
        <v>0</v>
      </c>
      <c r="F366" s="53">
        <f>IFERROR(VLOOKUP(B366, 'HMMTPUMaC Combo'!A$2:$B$500,2, 0), 0)</f>
        <v>0</v>
      </c>
      <c r="G366" s="53">
        <f>IFERROR(VLOOKUP(B366, 'HMMTPUMaC NT'!A$2:$B$500,2, 0), 0)</f>
        <v>0</v>
      </c>
      <c r="H366" s="58">
        <f>IFERROR(VLOOKUP(B366, 'HMMTPUMaC Algebra'!A$2:$B$500,2, 0), 0)</f>
        <v>0</v>
      </c>
      <c r="I366" s="53">
        <f>IFERROR(VLOOKUP(B366, 'HMMTPUMaC Geo'!$A$2:B$1500,2, 0), 0)</f>
        <v>0</v>
      </c>
    </row>
    <row r="367">
      <c r="A367" s="52">
        <v>366.0</v>
      </c>
      <c r="B367" s="7" t="s">
        <v>196</v>
      </c>
      <c r="C367" s="53">
        <f t="shared" si="8"/>
        <v>0</v>
      </c>
      <c r="D367" s="53">
        <f t="shared" si="2"/>
        <v>0</v>
      </c>
      <c r="E367" s="57">
        <f>IFERROR(VLOOKUP(B367, Proof!A$2:$B$588,2, 0), 0)</f>
        <v>0</v>
      </c>
      <c r="F367" s="53">
        <f>IFERROR(VLOOKUP(B367, 'HMMTPUMaC Combo'!A$2:$B$500,2, 0), 0)</f>
        <v>0</v>
      </c>
      <c r="G367" s="53">
        <f>IFERROR(VLOOKUP(B367, 'HMMTPUMaC NT'!A$2:$B$500,2, 0), 0)</f>
        <v>0</v>
      </c>
      <c r="H367" s="58">
        <f>IFERROR(VLOOKUP(B367, 'HMMTPUMaC Algebra'!A$2:$B$500,2, 0), 0)</f>
        <v>0</v>
      </c>
      <c r="I367" s="53">
        <f>IFERROR(VLOOKUP(B367, 'HMMTPUMaC Geo'!$A$2:B$1500,2, 0), 0)</f>
        <v>0</v>
      </c>
    </row>
    <row r="368">
      <c r="A368" s="52">
        <v>367.0</v>
      </c>
      <c r="B368" s="7" t="s">
        <v>175</v>
      </c>
      <c r="C368" s="53">
        <f t="shared" si="8"/>
        <v>0</v>
      </c>
      <c r="D368" s="53">
        <f t="shared" si="2"/>
        <v>0</v>
      </c>
      <c r="E368" s="57">
        <f>IFERROR(VLOOKUP(B368, Proof!A$2:$B$588,2, 0), 0)</f>
        <v>0</v>
      </c>
      <c r="F368" s="53">
        <f>IFERROR(VLOOKUP(B368, 'HMMTPUMaC Combo'!A$2:$B$500,2, 0), 0)</f>
        <v>0</v>
      </c>
      <c r="G368" s="53">
        <f>IFERROR(VLOOKUP(B368, 'HMMTPUMaC NT'!A$2:$B$500,2, 0), 0)</f>
        <v>0</v>
      </c>
      <c r="H368" s="58">
        <f>IFERROR(VLOOKUP(B368, 'HMMTPUMaC Algebra'!A$2:$B$500,2, 0), 0)</f>
        <v>0</v>
      </c>
      <c r="I368" s="53">
        <f>IFERROR(VLOOKUP(B368, 'HMMTPUMaC Geo'!$A$2:B$1500,2, 0), 0)</f>
        <v>0</v>
      </c>
    </row>
    <row r="369">
      <c r="A369" s="52">
        <v>368.0</v>
      </c>
      <c r="B369" s="7" t="s">
        <v>141</v>
      </c>
      <c r="C369" s="53">
        <f t="shared" si="8"/>
        <v>0</v>
      </c>
      <c r="D369" s="53">
        <f t="shared" si="2"/>
        <v>0</v>
      </c>
      <c r="E369" s="57">
        <f>IFERROR(VLOOKUP(B369, Proof!A$2:$B$588,2, 0), 0)</f>
        <v>0</v>
      </c>
      <c r="F369" s="53">
        <f>IFERROR(VLOOKUP(B369, 'HMMTPUMaC Combo'!A$2:$B$500,2, 0), 0)</f>
        <v>0</v>
      </c>
      <c r="G369" s="53">
        <f>IFERROR(VLOOKUP(B369, 'HMMTPUMaC NT'!A$2:$B$500,2, 0), 0)</f>
        <v>0</v>
      </c>
      <c r="H369" s="58">
        <f>IFERROR(VLOOKUP(B369, 'HMMTPUMaC Algebra'!A$2:$B$500,2, 0), 0)</f>
        <v>0</v>
      </c>
      <c r="I369" s="53">
        <f>IFERROR(VLOOKUP(B369, 'HMMTPUMaC Geo'!$A$2:B$1500,2, 0), 0)</f>
        <v>0</v>
      </c>
    </row>
    <row r="370">
      <c r="A370" s="52">
        <v>369.0</v>
      </c>
      <c r="B370" s="7" t="s">
        <v>353</v>
      </c>
      <c r="C370" s="53">
        <f t="shared" si="8"/>
        <v>0</v>
      </c>
      <c r="D370" s="53">
        <f t="shared" si="2"/>
        <v>0</v>
      </c>
      <c r="E370" s="57">
        <f>IFERROR(VLOOKUP(B370, Proof!A$2:$B$588,2, 0), 0)</f>
        <v>0</v>
      </c>
      <c r="F370" s="53">
        <f>IFERROR(VLOOKUP(B370, 'HMMTPUMaC Combo'!A$2:$B$500,2, 0), 0)</f>
        <v>0</v>
      </c>
      <c r="G370" s="53">
        <f>IFERROR(VLOOKUP(B370, 'HMMTPUMaC NT'!A$2:$B$500,2, 0), 0)</f>
        <v>0</v>
      </c>
      <c r="H370" s="58">
        <f>IFERROR(VLOOKUP(B370, 'HMMTPUMaC Algebra'!A$2:$B$500,2, 0), 0)</f>
        <v>0</v>
      </c>
      <c r="I370" s="53">
        <f>IFERROR(VLOOKUP(B370, 'HMMTPUMaC Geo'!$A$2:B$1500,2, 0), 0)</f>
        <v>0</v>
      </c>
    </row>
    <row r="371">
      <c r="A371" s="52">
        <v>370.0</v>
      </c>
      <c r="B371" s="7" t="s">
        <v>215</v>
      </c>
      <c r="C371" s="53">
        <f t="shared" si="8"/>
        <v>0</v>
      </c>
      <c r="D371" s="53">
        <f t="shared" si="2"/>
        <v>0</v>
      </c>
      <c r="E371" s="57">
        <f>IFERROR(VLOOKUP(B371, Proof!A$2:$B$588,2, 0), 0)</f>
        <v>0</v>
      </c>
      <c r="F371" s="53">
        <f>IFERROR(VLOOKUP(B371, 'HMMTPUMaC Combo'!A$2:$B$500,2, 0), 0)</f>
        <v>0</v>
      </c>
      <c r="G371" s="53">
        <f>IFERROR(VLOOKUP(B371, 'HMMTPUMaC NT'!A$2:$B$500,2, 0), 0)</f>
        <v>0</v>
      </c>
      <c r="H371" s="58">
        <f>IFERROR(VLOOKUP(B371, 'HMMTPUMaC Algebra'!A$2:$B$500,2, 0), 0)</f>
        <v>0</v>
      </c>
      <c r="I371" s="53">
        <f>IFERROR(VLOOKUP(B371, 'HMMTPUMaC Geo'!$A$2:B$1500,2, 0), 0)</f>
        <v>0</v>
      </c>
    </row>
    <row r="372">
      <c r="A372" s="52">
        <v>371.0</v>
      </c>
      <c r="B372" s="7" t="s">
        <v>358</v>
      </c>
      <c r="C372" s="53">
        <f t="shared" si="8"/>
        <v>0</v>
      </c>
      <c r="D372" s="53">
        <f t="shared" si="2"/>
        <v>0</v>
      </c>
      <c r="E372" s="57">
        <f>IFERROR(VLOOKUP(B372, Proof!A$2:$B$588,2, 0), 0)</f>
        <v>0</v>
      </c>
      <c r="F372" s="53">
        <f>IFERROR(VLOOKUP(B372, 'HMMTPUMaC Combo'!A$2:$B$500,2, 0), 0)</f>
        <v>0</v>
      </c>
      <c r="G372" s="53">
        <f>IFERROR(VLOOKUP(B372, 'HMMTPUMaC NT'!A$2:$B$500,2, 0), 0)</f>
        <v>0</v>
      </c>
      <c r="H372" s="58">
        <f>IFERROR(VLOOKUP(B372, 'HMMTPUMaC Algebra'!A$2:$B$500,2, 0), 0)</f>
        <v>0</v>
      </c>
      <c r="I372" s="53">
        <f>IFERROR(VLOOKUP(B372, 'HMMTPUMaC Geo'!$A$2:B$1500,2, 0), 0)</f>
        <v>0</v>
      </c>
    </row>
    <row r="373">
      <c r="A373" s="52">
        <v>372.0</v>
      </c>
      <c r="B373" s="7" t="s">
        <v>190</v>
      </c>
      <c r="C373" s="53">
        <f t="shared" si="8"/>
        <v>0</v>
      </c>
      <c r="D373" s="53">
        <f t="shared" si="2"/>
        <v>0</v>
      </c>
      <c r="E373" s="57">
        <f>IFERROR(VLOOKUP(B373, Proof!A$2:$B$588,2, 0), 0)</f>
        <v>0</v>
      </c>
      <c r="F373" s="53">
        <f>IFERROR(VLOOKUP(B373, 'HMMTPUMaC Combo'!A$2:$B$500,2, 0), 0)</f>
        <v>0</v>
      </c>
      <c r="G373" s="53">
        <f>IFERROR(VLOOKUP(B373, 'HMMTPUMaC NT'!A$2:$B$500,2, 0), 0)</f>
        <v>0</v>
      </c>
      <c r="H373" s="58">
        <f>IFERROR(VLOOKUP(B373, 'HMMTPUMaC Algebra'!A$2:$B$500,2, 0), 0)</f>
        <v>0</v>
      </c>
      <c r="I373" s="53">
        <f>IFERROR(VLOOKUP(B373, 'HMMTPUMaC Geo'!$A$2:B$1500,2, 0), 0)</f>
        <v>0</v>
      </c>
    </row>
    <row r="374">
      <c r="A374" s="52">
        <v>373.0</v>
      </c>
      <c r="B374" s="7" t="s">
        <v>222</v>
      </c>
      <c r="C374" s="53">
        <f t="shared" si="8"/>
        <v>0</v>
      </c>
      <c r="D374" s="53">
        <f t="shared" si="2"/>
        <v>0</v>
      </c>
      <c r="E374" s="57">
        <f>IFERROR(VLOOKUP(B374, Proof!A$2:$B$588,2, 0), 0)</f>
        <v>0</v>
      </c>
      <c r="F374" s="53">
        <f>IFERROR(VLOOKUP(B374, 'HMMTPUMaC Combo'!A$2:$B$500,2, 0), 0)</f>
        <v>0</v>
      </c>
      <c r="G374" s="53">
        <f>IFERROR(VLOOKUP(B374, 'HMMTPUMaC NT'!A$2:$B$500,2, 0), 0)</f>
        <v>0</v>
      </c>
      <c r="H374" s="58">
        <f>IFERROR(VLOOKUP(B374, 'HMMTPUMaC Algebra'!A$2:$B$500,2, 0), 0)</f>
        <v>0</v>
      </c>
      <c r="I374" s="53">
        <f>IFERROR(VLOOKUP(B374, 'HMMTPUMaC Geo'!$A$2:B$1500,2, 0), 0)</f>
        <v>0</v>
      </c>
    </row>
    <row r="375">
      <c r="A375" s="52">
        <v>374.0</v>
      </c>
      <c r="B375" s="7" t="s">
        <v>131</v>
      </c>
      <c r="C375" s="53">
        <f t="shared" si="8"/>
        <v>0</v>
      </c>
      <c r="D375" s="53">
        <f t="shared" si="2"/>
        <v>0</v>
      </c>
      <c r="E375" s="57">
        <f>IFERROR(VLOOKUP(B375, Proof!A$2:$B$588,2, 0), 0)</f>
        <v>0</v>
      </c>
      <c r="F375" s="53">
        <f>IFERROR(VLOOKUP(B375, 'HMMTPUMaC Combo'!A$2:$B$500,2, 0), 0)</f>
        <v>0</v>
      </c>
      <c r="G375" s="53">
        <f>IFERROR(VLOOKUP(B375, 'HMMTPUMaC NT'!A$2:$B$500,2, 0), 0)</f>
        <v>0</v>
      </c>
      <c r="H375" s="58">
        <f>IFERROR(VLOOKUP(B375, 'HMMTPUMaC Algebra'!A$2:$B$500,2, 0), 0)</f>
        <v>0</v>
      </c>
      <c r="I375" s="53">
        <f>IFERROR(VLOOKUP(B375, 'HMMTPUMaC Geo'!$A$2:B$1500,2, 0), 0)</f>
        <v>0</v>
      </c>
    </row>
    <row r="376">
      <c r="A376" s="52">
        <v>375.0</v>
      </c>
      <c r="B376" s="7" t="s">
        <v>174</v>
      </c>
      <c r="C376" s="53">
        <f t="shared" si="8"/>
        <v>0</v>
      </c>
      <c r="D376" s="53">
        <f t="shared" si="2"/>
        <v>0</v>
      </c>
      <c r="E376" s="57">
        <f>IFERROR(VLOOKUP(B376, Proof!A$2:$B$588,2, 0), 0)</f>
        <v>0</v>
      </c>
      <c r="F376" s="53">
        <f>IFERROR(VLOOKUP(B376, 'HMMTPUMaC Combo'!A$2:$B$500,2, 0), 0)</f>
        <v>0</v>
      </c>
      <c r="G376" s="53">
        <f>IFERROR(VLOOKUP(B376, 'HMMTPUMaC NT'!A$2:$B$500,2, 0), 0)</f>
        <v>0</v>
      </c>
      <c r="H376" s="58">
        <f>IFERROR(VLOOKUP(B376, 'HMMTPUMaC Algebra'!A$2:$B$500,2, 0), 0)</f>
        <v>0</v>
      </c>
      <c r="I376" s="53">
        <f>IFERROR(VLOOKUP(B376, 'HMMTPUMaC Geo'!$A$2:B$1500,2, 0), 0)</f>
        <v>0</v>
      </c>
    </row>
    <row r="377">
      <c r="A377" s="52">
        <v>376.0</v>
      </c>
      <c r="B377" s="7" t="s">
        <v>207</v>
      </c>
      <c r="C377" s="53">
        <f t="shared" si="8"/>
        <v>0</v>
      </c>
      <c r="D377" s="53">
        <f t="shared" si="2"/>
        <v>0</v>
      </c>
      <c r="E377" s="57">
        <f>IFERROR(VLOOKUP(B377, Proof!A$2:$B$588,2, 0), 0)</f>
        <v>0</v>
      </c>
      <c r="F377" s="53">
        <f>IFERROR(VLOOKUP(B377, 'HMMTPUMaC Combo'!A$2:$B$500,2, 0), 0)</f>
        <v>0</v>
      </c>
      <c r="G377" s="53">
        <f>IFERROR(VLOOKUP(B377, 'HMMTPUMaC NT'!A$2:$B$500,2, 0), 0)</f>
        <v>0</v>
      </c>
      <c r="H377" s="58">
        <f>IFERROR(VLOOKUP(B377, 'HMMTPUMaC Algebra'!A$2:$B$500,2, 0), 0)</f>
        <v>0</v>
      </c>
      <c r="I377" s="53">
        <f>IFERROR(VLOOKUP(B377, 'HMMTPUMaC Geo'!$A$2:B$1500,2, 0), 0)</f>
        <v>0</v>
      </c>
    </row>
    <row r="378">
      <c r="A378" s="52">
        <v>377.0</v>
      </c>
      <c r="B378" s="7" t="s">
        <v>245</v>
      </c>
      <c r="C378" s="53">
        <f t="shared" si="8"/>
        <v>0</v>
      </c>
      <c r="D378" s="53">
        <f t="shared" si="2"/>
        <v>0</v>
      </c>
      <c r="E378" s="57">
        <f>IFERROR(VLOOKUP(B378, Proof!A$2:$B$588,2, 0), 0)</f>
        <v>0</v>
      </c>
      <c r="F378" s="53">
        <f>IFERROR(VLOOKUP(B378, 'HMMTPUMaC Combo'!A$2:$B$500,2, 0), 0)</f>
        <v>0</v>
      </c>
      <c r="G378" s="53">
        <f>IFERROR(VLOOKUP(B378, 'HMMTPUMaC NT'!A$2:$B$500,2, 0), 0)</f>
        <v>0</v>
      </c>
      <c r="H378" s="58">
        <f>IFERROR(VLOOKUP(B378, 'HMMTPUMaC Algebra'!A$2:$B$500,2, 0), 0)</f>
        <v>0</v>
      </c>
      <c r="I378" s="53">
        <f>IFERROR(VLOOKUP(B378, 'HMMTPUMaC Geo'!$A$2:B$1500,2, 0), 0)</f>
        <v>0</v>
      </c>
    </row>
    <row r="379">
      <c r="A379" s="52">
        <v>378.0</v>
      </c>
      <c r="B379" s="7" t="s">
        <v>148</v>
      </c>
      <c r="C379" s="53">
        <f t="shared" si="8"/>
        <v>0</v>
      </c>
      <c r="D379" s="53">
        <f t="shared" si="2"/>
        <v>0</v>
      </c>
      <c r="E379" s="57">
        <f>IFERROR(VLOOKUP(B379, Proof!A$2:$B$588,2, 0), 0)</f>
        <v>0</v>
      </c>
      <c r="F379" s="53">
        <f>IFERROR(VLOOKUP(B379, 'HMMTPUMaC Combo'!A$2:$B$500,2, 0), 0)</f>
        <v>0</v>
      </c>
      <c r="G379" s="53">
        <f>IFERROR(VLOOKUP(B379, 'HMMTPUMaC NT'!A$2:$B$500,2, 0), 0)</f>
        <v>0</v>
      </c>
      <c r="H379" s="58">
        <f>IFERROR(VLOOKUP(B379, 'HMMTPUMaC Algebra'!A$2:$B$500,2, 0), 0)</f>
        <v>0</v>
      </c>
      <c r="I379" s="53">
        <f>IFERROR(VLOOKUP(B379, 'HMMTPUMaC Geo'!$A$2:B$1500,2, 0), 0)</f>
        <v>0</v>
      </c>
    </row>
    <row r="380">
      <c r="A380" s="52">
        <v>379.0</v>
      </c>
      <c r="B380" s="7" t="s">
        <v>261</v>
      </c>
      <c r="C380" s="53">
        <f t="shared" si="8"/>
        <v>0</v>
      </c>
      <c r="D380" s="53">
        <f t="shared" si="2"/>
        <v>0</v>
      </c>
      <c r="E380" s="57">
        <f>IFERROR(VLOOKUP(B380, Proof!A$2:$B$588,2, 0), 0)</f>
        <v>0</v>
      </c>
      <c r="F380" s="53">
        <f>IFERROR(VLOOKUP(B380, 'HMMTPUMaC Combo'!A$2:$B$500,2, 0), 0)</f>
        <v>0</v>
      </c>
      <c r="G380" s="53">
        <f>IFERROR(VLOOKUP(B380, 'HMMTPUMaC NT'!A$2:$B$500,2, 0), 0)</f>
        <v>0</v>
      </c>
      <c r="H380" s="58">
        <f>IFERROR(VLOOKUP(B380, 'HMMTPUMaC Algebra'!A$2:$B$500,2, 0), 0)</f>
        <v>0</v>
      </c>
      <c r="I380" s="53">
        <f>IFERROR(VLOOKUP(B380, 'HMMTPUMaC Geo'!$A$2:B$1500,2, 0), 0)</f>
        <v>0</v>
      </c>
    </row>
    <row r="381">
      <c r="A381" s="52">
        <v>380.0</v>
      </c>
      <c r="B381" s="7" t="s">
        <v>316</v>
      </c>
      <c r="C381" s="53">
        <f t="shared" si="8"/>
        <v>0</v>
      </c>
      <c r="D381" s="53">
        <f t="shared" si="2"/>
        <v>0</v>
      </c>
      <c r="E381" s="57">
        <f>IFERROR(VLOOKUP(B381, Proof!A$2:$B$588,2, 0), 0)</f>
        <v>0</v>
      </c>
      <c r="F381" s="53">
        <f>IFERROR(VLOOKUP(B381, 'HMMTPUMaC Combo'!A$2:$B$500,2, 0), 0)</f>
        <v>0</v>
      </c>
      <c r="G381" s="53">
        <f>IFERROR(VLOOKUP(B381, 'HMMTPUMaC NT'!A$2:$B$500,2, 0), 0)</f>
        <v>0</v>
      </c>
      <c r="H381" s="58">
        <f>IFERROR(VLOOKUP(B381, 'HMMTPUMaC Algebra'!A$2:$B$500,2, 0), 0)</f>
        <v>0</v>
      </c>
      <c r="I381" s="53">
        <f>IFERROR(VLOOKUP(B381, 'HMMTPUMaC Geo'!$A$2:B$1500,2, 0), 0)</f>
        <v>0</v>
      </c>
    </row>
    <row r="382">
      <c r="A382" s="52">
        <v>381.0</v>
      </c>
      <c r="B382" s="7" t="s">
        <v>269</v>
      </c>
      <c r="C382" s="53">
        <f t="shared" si="8"/>
        <v>0</v>
      </c>
      <c r="D382" s="53">
        <f t="shared" si="2"/>
        <v>0</v>
      </c>
      <c r="E382" s="57">
        <f>IFERROR(VLOOKUP(B382, Proof!A$2:$B$588,2, 0), 0)</f>
        <v>0</v>
      </c>
      <c r="F382" s="53">
        <f>IFERROR(VLOOKUP(B382, 'HMMTPUMaC Combo'!A$2:$B$500,2, 0), 0)</f>
        <v>0</v>
      </c>
      <c r="G382" s="53">
        <f>IFERROR(VLOOKUP(B382, 'HMMTPUMaC NT'!A$2:$B$500,2, 0), 0)</f>
        <v>0</v>
      </c>
      <c r="H382" s="58">
        <f>IFERROR(VLOOKUP(B382, 'HMMTPUMaC Algebra'!A$2:$B$500,2, 0), 0)</f>
        <v>0</v>
      </c>
      <c r="I382" s="53">
        <f>IFERROR(VLOOKUP(B382, 'HMMTPUMaC Geo'!$A$2:B$1500,2, 0), 0)</f>
        <v>0</v>
      </c>
    </row>
    <row r="383">
      <c r="A383" s="52">
        <v>382.0</v>
      </c>
      <c r="B383" s="7" t="s">
        <v>299</v>
      </c>
      <c r="C383" s="53">
        <f t="shared" si="8"/>
        <v>0</v>
      </c>
      <c r="D383" s="53">
        <f t="shared" si="2"/>
        <v>0</v>
      </c>
      <c r="E383" s="57">
        <f>IFERROR(VLOOKUP(B383, Proof!A$2:$B$588,2, 0), 0)</f>
        <v>0</v>
      </c>
      <c r="F383" s="53">
        <f>IFERROR(VLOOKUP(B383, 'HMMTPUMaC Combo'!A$2:$B$500,2, 0), 0)</f>
        <v>0</v>
      </c>
      <c r="G383" s="53">
        <f>IFERROR(VLOOKUP(B383, 'HMMTPUMaC NT'!A$2:$B$500,2, 0), 0)</f>
        <v>0</v>
      </c>
      <c r="H383" s="58">
        <f>IFERROR(VLOOKUP(B383, 'HMMTPUMaC Algebra'!A$2:$B$500,2, 0), 0)</f>
        <v>0</v>
      </c>
      <c r="I383" s="53">
        <f>IFERROR(VLOOKUP(B383, 'HMMTPUMaC Geo'!$A$2:B$1500,2, 0), 0)</f>
        <v>0</v>
      </c>
    </row>
    <row r="384">
      <c r="A384" s="52">
        <v>383.0</v>
      </c>
      <c r="B384" s="7" t="s">
        <v>283</v>
      </c>
      <c r="C384" s="53">
        <f t="shared" si="8"/>
        <v>0</v>
      </c>
      <c r="D384" s="53">
        <f t="shared" si="2"/>
        <v>0</v>
      </c>
      <c r="E384" s="57">
        <f>IFERROR(VLOOKUP(B384, Proof!A$2:$B$588,2, 0), 0)</f>
        <v>0</v>
      </c>
      <c r="F384" s="53">
        <f>IFERROR(VLOOKUP(B384, 'HMMTPUMaC Combo'!A$2:$B$500,2, 0), 0)</f>
        <v>0</v>
      </c>
      <c r="G384" s="53">
        <f>IFERROR(VLOOKUP(B384, 'HMMTPUMaC NT'!A$2:$B$500,2, 0), 0)</f>
        <v>0</v>
      </c>
      <c r="H384" s="58">
        <f>IFERROR(VLOOKUP(B384, 'HMMTPUMaC Algebra'!A$2:$B$500,2, 0), 0)</f>
        <v>0</v>
      </c>
      <c r="I384" s="53">
        <f>IFERROR(VLOOKUP(B384, 'HMMTPUMaC Geo'!$A$2:B$1500,2, 0), 0)</f>
        <v>0</v>
      </c>
    </row>
    <row r="385">
      <c r="A385" s="52">
        <v>384.0</v>
      </c>
      <c r="B385" s="7" t="s">
        <v>169</v>
      </c>
      <c r="C385" s="53">
        <f t="shared" si="8"/>
        <v>0</v>
      </c>
      <c r="D385" s="53">
        <f t="shared" si="2"/>
        <v>0</v>
      </c>
      <c r="E385" s="57">
        <f>IFERROR(VLOOKUP(B385, Proof!A$2:$B$588,2, 0), 0)</f>
        <v>0</v>
      </c>
      <c r="F385" s="53">
        <f>IFERROR(VLOOKUP(B385, 'HMMTPUMaC Combo'!A$2:$B$500,2, 0), 0)</f>
        <v>0</v>
      </c>
      <c r="G385" s="53">
        <f>IFERROR(VLOOKUP(B385, 'HMMTPUMaC NT'!A$2:$B$500,2, 0), 0)</f>
        <v>0</v>
      </c>
      <c r="H385" s="58">
        <f>IFERROR(VLOOKUP(B385, 'HMMTPUMaC Algebra'!A$2:$B$500,2, 0), 0)</f>
        <v>0</v>
      </c>
      <c r="I385" s="53">
        <f>IFERROR(VLOOKUP(B385, 'HMMTPUMaC Geo'!$A$2:B$1500,2, 0), 0)</f>
        <v>0</v>
      </c>
    </row>
    <row r="386">
      <c r="A386" s="52">
        <v>385.0</v>
      </c>
      <c r="B386" s="7" t="s">
        <v>184</v>
      </c>
      <c r="C386" s="53">
        <f t="shared" si="8"/>
        <v>0</v>
      </c>
      <c r="D386" s="53">
        <f t="shared" si="2"/>
        <v>0</v>
      </c>
      <c r="E386" s="57">
        <f>IFERROR(VLOOKUP(B386, Proof!A$2:$B$588,2, 0), 0)</f>
        <v>0</v>
      </c>
      <c r="F386" s="53">
        <f>IFERROR(VLOOKUP(B386, 'HMMTPUMaC Combo'!A$2:$B$500,2, 0), 0)</f>
        <v>0</v>
      </c>
      <c r="G386" s="53">
        <f>IFERROR(VLOOKUP(B386, 'HMMTPUMaC NT'!A$2:$B$500,2, 0), 0)</f>
        <v>0</v>
      </c>
      <c r="H386" s="58">
        <f>IFERROR(VLOOKUP(B386, 'HMMTPUMaC Algebra'!A$2:$B$500,2, 0), 0)</f>
        <v>0</v>
      </c>
      <c r="I386" s="53">
        <f>IFERROR(VLOOKUP(B386, 'HMMTPUMaC Geo'!$A$2:B$1500,2, 0), 0)</f>
        <v>0</v>
      </c>
    </row>
    <row r="387">
      <c r="A387" s="52">
        <v>386.0</v>
      </c>
      <c r="B387" s="7" t="s">
        <v>189</v>
      </c>
      <c r="C387" s="53">
        <f t="shared" si="8"/>
        <v>0</v>
      </c>
      <c r="D387" s="53">
        <f t="shared" si="2"/>
        <v>0</v>
      </c>
      <c r="E387" s="57">
        <f>IFERROR(VLOOKUP(B387, Proof!A$2:$B$588,2, 0), 0)</f>
        <v>0</v>
      </c>
      <c r="F387" s="53">
        <f>IFERROR(VLOOKUP(B387, 'HMMTPUMaC Combo'!A$2:$B$500,2, 0), 0)</f>
        <v>0</v>
      </c>
      <c r="G387" s="53">
        <f>IFERROR(VLOOKUP(B387, 'HMMTPUMaC NT'!A$2:$B$500,2, 0), 0)</f>
        <v>0</v>
      </c>
      <c r="H387" s="58">
        <f>IFERROR(VLOOKUP(B387, 'HMMTPUMaC Algebra'!A$2:$B$500,2, 0), 0)</f>
        <v>0</v>
      </c>
      <c r="I387" s="53">
        <f>IFERROR(VLOOKUP(B387, 'HMMTPUMaC Geo'!$A$2:B$1500,2, 0), 0)</f>
        <v>0</v>
      </c>
    </row>
    <row r="388">
      <c r="A388" s="52">
        <v>387.0</v>
      </c>
      <c r="B388" s="7" t="s">
        <v>12</v>
      </c>
      <c r="C388" s="53">
        <f t="shared" si="8"/>
        <v>0</v>
      </c>
      <c r="D388" s="53">
        <f t="shared" si="2"/>
        <v>0</v>
      </c>
      <c r="E388" s="57">
        <f>IFERROR(VLOOKUP(B388, Proof!A$2:$B$588,2, 0), 0)</f>
        <v>0</v>
      </c>
      <c r="F388" s="53">
        <f>IFERROR(VLOOKUP(B388, 'HMMTPUMaC Combo'!A$2:$B$500,2, 0), 0)</f>
        <v>0</v>
      </c>
      <c r="G388" s="53">
        <f>IFERROR(VLOOKUP(B388, 'HMMTPUMaC NT'!A$2:$B$500,2, 0), 0)</f>
        <v>0</v>
      </c>
      <c r="H388" s="58">
        <f>IFERROR(VLOOKUP(B388, 'HMMTPUMaC Algebra'!A$2:$B$500,2, 0), 0)</f>
        <v>0</v>
      </c>
      <c r="I388" s="53">
        <f>IFERROR(VLOOKUP(B388, 'HMMTPUMaC Geo'!$A$2:B$1500,2, 0), 0)</f>
        <v>0</v>
      </c>
    </row>
    <row r="389">
      <c r="A389" s="52">
        <v>388.0</v>
      </c>
      <c r="B389" s="7" t="s">
        <v>247</v>
      </c>
      <c r="C389" s="53">
        <f t="shared" si="8"/>
        <v>0</v>
      </c>
      <c r="D389" s="53">
        <f t="shared" si="2"/>
        <v>0</v>
      </c>
      <c r="E389" s="57">
        <f>IFERROR(VLOOKUP(B389, Proof!A$2:$B$588,2, 0), 0)</f>
        <v>0</v>
      </c>
      <c r="F389" s="53">
        <f>IFERROR(VLOOKUP(B389, 'HMMTPUMaC Combo'!A$2:$B$500,2, 0), 0)</f>
        <v>0</v>
      </c>
      <c r="G389" s="53">
        <f>IFERROR(VLOOKUP(B389, 'HMMTPUMaC NT'!A$2:$B$500,2, 0), 0)</f>
        <v>0</v>
      </c>
      <c r="H389" s="58">
        <f>IFERROR(VLOOKUP(B389, 'HMMTPUMaC Algebra'!A$2:$B$500,2, 0), 0)</f>
        <v>0</v>
      </c>
      <c r="I389" s="53">
        <f>IFERROR(VLOOKUP(B389, 'HMMTPUMaC Geo'!$A$2:B$1500,2, 0), 0)</f>
        <v>0</v>
      </c>
    </row>
    <row r="390">
      <c r="A390" s="52">
        <v>389.0</v>
      </c>
      <c r="B390" s="7" t="s">
        <v>364</v>
      </c>
      <c r="C390" s="53">
        <f t="shared" si="8"/>
        <v>0</v>
      </c>
      <c r="D390" s="53">
        <f t="shared" si="2"/>
        <v>0</v>
      </c>
      <c r="E390" s="57">
        <f>IFERROR(VLOOKUP(B390, Proof!A$2:$B$588,2, 0), 0)</f>
        <v>0</v>
      </c>
      <c r="F390" s="53">
        <f>IFERROR(VLOOKUP(B390, 'HMMTPUMaC Combo'!A$2:$B$500,2, 0), 0)</f>
        <v>0</v>
      </c>
      <c r="G390" s="53">
        <f>IFERROR(VLOOKUP(B390, 'HMMTPUMaC NT'!A$2:$B$500,2, 0), 0)</f>
        <v>0</v>
      </c>
      <c r="H390" s="58">
        <f>IFERROR(VLOOKUP(B390, 'HMMTPUMaC Algebra'!A$2:$B$500,2, 0), 0)</f>
        <v>0</v>
      </c>
      <c r="I390" s="53">
        <f>IFERROR(VLOOKUP(B390, 'HMMTPUMaC Geo'!$A$2:B$1500,2, 0), 0)</f>
        <v>0</v>
      </c>
    </row>
    <row r="391">
      <c r="A391" s="52">
        <v>390.0</v>
      </c>
      <c r="B391" s="7" t="s">
        <v>157</v>
      </c>
      <c r="C391" s="53">
        <f t="shared" si="8"/>
        <v>0</v>
      </c>
      <c r="D391" s="53">
        <f t="shared" si="2"/>
        <v>0</v>
      </c>
      <c r="E391" s="57">
        <f>IFERROR(VLOOKUP(B391, Proof!A$2:$B$588,2, 0), 0)</f>
        <v>0</v>
      </c>
      <c r="F391" s="53">
        <f>IFERROR(VLOOKUP(B391, 'HMMTPUMaC Combo'!A$2:$B$500,2, 0), 0)</f>
        <v>0</v>
      </c>
      <c r="G391" s="53">
        <f>IFERROR(VLOOKUP(B391, 'HMMTPUMaC NT'!A$2:$B$500,2, 0), 0)</f>
        <v>0</v>
      </c>
      <c r="H391" s="58">
        <f>IFERROR(VLOOKUP(B391, 'HMMTPUMaC Algebra'!A$2:$B$500,2, 0), 0)</f>
        <v>0</v>
      </c>
      <c r="I391" s="53">
        <f>IFERROR(VLOOKUP(B391, 'HMMTPUMaC Geo'!$A$2:B$1500,2, 0), 0)</f>
        <v>0</v>
      </c>
    </row>
    <row r="392">
      <c r="A392" s="52">
        <v>391.0</v>
      </c>
      <c r="B392" s="7" t="s">
        <v>159</v>
      </c>
      <c r="C392" s="53">
        <f t="shared" si="8"/>
        <v>0</v>
      </c>
      <c r="D392" s="53">
        <f t="shared" si="2"/>
        <v>0</v>
      </c>
      <c r="E392" s="57">
        <f>IFERROR(VLOOKUP(B392, Proof!A$2:$B$588,2, 0), 0)</f>
        <v>0</v>
      </c>
      <c r="F392" s="53">
        <f>IFERROR(VLOOKUP(B392, 'HMMTPUMaC Combo'!A$2:$B$500,2, 0), 0)</f>
        <v>0</v>
      </c>
      <c r="G392" s="53">
        <f>IFERROR(VLOOKUP(B392, 'HMMTPUMaC NT'!A$2:$B$500,2, 0), 0)</f>
        <v>0</v>
      </c>
      <c r="H392" s="58">
        <f>IFERROR(VLOOKUP(B392, 'HMMTPUMaC Algebra'!A$2:$B$500,2, 0), 0)</f>
        <v>0</v>
      </c>
      <c r="I392" s="53">
        <f>IFERROR(VLOOKUP(B392, 'HMMTPUMaC Geo'!$A$2:B$1500,2, 0), 0)</f>
        <v>0</v>
      </c>
    </row>
    <row r="393">
      <c r="A393" s="52">
        <v>392.0</v>
      </c>
      <c r="B393" s="7" t="s">
        <v>132</v>
      </c>
      <c r="C393" s="53">
        <f t="shared" si="8"/>
        <v>0</v>
      </c>
      <c r="D393" s="53">
        <f t="shared" si="2"/>
        <v>0</v>
      </c>
      <c r="E393" s="57">
        <f>IFERROR(VLOOKUP(B393, Proof!A$2:$B$588,2, 0), 0)</f>
        <v>0</v>
      </c>
      <c r="F393" s="53">
        <f>IFERROR(VLOOKUP(B393, 'HMMTPUMaC Combo'!A$2:$B$500,2, 0), 0)</f>
        <v>0</v>
      </c>
      <c r="G393" s="53">
        <f>IFERROR(VLOOKUP(B393, 'HMMTPUMaC NT'!A$2:$B$500,2, 0), 0)</f>
        <v>0</v>
      </c>
      <c r="H393" s="58">
        <f>IFERROR(VLOOKUP(B393, 'HMMTPUMaC Algebra'!A$2:$B$500,2, 0), 0)</f>
        <v>0</v>
      </c>
      <c r="I393" s="53">
        <f>IFERROR(VLOOKUP(B393, 'HMMTPUMaC Geo'!$A$2:B$1500,2, 0), 0)</f>
        <v>0</v>
      </c>
    </row>
    <row r="394">
      <c r="A394" s="52">
        <v>393.0</v>
      </c>
      <c r="B394" s="7" t="s">
        <v>204</v>
      </c>
      <c r="C394" s="53">
        <f t="shared" si="8"/>
        <v>0</v>
      </c>
      <c r="D394" s="53">
        <f t="shared" si="2"/>
        <v>0</v>
      </c>
      <c r="E394" s="57">
        <f>IFERROR(VLOOKUP(B394, Proof!A$2:$B$588,2, 0), 0)</f>
        <v>0</v>
      </c>
      <c r="F394" s="53">
        <f>IFERROR(VLOOKUP(B394, 'HMMTPUMaC Combo'!A$2:$B$500,2, 0), 0)</f>
        <v>0</v>
      </c>
      <c r="G394" s="53">
        <f>IFERROR(VLOOKUP(B394, 'HMMTPUMaC NT'!A$2:$B$500,2, 0), 0)</f>
        <v>0</v>
      </c>
      <c r="H394" s="58">
        <f>IFERROR(VLOOKUP(B394, 'HMMTPUMaC Algebra'!A$2:$B$500,2, 0), 0)</f>
        <v>0</v>
      </c>
      <c r="I394" s="53">
        <f>IFERROR(VLOOKUP(B394, 'HMMTPUMaC Geo'!$A$2:B$1500,2, 0), 0)</f>
        <v>0</v>
      </c>
    </row>
    <row r="395">
      <c r="A395" s="52">
        <v>394.0</v>
      </c>
      <c r="B395" s="7" t="s">
        <v>181</v>
      </c>
      <c r="C395" s="53">
        <f t="shared" si="8"/>
        <v>0</v>
      </c>
      <c r="D395" s="53">
        <f t="shared" si="2"/>
        <v>0</v>
      </c>
      <c r="E395" s="57">
        <f>IFERROR(VLOOKUP(B395, Proof!A$2:$B$588,2, 0), 0)</f>
        <v>0</v>
      </c>
      <c r="F395" s="53">
        <f>IFERROR(VLOOKUP(B395, 'HMMTPUMaC Combo'!A$2:$B$500,2, 0), 0)</f>
        <v>0</v>
      </c>
      <c r="G395" s="53">
        <f>IFERROR(VLOOKUP(B395, 'HMMTPUMaC NT'!A$2:$B$500,2, 0), 0)</f>
        <v>0</v>
      </c>
      <c r="H395" s="58">
        <f>IFERROR(VLOOKUP(B395, 'HMMTPUMaC Algebra'!A$2:$B$500,2, 0), 0)</f>
        <v>0</v>
      </c>
      <c r="I395" s="53">
        <f>IFERROR(VLOOKUP(B395, 'HMMTPUMaC Geo'!$A$2:B$1500,2, 0), 0)</f>
        <v>0</v>
      </c>
    </row>
    <row r="396">
      <c r="A396" s="52">
        <v>395.0</v>
      </c>
      <c r="B396" s="7" t="s">
        <v>201</v>
      </c>
      <c r="C396" s="53">
        <f t="shared" si="8"/>
        <v>0</v>
      </c>
      <c r="D396" s="53">
        <f t="shared" si="2"/>
        <v>0</v>
      </c>
      <c r="E396" s="57">
        <f>IFERROR(VLOOKUP(B396, Proof!A$2:$B$588,2, 0), 0)</f>
        <v>0</v>
      </c>
      <c r="F396" s="53">
        <f>IFERROR(VLOOKUP(B396, 'HMMTPUMaC Combo'!A$2:$B$500,2, 0), 0)</f>
        <v>0</v>
      </c>
      <c r="G396" s="53">
        <f>IFERROR(VLOOKUP(B396, 'HMMTPUMaC NT'!A$2:$B$500,2, 0), 0)</f>
        <v>0</v>
      </c>
      <c r="H396" s="58">
        <f>IFERROR(VLOOKUP(B396, 'HMMTPUMaC Algebra'!A$2:$B$500,2, 0), 0)</f>
        <v>0</v>
      </c>
      <c r="I396" s="53">
        <f>IFERROR(VLOOKUP(B396, 'HMMTPUMaC Geo'!$A$2:B$1500,2, 0), 0)</f>
        <v>0</v>
      </c>
    </row>
    <row r="397">
      <c r="A397" s="52">
        <v>396.0</v>
      </c>
      <c r="B397" s="7" t="s">
        <v>153</v>
      </c>
      <c r="C397" s="53">
        <f t="shared" si="8"/>
        <v>0</v>
      </c>
      <c r="D397" s="53">
        <f t="shared" si="2"/>
        <v>0</v>
      </c>
      <c r="E397" s="57">
        <f>IFERROR(VLOOKUP(B397, Proof!A$2:$B$588,2, 0), 0)</f>
        <v>0</v>
      </c>
      <c r="F397" s="53">
        <f>IFERROR(VLOOKUP(B397, 'HMMTPUMaC Combo'!A$2:$B$500,2, 0), 0)</f>
        <v>0</v>
      </c>
      <c r="G397" s="53">
        <f>IFERROR(VLOOKUP(B397, 'HMMTPUMaC NT'!A$2:$B$500,2, 0), 0)</f>
        <v>0</v>
      </c>
      <c r="H397" s="58">
        <f>IFERROR(VLOOKUP(B397, 'HMMTPUMaC Algebra'!A$2:$B$500,2, 0), 0)</f>
        <v>0</v>
      </c>
      <c r="I397" s="53">
        <f>IFERROR(VLOOKUP(B397, 'HMMTPUMaC Geo'!$A$2:B$1500,2, 0), 0)</f>
        <v>0</v>
      </c>
    </row>
    <row r="398">
      <c r="A398" s="52">
        <v>397.0</v>
      </c>
      <c r="B398" s="7" t="s">
        <v>143</v>
      </c>
      <c r="C398" s="53">
        <f t="shared" si="8"/>
        <v>0</v>
      </c>
      <c r="D398" s="53">
        <f t="shared" si="2"/>
        <v>0</v>
      </c>
      <c r="E398" s="57">
        <f>IFERROR(VLOOKUP(B398, Proof!A$2:$B$588,2, 0), 0)</f>
        <v>0</v>
      </c>
      <c r="F398" s="53">
        <f>IFERROR(VLOOKUP(B398, 'HMMTPUMaC Combo'!A$2:$B$500,2, 0), 0)</f>
        <v>0</v>
      </c>
      <c r="G398" s="53">
        <f>IFERROR(VLOOKUP(B398, 'HMMTPUMaC NT'!A$2:$B$500,2, 0), 0)</f>
        <v>0</v>
      </c>
      <c r="H398" s="58">
        <f>IFERROR(VLOOKUP(B398, 'HMMTPUMaC Algebra'!A$2:$B$500,2, 0), 0)</f>
        <v>0</v>
      </c>
      <c r="I398" s="53">
        <f>IFERROR(VLOOKUP(B398, 'HMMTPUMaC Geo'!$A$2:B$1500,2, 0), 0)</f>
        <v>0</v>
      </c>
    </row>
    <row r="399">
      <c r="A399" s="52">
        <v>398.0</v>
      </c>
      <c r="B399" s="7" t="s">
        <v>267</v>
      </c>
      <c r="C399" s="53">
        <f t="shared" si="8"/>
        <v>0</v>
      </c>
      <c r="D399" s="53">
        <f t="shared" si="2"/>
        <v>0</v>
      </c>
      <c r="E399" s="57">
        <f>IFERROR(VLOOKUP(B399, Proof!A$2:$B$588,2, 0), 0)</f>
        <v>0</v>
      </c>
      <c r="F399" s="53">
        <f>IFERROR(VLOOKUP(B399, 'HMMTPUMaC Combo'!A$2:$B$500,2, 0), 0)</f>
        <v>0</v>
      </c>
      <c r="G399" s="53">
        <f>IFERROR(VLOOKUP(B399, 'HMMTPUMaC NT'!A$2:$B$500,2, 0), 0)</f>
        <v>0</v>
      </c>
      <c r="H399" s="58">
        <f>IFERROR(VLOOKUP(B399, 'HMMTPUMaC Algebra'!A$2:$B$500,2, 0), 0)</f>
        <v>0</v>
      </c>
      <c r="I399" s="53">
        <f>IFERROR(VLOOKUP(B399, 'HMMTPUMaC Geo'!$A$2:B$1500,2, 0), 0)</f>
        <v>0</v>
      </c>
    </row>
    <row r="400">
      <c r="A400" s="52">
        <v>399.0</v>
      </c>
      <c r="B400" s="7" t="s">
        <v>317</v>
      </c>
      <c r="C400" s="53">
        <f t="shared" si="8"/>
        <v>0</v>
      </c>
      <c r="D400" s="53">
        <f t="shared" si="2"/>
        <v>0</v>
      </c>
      <c r="E400" s="57">
        <f>IFERROR(VLOOKUP(B400, Proof!A$2:$B$588,2, 0), 0)</f>
        <v>0</v>
      </c>
      <c r="F400" s="53">
        <f>IFERROR(VLOOKUP(B400, 'HMMTPUMaC Combo'!A$2:$B$500,2, 0), 0)</f>
        <v>0</v>
      </c>
      <c r="G400" s="53">
        <f>IFERROR(VLOOKUP(B400, 'HMMTPUMaC NT'!A$2:$B$500,2, 0), 0)</f>
        <v>0</v>
      </c>
      <c r="H400" s="58">
        <f>IFERROR(VLOOKUP(B400, 'HMMTPUMaC Algebra'!A$2:$B$500,2, 0), 0)</f>
        <v>0</v>
      </c>
      <c r="I400" s="53">
        <f>IFERROR(VLOOKUP(B400, 'HMMTPUMaC Geo'!$A$2:B$1500,2, 0), 0)</f>
        <v>0</v>
      </c>
    </row>
    <row r="401">
      <c r="A401" s="52">
        <v>400.0</v>
      </c>
      <c r="B401" s="7" t="s">
        <v>264</v>
      </c>
      <c r="C401" s="53">
        <f t="shared" si="8"/>
        <v>0</v>
      </c>
      <c r="D401" s="53">
        <f t="shared" si="2"/>
        <v>0</v>
      </c>
      <c r="E401" s="57">
        <f>IFERROR(VLOOKUP(B401, Proof!A$2:$B$588,2, 0), 0)</f>
        <v>0</v>
      </c>
      <c r="F401" s="53">
        <f>IFERROR(VLOOKUP(B401, 'HMMTPUMaC Combo'!A$2:$B$500,2, 0), 0)</f>
        <v>0</v>
      </c>
      <c r="G401" s="53">
        <f>IFERROR(VLOOKUP(B401, 'HMMTPUMaC NT'!A$2:$B$500,2, 0), 0)</f>
        <v>0</v>
      </c>
      <c r="H401" s="58">
        <f>IFERROR(VLOOKUP(B401, 'HMMTPUMaC Algebra'!A$2:$B$500,2, 0), 0)</f>
        <v>0</v>
      </c>
      <c r="I401" s="53">
        <f>IFERROR(VLOOKUP(B401, 'HMMTPUMaC Geo'!$A$2:B$1500,2, 0), 0)</f>
        <v>0</v>
      </c>
    </row>
    <row r="402">
      <c r="A402" s="52">
        <v>401.0</v>
      </c>
      <c r="B402" s="7" t="s">
        <v>198</v>
      </c>
      <c r="C402" s="53">
        <f t="shared" si="8"/>
        <v>0</v>
      </c>
      <c r="D402" s="53">
        <f t="shared" si="2"/>
        <v>0</v>
      </c>
      <c r="E402" s="57">
        <f>IFERROR(VLOOKUP(B402, Proof!A$2:$B$588,2, 0), 0)</f>
        <v>0</v>
      </c>
      <c r="F402" s="53">
        <f>IFERROR(VLOOKUP(B402, 'HMMTPUMaC Combo'!A$2:$B$500,2, 0), 0)</f>
        <v>0</v>
      </c>
      <c r="G402" s="53">
        <f>IFERROR(VLOOKUP(B402, 'HMMTPUMaC NT'!A$2:$B$500,2, 0), 0)</f>
        <v>0</v>
      </c>
      <c r="H402" s="58">
        <f>IFERROR(VLOOKUP(B402, 'HMMTPUMaC Algebra'!A$2:$B$500,2, 0), 0)</f>
        <v>0</v>
      </c>
      <c r="I402" s="53">
        <f>IFERROR(VLOOKUP(B402, 'HMMTPUMaC Geo'!$A$2:B$1500,2, 0), 0)</f>
        <v>0</v>
      </c>
    </row>
    <row r="403">
      <c r="A403" s="52">
        <v>402.0</v>
      </c>
      <c r="B403" s="7" t="s">
        <v>254</v>
      </c>
      <c r="C403" s="53">
        <f t="shared" si="8"/>
        <v>0</v>
      </c>
      <c r="D403" s="53">
        <f t="shared" si="2"/>
        <v>0</v>
      </c>
      <c r="E403" s="57">
        <f>IFERROR(VLOOKUP(B403, Proof!A$2:$B$588,2, 0), 0)</f>
        <v>0</v>
      </c>
      <c r="F403" s="53">
        <f>IFERROR(VLOOKUP(B403, 'HMMTPUMaC Combo'!A$2:$B$500,2, 0), 0)</f>
        <v>0</v>
      </c>
      <c r="G403" s="53">
        <f>IFERROR(VLOOKUP(B403, 'HMMTPUMaC NT'!A$2:$B$500,2, 0), 0)</f>
        <v>0</v>
      </c>
      <c r="H403" s="58">
        <f>IFERROR(VLOOKUP(B403, 'HMMTPUMaC Algebra'!A$2:$B$500,2, 0), 0)</f>
        <v>0</v>
      </c>
      <c r="I403" s="53">
        <f>IFERROR(VLOOKUP(B403, 'HMMTPUMaC Geo'!$A$2:B$1500,2, 0), 0)</f>
        <v>0</v>
      </c>
    </row>
    <row r="404">
      <c r="A404" s="52">
        <v>403.0</v>
      </c>
      <c r="B404" s="7" t="s">
        <v>127</v>
      </c>
      <c r="C404" s="53">
        <f t="shared" si="8"/>
        <v>0</v>
      </c>
      <c r="D404" s="53">
        <f t="shared" si="2"/>
        <v>0</v>
      </c>
      <c r="E404" s="57">
        <f>IFERROR(VLOOKUP(B404, Proof!A$2:$B$588,2, 0), 0)</f>
        <v>0</v>
      </c>
      <c r="F404" s="53">
        <f>IFERROR(VLOOKUP(B404, 'HMMTPUMaC Combo'!A$2:$B$500,2, 0), 0)</f>
        <v>0</v>
      </c>
      <c r="G404" s="53">
        <f>IFERROR(VLOOKUP(B404, 'HMMTPUMaC NT'!A$2:$B$500,2, 0), 0)</f>
        <v>0</v>
      </c>
      <c r="H404" s="58">
        <f>IFERROR(VLOOKUP(B404, 'HMMTPUMaC Algebra'!A$2:$B$500,2, 0), 0)</f>
        <v>0</v>
      </c>
      <c r="I404" s="53">
        <f>IFERROR(VLOOKUP(B404, 'HMMTPUMaC Geo'!$A$2:B$1500,2, 0), 0)</f>
        <v>0</v>
      </c>
    </row>
    <row r="405">
      <c r="A405" s="52">
        <v>404.0</v>
      </c>
      <c r="B405" s="7" t="s">
        <v>134</v>
      </c>
      <c r="C405" s="53">
        <f t="shared" si="8"/>
        <v>0</v>
      </c>
      <c r="D405" s="53">
        <f t="shared" si="2"/>
        <v>0</v>
      </c>
      <c r="E405" s="57">
        <f>IFERROR(VLOOKUP(B405, Proof!A$2:$B$588,2, 0), 0)</f>
        <v>0</v>
      </c>
      <c r="F405" s="53">
        <f>IFERROR(VLOOKUP(B405, 'HMMTPUMaC Combo'!A$2:$B$500,2, 0), 0)</f>
        <v>0</v>
      </c>
      <c r="G405" s="53">
        <f>IFERROR(VLOOKUP(B405, 'HMMTPUMaC NT'!A$2:$B$500,2, 0), 0)</f>
        <v>0</v>
      </c>
      <c r="H405" s="58">
        <f>IFERROR(VLOOKUP(B405, 'HMMTPUMaC Algebra'!A$2:$B$500,2, 0), 0)</f>
        <v>0</v>
      </c>
      <c r="I405" s="53">
        <f>IFERROR(VLOOKUP(B405, 'HMMTPUMaC Geo'!$A$2:B$1500,2, 0), 0)</f>
        <v>0</v>
      </c>
    </row>
    <row r="406">
      <c r="A406" s="52">
        <v>405.0</v>
      </c>
      <c r="B406" s="7" t="s">
        <v>129</v>
      </c>
      <c r="C406" s="53">
        <f t="shared" si="8"/>
        <v>0</v>
      </c>
      <c r="D406" s="53">
        <f t="shared" si="2"/>
        <v>0</v>
      </c>
      <c r="E406" s="57">
        <f>IFERROR(VLOOKUP(B406, Proof!A$2:$B$588,2, 0), 0)</f>
        <v>0</v>
      </c>
      <c r="F406" s="53">
        <f>IFERROR(VLOOKUP(B406, 'HMMTPUMaC Combo'!A$2:$B$500,2, 0), 0)</f>
        <v>0</v>
      </c>
      <c r="G406" s="53">
        <f>IFERROR(VLOOKUP(B406, 'HMMTPUMaC NT'!A$2:$B$500,2, 0), 0)</f>
        <v>0</v>
      </c>
      <c r="H406" s="58">
        <f>IFERROR(VLOOKUP(B406, 'HMMTPUMaC Algebra'!A$2:$B$500,2, 0), 0)</f>
        <v>0</v>
      </c>
      <c r="I406" s="53">
        <f>IFERROR(VLOOKUP(B406, 'HMMTPUMaC Geo'!$A$2:B$1500,2, 0), 0)</f>
        <v>0</v>
      </c>
    </row>
    <row r="407">
      <c r="A407" s="52">
        <v>406.0</v>
      </c>
      <c r="B407" s="7" t="s">
        <v>180</v>
      </c>
      <c r="C407" s="53">
        <f t="shared" si="8"/>
        <v>0</v>
      </c>
      <c r="D407" s="53">
        <f t="shared" si="2"/>
        <v>0</v>
      </c>
      <c r="E407" s="57">
        <f>IFERROR(VLOOKUP(B407, Proof!A$2:$B$588,2, 0), 0)</f>
        <v>0</v>
      </c>
      <c r="F407" s="53">
        <f>IFERROR(VLOOKUP(B407, 'HMMTPUMaC Combo'!A$2:$B$500,2, 0), 0)</f>
        <v>0</v>
      </c>
      <c r="G407" s="53">
        <f>IFERROR(VLOOKUP(B407, 'HMMTPUMaC NT'!A$2:$B$500,2, 0), 0)</f>
        <v>0</v>
      </c>
      <c r="H407" s="58">
        <f>IFERROR(VLOOKUP(B407, 'HMMTPUMaC Algebra'!A$2:$B$500,2, 0), 0)</f>
        <v>0</v>
      </c>
      <c r="I407" s="53">
        <f>IFERROR(VLOOKUP(B407, 'HMMTPUMaC Geo'!$A$2:B$1500,2, 0), 0)</f>
        <v>0</v>
      </c>
    </row>
    <row r="408">
      <c r="A408" s="52">
        <v>407.0</v>
      </c>
      <c r="B408" s="7" t="s">
        <v>343</v>
      </c>
      <c r="C408" s="53">
        <f t="shared" si="8"/>
        <v>0</v>
      </c>
      <c r="D408" s="53">
        <f t="shared" si="2"/>
        <v>0</v>
      </c>
      <c r="E408" s="57">
        <f>IFERROR(VLOOKUP(B408, Proof!A$2:$B$588,2, 0), 0)</f>
        <v>0</v>
      </c>
      <c r="F408" s="53">
        <f>IFERROR(VLOOKUP(B408, 'HMMTPUMaC Combo'!A$2:$B$500,2, 0), 0)</f>
        <v>0</v>
      </c>
      <c r="G408" s="53">
        <f>IFERROR(VLOOKUP(B408, 'HMMTPUMaC NT'!A$2:$B$500,2, 0), 0)</f>
        <v>0</v>
      </c>
      <c r="H408" s="58">
        <f>IFERROR(VLOOKUP(B408, 'HMMTPUMaC Algebra'!A$2:$B$500,2, 0), 0)</f>
        <v>0</v>
      </c>
      <c r="I408" s="53">
        <f>IFERROR(VLOOKUP(B408, 'HMMTPUMaC Geo'!$A$2:B$1500,2, 0), 0)</f>
        <v>0</v>
      </c>
    </row>
    <row r="409">
      <c r="A409" s="52">
        <v>408.0</v>
      </c>
      <c r="B409" s="7" t="s">
        <v>349</v>
      </c>
      <c r="C409" s="53">
        <f t="shared" si="8"/>
        <v>0</v>
      </c>
      <c r="D409" s="53">
        <f t="shared" si="2"/>
        <v>0</v>
      </c>
      <c r="E409" s="57">
        <f>IFERROR(VLOOKUP(B409, Proof!A$2:$B$588,2, 0), 0)</f>
        <v>0</v>
      </c>
      <c r="F409" s="53">
        <f>IFERROR(VLOOKUP(B409, 'HMMTPUMaC Combo'!A$2:$B$500,2, 0), 0)</f>
        <v>0</v>
      </c>
      <c r="G409" s="53">
        <f>IFERROR(VLOOKUP(B409, 'HMMTPUMaC NT'!A$2:$B$500,2, 0), 0)</f>
        <v>0</v>
      </c>
      <c r="H409" s="58">
        <f>IFERROR(VLOOKUP(B409, 'HMMTPUMaC Algebra'!A$2:$B$500,2, 0), 0)</f>
        <v>0</v>
      </c>
      <c r="I409" s="53">
        <f>IFERROR(VLOOKUP(B409, 'HMMTPUMaC Geo'!$A$2:B$1500,2, 0), 0)</f>
        <v>0</v>
      </c>
    </row>
    <row r="410">
      <c r="A410" s="52">
        <v>409.0</v>
      </c>
      <c r="B410" s="7" t="s">
        <v>292</v>
      </c>
      <c r="C410" s="53">
        <f t="shared" si="8"/>
        <v>0</v>
      </c>
      <c r="D410" s="53">
        <f t="shared" si="2"/>
        <v>0</v>
      </c>
      <c r="E410" s="57">
        <f>IFERROR(VLOOKUP(B410, Proof!A$2:$B$588,2, 0), 0)</f>
        <v>0</v>
      </c>
      <c r="F410" s="53">
        <f>IFERROR(VLOOKUP(B410, 'HMMTPUMaC Combo'!A$2:$B$500,2, 0), 0)</f>
        <v>0</v>
      </c>
      <c r="G410" s="53">
        <f>IFERROR(VLOOKUP(B410, 'HMMTPUMaC NT'!A$2:$B$500,2, 0), 0)</f>
        <v>0</v>
      </c>
      <c r="H410" s="58">
        <f>IFERROR(VLOOKUP(B410, 'HMMTPUMaC Algebra'!A$2:$B$500,2, 0), 0)</f>
        <v>0</v>
      </c>
      <c r="I410" s="53">
        <f>IFERROR(VLOOKUP(B410, 'HMMTPUMaC Geo'!$A$2:B$1500,2, 0), 0)</f>
        <v>0</v>
      </c>
    </row>
    <row r="411">
      <c r="A411" s="52">
        <v>410.0</v>
      </c>
      <c r="B411" s="7" t="s">
        <v>302</v>
      </c>
      <c r="C411" s="53">
        <f t="shared" si="8"/>
        <v>0</v>
      </c>
      <c r="D411" s="53">
        <f t="shared" si="2"/>
        <v>0</v>
      </c>
      <c r="E411" s="57">
        <f>IFERROR(VLOOKUP(B411, Proof!A$2:$B$588,2, 0), 0)</f>
        <v>0</v>
      </c>
      <c r="F411" s="53">
        <f>IFERROR(VLOOKUP(B411, 'HMMTPUMaC Combo'!A$2:$B$500,2, 0), 0)</f>
        <v>0</v>
      </c>
      <c r="G411" s="53">
        <f>IFERROR(VLOOKUP(B411, 'HMMTPUMaC NT'!A$2:$B$500,2, 0), 0)</f>
        <v>0</v>
      </c>
      <c r="H411" s="58">
        <f>IFERROR(VLOOKUP(B411, 'HMMTPUMaC Algebra'!A$2:$B$500,2, 0), 0)</f>
        <v>0</v>
      </c>
      <c r="I411" s="53">
        <f>IFERROR(VLOOKUP(B411, 'HMMTPUMaC Geo'!$A$2:B$1500,2, 0), 0)</f>
        <v>0</v>
      </c>
    </row>
    <row r="412">
      <c r="A412" s="52">
        <v>411.0</v>
      </c>
      <c r="B412" s="7" t="s">
        <v>90</v>
      </c>
      <c r="C412" s="53">
        <f t="shared" si="8"/>
        <v>0</v>
      </c>
      <c r="D412" s="53">
        <f t="shared" si="2"/>
        <v>0</v>
      </c>
      <c r="E412" s="57">
        <f>IFERROR(VLOOKUP(B412, Proof!A$2:$B$588,2, 0), 0)</f>
        <v>0</v>
      </c>
      <c r="F412" s="53">
        <f>IFERROR(VLOOKUP(B412, 'HMMTPUMaC Combo'!A$2:$B$500,2, 0), 0)</f>
        <v>0</v>
      </c>
      <c r="G412" s="53">
        <f>IFERROR(VLOOKUP(B412, 'HMMTPUMaC NT'!A$2:$B$500,2, 0), 0)</f>
        <v>0</v>
      </c>
      <c r="H412" s="58">
        <f>IFERROR(VLOOKUP(B412, 'HMMTPUMaC Algebra'!A$2:$B$500,2, 0), 0)</f>
        <v>0</v>
      </c>
      <c r="I412" s="53">
        <f>IFERROR(VLOOKUP(B412, 'HMMTPUMaC Geo'!$A$2:B$1500,2, 0), 0)</f>
        <v>0</v>
      </c>
    </row>
    <row r="413">
      <c r="A413" s="52">
        <v>412.0</v>
      </c>
      <c r="B413" s="7" t="s">
        <v>304</v>
      </c>
      <c r="C413" s="53">
        <f t="shared" si="8"/>
        <v>0</v>
      </c>
      <c r="D413" s="53">
        <f t="shared" si="2"/>
        <v>0</v>
      </c>
      <c r="E413" s="57">
        <f>IFERROR(VLOOKUP(B413, Proof!A$2:$B$588,2, 0), 0)</f>
        <v>0</v>
      </c>
      <c r="F413" s="53">
        <f>IFERROR(VLOOKUP(B413, 'HMMTPUMaC Combo'!A$2:$B$500,2, 0), 0)</f>
        <v>0</v>
      </c>
      <c r="G413" s="53">
        <f>IFERROR(VLOOKUP(B413, 'HMMTPUMaC NT'!A$2:$B$500,2, 0), 0)</f>
        <v>0</v>
      </c>
      <c r="H413" s="58">
        <f>IFERROR(VLOOKUP(B413, 'HMMTPUMaC Algebra'!A$2:$B$500,2, 0), 0)</f>
        <v>0</v>
      </c>
      <c r="I413" s="53">
        <f>IFERROR(VLOOKUP(B413, 'HMMTPUMaC Geo'!$A$2:B$1500,2, 0), 0)</f>
        <v>0</v>
      </c>
    </row>
    <row r="414">
      <c r="A414" s="52">
        <v>413.0</v>
      </c>
      <c r="B414" s="7" t="s">
        <v>332</v>
      </c>
      <c r="C414" s="53">
        <f t="shared" si="8"/>
        <v>0</v>
      </c>
      <c r="D414" s="53">
        <f t="shared" si="2"/>
        <v>0</v>
      </c>
      <c r="E414" s="57">
        <f>IFERROR(VLOOKUP(B414, Proof!A$2:$B$588,2, 0), 0)</f>
        <v>0</v>
      </c>
      <c r="F414" s="53">
        <f>IFERROR(VLOOKUP(B414, 'HMMTPUMaC Combo'!A$2:$B$500,2, 0), 0)</f>
        <v>0</v>
      </c>
      <c r="G414" s="53">
        <f>IFERROR(VLOOKUP(B414, 'HMMTPUMaC NT'!A$2:$B$500,2, 0), 0)</f>
        <v>0</v>
      </c>
      <c r="H414" s="58">
        <f>IFERROR(VLOOKUP(B414, 'HMMTPUMaC Algebra'!A$2:$B$500,2, 0), 0)</f>
        <v>0</v>
      </c>
      <c r="I414" s="53">
        <f>IFERROR(VLOOKUP(B414, 'HMMTPUMaC Geo'!$A$2:B$1500,2, 0), 0)</f>
        <v>0</v>
      </c>
    </row>
    <row r="415">
      <c r="A415" s="52">
        <v>414.0</v>
      </c>
      <c r="B415" s="7" t="s">
        <v>366</v>
      </c>
      <c r="C415" s="53">
        <f t="shared" si="8"/>
        <v>0</v>
      </c>
      <c r="D415" s="53">
        <f t="shared" si="2"/>
        <v>0</v>
      </c>
      <c r="E415" s="57">
        <f>IFERROR(VLOOKUP(B415, Proof!A$2:$B$588,2, 0), 0)</f>
        <v>0</v>
      </c>
      <c r="F415" s="53">
        <f>IFERROR(VLOOKUP(B415, 'HMMTPUMaC Combo'!A$2:$B$500,2, 0), 0)</f>
        <v>0</v>
      </c>
      <c r="G415" s="53">
        <f>IFERROR(VLOOKUP(B415, 'HMMTPUMaC NT'!A$2:$B$500,2, 0), 0)</f>
        <v>0</v>
      </c>
      <c r="H415" s="58">
        <f>IFERROR(VLOOKUP(B415, 'HMMTPUMaC Algebra'!A$2:$B$500,2, 0), 0)</f>
        <v>0</v>
      </c>
      <c r="I415" s="53">
        <f>IFERROR(VLOOKUP(B415, 'HMMTPUMaC Geo'!$A$2:B$1500,2, 0), 0)</f>
        <v>0</v>
      </c>
    </row>
    <row r="416">
      <c r="A416" s="52">
        <v>415.0</v>
      </c>
      <c r="B416" s="7" t="s">
        <v>336</v>
      </c>
      <c r="C416" s="53">
        <f t="shared" si="8"/>
        <v>0</v>
      </c>
      <c r="D416" s="53">
        <f t="shared" si="2"/>
        <v>0</v>
      </c>
      <c r="E416" s="57">
        <f>IFERROR(VLOOKUP(B416, Proof!A$2:$B$588,2, 0), 0)</f>
        <v>0</v>
      </c>
      <c r="F416" s="53">
        <f>IFERROR(VLOOKUP(B416, 'HMMTPUMaC Combo'!A$2:$B$500,2, 0), 0)</f>
        <v>0</v>
      </c>
      <c r="G416" s="53">
        <f>IFERROR(VLOOKUP(B416, 'HMMTPUMaC NT'!A$2:$B$500,2, 0), 0)</f>
        <v>0</v>
      </c>
      <c r="H416" s="58">
        <f>IFERROR(VLOOKUP(B416, 'HMMTPUMaC Algebra'!A$2:$B$500,2, 0), 0)</f>
        <v>0</v>
      </c>
      <c r="I416" s="53">
        <f>IFERROR(VLOOKUP(B416, 'HMMTPUMaC Geo'!$A$2:B$1500,2, 0), 0)</f>
        <v>0</v>
      </c>
    </row>
    <row r="417">
      <c r="A417" s="52">
        <v>416.0</v>
      </c>
      <c r="B417" s="7" t="s">
        <v>281</v>
      </c>
      <c r="C417" s="53">
        <f t="shared" si="8"/>
        <v>0</v>
      </c>
      <c r="D417" s="53">
        <f t="shared" si="2"/>
        <v>0</v>
      </c>
      <c r="E417" s="57">
        <f>IFERROR(VLOOKUP(B417, Proof!A$2:$B$588,2, 0), 0)</f>
        <v>0</v>
      </c>
      <c r="F417" s="53">
        <f>IFERROR(VLOOKUP(B417, 'HMMTPUMaC Combo'!A$2:$B$500,2, 0), 0)</f>
        <v>0</v>
      </c>
      <c r="G417" s="53">
        <f>IFERROR(VLOOKUP(B417, 'HMMTPUMaC NT'!A$2:$B$500,2, 0), 0)</f>
        <v>0</v>
      </c>
      <c r="H417" s="58">
        <f>IFERROR(VLOOKUP(B417, 'HMMTPUMaC Algebra'!A$2:$B$500,2, 0), 0)</f>
        <v>0</v>
      </c>
      <c r="I417" s="53">
        <f>IFERROR(VLOOKUP(B417, 'HMMTPUMaC Geo'!$A$2:B$1500,2, 0), 0)</f>
        <v>0</v>
      </c>
    </row>
    <row r="418">
      <c r="A418" s="52">
        <v>417.0</v>
      </c>
      <c r="B418" s="7" t="s">
        <v>340</v>
      </c>
      <c r="C418" s="53">
        <f t="shared" si="8"/>
        <v>0</v>
      </c>
      <c r="D418" s="53">
        <f t="shared" si="2"/>
        <v>0</v>
      </c>
      <c r="E418" s="57">
        <f>IFERROR(VLOOKUP(B418, Proof!A$2:$B$588,2, 0), 0)</f>
        <v>0</v>
      </c>
      <c r="F418" s="53">
        <f>IFERROR(VLOOKUP(B418, 'HMMTPUMaC Combo'!A$2:$B$500,2, 0), 0)</f>
        <v>0</v>
      </c>
      <c r="G418" s="53">
        <f>IFERROR(VLOOKUP(B418, 'HMMTPUMaC NT'!A$2:$B$500,2, 0), 0)</f>
        <v>0</v>
      </c>
      <c r="H418" s="58">
        <f>IFERROR(VLOOKUP(B418, 'HMMTPUMaC Algebra'!A$2:$B$500,2, 0), 0)</f>
        <v>0</v>
      </c>
      <c r="I418" s="53">
        <f>IFERROR(VLOOKUP(B418, 'HMMTPUMaC Geo'!$A$2:B$1500,2, 0), 0)</f>
        <v>0</v>
      </c>
    </row>
    <row r="419">
      <c r="A419" s="52">
        <v>418.0</v>
      </c>
      <c r="B419" s="7" t="s">
        <v>62</v>
      </c>
      <c r="C419" s="53">
        <f t="shared" si="8"/>
        <v>43.63636364</v>
      </c>
      <c r="D419" s="53">
        <f t="shared" si="2"/>
        <v>43.636</v>
      </c>
      <c r="E419" s="57">
        <f>IFERROR(VLOOKUP(B419, Proof!A$2:$B$588,2, 0), 0)</f>
        <v>145.4545455</v>
      </c>
      <c r="F419" s="53">
        <f>IFERROR(VLOOKUP(B419, 'HMMTPUMaC Combo'!A$2:$B$500,2, 0), 0)</f>
        <v>0</v>
      </c>
      <c r="G419" s="53">
        <f>IFERROR(VLOOKUP(B419, 'HMMTPUMaC NT'!A$2:$B$500,2, 0), 0)</f>
        <v>0</v>
      </c>
      <c r="H419" s="58">
        <f>IFERROR(VLOOKUP(B419, 'HMMTPUMaC Algebra'!A$2:$B$500,2, 0), 0)</f>
        <v>0</v>
      </c>
      <c r="I419" s="53">
        <f>IFERROR(VLOOKUP(B419, 'HMMTPUMaC Geo'!$A$2:B$1500,2, 0), 0)</f>
        <v>0</v>
      </c>
    </row>
    <row r="420">
      <c r="A420" s="52">
        <v>419.0</v>
      </c>
      <c r="B420" s="7" t="s">
        <v>309</v>
      </c>
      <c r="C420" s="53">
        <f t="shared" si="8"/>
        <v>0</v>
      </c>
      <c r="D420" s="53">
        <f t="shared" si="2"/>
        <v>0</v>
      </c>
      <c r="E420" s="57">
        <f>IFERROR(VLOOKUP(B420, Proof!A$2:$B$588,2, 0), 0)</f>
        <v>0</v>
      </c>
      <c r="F420" s="53">
        <f>IFERROR(VLOOKUP(B420, 'HMMTPUMaC Combo'!A$2:$B$500,2, 0), 0)</f>
        <v>0</v>
      </c>
      <c r="G420" s="53">
        <f>IFERROR(VLOOKUP(B420, 'HMMTPUMaC NT'!A$2:$B$500,2, 0), 0)</f>
        <v>0</v>
      </c>
      <c r="H420" s="58">
        <f>IFERROR(VLOOKUP(B420, 'HMMTPUMaC Algebra'!A$2:$B$500,2, 0), 0)</f>
        <v>0</v>
      </c>
      <c r="I420" s="53">
        <f>IFERROR(VLOOKUP(B420, 'HMMTPUMaC Geo'!$A$2:B$1500,2, 0), 0)</f>
        <v>0</v>
      </c>
    </row>
    <row r="421">
      <c r="A421" s="52">
        <v>420.0</v>
      </c>
      <c r="B421" s="7" t="s">
        <v>347</v>
      </c>
      <c r="C421" s="53">
        <f t="shared" si="8"/>
        <v>0</v>
      </c>
      <c r="D421" s="53">
        <f t="shared" si="2"/>
        <v>0</v>
      </c>
      <c r="E421" s="57">
        <f>IFERROR(VLOOKUP(B421, Proof!A$2:$B$588,2, 0), 0)</f>
        <v>0</v>
      </c>
      <c r="F421" s="53">
        <f>IFERROR(VLOOKUP(B421, 'HMMTPUMaC Combo'!A$2:$B$500,2, 0), 0)</f>
        <v>0</v>
      </c>
      <c r="G421" s="53">
        <f>IFERROR(VLOOKUP(B421, 'HMMTPUMaC NT'!A$2:$B$500,2, 0), 0)</f>
        <v>0</v>
      </c>
      <c r="H421" s="58">
        <f>IFERROR(VLOOKUP(B421, 'HMMTPUMaC Algebra'!A$2:$B$500,2, 0), 0)</f>
        <v>0</v>
      </c>
      <c r="I421" s="53">
        <f>IFERROR(VLOOKUP(B421, 'HMMTPUMaC Geo'!$A$2:B$1500,2, 0), 0)</f>
        <v>0</v>
      </c>
    </row>
    <row r="422">
      <c r="A422" s="52">
        <v>421.0</v>
      </c>
      <c r="B422" s="7" t="s">
        <v>361</v>
      </c>
      <c r="C422" s="53">
        <f t="shared" si="8"/>
        <v>0</v>
      </c>
      <c r="D422" s="53">
        <f t="shared" si="2"/>
        <v>0</v>
      </c>
      <c r="E422" s="57">
        <f>IFERROR(VLOOKUP(B422, Proof!A$2:$B$588,2, 0), 0)</f>
        <v>0</v>
      </c>
      <c r="F422" s="53">
        <f>IFERROR(VLOOKUP(B422, 'HMMTPUMaC Combo'!A$2:$B$500,2, 0), 0)</f>
        <v>0</v>
      </c>
      <c r="G422" s="53">
        <f>IFERROR(VLOOKUP(B422, 'HMMTPUMaC NT'!A$2:$B$500,2, 0), 0)</f>
        <v>0</v>
      </c>
      <c r="H422" s="58">
        <f>IFERROR(VLOOKUP(B422, 'HMMTPUMaC Algebra'!A$2:$B$500,2, 0), 0)</f>
        <v>0</v>
      </c>
      <c r="I422" s="53">
        <f>IFERROR(VLOOKUP(B422, 'HMMTPUMaC Geo'!$A$2:B$1500,2, 0), 0)</f>
        <v>0</v>
      </c>
    </row>
    <row r="423">
      <c r="A423" s="52">
        <v>422.0</v>
      </c>
      <c r="B423" s="7" t="s">
        <v>297</v>
      </c>
      <c r="C423" s="53">
        <f t="shared" si="8"/>
        <v>0</v>
      </c>
      <c r="D423" s="53">
        <f t="shared" si="2"/>
        <v>0</v>
      </c>
      <c r="E423" s="57">
        <f>IFERROR(VLOOKUP(B423, Proof!A$2:$B$588,2, 0), 0)</f>
        <v>0</v>
      </c>
      <c r="F423" s="53">
        <f>IFERROR(VLOOKUP(B423, 'HMMTPUMaC Combo'!A$2:$B$500,2, 0), 0)</f>
        <v>0</v>
      </c>
      <c r="G423" s="53">
        <f>IFERROR(VLOOKUP(B423, 'HMMTPUMaC NT'!A$2:$B$500,2, 0), 0)</f>
        <v>0</v>
      </c>
      <c r="H423" s="58">
        <f>IFERROR(VLOOKUP(B423, 'HMMTPUMaC Algebra'!A$2:$B$500,2, 0), 0)</f>
        <v>0</v>
      </c>
      <c r="I423" s="53">
        <f>IFERROR(VLOOKUP(B423, 'HMMTPUMaC Geo'!$A$2:B$1500,2, 0), 0)</f>
        <v>0</v>
      </c>
    </row>
    <row r="424">
      <c r="A424" s="52">
        <v>423.0</v>
      </c>
      <c r="B424" s="7" t="s">
        <v>310</v>
      </c>
      <c r="C424" s="53">
        <f t="shared" si="8"/>
        <v>0</v>
      </c>
      <c r="D424" s="53">
        <f t="shared" si="2"/>
        <v>0</v>
      </c>
      <c r="E424" s="57">
        <f>IFERROR(VLOOKUP(B424, Proof!A$2:$B$588,2, 0), 0)</f>
        <v>0</v>
      </c>
      <c r="F424" s="53">
        <f>IFERROR(VLOOKUP(B424, 'HMMTPUMaC Combo'!A$2:$B$500,2, 0), 0)</f>
        <v>0</v>
      </c>
      <c r="G424" s="53">
        <f>IFERROR(VLOOKUP(B424, 'HMMTPUMaC NT'!A$2:$B$500,2, 0), 0)</f>
        <v>0</v>
      </c>
      <c r="H424" s="58">
        <f>IFERROR(VLOOKUP(B424, 'HMMTPUMaC Algebra'!A$2:$B$500,2, 0), 0)</f>
        <v>0</v>
      </c>
      <c r="I424" s="53">
        <f>IFERROR(VLOOKUP(B424, 'HMMTPUMaC Geo'!$A$2:B$1500,2, 0), 0)</f>
        <v>0</v>
      </c>
    </row>
    <row r="425">
      <c r="A425" s="52">
        <v>424.0</v>
      </c>
      <c r="B425" s="7" t="s">
        <v>348</v>
      </c>
      <c r="C425" s="53">
        <f t="shared" si="8"/>
        <v>0</v>
      </c>
      <c r="D425" s="53">
        <f t="shared" si="2"/>
        <v>0</v>
      </c>
      <c r="E425" s="57">
        <f>IFERROR(VLOOKUP(B425, Proof!A$2:$B$588,2, 0), 0)</f>
        <v>0</v>
      </c>
      <c r="F425" s="53">
        <f>IFERROR(VLOOKUP(B425, 'HMMTPUMaC Combo'!A$2:$B$500,2, 0), 0)</f>
        <v>0</v>
      </c>
      <c r="G425" s="53">
        <f>IFERROR(VLOOKUP(B425, 'HMMTPUMaC NT'!A$2:$B$500,2, 0), 0)</f>
        <v>0</v>
      </c>
      <c r="H425" s="58">
        <f>IFERROR(VLOOKUP(B425, 'HMMTPUMaC Algebra'!A$2:$B$500,2, 0), 0)</f>
        <v>0</v>
      </c>
      <c r="I425" s="53">
        <f>IFERROR(VLOOKUP(B425, 'HMMTPUMaC Geo'!$A$2:B$1500,2, 0), 0)</f>
        <v>0</v>
      </c>
    </row>
    <row r="426">
      <c r="A426" s="52">
        <v>425.0</v>
      </c>
      <c r="B426" s="7" t="s">
        <v>350</v>
      </c>
      <c r="C426" s="53">
        <f t="shared" si="8"/>
        <v>0</v>
      </c>
      <c r="D426" s="53">
        <f t="shared" si="2"/>
        <v>0</v>
      </c>
      <c r="E426" s="57">
        <f>IFERROR(VLOOKUP(B426, Proof!A$2:$B$588,2, 0), 0)</f>
        <v>0</v>
      </c>
      <c r="F426" s="53">
        <f>IFERROR(VLOOKUP(B426, 'HMMTPUMaC Combo'!A$2:$B$500,2, 0), 0)</f>
        <v>0</v>
      </c>
      <c r="G426" s="53">
        <f>IFERROR(VLOOKUP(B426, 'HMMTPUMaC NT'!A$2:$B$500,2, 0), 0)</f>
        <v>0</v>
      </c>
      <c r="H426" s="58">
        <f>IFERROR(VLOOKUP(B426, 'HMMTPUMaC Algebra'!A$2:$B$500,2, 0), 0)</f>
        <v>0</v>
      </c>
      <c r="I426" s="53">
        <f>IFERROR(VLOOKUP(B426, 'HMMTPUMaC Geo'!$A$2:B$1500,2, 0), 0)</f>
        <v>0</v>
      </c>
    </row>
    <row r="427">
      <c r="A427" s="52">
        <v>426.0</v>
      </c>
      <c r="B427" s="7" t="s">
        <v>355</v>
      </c>
      <c r="C427" s="53">
        <f t="shared" si="8"/>
        <v>0</v>
      </c>
      <c r="D427" s="53">
        <f t="shared" si="2"/>
        <v>0</v>
      </c>
      <c r="E427" s="57">
        <f>IFERROR(VLOOKUP(B427, Proof!A$2:$B$588,2, 0), 0)</f>
        <v>0</v>
      </c>
      <c r="F427" s="53">
        <f>IFERROR(VLOOKUP(B427, 'HMMTPUMaC Combo'!A$2:$B$500,2, 0), 0)</f>
        <v>0</v>
      </c>
      <c r="G427" s="53">
        <f>IFERROR(VLOOKUP(B427, 'HMMTPUMaC NT'!A$2:$B$500,2, 0), 0)</f>
        <v>0</v>
      </c>
      <c r="H427" s="58">
        <f>IFERROR(VLOOKUP(B427, 'HMMTPUMaC Algebra'!A$2:$B$500,2, 0), 0)</f>
        <v>0</v>
      </c>
      <c r="I427" s="53">
        <f>IFERROR(VLOOKUP(B427, 'HMMTPUMaC Geo'!$A$2:B$1500,2, 0), 0)</f>
        <v>0</v>
      </c>
    </row>
    <row r="428">
      <c r="A428" s="52">
        <v>427.0</v>
      </c>
      <c r="B428" s="7" t="s">
        <v>288</v>
      </c>
      <c r="C428" s="53">
        <f t="shared" si="8"/>
        <v>0</v>
      </c>
      <c r="D428" s="53">
        <f t="shared" si="2"/>
        <v>0</v>
      </c>
      <c r="E428" s="57">
        <f>IFERROR(VLOOKUP(B428, Proof!A$2:$B$588,2, 0), 0)</f>
        <v>0</v>
      </c>
      <c r="F428" s="53">
        <f>IFERROR(VLOOKUP(B428, 'HMMTPUMaC Combo'!A$2:$B$500,2, 0), 0)</f>
        <v>0</v>
      </c>
      <c r="G428" s="53">
        <f>IFERROR(VLOOKUP(B428, 'HMMTPUMaC NT'!A$2:$B$500,2, 0), 0)</f>
        <v>0</v>
      </c>
      <c r="H428" s="58">
        <f>IFERROR(VLOOKUP(B428, 'HMMTPUMaC Algebra'!A$2:$B$500,2, 0), 0)</f>
        <v>0</v>
      </c>
      <c r="I428" s="53">
        <f>IFERROR(VLOOKUP(B428, 'HMMTPUMaC Geo'!$A$2:B$1500,2, 0), 0)</f>
        <v>0</v>
      </c>
    </row>
    <row r="429">
      <c r="A429" s="52">
        <v>428.0</v>
      </c>
      <c r="B429" s="7" t="s">
        <v>278</v>
      </c>
      <c r="C429" s="53">
        <f t="shared" si="8"/>
        <v>0</v>
      </c>
      <c r="D429" s="53">
        <f t="shared" si="2"/>
        <v>0</v>
      </c>
      <c r="E429" s="57">
        <f>IFERROR(VLOOKUP(B429, Proof!A$2:$B$588,2, 0), 0)</f>
        <v>0</v>
      </c>
      <c r="F429" s="53">
        <f>IFERROR(VLOOKUP(B429, 'HMMTPUMaC Combo'!A$2:$B$500,2, 0), 0)</f>
        <v>0</v>
      </c>
      <c r="G429" s="53">
        <f>IFERROR(VLOOKUP(B429, 'HMMTPUMaC NT'!A$2:$B$500,2, 0), 0)</f>
        <v>0</v>
      </c>
      <c r="H429" s="58">
        <f>IFERROR(VLOOKUP(B429, 'HMMTPUMaC Algebra'!A$2:$B$500,2, 0), 0)</f>
        <v>0</v>
      </c>
      <c r="I429" s="53">
        <f>IFERROR(VLOOKUP(B429, 'HMMTPUMaC Geo'!$A$2:B$1500,2, 0), 0)</f>
        <v>0</v>
      </c>
    </row>
    <row r="430">
      <c r="A430" s="52">
        <v>429.0</v>
      </c>
      <c r="B430" s="7" t="s">
        <v>334</v>
      </c>
      <c r="C430" s="53">
        <f t="shared" si="8"/>
        <v>0</v>
      </c>
      <c r="D430" s="53">
        <f t="shared" si="2"/>
        <v>0</v>
      </c>
      <c r="E430" s="57">
        <f>IFERROR(VLOOKUP(B430, Proof!A$2:$B$588,2, 0), 0)</f>
        <v>0</v>
      </c>
      <c r="F430" s="53">
        <f>IFERROR(VLOOKUP(B430, 'HMMTPUMaC Combo'!A$2:$B$500,2, 0), 0)</f>
        <v>0</v>
      </c>
      <c r="G430" s="53">
        <f>IFERROR(VLOOKUP(B430, 'HMMTPUMaC NT'!A$2:$B$500,2, 0), 0)</f>
        <v>0</v>
      </c>
      <c r="H430" s="58">
        <f>IFERROR(VLOOKUP(B430, 'HMMTPUMaC Algebra'!A$2:$B$500,2, 0), 0)</f>
        <v>0</v>
      </c>
      <c r="I430" s="53">
        <f>IFERROR(VLOOKUP(B430, 'HMMTPUMaC Geo'!$A$2:B$1500,2, 0), 0)</f>
        <v>0</v>
      </c>
    </row>
    <row r="431">
      <c r="A431" s="52">
        <v>430.0</v>
      </c>
      <c r="B431" s="7" t="s">
        <v>345</v>
      </c>
      <c r="C431" s="53">
        <f t="shared" si="8"/>
        <v>0</v>
      </c>
      <c r="D431" s="53">
        <f t="shared" si="2"/>
        <v>0</v>
      </c>
      <c r="E431" s="57">
        <f>IFERROR(VLOOKUP(B431, Proof!A$2:$B$588,2, 0), 0)</f>
        <v>0</v>
      </c>
      <c r="F431" s="53">
        <f>IFERROR(VLOOKUP(B431, 'HMMTPUMaC Combo'!A$2:$B$500,2, 0), 0)</f>
        <v>0</v>
      </c>
      <c r="G431" s="53">
        <f>IFERROR(VLOOKUP(B431, 'HMMTPUMaC NT'!A$2:$B$500,2, 0), 0)</f>
        <v>0</v>
      </c>
      <c r="H431" s="58">
        <f>IFERROR(VLOOKUP(B431, 'HMMTPUMaC Algebra'!A$2:$B$500,2, 0), 0)</f>
        <v>0</v>
      </c>
      <c r="I431" s="53">
        <f>IFERROR(VLOOKUP(B431, 'HMMTPUMaC Geo'!$A$2:B$1500,2, 0), 0)</f>
        <v>0</v>
      </c>
    </row>
    <row r="432">
      <c r="A432" s="52">
        <v>431.0</v>
      </c>
      <c r="B432" s="7" t="s">
        <v>322</v>
      </c>
      <c r="C432" s="53">
        <f t="shared" si="8"/>
        <v>0</v>
      </c>
      <c r="D432" s="53">
        <f t="shared" si="2"/>
        <v>0</v>
      </c>
      <c r="E432" s="57">
        <f>IFERROR(VLOOKUP(B432, Proof!A$2:$B$588,2, 0), 0)</f>
        <v>0</v>
      </c>
      <c r="F432" s="53">
        <f>IFERROR(VLOOKUP(B432, 'HMMTPUMaC Combo'!A$2:$B$500,2, 0), 0)</f>
        <v>0</v>
      </c>
      <c r="G432" s="53">
        <f>IFERROR(VLOOKUP(B432, 'HMMTPUMaC NT'!A$2:$B$500,2, 0), 0)</f>
        <v>0</v>
      </c>
      <c r="H432" s="58">
        <f>IFERROR(VLOOKUP(B432, 'HMMTPUMaC Algebra'!A$2:$B$500,2, 0), 0)</f>
        <v>0</v>
      </c>
      <c r="I432" s="53">
        <f>IFERROR(VLOOKUP(B432, 'HMMTPUMaC Geo'!$A$2:B$1500,2, 0), 0)</f>
        <v>0</v>
      </c>
    </row>
    <row r="433">
      <c r="A433" s="52">
        <v>432.0</v>
      </c>
      <c r="B433" s="7" t="s">
        <v>328</v>
      </c>
      <c r="C433" s="53">
        <f t="shared" si="8"/>
        <v>0</v>
      </c>
      <c r="D433" s="53">
        <f t="shared" si="2"/>
        <v>0</v>
      </c>
      <c r="E433" s="57">
        <f>IFERROR(VLOOKUP(B433, Proof!A$2:$B$588,2, 0), 0)</f>
        <v>0</v>
      </c>
      <c r="F433" s="53">
        <f>IFERROR(VLOOKUP(B433, 'HMMTPUMaC Combo'!A$2:$B$500,2, 0), 0)</f>
        <v>0</v>
      </c>
      <c r="G433" s="53">
        <f>IFERROR(VLOOKUP(B433, 'HMMTPUMaC NT'!A$2:$B$500,2, 0), 0)</f>
        <v>0</v>
      </c>
      <c r="H433" s="58">
        <f>IFERROR(VLOOKUP(B433, 'HMMTPUMaC Algebra'!A$2:$B$500,2, 0), 0)</f>
        <v>0</v>
      </c>
      <c r="I433" s="53">
        <f>IFERROR(VLOOKUP(B433, 'HMMTPUMaC Geo'!$A$2:B$1500,2, 0), 0)</f>
        <v>0</v>
      </c>
    </row>
    <row r="434">
      <c r="A434" s="52">
        <v>433.0</v>
      </c>
      <c r="B434" s="7" t="s">
        <v>365</v>
      </c>
      <c r="C434" s="53">
        <f t="shared" si="8"/>
        <v>0</v>
      </c>
      <c r="D434" s="53">
        <f t="shared" si="2"/>
        <v>0</v>
      </c>
      <c r="E434" s="57">
        <f>IFERROR(VLOOKUP(B434, Proof!A$2:$B$588,2, 0), 0)</f>
        <v>0</v>
      </c>
      <c r="F434" s="53">
        <f>IFERROR(VLOOKUP(B434, 'HMMTPUMaC Combo'!A$2:$B$500,2, 0), 0)</f>
        <v>0</v>
      </c>
      <c r="G434" s="53">
        <f>IFERROR(VLOOKUP(B434, 'HMMTPUMaC NT'!A$2:$B$500,2, 0), 0)</f>
        <v>0</v>
      </c>
      <c r="H434" s="58">
        <f>IFERROR(VLOOKUP(B434, 'HMMTPUMaC Algebra'!A$2:$B$500,2, 0), 0)</f>
        <v>0</v>
      </c>
      <c r="I434" s="53">
        <f>IFERROR(VLOOKUP(B434, 'HMMTPUMaC Geo'!$A$2:B$1500,2, 0), 0)</f>
        <v>0</v>
      </c>
    </row>
    <row r="435">
      <c r="A435" s="52">
        <v>434.0</v>
      </c>
      <c r="B435" s="7" t="s">
        <v>35</v>
      </c>
      <c r="C435" s="53">
        <f t="shared" si="8"/>
        <v>0</v>
      </c>
      <c r="D435" s="53">
        <f t="shared" si="2"/>
        <v>0</v>
      </c>
      <c r="E435" s="57">
        <f>IFERROR(VLOOKUP(B435, Proof!A$2:$B$588,2, 0), 0)</f>
        <v>0</v>
      </c>
      <c r="F435" s="53">
        <f>IFERROR(VLOOKUP(B435, 'HMMTPUMaC Combo'!A$2:$B$500,2, 0), 0)</f>
        <v>0</v>
      </c>
      <c r="G435" s="53">
        <f>IFERROR(VLOOKUP(B435, 'HMMTPUMaC NT'!A$2:$B$500,2, 0), 0)</f>
        <v>0</v>
      </c>
      <c r="H435" s="58">
        <f>IFERROR(VLOOKUP(B435, 'HMMTPUMaC Algebra'!A$2:$B$500,2, 0), 0)</f>
        <v>0</v>
      </c>
      <c r="I435" s="53">
        <f>IFERROR(VLOOKUP(B435, 'HMMTPUMaC Geo'!$A$2:B$1500,2, 0), 0)</f>
        <v>0</v>
      </c>
    </row>
    <row r="436">
      <c r="A436" s="52">
        <v>435.0</v>
      </c>
      <c r="B436" s="7" t="s">
        <v>321</v>
      </c>
      <c r="C436" s="53">
        <f t="shared" si="8"/>
        <v>0</v>
      </c>
      <c r="D436" s="53">
        <f t="shared" si="2"/>
        <v>0</v>
      </c>
      <c r="E436" s="57">
        <f>IFERROR(VLOOKUP(B436, Proof!A$2:$B$588,2, 0), 0)</f>
        <v>0</v>
      </c>
      <c r="F436" s="53">
        <f>IFERROR(VLOOKUP(B436, 'HMMTPUMaC Combo'!A$2:$B$500,2, 0), 0)</f>
        <v>0</v>
      </c>
      <c r="G436" s="53">
        <f>IFERROR(VLOOKUP(B436, 'HMMTPUMaC NT'!A$2:$B$500,2, 0), 0)</f>
        <v>0</v>
      </c>
      <c r="H436" s="58">
        <f>IFERROR(VLOOKUP(B436, 'HMMTPUMaC Algebra'!A$2:$B$500,2, 0), 0)</f>
        <v>0</v>
      </c>
      <c r="I436" s="53">
        <f>IFERROR(VLOOKUP(B436, 'HMMTPUMaC Geo'!$A$2:B$1500,2, 0), 0)</f>
        <v>0</v>
      </c>
    </row>
    <row r="437">
      <c r="A437" s="52">
        <v>436.0</v>
      </c>
      <c r="B437" s="7" t="s">
        <v>324</v>
      </c>
      <c r="C437" s="53">
        <f t="shared" si="8"/>
        <v>0</v>
      </c>
      <c r="D437" s="53">
        <f t="shared" si="2"/>
        <v>0</v>
      </c>
      <c r="E437" s="57">
        <f>IFERROR(VLOOKUP(B437, Proof!A$2:$B$588,2, 0), 0)</f>
        <v>0</v>
      </c>
      <c r="F437" s="53">
        <f>IFERROR(VLOOKUP(B437, 'HMMTPUMaC Combo'!A$2:$B$500,2, 0), 0)</f>
        <v>0</v>
      </c>
      <c r="G437" s="53">
        <f>IFERROR(VLOOKUP(B437, 'HMMTPUMaC NT'!A$2:$B$500,2, 0), 0)</f>
        <v>0</v>
      </c>
      <c r="H437" s="58">
        <f>IFERROR(VLOOKUP(B437, 'HMMTPUMaC Algebra'!A$2:$B$500,2, 0), 0)</f>
        <v>0</v>
      </c>
      <c r="I437" s="53">
        <f>IFERROR(VLOOKUP(B437, 'HMMTPUMaC Geo'!$A$2:B$1500,2, 0), 0)</f>
        <v>0</v>
      </c>
    </row>
    <row r="438">
      <c r="A438" s="52">
        <v>437.0</v>
      </c>
      <c r="B438" s="7" t="s">
        <v>331</v>
      </c>
      <c r="C438" s="53">
        <f t="shared" si="8"/>
        <v>0</v>
      </c>
      <c r="D438" s="53">
        <f t="shared" si="2"/>
        <v>0</v>
      </c>
      <c r="E438" s="57">
        <f>IFERROR(VLOOKUP(B438, Proof!A$2:$B$588,2, 0), 0)</f>
        <v>0</v>
      </c>
      <c r="F438" s="53">
        <f>IFERROR(VLOOKUP(B438, 'HMMTPUMaC Combo'!A$2:$B$500,2, 0), 0)</f>
        <v>0</v>
      </c>
      <c r="G438" s="53">
        <f>IFERROR(VLOOKUP(B438, 'HMMTPUMaC NT'!A$2:$B$500,2, 0), 0)</f>
        <v>0</v>
      </c>
      <c r="H438" s="58">
        <f>IFERROR(VLOOKUP(B438, 'HMMTPUMaC Algebra'!A$2:$B$500,2, 0), 0)</f>
        <v>0</v>
      </c>
      <c r="I438" s="53">
        <f>IFERROR(VLOOKUP(B438, 'HMMTPUMaC Geo'!$A$2:B$1500,2, 0), 0)</f>
        <v>0</v>
      </c>
    </row>
    <row r="439">
      <c r="A439" s="52">
        <v>438.0</v>
      </c>
      <c r="B439" s="7" t="s">
        <v>363</v>
      </c>
      <c r="C439" s="53">
        <f t="shared" si="8"/>
        <v>0</v>
      </c>
      <c r="D439" s="53">
        <f t="shared" si="2"/>
        <v>0</v>
      </c>
      <c r="E439" s="57">
        <f>IFERROR(VLOOKUP(B439, Proof!A$2:$B$588,2, 0), 0)</f>
        <v>0</v>
      </c>
      <c r="F439" s="53">
        <f>IFERROR(VLOOKUP(B439, 'HMMTPUMaC Combo'!A$2:$B$500,2, 0), 0)</f>
        <v>0</v>
      </c>
      <c r="G439" s="53">
        <f>IFERROR(VLOOKUP(B439, 'HMMTPUMaC NT'!A$2:$B$500,2, 0), 0)</f>
        <v>0</v>
      </c>
      <c r="H439" s="58">
        <f>IFERROR(VLOOKUP(B439, 'HMMTPUMaC Algebra'!A$2:$B$500,2, 0), 0)</f>
        <v>0</v>
      </c>
      <c r="I439" s="53">
        <f>IFERROR(VLOOKUP(B439, 'HMMTPUMaC Geo'!$A$2:B$1500,2, 0), 0)</f>
        <v>0</v>
      </c>
    </row>
    <row r="440">
      <c r="A440" s="52">
        <v>439.0</v>
      </c>
      <c r="B440" s="7" t="s">
        <v>327</v>
      </c>
      <c r="C440" s="53">
        <f t="shared" si="8"/>
        <v>0</v>
      </c>
      <c r="D440" s="53">
        <f t="shared" si="2"/>
        <v>0</v>
      </c>
      <c r="E440" s="57">
        <f>IFERROR(VLOOKUP(B440, Proof!A$2:$B$588,2, 0), 0)</f>
        <v>0</v>
      </c>
      <c r="F440" s="53">
        <f>IFERROR(VLOOKUP(B440, 'HMMTPUMaC Combo'!A$2:$B$500,2, 0), 0)</f>
        <v>0</v>
      </c>
      <c r="G440" s="53">
        <f>IFERROR(VLOOKUP(B440, 'HMMTPUMaC NT'!A$2:$B$500,2, 0), 0)</f>
        <v>0</v>
      </c>
      <c r="H440" s="58">
        <f>IFERROR(VLOOKUP(B440, 'HMMTPUMaC Algebra'!A$2:$B$500,2, 0), 0)</f>
        <v>0</v>
      </c>
      <c r="I440" s="53">
        <f>IFERROR(VLOOKUP(B440, 'HMMTPUMaC Geo'!$A$2:B$1500,2, 0), 0)</f>
        <v>0</v>
      </c>
    </row>
    <row r="441">
      <c r="A441" s="52">
        <v>440.0</v>
      </c>
      <c r="B441" s="7" t="s">
        <v>308</v>
      </c>
      <c r="C441" s="53">
        <f t="shared" si="8"/>
        <v>0</v>
      </c>
      <c r="D441" s="53">
        <f t="shared" si="2"/>
        <v>0</v>
      </c>
      <c r="E441" s="57">
        <f>IFERROR(VLOOKUP(B441, Proof!A$2:$B$588,2, 0), 0)</f>
        <v>0</v>
      </c>
      <c r="F441" s="53">
        <f>IFERROR(VLOOKUP(B441, 'HMMTPUMaC Combo'!A$2:$B$500,2, 0), 0)</f>
        <v>0</v>
      </c>
      <c r="G441" s="53">
        <f>IFERROR(VLOOKUP(B441, 'HMMTPUMaC NT'!A$2:$B$500,2, 0), 0)</f>
        <v>0</v>
      </c>
      <c r="H441" s="58">
        <f>IFERROR(VLOOKUP(B441, 'HMMTPUMaC Algebra'!A$2:$B$500,2, 0), 0)</f>
        <v>0</v>
      </c>
      <c r="I441" s="53">
        <f>IFERROR(VLOOKUP(B441, 'HMMTPUMaC Geo'!$A$2:B$1500,2, 0), 0)</f>
        <v>0</v>
      </c>
    </row>
    <row r="442">
      <c r="A442" s="52">
        <v>441.0</v>
      </c>
      <c r="B442" s="7" t="s">
        <v>295</v>
      </c>
      <c r="C442" s="53">
        <f t="shared" si="8"/>
        <v>0</v>
      </c>
      <c r="D442" s="53">
        <f t="shared" si="2"/>
        <v>0</v>
      </c>
      <c r="E442" s="57">
        <f>IFERROR(VLOOKUP(B442, Proof!A$2:$B$588,2, 0), 0)</f>
        <v>0</v>
      </c>
      <c r="F442" s="53">
        <f>IFERROR(VLOOKUP(B442, 'HMMTPUMaC Combo'!A$2:$B$500,2, 0), 0)</f>
        <v>0</v>
      </c>
      <c r="G442" s="53">
        <f>IFERROR(VLOOKUP(B442, 'HMMTPUMaC NT'!A$2:$B$500,2, 0), 0)</f>
        <v>0</v>
      </c>
      <c r="H442" s="58">
        <f>IFERROR(VLOOKUP(B442, 'HMMTPUMaC Algebra'!A$2:$B$500,2, 0), 0)</f>
        <v>0</v>
      </c>
      <c r="I442" s="53">
        <f>IFERROR(VLOOKUP(B442, 'HMMTPUMaC Geo'!$A$2:B$1500,2, 0), 0)</f>
        <v>0</v>
      </c>
    </row>
    <row r="443">
      <c r="A443" s="52">
        <v>442.0</v>
      </c>
      <c r="B443" s="7" t="s">
        <v>315</v>
      </c>
      <c r="C443" s="53">
        <f t="shared" si="8"/>
        <v>0</v>
      </c>
      <c r="D443" s="53">
        <f t="shared" si="2"/>
        <v>0</v>
      </c>
      <c r="E443" s="57">
        <f>IFERROR(VLOOKUP(B443, Proof!A$2:$B$588,2, 0), 0)</f>
        <v>0</v>
      </c>
      <c r="F443" s="53">
        <f>IFERROR(VLOOKUP(B443, 'HMMTPUMaC Combo'!A$2:$B$500,2, 0), 0)</f>
        <v>0</v>
      </c>
      <c r="G443" s="53">
        <f>IFERROR(VLOOKUP(B443, 'HMMTPUMaC NT'!A$2:$B$500,2, 0), 0)</f>
        <v>0</v>
      </c>
      <c r="H443" s="58">
        <f>IFERROR(VLOOKUP(B443, 'HMMTPUMaC Algebra'!A$2:$B$500,2, 0), 0)</f>
        <v>0</v>
      </c>
      <c r="I443" s="53">
        <f>IFERROR(VLOOKUP(B443, 'HMMTPUMaC Geo'!$A$2:B$1500,2, 0), 0)</f>
        <v>0</v>
      </c>
    </row>
    <row r="444">
      <c r="A444" s="52">
        <v>443.0</v>
      </c>
      <c r="B444" s="7" t="s">
        <v>357</v>
      </c>
      <c r="C444" s="53">
        <f t="shared" si="8"/>
        <v>0</v>
      </c>
      <c r="D444" s="53">
        <f t="shared" si="2"/>
        <v>0</v>
      </c>
      <c r="E444" s="57">
        <f>IFERROR(VLOOKUP(B444, Proof!A$2:$B$588,2, 0), 0)</f>
        <v>0</v>
      </c>
      <c r="F444" s="53">
        <f>IFERROR(VLOOKUP(B444, 'HMMTPUMaC Combo'!A$2:$B$500,2, 0), 0)</f>
        <v>0</v>
      </c>
      <c r="G444" s="53">
        <f>IFERROR(VLOOKUP(B444, 'HMMTPUMaC NT'!A$2:$B$500,2, 0), 0)</f>
        <v>0</v>
      </c>
      <c r="H444" s="58">
        <f>IFERROR(VLOOKUP(B444, 'HMMTPUMaC Algebra'!A$2:$B$500,2, 0), 0)</f>
        <v>0</v>
      </c>
      <c r="I444" s="53">
        <f>IFERROR(VLOOKUP(B444, 'HMMTPUMaC Geo'!$A$2:B$1500,2, 0), 0)</f>
        <v>0</v>
      </c>
    </row>
    <row r="445">
      <c r="A445" s="52">
        <v>444.0</v>
      </c>
      <c r="B445" s="7" t="s">
        <v>276</v>
      </c>
      <c r="C445" s="53">
        <f t="shared" si="8"/>
        <v>0</v>
      </c>
      <c r="D445" s="53">
        <f t="shared" si="2"/>
        <v>0</v>
      </c>
      <c r="E445" s="57">
        <f>IFERROR(VLOOKUP(B445, Proof!A$2:$B$588,2, 0), 0)</f>
        <v>0</v>
      </c>
      <c r="F445" s="53">
        <f>IFERROR(VLOOKUP(B445, 'HMMTPUMaC Combo'!A$2:$B$500,2, 0), 0)</f>
        <v>0</v>
      </c>
      <c r="G445" s="53">
        <f>IFERROR(VLOOKUP(B445, 'HMMTPUMaC NT'!A$2:$B$500,2, 0), 0)</f>
        <v>0</v>
      </c>
      <c r="H445" s="58">
        <f>IFERROR(VLOOKUP(B445, 'HMMTPUMaC Algebra'!A$2:$B$500,2, 0), 0)</f>
        <v>0</v>
      </c>
      <c r="I445" s="53">
        <f>IFERROR(VLOOKUP(B445, 'HMMTPUMaC Geo'!$A$2:B$1500,2, 0), 0)</f>
        <v>0</v>
      </c>
    </row>
    <row r="446">
      <c r="A446" s="52">
        <v>445.0</v>
      </c>
      <c r="B446" s="7" t="s">
        <v>356</v>
      </c>
      <c r="C446" s="53">
        <f t="shared" si="8"/>
        <v>0</v>
      </c>
      <c r="D446" s="53">
        <f t="shared" si="2"/>
        <v>0</v>
      </c>
      <c r="E446" s="57">
        <f>IFERROR(VLOOKUP(B446, Proof!A$2:$B$588,2, 0), 0)</f>
        <v>0</v>
      </c>
      <c r="F446" s="53">
        <f>IFERROR(VLOOKUP(B446, 'HMMTPUMaC Combo'!A$2:$B$500,2, 0), 0)</f>
        <v>0</v>
      </c>
      <c r="G446" s="53">
        <f>IFERROR(VLOOKUP(B446, 'HMMTPUMaC NT'!A$2:$B$500,2, 0), 0)</f>
        <v>0</v>
      </c>
      <c r="H446" s="58">
        <f>IFERROR(VLOOKUP(B446, 'HMMTPUMaC Algebra'!A$2:$B$500,2, 0), 0)</f>
        <v>0</v>
      </c>
      <c r="I446" s="53">
        <f>IFERROR(VLOOKUP(B446, 'HMMTPUMaC Geo'!$A$2:B$1500,2, 0), 0)</f>
        <v>0</v>
      </c>
    </row>
    <row r="447">
      <c r="A447" s="52">
        <v>446.0</v>
      </c>
      <c r="B447" s="7" t="s">
        <v>359</v>
      </c>
      <c r="C447" s="53">
        <f t="shared" si="8"/>
        <v>0</v>
      </c>
      <c r="D447" s="53">
        <f t="shared" si="2"/>
        <v>0</v>
      </c>
      <c r="E447" s="57">
        <f>IFERROR(VLOOKUP(B447, Proof!A$2:$B$588,2, 0), 0)</f>
        <v>0</v>
      </c>
      <c r="F447" s="53">
        <f>IFERROR(VLOOKUP(B447, 'HMMTPUMaC Combo'!A$2:$B$500,2, 0), 0)</f>
        <v>0</v>
      </c>
      <c r="G447" s="53">
        <f>IFERROR(VLOOKUP(B447, 'HMMTPUMaC NT'!A$2:$B$500,2, 0), 0)</f>
        <v>0</v>
      </c>
      <c r="H447" s="58">
        <f>IFERROR(VLOOKUP(B447, 'HMMTPUMaC Algebra'!A$2:$B$500,2, 0), 0)</f>
        <v>0</v>
      </c>
      <c r="I447" s="53">
        <f>IFERROR(VLOOKUP(B447, 'HMMTPUMaC Geo'!$A$2:B$1500,2, 0), 0)</f>
        <v>0</v>
      </c>
    </row>
    <row r="448">
      <c r="A448" s="52">
        <v>447.0</v>
      </c>
      <c r="B448" s="7" t="s">
        <v>323</v>
      </c>
      <c r="C448" s="53">
        <f t="shared" si="8"/>
        <v>0</v>
      </c>
      <c r="D448" s="53">
        <f t="shared" si="2"/>
        <v>0</v>
      </c>
      <c r="E448" s="57">
        <f>IFERROR(VLOOKUP(B448, Proof!A$2:$B$588,2, 0), 0)</f>
        <v>0</v>
      </c>
      <c r="F448" s="53">
        <f>IFERROR(VLOOKUP(B448, 'HMMTPUMaC Combo'!A$2:$B$500,2, 0), 0)</f>
        <v>0</v>
      </c>
      <c r="G448" s="53">
        <f>IFERROR(VLOOKUP(B448, 'HMMTPUMaC NT'!A$2:$B$500,2, 0), 0)</f>
        <v>0</v>
      </c>
      <c r="H448" s="58">
        <f>IFERROR(VLOOKUP(B448, 'HMMTPUMaC Algebra'!A$2:$B$500,2, 0), 0)</f>
        <v>0</v>
      </c>
      <c r="I448" s="53">
        <f>IFERROR(VLOOKUP(B448, 'HMMTPUMaC Geo'!$A$2:B$1500,2, 0), 0)</f>
        <v>0</v>
      </c>
    </row>
    <row r="449">
      <c r="A449" s="52">
        <v>448.0</v>
      </c>
      <c r="B449" s="7" t="s">
        <v>333</v>
      </c>
      <c r="C449" s="53">
        <f t="shared" si="8"/>
        <v>0</v>
      </c>
      <c r="D449" s="53">
        <f t="shared" si="2"/>
        <v>0</v>
      </c>
      <c r="E449" s="57">
        <f>IFERROR(VLOOKUP(B449, Proof!A$2:$B$588,2, 0), 0)</f>
        <v>0</v>
      </c>
      <c r="F449" s="53">
        <f>IFERROR(VLOOKUP(B449, 'HMMTPUMaC Combo'!A$2:$B$500,2, 0), 0)</f>
        <v>0</v>
      </c>
      <c r="G449" s="53">
        <f>IFERROR(VLOOKUP(B449, 'HMMTPUMaC NT'!A$2:$B$500,2, 0), 0)</f>
        <v>0</v>
      </c>
      <c r="H449" s="58">
        <f>IFERROR(VLOOKUP(B449, 'HMMTPUMaC Algebra'!A$2:$B$500,2, 0), 0)</f>
        <v>0</v>
      </c>
      <c r="I449" s="53">
        <f>IFERROR(VLOOKUP(B449, 'HMMTPUMaC Geo'!$A$2:B$1500,2, 0), 0)</f>
        <v>0</v>
      </c>
    </row>
    <row r="450">
      <c r="A450" s="52">
        <v>449.0</v>
      </c>
      <c r="B450" s="7" t="s">
        <v>360</v>
      </c>
      <c r="C450" s="53">
        <f t="shared" si="8"/>
        <v>0</v>
      </c>
      <c r="D450" s="53">
        <f t="shared" si="2"/>
        <v>0</v>
      </c>
      <c r="E450" s="57">
        <f>IFERROR(VLOOKUP(B450, Proof!A$2:$B$588,2, 0), 0)</f>
        <v>0</v>
      </c>
      <c r="F450" s="53">
        <f>IFERROR(VLOOKUP(B450, 'HMMTPUMaC Combo'!A$2:$B$500,2, 0), 0)</f>
        <v>0</v>
      </c>
      <c r="G450" s="53">
        <f>IFERROR(VLOOKUP(B450, 'HMMTPUMaC NT'!A$2:$B$500,2, 0), 0)</f>
        <v>0</v>
      </c>
      <c r="H450" s="58">
        <f>IFERROR(VLOOKUP(B450, 'HMMTPUMaC Algebra'!A$2:$B$500,2, 0), 0)</f>
        <v>0</v>
      </c>
      <c r="I450" s="53">
        <f>IFERROR(VLOOKUP(B450, 'HMMTPUMaC Geo'!$A$2:B$1500,2, 0), 0)</f>
        <v>0</v>
      </c>
    </row>
    <row r="451">
      <c r="A451" s="52">
        <v>450.0</v>
      </c>
      <c r="B451" s="7" t="s">
        <v>277</v>
      </c>
      <c r="C451" s="53">
        <f t="shared" si="8"/>
        <v>0</v>
      </c>
      <c r="D451" s="53">
        <f t="shared" si="2"/>
        <v>0</v>
      </c>
      <c r="E451" s="57">
        <f>IFERROR(VLOOKUP(B451, Proof!A$2:$B$588,2, 0), 0)</f>
        <v>0</v>
      </c>
      <c r="F451" s="53">
        <f>IFERROR(VLOOKUP(B451, 'HMMTPUMaC Combo'!A$2:$B$500,2, 0), 0)</f>
        <v>0</v>
      </c>
      <c r="G451" s="53">
        <f>IFERROR(VLOOKUP(B451, 'HMMTPUMaC NT'!A$2:$B$500,2, 0), 0)</f>
        <v>0</v>
      </c>
      <c r="H451" s="58">
        <f>IFERROR(VLOOKUP(B451, 'HMMTPUMaC Algebra'!A$2:$B$500,2, 0), 0)</f>
        <v>0</v>
      </c>
      <c r="I451" s="53">
        <f>IFERROR(VLOOKUP(B451, 'HMMTPUMaC Geo'!$A$2:B$1500,2, 0), 0)</f>
        <v>0</v>
      </c>
    </row>
    <row r="452">
      <c r="A452" s="52">
        <v>451.0</v>
      </c>
      <c r="B452" s="7" t="s">
        <v>338</v>
      </c>
      <c r="C452" s="53">
        <f t="shared" si="8"/>
        <v>0</v>
      </c>
      <c r="D452" s="53">
        <f t="shared" si="2"/>
        <v>0</v>
      </c>
      <c r="E452" s="57">
        <f>IFERROR(VLOOKUP(B452, Proof!A$2:$B$588,2, 0), 0)</f>
        <v>0</v>
      </c>
      <c r="F452" s="53">
        <f>IFERROR(VLOOKUP(B452, 'HMMTPUMaC Combo'!A$2:$B$500,2, 0), 0)</f>
        <v>0</v>
      </c>
      <c r="G452" s="53">
        <f>IFERROR(VLOOKUP(B452, 'HMMTPUMaC NT'!A$2:$B$500,2, 0), 0)</f>
        <v>0</v>
      </c>
      <c r="H452" s="58">
        <f>IFERROR(VLOOKUP(B452, 'HMMTPUMaC Algebra'!A$2:$B$500,2, 0), 0)</f>
        <v>0</v>
      </c>
      <c r="I452" s="53">
        <f>IFERROR(VLOOKUP(B452, 'HMMTPUMaC Geo'!$A$2:B$1500,2, 0), 0)</f>
        <v>0</v>
      </c>
    </row>
    <row r="453">
      <c r="A453" s="52">
        <v>452.0</v>
      </c>
      <c r="B453" s="7" t="s">
        <v>289</v>
      </c>
      <c r="C453" s="53">
        <f t="shared" si="8"/>
        <v>0</v>
      </c>
      <c r="D453" s="53">
        <f t="shared" si="2"/>
        <v>0</v>
      </c>
      <c r="E453" s="57">
        <f>IFERROR(VLOOKUP(B453, Proof!A$2:$B$588,2, 0), 0)</f>
        <v>0</v>
      </c>
      <c r="F453" s="53">
        <f>IFERROR(VLOOKUP(B453, 'HMMTPUMaC Combo'!A$2:$B$500,2, 0), 0)</f>
        <v>0</v>
      </c>
      <c r="G453" s="53">
        <f>IFERROR(VLOOKUP(B453, 'HMMTPUMaC NT'!A$2:$B$500,2, 0), 0)</f>
        <v>0</v>
      </c>
      <c r="H453" s="58">
        <f>IFERROR(VLOOKUP(B453, 'HMMTPUMaC Algebra'!A$2:$B$500,2, 0), 0)</f>
        <v>0</v>
      </c>
      <c r="I453" s="53">
        <f>IFERROR(VLOOKUP(B453, 'HMMTPUMaC Geo'!$A$2:B$1500,2, 0), 0)</f>
        <v>0</v>
      </c>
    </row>
    <row r="454">
      <c r="A454" s="52">
        <v>453.0</v>
      </c>
      <c r="B454" s="7" t="s">
        <v>329</v>
      </c>
      <c r="C454" s="53">
        <f t="shared" si="8"/>
        <v>0</v>
      </c>
      <c r="D454" s="53">
        <f t="shared" si="2"/>
        <v>0</v>
      </c>
      <c r="E454" s="57">
        <f>IFERROR(VLOOKUP(B454, Proof!A$2:$B$588,2, 0), 0)</f>
        <v>0</v>
      </c>
      <c r="F454" s="53">
        <f>IFERROR(VLOOKUP(B454, 'HMMTPUMaC Combo'!A$2:$B$500,2, 0), 0)</f>
        <v>0</v>
      </c>
      <c r="G454" s="53">
        <f>IFERROR(VLOOKUP(B454, 'HMMTPUMaC NT'!A$2:$B$500,2, 0), 0)</f>
        <v>0</v>
      </c>
      <c r="H454" s="58">
        <f>IFERROR(VLOOKUP(B454, 'HMMTPUMaC Algebra'!A$2:$B$500,2, 0), 0)</f>
        <v>0</v>
      </c>
      <c r="I454" s="53">
        <f>IFERROR(VLOOKUP(B454, 'HMMTPUMaC Geo'!$A$2:B$1500,2, 0), 0)</f>
        <v>0</v>
      </c>
    </row>
    <row r="455">
      <c r="A455" s="52">
        <v>454.0</v>
      </c>
      <c r="B455" s="7" t="s">
        <v>342</v>
      </c>
      <c r="C455" s="53">
        <f t="shared" si="8"/>
        <v>0</v>
      </c>
      <c r="D455" s="53">
        <f t="shared" si="2"/>
        <v>0</v>
      </c>
      <c r="E455" s="57">
        <f>IFERROR(VLOOKUP(B455, Proof!A$2:$B$588,2, 0), 0)</f>
        <v>0</v>
      </c>
      <c r="F455" s="53">
        <f>IFERROR(VLOOKUP(B455, 'HMMTPUMaC Combo'!A$2:$B$500,2, 0), 0)</f>
        <v>0</v>
      </c>
      <c r="G455" s="53">
        <f>IFERROR(VLOOKUP(B455, 'HMMTPUMaC NT'!A$2:$B$500,2, 0), 0)</f>
        <v>0</v>
      </c>
      <c r="H455" s="58">
        <f>IFERROR(VLOOKUP(B455, 'HMMTPUMaC Algebra'!A$2:$B$500,2, 0), 0)</f>
        <v>0</v>
      </c>
      <c r="I455" s="53">
        <f>IFERROR(VLOOKUP(B455, 'HMMTPUMaC Geo'!$A$2:B$1500,2, 0), 0)</f>
        <v>0</v>
      </c>
    </row>
    <row r="456">
      <c r="A456" s="52">
        <v>455.0</v>
      </c>
      <c r="B456" s="7" t="s">
        <v>320</v>
      </c>
      <c r="C456" s="53">
        <f t="shared" si="8"/>
        <v>0</v>
      </c>
      <c r="D456" s="53">
        <f t="shared" si="2"/>
        <v>0</v>
      </c>
      <c r="E456" s="57">
        <f>IFERROR(VLOOKUP(B456, Proof!A$2:$B$588,2, 0), 0)</f>
        <v>0</v>
      </c>
      <c r="F456" s="53">
        <f>IFERROR(VLOOKUP(B456, 'HMMTPUMaC Combo'!A$2:$B$500,2, 0), 0)</f>
        <v>0</v>
      </c>
      <c r="G456" s="53">
        <f>IFERROR(VLOOKUP(B456, 'HMMTPUMaC NT'!A$2:$B$500,2, 0), 0)</f>
        <v>0</v>
      </c>
      <c r="H456" s="58">
        <f>IFERROR(VLOOKUP(B456, 'HMMTPUMaC Algebra'!A$2:$B$500,2, 0), 0)</f>
        <v>0</v>
      </c>
      <c r="I456" s="53">
        <f>IFERROR(VLOOKUP(B456, 'HMMTPUMaC Geo'!$A$2:B$1500,2, 0), 0)</f>
        <v>0</v>
      </c>
    </row>
    <row r="457">
      <c r="A457" s="52">
        <v>456.0</v>
      </c>
      <c r="B457" s="7" t="s">
        <v>330</v>
      </c>
      <c r="C457" s="53">
        <f t="shared" si="8"/>
        <v>0</v>
      </c>
      <c r="D457" s="53">
        <f t="shared" si="2"/>
        <v>0</v>
      </c>
      <c r="E457" s="57">
        <f>IFERROR(VLOOKUP(B457, Proof!A$2:$B$588,2, 0), 0)</f>
        <v>0</v>
      </c>
      <c r="F457" s="53">
        <f>IFERROR(VLOOKUP(B457, 'HMMTPUMaC Combo'!A$2:$B$500,2, 0), 0)</f>
        <v>0</v>
      </c>
      <c r="G457" s="53">
        <f>IFERROR(VLOOKUP(B457, 'HMMTPUMaC NT'!A$2:$B$500,2, 0), 0)</f>
        <v>0</v>
      </c>
      <c r="H457" s="58">
        <f>IFERROR(VLOOKUP(B457, 'HMMTPUMaC Algebra'!A$2:$B$500,2, 0), 0)</f>
        <v>0</v>
      </c>
      <c r="I457" s="53">
        <f>IFERROR(VLOOKUP(B457, 'HMMTPUMaC Geo'!$A$2:B$1500,2, 0), 0)</f>
        <v>0</v>
      </c>
    </row>
    <row r="458">
      <c r="A458" s="52">
        <v>457.0</v>
      </c>
      <c r="B458" s="7" t="s">
        <v>352</v>
      </c>
      <c r="C458" s="53">
        <f t="shared" si="8"/>
        <v>0</v>
      </c>
      <c r="D458" s="53">
        <f t="shared" si="2"/>
        <v>0</v>
      </c>
      <c r="E458" s="57">
        <f>IFERROR(VLOOKUP(B458, Proof!A$2:$B$588,2, 0), 0)</f>
        <v>0</v>
      </c>
      <c r="F458" s="53">
        <f>IFERROR(VLOOKUP(B458, 'HMMTPUMaC Combo'!A$2:$B$500,2, 0), 0)</f>
        <v>0</v>
      </c>
      <c r="G458" s="53">
        <f>IFERROR(VLOOKUP(B458, 'HMMTPUMaC NT'!A$2:$B$500,2, 0), 0)</f>
        <v>0</v>
      </c>
      <c r="H458" s="58">
        <f>IFERROR(VLOOKUP(B458, 'HMMTPUMaC Algebra'!A$2:$B$500,2, 0), 0)</f>
        <v>0</v>
      </c>
      <c r="I458" s="53">
        <f>IFERROR(VLOOKUP(B458, 'HMMTPUMaC Geo'!$A$2:B$1500,2, 0), 0)</f>
        <v>0</v>
      </c>
    </row>
    <row r="459">
      <c r="A459" s="52">
        <v>458.0</v>
      </c>
      <c r="B459" s="7" t="s">
        <v>344</v>
      </c>
      <c r="C459" s="53">
        <f t="shared" si="8"/>
        <v>0</v>
      </c>
      <c r="D459" s="53">
        <f t="shared" si="2"/>
        <v>0</v>
      </c>
      <c r="E459" s="57">
        <f>IFERROR(VLOOKUP(B459, Proof!A$2:$B$588,2, 0), 0)</f>
        <v>0</v>
      </c>
      <c r="F459" s="53">
        <f>IFERROR(VLOOKUP(B459, 'HMMTPUMaC Combo'!A$2:$B$500,2, 0), 0)</f>
        <v>0</v>
      </c>
      <c r="G459" s="53">
        <f>IFERROR(VLOOKUP(B459, 'HMMTPUMaC NT'!A$2:$B$500,2, 0), 0)</f>
        <v>0</v>
      </c>
      <c r="H459" s="58">
        <f>IFERROR(VLOOKUP(B459, 'HMMTPUMaC Algebra'!A$2:$B$500,2, 0), 0)</f>
        <v>0</v>
      </c>
      <c r="I459" s="53">
        <f>IFERROR(VLOOKUP(B459, 'HMMTPUMaC Geo'!$A$2:B$1500,2, 0), 0)</f>
        <v>0</v>
      </c>
    </row>
    <row r="460">
      <c r="A460" s="52">
        <v>459.0</v>
      </c>
      <c r="B460" s="7" t="s">
        <v>362</v>
      </c>
      <c r="C460" s="53">
        <f t="shared" si="8"/>
        <v>0</v>
      </c>
      <c r="D460" s="53">
        <f t="shared" si="2"/>
        <v>0</v>
      </c>
      <c r="E460" s="57">
        <f>IFERROR(VLOOKUP(B460, Proof!A$2:$B$588,2, 0), 0)</f>
        <v>0</v>
      </c>
      <c r="F460" s="53">
        <f>IFERROR(VLOOKUP(B460, 'HMMTPUMaC Combo'!A$2:$B$500,2, 0), 0)</f>
        <v>0</v>
      </c>
      <c r="G460" s="53">
        <f>IFERROR(VLOOKUP(B460, 'HMMTPUMaC NT'!A$2:$B$500,2, 0), 0)</f>
        <v>0</v>
      </c>
      <c r="H460" s="58">
        <f>IFERROR(VLOOKUP(B460, 'HMMTPUMaC Algebra'!A$2:$B$500,2, 0), 0)</f>
        <v>0</v>
      </c>
      <c r="I460" s="53">
        <f>IFERROR(VLOOKUP(B460, 'HMMTPUMaC Geo'!$A$2:B$1500,2, 0), 0)</f>
        <v>0</v>
      </c>
    </row>
    <row r="461">
      <c r="A461" s="52">
        <v>460.0</v>
      </c>
      <c r="B461" s="7" t="s">
        <v>296</v>
      </c>
      <c r="C461" s="53">
        <f t="shared" si="8"/>
        <v>0</v>
      </c>
      <c r="D461" s="53">
        <f t="shared" si="2"/>
        <v>0</v>
      </c>
      <c r="E461" s="57">
        <f>IFERROR(VLOOKUP(B461, Proof!A$2:$B$588,2, 0), 0)</f>
        <v>0</v>
      </c>
      <c r="F461" s="53">
        <f>IFERROR(VLOOKUP(B461, 'HMMTPUMaC Combo'!A$2:$B$500,2, 0), 0)</f>
        <v>0</v>
      </c>
      <c r="G461" s="53">
        <f>IFERROR(VLOOKUP(B461, 'HMMTPUMaC NT'!A$2:$B$500,2, 0), 0)</f>
        <v>0</v>
      </c>
      <c r="H461" s="58">
        <f>IFERROR(VLOOKUP(B461, 'HMMTPUMaC Algebra'!A$2:$B$500,2, 0), 0)</f>
        <v>0</v>
      </c>
      <c r="I461" s="53">
        <f>IFERROR(VLOOKUP(B461, 'HMMTPUMaC Geo'!$A$2:B$1500,2, 0), 0)</f>
        <v>0</v>
      </c>
    </row>
    <row r="462">
      <c r="A462" s="52">
        <v>461.0</v>
      </c>
      <c r="B462" s="7" t="s">
        <v>282</v>
      </c>
      <c r="C462" s="53">
        <f t="shared" si="8"/>
        <v>0</v>
      </c>
      <c r="D462" s="53">
        <f t="shared" si="2"/>
        <v>0</v>
      </c>
      <c r="E462" s="57">
        <f>IFERROR(VLOOKUP(B462, Proof!A$2:$B$588,2, 0), 0)</f>
        <v>0</v>
      </c>
      <c r="F462" s="53">
        <f>IFERROR(VLOOKUP(B462, 'HMMTPUMaC Combo'!A$2:$B$500,2, 0), 0)</f>
        <v>0</v>
      </c>
      <c r="G462" s="53">
        <f>IFERROR(VLOOKUP(B462, 'HMMTPUMaC NT'!A$2:$B$500,2, 0), 0)</f>
        <v>0</v>
      </c>
      <c r="H462" s="58">
        <f>IFERROR(VLOOKUP(B462, 'HMMTPUMaC Algebra'!A$2:$B$500,2, 0), 0)</f>
        <v>0</v>
      </c>
      <c r="I462" s="53">
        <f>IFERROR(VLOOKUP(B462, 'HMMTPUMaC Geo'!$A$2:B$1500,2, 0), 0)</f>
        <v>0</v>
      </c>
    </row>
    <row r="463">
      <c r="A463" s="52"/>
      <c r="E463" s="6"/>
    </row>
    <row r="464">
      <c r="A464" s="52"/>
      <c r="E464" s="6"/>
    </row>
    <row r="465">
      <c r="A465" s="52"/>
      <c r="E465" s="6"/>
    </row>
    <row r="466">
      <c r="A466" s="52"/>
      <c r="E466" s="6"/>
    </row>
    <row r="467">
      <c r="A467" s="52"/>
      <c r="E467" s="6"/>
    </row>
    <row r="468">
      <c r="A468" s="52"/>
      <c r="E468" s="6"/>
    </row>
    <row r="469">
      <c r="B469" s="7"/>
      <c r="E469" s="6"/>
    </row>
    <row r="470">
      <c r="B470" s="6"/>
      <c r="E470" s="6"/>
    </row>
    <row r="471">
      <c r="B471" s="6"/>
      <c r="E471" s="6"/>
    </row>
    <row r="472">
      <c r="B472" s="6"/>
      <c r="E472" s="6"/>
    </row>
    <row r="473">
      <c r="B473" s="6"/>
      <c r="E473" s="6"/>
    </row>
    <row r="474">
      <c r="B474" s="6"/>
      <c r="E474" s="6"/>
    </row>
    <row r="475">
      <c r="B475" s="6"/>
      <c r="E475" s="6"/>
    </row>
    <row r="476">
      <c r="B476" s="6"/>
      <c r="E476" s="6"/>
    </row>
    <row r="477">
      <c r="B477" s="6"/>
      <c r="E477" s="6"/>
    </row>
    <row r="478">
      <c r="B478" s="6"/>
      <c r="E478" s="6"/>
    </row>
    <row r="479">
      <c r="B479" s="6"/>
      <c r="E479" s="6"/>
    </row>
    <row r="480">
      <c r="B480" s="6"/>
      <c r="E480" s="6"/>
    </row>
    <row r="481">
      <c r="B481" s="6"/>
      <c r="E481" s="6"/>
    </row>
    <row r="482">
      <c r="B482" s="6"/>
      <c r="E482" s="6"/>
    </row>
    <row r="483">
      <c r="B483" s="6"/>
      <c r="E483" s="6"/>
    </row>
    <row r="484">
      <c r="B484" s="6"/>
      <c r="E484" s="6"/>
    </row>
    <row r="485">
      <c r="B485" s="6"/>
      <c r="E485" s="6"/>
    </row>
    <row r="486">
      <c r="B486" s="6"/>
      <c r="E486" s="6"/>
    </row>
    <row r="487">
      <c r="B487" s="6"/>
      <c r="E487" s="6"/>
    </row>
    <row r="488">
      <c r="B488" s="6"/>
      <c r="E488" s="6"/>
    </row>
    <row r="489">
      <c r="B489" s="6"/>
      <c r="E489" s="6"/>
    </row>
    <row r="490">
      <c r="B490" s="6"/>
      <c r="E490" s="6"/>
    </row>
    <row r="491">
      <c r="B491" s="6"/>
      <c r="E491" s="6"/>
    </row>
    <row r="492">
      <c r="B492" s="6"/>
      <c r="E492" s="6"/>
    </row>
    <row r="493">
      <c r="B493" s="6"/>
      <c r="E493" s="6"/>
    </row>
    <row r="494">
      <c r="B494" s="6"/>
      <c r="E494" s="6"/>
    </row>
    <row r="495">
      <c r="B495" s="6"/>
      <c r="E495" s="6"/>
    </row>
    <row r="496">
      <c r="B496" s="6"/>
      <c r="E496" s="6"/>
    </row>
    <row r="497">
      <c r="B497" s="6"/>
      <c r="E497" s="6"/>
    </row>
    <row r="498">
      <c r="B498" s="6"/>
      <c r="E498" s="6"/>
    </row>
    <row r="499">
      <c r="B499" s="6"/>
      <c r="E499" s="6"/>
    </row>
    <row r="500">
      <c r="B500" s="6"/>
      <c r="E500" s="6"/>
    </row>
    <row r="501">
      <c r="B501" s="6"/>
      <c r="E501" s="6"/>
    </row>
    <row r="502">
      <c r="B502" s="6"/>
      <c r="E502" s="6"/>
    </row>
    <row r="503">
      <c r="B503" s="6"/>
      <c r="E503" s="6"/>
    </row>
    <row r="504">
      <c r="B504" s="6"/>
      <c r="E504" s="6"/>
    </row>
    <row r="505">
      <c r="B505" s="6"/>
      <c r="E505" s="6"/>
    </row>
    <row r="506">
      <c r="B506" s="6"/>
      <c r="E506" s="6"/>
    </row>
    <row r="507">
      <c r="B507" s="6"/>
      <c r="E507" s="6"/>
    </row>
    <row r="508">
      <c r="B508" s="6"/>
      <c r="E508" s="6"/>
    </row>
    <row r="509">
      <c r="B509" s="6"/>
      <c r="E509" s="6"/>
    </row>
    <row r="510">
      <c r="B510" s="6"/>
      <c r="E510" s="6"/>
    </row>
    <row r="511">
      <c r="B511" s="6"/>
      <c r="E511" s="6"/>
    </row>
    <row r="512">
      <c r="B512" s="6"/>
      <c r="E512" s="6"/>
    </row>
    <row r="513">
      <c r="B513" s="6"/>
      <c r="E513" s="6"/>
    </row>
    <row r="514">
      <c r="B514" s="6"/>
      <c r="E514" s="6"/>
    </row>
    <row r="515">
      <c r="B515" s="6"/>
      <c r="E515" s="6"/>
    </row>
    <row r="516">
      <c r="B516" s="6"/>
      <c r="E516" s="6"/>
    </row>
    <row r="517">
      <c r="B517" s="6"/>
      <c r="E517" s="6"/>
    </row>
    <row r="518">
      <c r="B518" s="6"/>
      <c r="E518" s="6"/>
    </row>
    <row r="519">
      <c r="B519" s="6"/>
      <c r="E519" s="6"/>
    </row>
    <row r="520">
      <c r="B520" s="6"/>
      <c r="E520" s="6"/>
    </row>
    <row r="521">
      <c r="B521" s="6"/>
      <c r="E521" s="6"/>
    </row>
    <row r="522">
      <c r="B522" s="6"/>
      <c r="E522" s="6"/>
    </row>
    <row r="523">
      <c r="B523" s="6"/>
      <c r="E523" s="6"/>
    </row>
    <row r="524">
      <c r="B524" s="6"/>
      <c r="E524" s="6"/>
    </row>
    <row r="525">
      <c r="B525" s="6"/>
      <c r="E525" s="6"/>
    </row>
    <row r="526">
      <c r="B526" s="6"/>
      <c r="E526" s="6"/>
    </row>
    <row r="527">
      <c r="B527" s="6"/>
      <c r="E527" s="6"/>
    </row>
    <row r="528">
      <c r="B528" s="6"/>
      <c r="E528" s="6"/>
    </row>
    <row r="529">
      <c r="B529" s="6"/>
      <c r="E529" s="6"/>
    </row>
    <row r="530">
      <c r="B530" s="6"/>
      <c r="E530" s="6"/>
    </row>
    <row r="531">
      <c r="B531" s="6"/>
      <c r="E531" s="6"/>
    </row>
    <row r="532">
      <c r="B532" s="6"/>
      <c r="E532" s="6"/>
    </row>
    <row r="533">
      <c r="B533" s="6"/>
      <c r="E533" s="6"/>
    </row>
    <row r="534">
      <c r="B534" s="6"/>
      <c r="E534" s="6"/>
    </row>
    <row r="535">
      <c r="B535" s="6"/>
      <c r="E535" s="6"/>
    </row>
    <row r="536">
      <c r="B536" s="6"/>
      <c r="E536" s="6"/>
    </row>
    <row r="537">
      <c r="B537" s="6"/>
      <c r="E537" s="6"/>
    </row>
    <row r="538">
      <c r="B538" s="6"/>
      <c r="E538" s="6"/>
    </row>
    <row r="539">
      <c r="B539" s="6"/>
      <c r="E539" s="6"/>
    </row>
    <row r="540">
      <c r="B540" s="6"/>
      <c r="E540" s="6"/>
    </row>
    <row r="541">
      <c r="B541" s="6"/>
      <c r="E541" s="6"/>
    </row>
    <row r="542">
      <c r="B542" s="6"/>
      <c r="E542" s="6"/>
    </row>
    <row r="543">
      <c r="B543" s="6"/>
      <c r="E543" s="6"/>
    </row>
    <row r="544">
      <c r="B544" s="6"/>
      <c r="E544" s="6"/>
    </row>
    <row r="545">
      <c r="B545" s="6"/>
      <c r="E545" s="6"/>
    </row>
    <row r="546">
      <c r="B546" s="6"/>
      <c r="E546" s="6"/>
    </row>
    <row r="547">
      <c r="B547" s="6"/>
      <c r="E547" s="6"/>
    </row>
    <row r="548">
      <c r="B548" s="6"/>
      <c r="E548" s="6"/>
    </row>
    <row r="549">
      <c r="B549" s="6"/>
      <c r="E549" s="6"/>
    </row>
    <row r="550">
      <c r="B550" s="6"/>
      <c r="E550" s="6"/>
    </row>
    <row r="551">
      <c r="B551" s="6"/>
      <c r="E551" s="6"/>
    </row>
    <row r="552">
      <c r="B552" s="6"/>
      <c r="E552" s="6"/>
    </row>
    <row r="553">
      <c r="B553" s="6"/>
      <c r="E553" s="6"/>
    </row>
    <row r="554">
      <c r="B554" s="6"/>
      <c r="E554" s="6"/>
    </row>
    <row r="555">
      <c r="B555" s="6"/>
      <c r="E555" s="6"/>
    </row>
    <row r="556">
      <c r="B556" s="6"/>
      <c r="E556" s="6"/>
    </row>
    <row r="557">
      <c r="B557" s="6"/>
      <c r="E557" s="6"/>
    </row>
    <row r="558">
      <c r="B558" s="6"/>
      <c r="E558" s="6"/>
    </row>
    <row r="559">
      <c r="B559" s="6"/>
      <c r="E559" s="6"/>
    </row>
    <row r="560">
      <c r="B560" s="6"/>
      <c r="E560" s="6"/>
    </row>
    <row r="561">
      <c r="B561" s="6"/>
      <c r="E561" s="6"/>
    </row>
    <row r="562">
      <c r="B562" s="6"/>
      <c r="E562" s="6"/>
    </row>
    <row r="563">
      <c r="B563" s="6"/>
      <c r="E563" s="6"/>
    </row>
    <row r="564">
      <c r="B564" s="6"/>
      <c r="E564" s="6"/>
    </row>
    <row r="565">
      <c r="B565" s="6"/>
      <c r="E565" s="6"/>
    </row>
    <row r="566">
      <c r="B566" s="6"/>
      <c r="E566" s="6"/>
    </row>
    <row r="567">
      <c r="B567" s="6"/>
      <c r="E567" s="6"/>
    </row>
    <row r="568">
      <c r="B568" s="6"/>
      <c r="E568" s="6"/>
    </row>
    <row r="569">
      <c r="B569" s="6"/>
      <c r="E569" s="6"/>
    </row>
    <row r="570">
      <c r="B570" s="6"/>
      <c r="E570" s="6"/>
    </row>
    <row r="571">
      <c r="B571" s="6"/>
      <c r="E571" s="6"/>
    </row>
    <row r="572">
      <c r="B572" s="6"/>
      <c r="E572" s="6"/>
    </row>
    <row r="573">
      <c r="B573" s="6"/>
      <c r="E573" s="6"/>
    </row>
    <row r="574">
      <c r="B574" s="6"/>
      <c r="E574" s="6"/>
    </row>
    <row r="575">
      <c r="B575" s="6"/>
      <c r="E575" s="6"/>
    </row>
    <row r="576">
      <c r="B576" s="6"/>
      <c r="E576" s="6"/>
    </row>
    <row r="577">
      <c r="B577" s="6"/>
      <c r="E577" s="6"/>
    </row>
    <row r="578">
      <c r="B578" s="6"/>
      <c r="E578" s="6"/>
    </row>
    <row r="579">
      <c r="B579" s="6"/>
      <c r="E579" s="6"/>
    </row>
    <row r="580">
      <c r="B580" s="6"/>
      <c r="E580" s="6"/>
    </row>
    <row r="581">
      <c r="B581" s="6"/>
      <c r="E581" s="6"/>
    </row>
    <row r="582">
      <c r="B582" s="6"/>
      <c r="E582" s="6"/>
    </row>
    <row r="583">
      <c r="B583" s="6"/>
      <c r="E583" s="6"/>
    </row>
    <row r="584">
      <c r="B584" s="6"/>
      <c r="E584" s="6"/>
    </row>
    <row r="585">
      <c r="B585" s="6"/>
      <c r="E585" s="6"/>
    </row>
    <row r="586">
      <c r="B586" s="6"/>
      <c r="E586" s="6"/>
    </row>
    <row r="587">
      <c r="B587" s="6"/>
      <c r="E587" s="6"/>
    </row>
    <row r="588">
      <c r="B588" s="6"/>
      <c r="E588" s="6"/>
    </row>
    <row r="589">
      <c r="B589" s="6"/>
      <c r="E589" s="6"/>
    </row>
    <row r="590">
      <c r="B590" s="6"/>
      <c r="E590" s="6"/>
    </row>
    <row r="591">
      <c r="B591" s="6"/>
      <c r="E591" s="6"/>
    </row>
    <row r="592">
      <c r="B592" s="6"/>
      <c r="E592" s="6"/>
    </row>
    <row r="593">
      <c r="B593" s="6"/>
      <c r="E593" s="6"/>
    </row>
    <row r="594">
      <c r="B594" s="6"/>
      <c r="E594" s="6"/>
    </row>
    <row r="595">
      <c r="B595" s="6"/>
      <c r="E595" s="6"/>
    </row>
    <row r="596">
      <c r="B596" s="6"/>
      <c r="E596" s="6"/>
    </row>
    <row r="597">
      <c r="B597" s="6"/>
      <c r="E597" s="6"/>
    </row>
    <row r="598">
      <c r="B598" s="6"/>
      <c r="E598" s="6"/>
    </row>
    <row r="599">
      <c r="B599" s="6"/>
      <c r="E599" s="6"/>
    </row>
    <row r="600">
      <c r="B600" s="6"/>
      <c r="E600" s="6"/>
    </row>
    <row r="601">
      <c r="B601" s="6"/>
      <c r="E601" s="6"/>
    </row>
    <row r="602">
      <c r="B602" s="6"/>
      <c r="E602" s="6"/>
    </row>
    <row r="603">
      <c r="B603" s="6"/>
      <c r="E603" s="6"/>
    </row>
    <row r="604">
      <c r="B604" s="6"/>
      <c r="E604" s="6"/>
    </row>
    <row r="605">
      <c r="B605" s="6"/>
      <c r="E605" s="6"/>
    </row>
    <row r="606">
      <c r="B606" s="6"/>
      <c r="E606" s="6"/>
    </row>
    <row r="607">
      <c r="B607" s="6"/>
      <c r="E607" s="6"/>
    </row>
    <row r="608">
      <c r="B608" s="6"/>
      <c r="E608" s="6"/>
    </row>
    <row r="609">
      <c r="B609" s="6"/>
      <c r="E609" s="6"/>
    </row>
    <row r="610">
      <c r="B610" s="6"/>
      <c r="E610" s="6"/>
    </row>
    <row r="611">
      <c r="B611" s="6"/>
      <c r="E611" s="6"/>
    </row>
    <row r="612">
      <c r="B612" s="6"/>
      <c r="E612" s="6"/>
    </row>
    <row r="613">
      <c r="B613" s="6"/>
      <c r="E613" s="6"/>
    </row>
    <row r="614">
      <c r="B614" s="6"/>
      <c r="E614" s="6"/>
    </row>
    <row r="615">
      <c r="B615" s="6"/>
      <c r="E615" s="6"/>
    </row>
    <row r="616">
      <c r="B616" s="6"/>
      <c r="E616" s="6"/>
    </row>
    <row r="617">
      <c r="B617" s="6"/>
      <c r="E617" s="6"/>
    </row>
    <row r="618">
      <c r="B618" s="6"/>
      <c r="E618" s="6"/>
    </row>
    <row r="619">
      <c r="B619" s="6"/>
      <c r="E619" s="6"/>
    </row>
    <row r="620">
      <c r="B620" s="6"/>
      <c r="E620" s="6"/>
    </row>
    <row r="621">
      <c r="B621" s="6"/>
      <c r="E621" s="6"/>
    </row>
    <row r="622">
      <c r="B622" s="6"/>
      <c r="E622" s="6"/>
    </row>
    <row r="623">
      <c r="B623" s="6"/>
      <c r="E623" s="6"/>
    </row>
    <row r="624">
      <c r="B624" s="6"/>
      <c r="E624" s="6"/>
    </row>
    <row r="625">
      <c r="B625" s="6"/>
      <c r="E625" s="6"/>
    </row>
    <row r="626">
      <c r="B626" s="6"/>
      <c r="E626" s="6"/>
    </row>
    <row r="627">
      <c r="B627" s="6"/>
      <c r="E627" s="6"/>
    </row>
    <row r="628">
      <c r="B628" s="6"/>
      <c r="E628" s="6"/>
    </row>
    <row r="629">
      <c r="B629" s="6"/>
      <c r="E629" s="6"/>
    </row>
    <row r="630">
      <c r="B630" s="6"/>
      <c r="E630" s="6"/>
    </row>
    <row r="631">
      <c r="B631" s="6"/>
      <c r="E631" s="6"/>
    </row>
    <row r="632">
      <c r="B632" s="6"/>
      <c r="E632" s="6"/>
    </row>
    <row r="633">
      <c r="B633" s="6"/>
      <c r="E633" s="6"/>
    </row>
    <row r="634">
      <c r="B634" s="6"/>
      <c r="E634" s="6"/>
    </row>
    <row r="635">
      <c r="B635" s="6"/>
      <c r="E635" s="6"/>
    </row>
    <row r="636">
      <c r="B636" s="6"/>
      <c r="E636" s="6"/>
    </row>
    <row r="637">
      <c r="B637" s="6"/>
      <c r="E637" s="6"/>
    </row>
    <row r="638">
      <c r="B638" s="6"/>
      <c r="E638" s="6"/>
    </row>
    <row r="639">
      <c r="B639" s="6"/>
      <c r="E639" s="6"/>
    </row>
    <row r="640">
      <c r="B640" s="6"/>
      <c r="E640" s="6"/>
    </row>
    <row r="641">
      <c r="B641" s="6"/>
      <c r="E641" s="6"/>
    </row>
    <row r="642">
      <c r="B642" s="6"/>
      <c r="E642" s="6"/>
    </row>
    <row r="643">
      <c r="B643" s="6"/>
      <c r="E643" s="6"/>
    </row>
    <row r="644">
      <c r="B644" s="6"/>
      <c r="E644" s="6"/>
    </row>
    <row r="645">
      <c r="B645" s="6"/>
      <c r="E645" s="6"/>
    </row>
    <row r="646">
      <c r="B646" s="6"/>
      <c r="E646" s="6"/>
    </row>
    <row r="647">
      <c r="B647" s="6"/>
      <c r="E647" s="6"/>
    </row>
    <row r="648">
      <c r="B648" s="6"/>
      <c r="E648" s="6"/>
    </row>
    <row r="649">
      <c r="B649" s="6"/>
      <c r="E649" s="6"/>
    </row>
    <row r="650">
      <c r="B650" s="6"/>
      <c r="E650" s="6"/>
    </row>
    <row r="651">
      <c r="B651" s="6"/>
      <c r="E651" s="6"/>
    </row>
    <row r="652">
      <c r="B652" s="6"/>
      <c r="E652" s="6"/>
    </row>
    <row r="653">
      <c r="B653" s="6"/>
      <c r="E653" s="6"/>
    </row>
    <row r="654">
      <c r="B654" s="6"/>
      <c r="E654" s="6"/>
    </row>
    <row r="655">
      <c r="B655" s="6"/>
      <c r="E655" s="6"/>
    </row>
    <row r="656">
      <c r="B656" s="6"/>
      <c r="E656" s="6"/>
    </row>
    <row r="657">
      <c r="B657" s="6"/>
      <c r="E657" s="6"/>
    </row>
    <row r="658">
      <c r="B658" s="6"/>
      <c r="E658" s="6"/>
    </row>
    <row r="659">
      <c r="B659" s="6"/>
      <c r="E659" s="6"/>
    </row>
    <row r="660">
      <c r="B660" s="6"/>
      <c r="E660" s="6"/>
    </row>
    <row r="661">
      <c r="B661" s="6"/>
      <c r="E661" s="6"/>
    </row>
    <row r="662">
      <c r="B662" s="6"/>
      <c r="E662" s="6"/>
    </row>
    <row r="663">
      <c r="B663" s="6"/>
      <c r="E663" s="6"/>
    </row>
    <row r="664">
      <c r="B664" s="6"/>
      <c r="E664" s="6"/>
    </row>
    <row r="665">
      <c r="B665" s="6"/>
      <c r="E665" s="6"/>
    </row>
    <row r="666">
      <c r="B666" s="6"/>
      <c r="E666" s="6"/>
    </row>
    <row r="667">
      <c r="B667" s="6"/>
      <c r="E667" s="6"/>
    </row>
    <row r="668">
      <c r="B668" s="6"/>
      <c r="E668" s="6"/>
    </row>
    <row r="669">
      <c r="B669" s="6"/>
      <c r="E669" s="6"/>
    </row>
    <row r="670">
      <c r="B670" s="6"/>
      <c r="E670" s="6"/>
    </row>
    <row r="671">
      <c r="B671" s="6"/>
      <c r="E671" s="6"/>
    </row>
    <row r="672">
      <c r="B672" s="6"/>
      <c r="E672" s="6"/>
    </row>
    <row r="673">
      <c r="B673" s="6"/>
      <c r="E673" s="6"/>
    </row>
    <row r="674">
      <c r="B674" s="6"/>
      <c r="E674" s="6"/>
    </row>
    <row r="675">
      <c r="B675" s="6"/>
      <c r="E675" s="6"/>
    </row>
    <row r="676">
      <c r="B676" s="6"/>
      <c r="E676" s="6"/>
    </row>
    <row r="677">
      <c r="B677" s="6"/>
      <c r="E677" s="6"/>
    </row>
    <row r="678">
      <c r="B678" s="6"/>
      <c r="E678" s="6"/>
    </row>
    <row r="679">
      <c r="B679" s="6"/>
      <c r="E679" s="6"/>
    </row>
    <row r="680">
      <c r="B680" s="6"/>
      <c r="E680" s="6"/>
    </row>
    <row r="681">
      <c r="B681" s="6"/>
      <c r="E681" s="6"/>
    </row>
    <row r="682">
      <c r="B682" s="6"/>
      <c r="E682" s="6"/>
    </row>
    <row r="683">
      <c r="B683" s="6"/>
      <c r="E683" s="6"/>
    </row>
    <row r="684">
      <c r="B684" s="6"/>
      <c r="E684" s="6"/>
    </row>
    <row r="685">
      <c r="B685" s="6"/>
      <c r="E685" s="6"/>
    </row>
    <row r="686">
      <c r="B686" s="6"/>
      <c r="E686" s="6"/>
    </row>
    <row r="687">
      <c r="B687" s="6"/>
      <c r="E687" s="6"/>
    </row>
    <row r="688">
      <c r="B688" s="6"/>
      <c r="E688" s="6"/>
    </row>
    <row r="689">
      <c r="B689" s="6"/>
      <c r="E689" s="6"/>
    </row>
    <row r="690">
      <c r="B690" s="6"/>
      <c r="E690" s="6"/>
    </row>
    <row r="691">
      <c r="B691" s="6"/>
      <c r="E691" s="6"/>
    </row>
    <row r="692">
      <c r="B692" s="6"/>
      <c r="E692" s="6"/>
    </row>
    <row r="693">
      <c r="B693" s="6"/>
      <c r="E693" s="6"/>
    </row>
    <row r="694">
      <c r="B694" s="6"/>
      <c r="E694" s="6"/>
    </row>
    <row r="695">
      <c r="B695" s="6"/>
      <c r="E695" s="6"/>
    </row>
    <row r="696">
      <c r="B696" s="6"/>
      <c r="E696" s="6"/>
    </row>
    <row r="697">
      <c r="B697" s="6"/>
      <c r="E697" s="6"/>
    </row>
    <row r="698">
      <c r="B698" s="6"/>
      <c r="E698" s="6"/>
    </row>
    <row r="699">
      <c r="B699" s="6"/>
      <c r="E699" s="6"/>
    </row>
    <row r="700">
      <c r="B700" s="6"/>
      <c r="E700" s="6"/>
    </row>
    <row r="701">
      <c r="B701" s="6"/>
      <c r="E701" s="6"/>
    </row>
    <row r="702">
      <c r="B702" s="6"/>
      <c r="E702" s="6"/>
    </row>
    <row r="703">
      <c r="B703" s="6"/>
      <c r="E703" s="6"/>
    </row>
    <row r="704">
      <c r="B704" s="6"/>
      <c r="E704" s="6"/>
    </row>
    <row r="705">
      <c r="B705" s="6"/>
      <c r="E705" s="6"/>
    </row>
    <row r="706">
      <c r="B706" s="6"/>
      <c r="E706" s="6"/>
    </row>
    <row r="707">
      <c r="B707" s="6"/>
      <c r="E707" s="6"/>
    </row>
    <row r="708">
      <c r="B708" s="6"/>
      <c r="E708" s="6"/>
    </row>
    <row r="709">
      <c r="B709" s="6"/>
      <c r="E709" s="6"/>
    </row>
    <row r="710">
      <c r="B710" s="6"/>
      <c r="E710" s="6"/>
    </row>
    <row r="711">
      <c r="B711" s="6"/>
      <c r="E711" s="6"/>
    </row>
    <row r="712">
      <c r="B712" s="6"/>
      <c r="E712" s="6"/>
    </row>
    <row r="713">
      <c r="B713" s="6"/>
      <c r="E713" s="6"/>
    </row>
    <row r="714">
      <c r="B714" s="6"/>
      <c r="E714" s="6"/>
    </row>
    <row r="715">
      <c r="B715" s="6"/>
      <c r="E715" s="6"/>
    </row>
    <row r="716">
      <c r="B716" s="6"/>
      <c r="E716" s="6"/>
    </row>
    <row r="717">
      <c r="B717" s="6"/>
      <c r="E717" s="6"/>
    </row>
    <row r="718">
      <c r="B718" s="6"/>
      <c r="E718" s="6"/>
    </row>
    <row r="719">
      <c r="B719" s="6"/>
      <c r="E719" s="6"/>
    </row>
    <row r="720">
      <c r="B720" s="6"/>
      <c r="E720" s="6"/>
    </row>
    <row r="721">
      <c r="B721" s="6"/>
      <c r="E721" s="6"/>
    </row>
    <row r="722">
      <c r="B722" s="6"/>
      <c r="E722" s="6"/>
    </row>
    <row r="723">
      <c r="B723" s="6"/>
      <c r="E723" s="6"/>
    </row>
    <row r="724">
      <c r="B724" s="6"/>
      <c r="E724" s="6"/>
    </row>
    <row r="725">
      <c r="B725" s="6"/>
      <c r="E725" s="6"/>
    </row>
    <row r="726">
      <c r="B726" s="6"/>
      <c r="E726" s="6"/>
    </row>
    <row r="727">
      <c r="B727" s="6"/>
      <c r="E727" s="6"/>
    </row>
    <row r="728">
      <c r="B728" s="6"/>
      <c r="E728" s="6"/>
    </row>
    <row r="729">
      <c r="B729" s="6"/>
      <c r="E729" s="6"/>
    </row>
    <row r="730">
      <c r="B730" s="6"/>
      <c r="E730" s="6"/>
    </row>
    <row r="731">
      <c r="B731" s="6"/>
      <c r="E731" s="6"/>
    </row>
    <row r="732">
      <c r="B732" s="6"/>
      <c r="E732" s="6"/>
    </row>
    <row r="733">
      <c r="B733" s="6"/>
      <c r="E733" s="6"/>
    </row>
    <row r="734">
      <c r="B734" s="6"/>
      <c r="E734" s="6"/>
    </row>
    <row r="735">
      <c r="B735" s="6"/>
      <c r="E735" s="6"/>
    </row>
    <row r="736">
      <c r="B736" s="6"/>
      <c r="E736" s="6"/>
    </row>
    <row r="737">
      <c r="B737" s="6"/>
      <c r="E737" s="6"/>
    </row>
    <row r="738">
      <c r="B738" s="6"/>
      <c r="E738" s="6"/>
    </row>
    <row r="739">
      <c r="B739" s="6"/>
      <c r="E739" s="6"/>
    </row>
    <row r="740">
      <c r="B740" s="6"/>
      <c r="E740" s="6"/>
    </row>
    <row r="741">
      <c r="B741" s="6"/>
      <c r="E741" s="6"/>
    </row>
    <row r="742">
      <c r="B742" s="6"/>
      <c r="E742" s="6"/>
    </row>
    <row r="743">
      <c r="B743" s="6"/>
      <c r="E743" s="6"/>
    </row>
    <row r="744">
      <c r="B744" s="6"/>
      <c r="E744" s="6"/>
    </row>
    <row r="745">
      <c r="B745" s="6"/>
      <c r="E745" s="6"/>
    </row>
    <row r="746">
      <c r="B746" s="6"/>
      <c r="E746" s="6"/>
    </row>
    <row r="747">
      <c r="B747" s="6"/>
      <c r="E747" s="6"/>
    </row>
    <row r="748">
      <c r="B748" s="6"/>
      <c r="E748" s="6"/>
    </row>
    <row r="749">
      <c r="B749" s="6"/>
      <c r="E749" s="6"/>
    </row>
    <row r="750">
      <c r="B750" s="6"/>
      <c r="E750" s="6"/>
    </row>
    <row r="751">
      <c r="B751" s="6"/>
      <c r="E751" s="6"/>
    </row>
    <row r="752">
      <c r="B752" s="6"/>
      <c r="E752" s="6"/>
    </row>
    <row r="753">
      <c r="B753" s="6"/>
      <c r="E753" s="6"/>
    </row>
    <row r="754">
      <c r="B754" s="6"/>
      <c r="E754" s="6"/>
    </row>
    <row r="755">
      <c r="B755" s="6"/>
      <c r="E755" s="6"/>
    </row>
    <row r="756">
      <c r="B756" s="6"/>
      <c r="E756" s="6"/>
    </row>
    <row r="757">
      <c r="B757" s="6"/>
      <c r="E757" s="6"/>
    </row>
    <row r="758">
      <c r="B758" s="6"/>
      <c r="E758" s="6"/>
    </row>
    <row r="759">
      <c r="B759" s="6"/>
      <c r="E759" s="6"/>
    </row>
    <row r="760">
      <c r="B760" s="6"/>
      <c r="E760" s="6"/>
    </row>
    <row r="761">
      <c r="B761" s="6"/>
      <c r="E761" s="6"/>
    </row>
    <row r="762">
      <c r="B762" s="6"/>
      <c r="E762" s="6"/>
    </row>
    <row r="763">
      <c r="B763" s="6"/>
      <c r="E763" s="6"/>
    </row>
    <row r="764">
      <c r="B764" s="6"/>
      <c r="E764" s="6"/>
    </row>
    <row r="765">
      <c r="B765" s="6"/>
      <c r="E765" s="6"/>
    </row>
    <row r="766">
      <c r="B766" s="6"/>
      <c r="E766" s="6"/>
    </row>
    <row r="767">
      <c r="B767" s="6"/>
      <c r="E767" s="6"/>
    </row>
    <row r="768">
      <c r="B768" s="6"/>
      <c r="E768" s="6"/>
    </row>
    <row r="769">
      <c r="B769" s="6"/>
      <c r="E769" s="6"/>
    </row>
    <row r="770">
      <c r="B770" s="6"/>
      <c r="E770" s="6"/>
    </row>
    <row r="771">
      <c r="B771" s="6"/>
      <c r="E771" s="6"/>
    </row>
    <row r="772">
      <c r="B772" s="6"/>
      <c r="E772" s="6"/>
    </row>
    <row r="773">
      <c r="B773" s="6"/>
      <c r="E773" s="6"/>
    </row>
    <row r="774">
      <c r="B774" s="6"/>
      <c r="E774" s="6"/>
    </row>
    <row r="775">
      <c r="B775" s="6"/>
      <c r="E775" s="6"/>
    </row>
    <row r="776">
      <c r="B776" s="6"/>
      <c r="E776" s="6"/>
    </row>
    <row r="777">
      <c r="B777" s="6"/>
      <c r="E777" s="6"/>
    </row>
    <row r="778">
      <c r="B778" s="6"/>
      <c r="E778" s="6"/>
    </row>
    <row r="779">
      <c r="B779" s="6"/>
      <c r="E779" s="6"/>
    </row>
    <row r="780">
      <c r="B780" s="6"/>
      <c r="E780" s="6"/>
    </row>
    <row r="781">
      <c r="B781" s="6"/>
      <c r="E781" s="6"/>
    </row>
    <row r="782">
      <c r="B782" s="6"/>
      <c r="E782" s="6"/>
    </row>
    <row r="783">
      <c r="B783" s="6"/>
      <c r="E783" s="6"/>
    </row>
    <row r="784">
      <c r="B784" s="6"/>
      <c r="E784" s="6"/>
    </row>
    <row r="785">
      <c r="B785" s="6"/>
      <c r="E785" s="6"/>
    </row>
    <row r="786">
      <c r="B786" s="6"/>
      <c r="E786" s="6"/>
    </row>
    <row r="787">
      <c r="B787" s="6"/>
      <c r="E787" s="6"/>
    </row>
    <row r="788">
      <c r="B788" s="6"/>
      <c r="E788" s="6"/>
    </row>
    <row r="789">
      <c r="B789" s="6"/>
      <c r="E789" s="6"/>
    </row>
    <row r="790">
      <c r="B790" s="6"/>
      <c r="E790" s="6"/>
    </row>
    <row r="791">
      <c r="B791" s="6"/>
      <c r="E791" s="6"/>
    </row>
    <row r="792">
      <c r="B792" s="6"/>
      <c r="E792" s="6"/>
    </row>
    <row r="793">
      <c r="B793" s="6"/>
      <c r="E793" s="6"/>
    </row>
    <row r="794">
      <c r="B794" s="6"/>
      <c r="E794" s="6"/>
    </row>
    <row r="795">
      <c r="B795" s="6"/>
      <c r="E795" s="6"/>
    </row>
    <row r="796">
      <c r="B796" s="6"/>
      <c r="E796" s="6"/>
    </row>
    <row r="797">
      <c r="B797" s="6"/>
      <c r="E797" s="6"/>
    </row>
    <row r="798">
      <c r="B798" s="6"/>
      <c r="E798" s="6"/>
    </row>
    <row r="799">
      <c r="B799" s="6"/>
      <c r="E799" s="6"/>
    </row>
    <row r="800">
      <c r="B800" s="6"/>
      <c r="E800" s="6"/>
    </row>
    <row r="801">
      <c r="B801" s="6"/>
      <c r="E801" s="6"/>
    </row>
    <row r="802">
      <c r="B802" s="6"/>
      <c r="E802" s="6"/>
    </row>
    <row r="803">
      <c r="B803" s="6"/>
      <c r="E803" s="6"/>
    </row>
    <row r="804">
      <c r="B804" s="6"/>
      <c r="E804" s="6"/>
    </row>
    <row r="805">
      <c r="B805" s="6"/>
      <c r="E805" s="6"/>
    </row>
    <row r="806">
      <c r="B806" s="6"/>
      <c r="E806" s="6"/>
    </row>
    <row r="807">
      <c r="B807" s="6"/>
      <c r="E807" s="6"/>
    </row>
    <row r="808">
      <c r="B808" s="6"/>
      <c r="E808" s="6"/>
    </row>
    <row r="809">
      <c r="B809" s="6"/>
      <c r="E809" s="6"/>
    </row>
    <row r="810">
      <c r="B810" s="6"/>
      <c r="E810" s="6"/>
    </row>
    <row r="811">
      <c r="B811" s="6"/>
      <c r="E811" s="6"/>
    </row>
    <row r="812">
      <c r="B812" s="6"/>
      <c r="E812" s="6"/>
    </row>
    <row r="813">
      <c r="B813" s="6"/>
      <c r="E813" s="6"/>
    </row>
    <row r="814">
      <c r="B814" s="6"/>
      <c r="E814" s="6"/>
    </row>
    <row r="815">
      <c r="B815" s="6"/>
      <c r="E815" s="6"/>
    </row>
    <row r="816">
      <c r="B816" s="6"/>
      <c r="E816" s="6"/>
    </row>
    <row r="817">
      <c r="B817" s="6"/>
      <c r="E817" s="6"/>
    </row>
    <row r="818">
      <c r="B818" s="6"/>
      <c r="E818" s="6"/>
    </row>
    <row r="819">
      <c r="B819" s="6"/>
      <c r="E819" s="6"/>
    </row>
    <row r="820">
      <c r="B820" s="6"/>
      <c r="E820" s="6"/>
    </row>
    <row r="821">
      <c r="B821" s="6"/>
      <c r="E821" s="6"/>
    </row>
    <row r="822">
      <c r="B822" s="6"/>
      <c r="E822" s="6"/>
    </row>
    <row r="823">
      <c r="B823" s="6"/>
      <c r="E823" s="6"/>
    </row>
    <row r="824">
      <c r="B824" s="6"/>
      <c r="E824" s="6"/>
    </row>
    <row r="825">
      <c r="B825" s="6"/>
      <c r="E825" s="6"/>
    </row>
    <row r="826">
      <c r="B826" s="6"/>
      <c r="E826" s="6"/>
    </row>
    <row r="827">
      <c r="B827" s="6"/>
      <c r="E827" s="6"/>
    </row>
    <row r="828">
      <c r="B828" s="6"/>
      <c r="E828" s="6"/>
    </row>
    <row r="829">
      <c r="B829" s="6"/>
      <c r="E829" s="6"/>
    </row>
    <row r="830">
      <c r="B830" s="6"/>
      <c r="E830" s="6"/>
    </row>
    <row r="831">
      <c r="B831" s="6"/>
      <c r="E831" s="6"/>
    </row>
    <row r="832">
      <c r="B832" s="6"/>
      <c r="E832" s="6"/>
    </row>
    <row r="833">
      <c r="B833" s="6"/>
      <c r="E833" s="6"/>
    </row>
    <row r="834">
      <c r="B834" s="6"/>
      <c r="E834" s="6"/>
    </row>
    <row r="835">
      <c r="B835" s="6"/>
      <c r="E835" s="6"/>
    </row>
    <row r="836">
      <c r="B836" s="6"/>
      <c r="E836" s="6"/>
    </row>
    <row r="837">
      <c r="B837" s="6"/>
      <c r="E837" s="6"/>
    </row>
    <row r="838">
      <c r="B838" s="6"/>
      <c r="E838" s="6"/>
    </row>
    <row r="839">
      <c r="B839" s="6"/>
      <c r="E839" s="6"/>
    </row>
    <row r="840">
      <c r="B840" s="6"/>
      <c r="E840" s="6"/>
    </row>
    <row r="841">
      <c r="B841" s="6"/>
      <c r="E841" s="6"/>
    </row>
    <row r="842">
      <c r="B842" s="6"/>
      <c r="E842" s="6"/>
    </row>
    <row r="843">
      <c r="B843" s="6"/>
      <c r="E843" s="6"/>
    </row>
    <row r="844">
      <c r="B844" s="6"/>
      <c r="E844" s="6"/>
    </row>
    <row r="845">
      <c r="B845" s="6"/>
      <c r="E845" s="6"/>
    </row>
    <row r="846">
      <c r="B846" s="6"/>
      <c r="E846" s="6"/>
    </row>
    <row r="847">
      <c r="B847" s="6"/>
      <c r="E847" s="6"/>
    </row>
    <row r="848">
      <c r="B848" s="6"/>
      <c r="E848" s="6"/>
    </row>
    <row r="849">
      <c r="B849" s="6"/>
      <c r="E849" s="6"/>
    </row>
    <row r="850">
      <c r="B850" s="6"/>
      <c r="E850" s="6"/>
    </row>
    <row r="851">
      <c r="B851" s="6"/>
      <c r="E851" s="6"/>
    </row>
    <row r="852">
      <c r="B852" s="6"/>
      <c r="E852" s="6"/>
    </row>
    <row r="853">
      <c r="B853" s="6"/>
      <c r="E853" s="6"/>
    </row>
    <row r="854">
      <c r="B854" s="6"/>
      <c r="E854" s="6"/>
    </row>
    <row r="855">
      <c r="B855" s="6"/>
      <c r="E855" s="6"/>
    </row>
    <row r="856">
      <c r="B856" s="6"/>
      <c r="E856" s="6"/>
    </row>
    <row r="857">
      <c r="B857" s="6"/>
      <c r="E857" s="6"/>
    </row>
    <row r="858">
      <c r="B858" s="6"/>
      <c r="E858" s="6"/>
    </row>
    <row r="859">
      <c r="B859" s="6"/>
      <c r="E859" s="6"/>
    </row>
    <row r="860">
      <c r="B860" s="6"/>
      <c r="E860" s="6"/>
    </row>
    <row r="861">
      <c r="B861" s="6"/>
      <c r="E861" s="6"/>
    </row>
    <row r="862">
      <c r="B862" s="6"/>
      <c r="E862" s="6"/>
    </row>
    <row r="863">
      <c r="B863" s="6"/>
      <c r="E863" s="6"/>
    </row>
    <row r="864">
      <c r="B864" s="6"/>
      <c r="E864" s="6"/>
    </row>
    <row r="865">
      <c r="B865" s="6"/>
      <c r="E865" s="6"/>
    </row>
    <row r="866">
      <c r="B866" s="6"/>
      <c r="E866" s="6"/>
    </row>
    <row r="867">
      <c r="B867" s="6"/>
      <c r="E867" s="6"/>
    </row>
    <row r="868">
      <c r="B868" s="6"/>
      <c r="E868" s="6"/>
    </row>
    <row r="869">
      <c r="B869" s="6"/>
      <c r="E869" s="6"/>
    </row>
    <row r="870">
      <c r="B870" s="6"/>
      <c r="E870" s="6"/>
    </row>
    <row r="871">
      <c r="B871" s="6"/>
      <c r="E871" s="6"/>
    </row>
    <row r="872">
      <c r="B872" s="6"/>
      <c r="E872" s="6"/>
    </row>
    <row r="873">
      <c r="B873" s="6"/>
      <c r="E873" s="6"/>
    </row>
    <row r="874">
      <c r="B874" s="6"/>
      <c r="E874" s="6"/>
    </row>
    <row r="875">
      <c r="B875" s="6"/>
      <c r="E875" s="6"/>
    </row>
    <row r="876">
      <c r="B876" s="6"/>
      <c r="E876" s="6"/>
    </row>
    <row r="877">
      <c r="B877" s="6"/>
      <c r="E877" s="6"/>
    </row>
    <row r="878">
      <c r="B878" s="6"/>
      <c r="E878" s="6"/>
    </row>
    <row r="879">
      <c r="B879" s="6"/>
      <c r="E879" s="6"/>
    </row>
    <row r="880">
      <c r="B880" s="6"/>
      <c r="E880" s="6"/>
    </row>
    <row r="881">
      <c r="B881" s="6"/>
      <c r="E881" s="6"/>
    </row>
    <row r="882">
      <c r="B882" s="6"/>
      <c r="E882" s="6"/>
    </row>
    <row r="883">
      <c r="B883" s="6"/>
      <c r="E883" s="6"/>
    </row>
    <row r="884">
      <c r="B884" s="6"/>
      <c r="E884" s="6"/>
    </row>
    <row r="885">
      <c r="B885" s="6"/>
      <c r="E885" s="6"/>
    </row>
    <row r="886">
      <c r="B886" s="6"/>
      <c r="E886" s="6"/>
    </row>
    <row r="887">
      <c r="B887" s="6"/>
      <c r="E887" s="6"/>
    </row>
    <row r="888">
      <c r="B888" s="6"/>
      <c r="E888" s="6"/>
    </row>
    <row r="889">
      <c r="B889" s="6"/>
      <c r="E889" s="6"/>
    </row>
    <row r="890">
      <c r="B890" s="6"/>
      <c r="E890" s="6"/>
    </row>
    <row r="891">
      <c r="B891" s="6"/>
      <c r="E891" s="6"/>
    </row>
    <row r="892">
      <c r="B892" s="6"/>
      <c r="E892" s="6"/>
    </row>
    <row r="893">
      <c r="B893" s="6"/>
      <c r="E893" s="6"/>
    </row>
    <row r="894">
      <c r="B894" s="6"/>
      <c r="E894" s="6"/>
    </row>
    <row r="895">
      <c r="B895" s="6"/>
      <c r="E895" s="6"/>
    </row>
    <row r="896">
      <c r="B896" s="6"/>
      <c r="E896" s="6"/>
    </row>
    <row r="897">
      <c r="B897" s="6"/>
      <c r="E897" s="6"/>
    </row>
    <row r="898">
      <c r="B898" s="6"/>
      <c r="E898" s="6"/>
    </row>
    <row r="899">
      <c r="B899" s="6"/>
      <c r="E899" s="6"/>
    </row>
    <row r="900">
      <c r="B900" s="6"/>
      <c r="E900" s="6"/>
    </row>
    <row r="901">
      <c r="B901" s="6"/>
      <c r="E901" s="6"/>
    </row>
    <row r="902">
      <c r="B902" s="6"/>
      <c r="E902" s="6"/>
    </row>
    <row r="903">
      <c r="B903" s="6"/>
      <c r="E903" s="6"/>
    </row>
    <row r="904">
      <c r="B904" s="6"/>
      <c r="E904" s="6"/>
    </row>
    <row r="905">
      <c r="B905" s="6"/>
      <c r="E905" s="6"/>
    </row>
    <row r="906">
      <c r="B906" s="6"/>
      <c r="E906" s="6"/>
    </row>
    <row r="907">
      <c r="B907" s="6"/>
      <c r="E907" s="6"/>
    </row>
    <row r="908">
      <c r="B908" s="6"/>
      <c r="E908" s="6"/>
    </row>
    <row r="909">
      <c r="B909" s="6"/>
      <c r="E909" s="6"/>
    </row>
    <row r="910">
      <c r="B910" s="6"/>
      <c r="E910" s="6"/>
    </row>
    <row r="911">
      <c r="B911" s="6"/>
      <c r="E911" s="6"/>
    </row>
    <row r="912">
      <c r="B912" s="6"/>
      <c r="E912" s="6"/>
    </row>
    <row r="913">
      <c r="B913" s="6"/>
      <c r="E913" s="6"/>
    </row>
    <row r="914">
      <c r="B914" s="6"/>
      <c r="E914" s="6"/>
    </row>
    <row r="915">
      <c r="B915" s="6"/>
      <c r="E915" s="6"/>
    </row>
    <row r="916">
      <c r="B916" s="6"/>
      <c r="E916" s="6"/>
    </row>
    <row r="917">
      <c r="B917" s="6"/>
      <c r="E917" s="6"/>
    </row>
    <row r="918">
      <c r="B918" s="6"/>
      <c r="E918" s="6"/>
    </row>
    <row r="919">
      <c r="B919" s="6"/>
      <c r="E919" s="6"/>
    </row>
    <row r="920">
      <c r="B920" s="6"/>
      <c r="E920" s="6"/>
    </row>
    <row r="921">
      <c r="B921" s="6"/>
      <c r="E921" s="6"/>
    </row>
    <row r="922">
      <c r="B922" s="6"/>
      <c r="E922" s="6"/>
    </row>
    <row r="923">
      <c r="B923" s="6"/>
      <c r="E923" s="6"/>
    </row>
    <row r="924">
      <c r="B924" s="6"/>
      <c r="E924" s="6"/>
    </row>
    <row r="925">
      <c r="B925" s="6"/>
      <c r="E925" s="6"/>
    </row>
    <row r="926">
      <c r="B926" s="6"/>
      <c r="E926" s="6"/>
    </row>
    <row r="927">
      <c r="B927" s="6"/>
      <c r="E927" s="6"/>
    </row>
    <row r="928">
      <c r="B928" s="6"/>
      <c r="E928" s="6"/>
    </row>
    <row r="929">
      <c r="B929" s="6"/>
      <c r="E929" s="6"/>
    </row>
    <row r="930">
      <c r="B930" s="6"/>
      <c r="E930" s="6"/>
    </row>
    <row r="931">
      <c r="B931" s="6"/>
      <c r="E931" s="6"/>
    </row>
    <row r="932">
      <c r="B932" s="6"/>
      <c r="E932" s="6"/>
    </row>
    <row r="933">
      <c r="B933" s="6"/>
      <c r="E933" s="6"/>
    </row>
    <row r="934">
      <c r="B934" s="6"/>
      <c r="E934" s="6"/>
    </row>
    <row r="935">
      <c r="B935" s="6"/>
      <c r="E935" s="6"/>
    </row>
    <row r="936">
      <c r="B936" s="6"/>
      <c r="E936" s="6"/>
    </row>
    <row r="937">
      <c r="B937" s="6"/>
      <c r="E937" s="6"/>
    </row>
    <row r="938">
      <c r="B938" s="6"/>
      <c r="E938" s="6"/>
    </row>
    <row r="939">
      <c r="B939" s="6"/>
      <c r="E939" s="6"/>
    </row>
    <row r="940">
      <c r="B940" s="6"/>
      <c r="E940" s="6"/>
    </row>
    <row r="941">
      <c r="B941" s="6"/>
      <c r="E941" s="6"/>
    </row>
    <row r="942">
      <c r="B942" s="6"/>
      <c r="E942" s="6"/>
    </row>
    <row r="943">
      <c r="B943" s="6"/>
      <c r="E943" s="6"/>
    </row>
    <row r="944">
      <c r="B944" s="6"/>
      <c r="E944" s="6"/>
    </row>
    <row r="945">
      <c r="B945" s="6"/>
      <c r="E945" s="6"/>
    </row>
    <row r="946">
      <c r="B946" s="6"/>
      <c r="E946" s="6"/>
    </row>
    <row r="947">
      <c r="B947" s="6"/>
      <c r="E947" s="6"/>
    </row>
    <row r="948">
      <c r="B948" s="6"/>
      <c r="E948" s="6"/>
    </row>
    <row r="949">
      <c r="B949" s="6"/>
      <c r="E949" s="6"/>
    </row>
    <row r="950">
      <c r="B950" s="6"/>
      <c r="E950" s="6"/>
    </row>
    <row r="951">
      <c r="B951" s="6"/>
      <c r="E951" s="6"/>
    </row>
    <row r="952">
      <c r="B952" s="6"/>
      <c r="E952" s="6"/>
    </row>
    <row r="953">
      <c r="B953" s="6"/>
      <c r="E953" s="6"/>
    </row>
    <row r="954">
      <c r="B954" s="6"/>
      <c r="E954" s="6"/>
    </row>
    <row r="955">
      <c r="B955" s="6"/>
      <c r="E955" s="6"/>
    </row>
    <row r="956">
      <c r="B956" s="6"/>
      <c r="E956" s="6"/>
    </row>
    <row r="957">
      <c r="B957" s="6"/>
      <c r="E957" s="6"/>
    </row>
    <row r="958">
      <c r="B958" s="6"/>
      <c r="E958" s="6"/>
    </row>
    <row r="959">
      <c r="B959" s="6"/>
      <c r="E959" s="6"/>
    </row>
    <row r="960">
      <c r="B960" s="6"/>
      <c r="E960" s="6"/>
    </row>
    <row r="961">
      <c r="B961" s="6"/>
      <c r="E961" s="6"/>
    </row>
    <row r="962">
      <c r="B962" s="6"/>
      <c r="E962" s="6"/>
    </row>
    <row r="963">
      <c r="B963" s="6"/>
      <c r="E963" s="6"/>
    </row>
    <row r="964">
      <c r="B964" s="6"/>
      <c r="E964" s="6"/>
    </row>
    <row r="965">
      <c r="B965" s="6"/>
      <c r="E965" s="6"/>
    </row>
    <row r="966">
      <c r="B966" s="6"/>
      <c r="E966" s="6"/>
    </row>
    <row r="967">
      <c r="B967" s="6"/>
      <c r="E967" s="6"/>
    </row>
    <row r="968">
      <c r="B968" s="6"/>
      <c r="E968" s="6"/>
    </row>
    <row r="969">
      <c r="B969" s="6"/>
      <c r="E969" s="6"/>
    </row>
    <row r="970">
      <c r="B970" s="6"/>
      <c r="E970" s="6"/>
    </row>
    <row r="971">
      <c r="B971" s="6"/>
      <c r="E971" s="6"/>
    </row>
    <row r="972">
      <c r="B972" s="6"/>
      <c r="E972" s="6"/>
    </row>
    <row r="973">
      <c r="B973" s="6"/>
      <c r="E973" s="6"/>
    </row>
    <row r="974">
      <c r="B974" s="6"/>
      <c r="E974" s="6"/>
    </row>
    <row r="975">
      <c r="B975" s="6"/>
      <c r="E975" s="6"/>
    </row>
    <row r="976">
      <c r="B976" s="6"/>
      <c r="E976" s="6"/>
    </row>
    <row r="977">
      <c r="B977" s="6"/>
      <c r="E977" s="6"/>
    </row>
    <row r="978">
      <c r="B978" s="6"/>
      <c r="E978" s="6"/>
    </row>
    <row r="979">
      <c r="B979" s="6"/>
      <c r="E979" s="6"/>
    </row>
    <row r="980">
      <c r="B980" s="6"/>
      <c r="E980" s="6"/>
    </row>
    <row r="981">
      <c r="B981" s="6"/>
      <c r="E981" s="6"/>
    </row>
    <row r="982">
      <c r="B982" s="6"/>
      <c r="E982" s="6"/>
    </row>
    <row r="983">
      <c r="B983" s="6"/>
      <c r="E983" s="6"/>
    </row>
    <row r="984">
      <c r="B984" s="6"/>
      <c r="E984" s="6"/>
    </row>
    <row r="985">
      <c r="B985" s="6"/>
      <c r="E985" s="6"/>
    </row>
    <row r="986">
      <c r="B986" s="6"/>
      <c r="E986" s="6"/>
    </row>
    <row r="987">
      <c r="B987" s="6"/>
      <c r="E987" s="6"/>
    </row>
    <row r="988">
      <c r="B988" s="6"/>
      <c r="E988" s="6"/>
    </row>
    <row r="989">
      <c r="B989" s="6"/>
      <c r="E989" s="6"/>
    </row>
    <row r="990">
      <c r="B990" s="6"/>
      <c r="E990" s="6"/>
    </row>
    <row r="991">
      <c r="B991" s="6"/>
      <c r="E991" s="6"/>
    </row>
    <row r="992">
      <c r="B992" s="6"/>
      <c r="E992" s="6"/>
    </row>
    <row r="993">
      <c r="B993" s="6"/>
      <c r="E993" s="6"/>
    </row>
    <row r="994">
      <c r="B994" s="6"/>
      <c r="E994" s="6"/>
    </row>
    <row r="995">
      <c r="B995" s="6"/>
      <c r="E995" s="6"/>
    </row>
    <row r="996">
      <c r="B996" s="6"/>
      <c r="E996" s="6"/>
    </row>
    <row r="997">
      <c r="B997" s="6"/>
      <c r="E997" s="6"/>
    </row>
    <row r="998">
      <c r="B998" s="6"/>
      <c r="E998" s="6"/>
    </row>
    <row r="999">
      <c r="B999" s="6"/>
      <c r="E999" s="6"/>
    </row>
    <row r="1000">
      <c r="B1000" s="6"/>
      <c r="E1000" s="6"/>
    </row>
    <row r="1001">
      <c r="B1001" s="6"/>
      <c r="E1001" s="6"/>
    </row>
  </sheetData>
  <autoFilter ref="$A$1:$Z$1001">
    <sortState ref="A1:Z1001">
      <sortCondition descending="1" ref="D1:D1001"/>
      <sortCondition descending="1" ref="C1:C1001"/>
    </sortState>
  </autoFil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sheetData>
    <row r="1">
      <c r="A1" s="52" t="s">
        <v>645</v>
      </c>
      <c r="B1" s="1" t="s">
        <v>1</v>
      </c>
      <c r="C1" s="52" t="s">
        <v>2</v>
      </c>
      <c r="D1" s="52" t="s">
        <v>646</v>
      </c>
      <c r="E1" s="52" t="s">
        <v>7</v>
      </c>
      <c r="F1" s="52" t="s">
        <v>647</v>
      </c>
      <c r="G1" s="52" t="s">
        <v>648</v>
      </c>
      <c r="H1" s="52" t="s">
        <v>649</v>
      </c>
      <c r="I1" s="52" t="s">
        <v>650</v>
      </c>
      <c r="J1" s="52" t="s">
        <v>652</v>
      </c>
      <c r="K1" s="52" t="s">
        <v>653</v>
      </c>
    </row>
    <row r="2">
      <c r="A2" s="60">
        <f t="shared" ref="A2:A462" si="1">ROW()-1</f>
        <v>1</v>
      </c>
      <c r="B2" s="61" t="s">
        <v>8</v>
      </c>
      <c r="C2" s="62">
        <f t="shared" ref="C2:C85" si="2">0.15*LARGE(F2:I2, 1)+0.15*LARGE(F2:I2, 2)+0.15*LARGE(F2:I2, 3)+0.2*E2+0.175*J2+0.175*K2</f>
        <v>3369.71456</v>
      </c>
      <c r="D2" s="62">
        <f t="shared" ref="D2:D462" si="3">ROUND(C2, 3)</f>
        <v>3369.715</v>
      </c>
      <c r="E2" s="54">
        <f>IFERROR(VLOOKUP(B2, Proof!A$2:$B$199,2, 0), 0)</f>
        <v>4341</v>
      </c>
      <c r="F2" s="63">
        <f>IFERROR(VLOOKUP(B2, 'HMMTPUMaC Combo'!A$2:$B$198,2, 0), 0)</f>
        <v>5053.131256</v>
      </c>
      <c r="G2" s="54">
        <f>IFERROR(VLOOKUP(B2, 'HMMTPUMaC NT'!A$2:$B$198,2, 0), 0)</f>
        <v>4231.278306</v>
      </c>
      <c r="H2" s="64">
        <f>IFERROR(VLOOKUP(B2, 'HMMTPUMaC Algebra'!A$2:$B$198,2, 0), 0)</f>
        <v>4040</v>
      </c>
      <c r="I2" s="63">
        <f>IFERROR(VLOOKUP(B2, 'HMMTPUMaC Geo'!A$2:$B$198,2, 0), 0)</f>
        <v>2700.183838</v>
      </c>
      <c r="J2" s="62">
        <f>IFERROR(VLOOKUP(B2, 'HMMT 1 Real'!$A$2:B$198,2, 0), 0)</f>
        <v>2873.446435</v>
      </c>
      <c r="K2" s="63">
        <f>IFERROR(VLOOKUP(B2, 'HMMT 2 Real'!$A$2:C$198,2, 0), 0)</f>
        <v>0</v>
      </c>
    </row>
    <row r="3">
      <c r="A3" s="60">
        <f t="shared" si="1"/>
        <v>2</v>
      </c>
      <c r="B3" s="61" t="s">
        <v>558</v>
      </c>
      <c r="C3" s="62">
        <f t="shared" si="2"/>
        <v>2151.622339</v>
      </c>
      <c r="D3" s="62">
        <f t="shared" si="3"/>
        <v>2151.622</v>
      </c>
      <c r="E3" s="62">
        <f>IFERROR(VLOOKUP(B3, Proof!A$2:$B$199,2, 0), 0)</f>
        <v>0</v>
      </c>
      <c r="F3" s="54">
        <f>MAX(IFERROR(VLOOKUP(B3, 'HMMTPUMaC Combo'!A$2:$B$500,2, 0), 0), (G3 + H3)/2 + 550)</f>
        <v>4831.525636</v>
      </c>
      <c r="G3" s="62">
        <f>IFERROR(VLOOKUP(B3, 'HMMTPUMaC NT'!A$2:$B$198,2, 0), 0)</f>
        <v>5582.640313</v>
      </c>
      <c r="H3" s="63">
        <f>IFERROR(VLOOKUP(B3, 'HMMTPUMaC Algebra'!A$2:$B$198,2, 0), 0)</f>
        <v>2980.410959</v>
      </c>
      <c r="I3" s="63">
        <f>IFERROR(VLOOKUP(B3, 'HMMTPUMaC Geo'!A$2:$B$198,2, 0), 0)</f>
        <v>0</v>
      </c>
      <c r="J3" s="62">
        <f>IFERROR(VLOOKUP(B3, 'HMMT 1 Real'!$A$2:B$198,2, 0), 0)</f>
        <v>813.9188714</v>
      </c>
      <c r="K3" s="63">
        <f>IFERROR(VLOOKUP(B3, 'HMMT 2 Real'!$A$2:C$198,2, 0), 0)</f>
        <v>0</v>
      </c>
    </row>
    <row r="4">
      <c r="A4" s="60">
        <f t="shared" si="1"/>
        <v>3</v>
      </c>
      <c r="B4" s="61" t="s">
        <v>562</v>
      </c>
      <c r="C4" s="62">
        <f t="shared" si="2"/>
        <v>1664.260107</v>
      </c>
      <c r="D4" s="62">
        <f t="shared" si="3"/>
        <v>1664.26</v>
      </c>
      <c r="E4" s="62">
        <f>IFERROR(VLOOKUP(B4, Proof!A$2:$B$199,2, 0), 0)</f>
        <v>0</v>
      </c>
      <c r="F4" s="63">
        <f>IFERROR(VLOOKUP(B4, 'HMMTPUMaC Combo'!A$2:$B$198,2, 0), 0)</f>
        <v>2769.331475</v>
      </c>
      <c r="G4" s="54">
        <f>IFERROR(VLOOKUP(B4, 'HMMTPUMaC NT'!A$2:$B$198,2, 0), 0)</f>
        <v>3415.386888</v>
      </c>
      <c r="H4" s="63">
        <f>IFERROR(VLOOKUP(B4, 'HMMTPUMaC Algebra'!A$2:$B$198,2, 0), 0)</f>
        <v>2980.410959</v>
      </c>
      <c r="I4" s="63">
        <f>IFERROR(VLOOKUP(B4, 'HMMTPUMaC Geo'!A$2:$B$198,2, 0), 0)</f>
        <v>0</v>
      </c>
      <c r="J4" s="62">
        <f>IFERROR(VLOOKUP(B4, 'HMMT 1 Real'!$A$2:B$198,2, 0), 0)</f>
        <v>1654.232619</v>
      </c>
      <c r="K4" s="63">
        <f>IFERROR(VLOOKUP(B4, 'HMMT 2 Real'!$A$2:C$198,2, 0), 0)</f>
        <v>0</v>
      </c>
    </row>
    <row r="5">
      <c r="A5" s="60">
        <f t="shared" si="1"/>
        <v>4</v>
      </c>
      <c r="B5" s="61" t="s">
        <v>11</v>
      </c>
      <c r="C5" s="62">
        <f t="shared" si="2"/>
        <v>1502.671448</v>
      </c>
      <c r="D5" s="62">
        <f t="shared" si="3"/>
        <v>1502.671</v>
      </c>
      <c r="E5" s="62">
        <f>IFERROR(VLOOKUP(B5, Proof!A$2:$B$199,2, 0), 0)</f>
        <v>1309.090909</v>
      </c>
      <c r="F5" s="63">
        <f>IFERROR(VLOOKUP(B5, 'HMMTPUMaC Combo'!A$2:$B$198,2, 0), 0)</f>
        <v>1116.935469</v>
      </c>
      <c r="G5" s="62">
        <f>IFERROR(VLOOKUP(B5, 'HMMTPUMaC NT'!A$2:$B$198,2, 0), 0)</f>
        <v>2945.897324</v>
      </c>
      <c r="H5" s="63">
        <f>IFERROR(VLOOKUP(B5, 'HMMTPUMaC Algebra'!A$2:$B$198,2, 0), 0)</f>
        <v>2120.498853</v>
      </c>
      <c r="I5" s="62">
        <f>IFERROR(VLOOKUP(B5, 'HMMTPUMaC Geo'!A$2:$B$198,2, 0), 0)</f>
        <v>1588.395393</v>
      </c>
      <c r="J5" s="62">
        <f>IFERROR(VLOOKUP(B5, 'HMMT 1 Real'!$A$2:B$198,2, 0), 0)</f>
        <v>1386.483036</v>
      </c>
      <c r="K5" s="63">
        <f>IFERROR(VLOOKUP(B5, 'HMMT 2 Real'!$A$2:C$198,2, 0), 0)</f>
        <v>0</v>
      </c>
    </row>
    <row r="6">
      <c r="A6" s="60">
        <f t="shared" si="1"/>
        <v>5</v>
      </c>
      <c r="B6" s="61" t="s">
        <v>560</v>
      </c>
      <c r="C6" s="62">
        <f t="shared" si="2"/>
        <v>1414.355582</v>
      </c>
      <c r="D6" s="62">
        <f t="shared" si="3"/>
        <v>1414.356</v>
      </c>
      <c r="E6" s="62">
        <f>IFERROR(VLOOKUP(B6, Proof!A$2:$B$199,2, 0), 0)</f>
        <v>0</v>
      </c>
      <c r="F6" s="64">
        <f>IFERROR(VLOOKUP(B6, 'HMMTPUMaC Combo'!A$2:$B$198,2, 0), 0)</f>
        <v>3477.309594</v>
      </c>
      <c r="G6" s="62">
        <f>IFERROR(VLOOKUP(B6, 'HMMTPUMaC NT'!A$2:$B$198,2, 0), 0)</f>
        <v>1974.022617</v>
      </c>
      <c r="H6" s="63">
        <f>IFERROR(VLOOKUP(B6, 'HMMTPUMaC Algebra'!A$2:$B$198,2, 0), 0)</f>
        <v>2360.141463</v>
      </c>
      <c r="I6" s="63">
        <f>IFERROR(VLOOKUP(B6, 'HMMTPUMaC Geo'!A$2:$B$198,2, 0), 0)</f>
        <v>0</v>
      </c>
      <c r="J6" s="62">
        <f>IFERROR(VLOOKUP(B6, 'HMMT 1 Real'!$A$2:B$198,2, 0), 0)</f>
        <v>1386.483036</v>
      </c>
      <c r="K6" s="63">
        <f>IFERROR(VLOOKUP(B6, 'HMMT 2 Real'!$A$2:C$198,2, 0), 0)</f>
        <v>0</v>
      </c>
    </row>
    <row r="7">
      <c r="A7" s="60">
        <f t="shared" si="1"/>
        <v>6</v>
      </c>
      <c r="B7" s="61" t="s">
        <v>9</v>
      </c>
      <c r="C7" s="62">
        <f t="shared" si="2"/>
        <v>1763.264096</v>
      </c>
      <c r="D7" s="62">
        <f t="shared" si="3"/>
        <v>1763.264</v>
      </c>
      <c r="E7" s="62">
        <f>IFERROR(VLOOKUP(B7, Proof!A$2:$B$199,2, 0), 0)</f>
        <v>2472.727273</v>
      </c>
      <c r="F7" s="63">
        <f>IFERROR(VLOOKUP(B7, 'HMMTPUMaC Combo'!A$2:$B$198,2, 0), 0)</f>
        <v>2092.997451</v>
      </c>
      <c r="G7" s="62">
        <f>IFERROR(VLOOKUP(B7, 'HMMTPUMaC NT'!A$2:$B$198,2, 0), 0)</f>
        <v>808.8422408</v>
      </c>
      <c r="H7" s="63">
        <f>IFERROR(VLOOKUP(B7, 'HMMTPUMaC Algebra'!A$2:$B$198,2, 0), 0)</f>
        <v>2120.498853</v>
      </c>
      <c r="I7" s="62">
        <f>IFERROR(VLOOKUP(B7, 'HMMTPUMaC Geo'!A$2:$B$198,2, 0), 0)</f>
        <v>2295.059293</v>
      </c>
      <c r="J7" s="62">
        <f>IFERROR(VLOOKUP(B7, 'HMMT 1 Real'!$A$2:B$198,2, 0), 0)</f>
        <v>1671.058866</v>
      </c>
      <c r="K7" s="63">
        <f>IFERROR(VLOOKUP(B7, 'HMMT 2 Real'!$A$2:C$198,2, 0), 0)</f>
        <v>0</v>
      </c>
    </row>
    <row r="8">
      <c r="A8" s="60">
        <f t="shared" si="1"/>
        <v>7</v>
      </c>
      <c r="B8" s="61" t="s">
        <v>431</v>
      </c>
      <c r="C8" s="62">
        <f t="shared" si="2"/>
        <v>1620.951995</v>
      </c>
      <c r="D8" s="62">
        <f t="shared" si="3"/>
        <v>1620.952</v>
      </c>
      <c r="E8" s="62">
        <f>IFERROR(VLOOKUP(B8, Proof!A$2:$B$199,2, 0), 0)</f>
        <v>1890.909091</v>
      </c>
      <c r="F8" s="63">
        <f>IFERROR(VLOOKUP(B8, 'HMMTPUMaC Combo'!A$2:$B$198,2, 0), 0)</f>
        <v>0</v>
      </c>
      <c r="G8" s="62">
        <f>IFERROR(VLOOKUP(B8, 'HMMTPUMaC NT'!A$2:$B$198,2, 0), 0)</f>
        <v>808.8422408</v>
      </c>
      <c r="H8" s="63">
        <f>IFERROR(VLOOKUP(B8, 'HMMTPUMaC Algebra'!A$2:$B$198,2, 0), 0)</f>
        <v>2120.498853</v>
      </c>
      <c r="I8" s="55">
        <v>2960.0</v>
      </c>
      <c r="J8" s="62">
        <f>IFERROR(VLOOKUP(B8, 'HMMT 1 Real'!$A$2:B$198,2, 0), 0)</f>
        <v>2053.537216</v>
      </c>
      <c r="K8" s="63">
        <f>IFERROR(VLOOKUP(B8, 'HMMT 2 Real'!$A$2:C$198,2, 0), 0)</f>
        <v>0</v>
      </c>
    </row>
    <row r="9">
      <c r="A9" s="60">
        <f t="shared" si="1"/>
        <v>8</v>
      </c>
      <c r="B9" s="61" t="s">
        <v>10</v>
      </c>
      <c r="C9" s="62">
        <f t="shared" si="2"/>
        <v>1278.421908</v>
      </c>
      <c r="D9" s="62">
        <f t="shared" si="3"/>
        <v>1278.422</v>
      </c>
      <c r="E9" s="62">
        <f>IFERROR(VLOOKUP(B9, Proof!A$2:$B$199,2, 0), 0)</f>
        <v>0</v>
      </c>
      <c r="F9" s="63">
        <f>IFERROR(VLOOKUP(B9, 'HMMTPUMaC Combo'!A$2:$B$198,2, 0), 0)</f>
        <v>1927.159543</v>
      </c>
      <c r="G9" s="62">
        <f>IFERROR(VLOOKUP(B9, 'HMMTPUMaC NT'!A$2:$B$198,2, 0), 0)</f>
        <v>2945.897324</v>
      </c>
      <c r="H9" s="63">
        <f>IFERROR(VLOOKUP(B9, 'HMMTPUMaC Algebra'!A$2:$B$198,2, 0), 0)</f>
        <v>1500.229356</v>
      </c>
      <c r="I9" s="62">
        <f>IFERROR(VLOOKUP(B9, 'HMMTPUMaC Geo'!A$2:$B$198,2, 0), 0)</f>
        <v>2700.183838</v>
      </c>
      <c r="J9" s="62">
        <f>IFERROR(VLOOKUP(B9, 'HMMT 1 Real'!$A$2:B$198,2, 0), 0)</f>
        <v>813.9188714</v>
      </c>
      <c r="K9" s="63">
        <f>IFERROR(VLOOKUP(B9, 'HMMT 2 Real'!$A$2:C$198,2, 0), 0)</f>
        <v>0</v>
      </c>
    </row>
    <row r="10">
      <c r="A10" s="65">
        <f t="shared" si="1"/>
        <v>9</v>
      </c>
      <c r="B10" s="7" t="s">
        <v>92</v>
      </c>
      <c r="C10" s="53">
        <f t="shared" si="2"/>
        <v>2009.593758</v>
      </c>
      <c r="D10" s="53">
        <f t="shared" si="3"/>
        <v>2009.594</v>
      </c>
      <c r="E10" s="57">
        <f>IFERROR(VLOOKUP(B10, Proof!A$2:$B$199,2, 0), 0)</f>
        <v>4072.727273</v>
      </c>
      <c r="F10" s="66">
        <f>IFERROR(VLOOKUP(B10, 'HMMTPUMaC Combo'!A$2:$B$198,2, 0), 0)</f>
        <v>1299.280165</v>
      </c>
      <c r="G10" s="53">
        <f>IFERROR(VLOOKUP(B10, 'HMMTPUMaC NT'!A$2:$B$198,2, 0), 0)</f>
        <v>1780.716948</v>
      </c>
      <c r="H10" s="66">
        <f>IFERROR(VLOOKUP(B10, 'HMMTPUMaC Algebra'!A$2:$B$198,2, 0), 0)</f>
        <v>1536.519224</v>
      </c>
      <c r="I10" s="53">
        <f>IFERROR(VLOOKUP(B10, 'HMMTPUMaC Geo'!A$2:$B$198,2, 0), 0)</f>
        <v>2700.183838</v>
      </c>
      <c r="J10" s="53">
        <f>IFERROR(VLOOKUP(B10, 'HMMT 1 Real'!$A$2:B$198,2, 0), 0)</f>
        <v>1671.058866</v>
      </c>
      <c r="K10" s="66">
        <f>IFERROR(VLOOKUP(B10, 'HMMT 2 Real'!$A$2:C$198,2, 0), 0)</f>
        <v>0</v>
      </c>
    </row>
    <row r="11">
      <c r="A11" s="65">
        <f t="shared" si="1"/>
        <v>10</v>
      </c>
      <c r="B11" s="7" t="s">
        <v>18</v>
      </c>
      <c r="C11" s="53">
        <f t="shared" si="2"/>
        <v>1482.242038</v>
      </c>
      <c r="D11" s="53">
        <f t="shared" si="3"/>
        <v>1482.242</v>
      </c>
      <c r="E11" s="57">
        <f>IFERROR(VLOOKUP(B11, Proof!A$2:$B$199,2, 0), 0)</f>
        <v>1745.454545</v>
      </c>
      <c r="F11" s="66">
        <f>IFERROR(VLOOKUP(B11, 'HMMTPUMaC Combo'!A$2:$B$198,2, 0), 0)</f>
        <v>1501.999167</v>
      </c>
      <c r="G11" s="53">
        <f>IFERROR(VLOOKUP(B11, 'HMMTPUMaC NT'!A$2:$B$198,2, 0), 0)</f>
        <v>808.8422408</v>
      </c>
      <c r="H11" s="66">
        <f>IFERROR(VLOOKUP(B11, 'HMMTPUMaC Algebra'!A$2:$B$198,2, 0), 0)</f>
        <v>2120.498853</v>
      </c>
      <c r="I11" s="53">
        <f>IFERROR(VLOOKUP(B11, 'HMMTPUMaC Geo'!A$2:$B$198,2, 0), 0)</f>
        <v>2485.621441</v>
      </c>
      <c r="J11" s="53">
        <f>IFERROR(VLOOKUP(B11, 'HMMT 1 Real'!$A$2:B$198,2, 0), 0)</f>
        <v>1239.618345</v>
      </c>
      <c r="K11" s="66">
        <f>IFERROR(VLOOKUP(B11, 'HMMT 2 Real'!$A$2:C$198,2, 0), 0)</f>
        <v>0</v>
      </c>
    </row>
    <row r="12">
      <c r="A12" s="65">
        <f t="shared" si="1"/>
        <v>11</v>
      </c>
      <c r="B12" s="7" t="s">
        <v>15</v>
      </c>
      <c r="C12" s="53">
        <f t="shared" si="2"/>
        <v>1358.157874</v>
      </c>
      <c r="D12" s="53">
        <f t="shared" si="3"/>
        <v>1358.158</v>
      </c>
      <c r="E12" s="57">
        <f>IFERROR(VLOOKUP(B12, Proof!A$2:$B$199,2, 0), 0)</f>
        <v>1890.909091</v>
      </c>
      <c r="F12" s="66">
        <f>IFERROR(VLOOKUP(B12, 'HMMTPUMaC Combo'!A$2:$B$198,2, 0), 0)</f>
        <v>1299.280165</v>
      </c>
      <c r="G12" s="53">
        <f>IFERROR(VLOOKUP(B12, 'HMMTPUMaC NT'!A$2:$B$198,2, 0), 0)</f>
        <v>808.8422408</v>
      </c>
      <c r="H12" s="66">
        <f>IFERROR(VLOOKUP(B12, 'HMMTPUMaC Algebra'!A$2:$B$198,2, 0), 0)</f>
        <v>916.2497279</v>
      </c>
      <c r="I12" s="53">
        <f>IFERROR(VLOOKUP(B12, 'HMMTPUMaC Geo'!A$2:$B$198,2, 0), 0)</f>
        <v>965.2896404</v>
      </c>
      <c r="J12" s="53">
        <f>IFERROR(VLOOKUP(B12, 'HMMT 1 Real'!$A$2:B$198,2, 0), 0)</f>
        <v>2873.446435</v>
      </c>
      <c r="K12" s="66">
        <f>IFERROR(VLOOKUP(B12, 'HMMT 2 Real'!$A$2:C$198,2, 0), 0)</f>
        <v>0</v>
      </c>
    </row>
    <row r="13">
      <c r="A13" s="65">
        <f t="shared" si="1"/>
        <v>12</v>
      </c>
      <c r="B13" s="7" t="s">
        <v>566</v>
      </c>
      <c r="C13" s="53">
        <f t="shared" si="2"/>
        <v>800.6215396</v>
      </c>
      <c r="D13" s="53">
        <f t="shared" si="3"/>
        <v>800.622</v>
      </c>
      <c r="E13" s="57">
        <f>IFERROR(VLOOKUP(B13, Proof!A$2:$B$199,2, 0), 0)</f>
        <v>0</v>
      </c>
      <c r="F13" s="66">
        <f>IFERROR(VLOOKUP(B13, 'HMMTPUMaC Combo'!A$2:$B$198,2, 0), 0)</f>
        <v>1299.280165</v>
      </c>
      <c r="G13" s="53">
        <f>IFERROR(VLOOKUP(B13, 'HMMTPUMaC NT'!A$2:$B$198,2, 0), 0)</f>
        <v>808.8422408</v>
      </c>
      <c r="H13" s="66">
        <f>IFERROR(VLOOKUP(B13, 'HMMTPUMaC Algebra'!A$2:$B$198,2, 0), 0)</f>
        <v>1500.229356</v>
      </c>
      <c r="I13" s="53">
        <f>IFERROR(VLOOKUP(B13, 'HMMTPUMaC Geo'!A$2:$B$198,2, 0), 0)</f>
        <v>1588.395393</v>
      </c>
      <c r="J13" s="53">
        <f>IFERROR(VLOOKUP(B13, 'HMMT 1 Real'!$A$2:B$198,2, 0), 0)</f>
        <v>813.9188714</v>
      </c>
      <c r="K13" s="66">
        <f>IFERROR(VLOOKUP(B13, 'HMMT 2 Real'!$A$2:C$198,2, 0), 0)</f>
        <v>0</v>
      </c>
    </row>
    <row r="14">
      <c r="A14" s="65">
        <f t="shared" si="1"/>
        <v>13</v>
      </c>
      <c r="B14" s="7" t="s">
        <v>563</v>
      </c>
      <c r="C14" s="53">
        <f t="shared" si="2"/>
        <v>1010.018583</v>
      </c>
      <c r="D14" s="53">
        <f t="shared" si="3"/>
        <v>1010.019</v>
      </c>
      <c r="E14" s="57">
        <f>IFERROR(VLOOKUP(B14, Proof!A$2:$B$199,2, 0), 0)</f>
        <v>0</v>
      </c>
      <c r="F14" s="66">
        <f>IFERROR(VLOOKUP(B14, 'HMMTPUMaC Combo'!A$2:$B$198,2, 0), 0)</f>
        <v>1927.159543</v>
      </c>
      <c r="G14" s="53">
        <f>IFERROR(VLOOKUP(B14, 'HMMTPUMaC NT'!A$2:$B$198,2, 0), 0)</f>
        <v>1780.716948</v>
      </c>
      <c r="H14" s="64">
        <f>IFERROR(VLOOKUP(B14, 'HMMTPUMaC Algebra'!A$2:$B$198,2, 0), 0)</f>
        <v>1854.241931</v>
      </c>
      <c r="I14" s="53">
        <f>IFERROR(VLOOKUP(B14, 'HMMTPUMaC Geo'!A$2:$B$198,2, 0), 0)</f>
        <v>965.2896404</v>
      </c>
      <c r="J14" s="53">
        <f>IFERROR(VLOOKUP(B14, 'HMMT 1 Real'!$A$2:B$198,2, 0), 0)</f>
        <v>1004.004686</v>
      </c>
      <c r="K14" s="66">
        <f>IFERROR(VLOOKUP(B14, 'HMMT 2 Real'!$A$2:C$198,2, 0), 0)</f>
        <v>0</v>
      </c>
    </row>
    <row r="15">
      <c r="A15" s="65">
        <f t="shared" si="1"/>
        <v>14</v>
      </c>
      <c r="B15" s="7" t="s">
        <v>30</v>
      </c>
      <c r="C15" s="53">
        <f t="shared" si="2"/>
        <v>1190.53393</v>
      </c>
      <c r="D15" s="53">
        <f t="shared" si="3"/>
        <v>1190.534</v>
      </c>
      <c r="E15" s="57">
        <f>IFERROR(VLOOKUP(B15, Proof!A$2:$B$199,2, 0), 0)</f>
        <v>1018.181818</v>
      </c>
      <c r="F15" s="66">
        <f>IFERROR(VLOOKUP(B15, 'HMMTPUMaC Combo'!A$2:$B$198,2, 0), 0)</f>
        <v>1786.286057</v>
      </c>
      <c r="G15" s="53">
        <f>IFERROR(VLOOKUP(B15, 'HMMTPUMaC NT'!A$2:$B$198,2, 0), 0)</f>
        <v>808.8422408</v>
      </c>
      <c r="H15" s="66">
        <f>IFERROR(VLOOKUP(B15, 'HMMTPUMaC Algebra'!A$2:$B$198,2, 0), 0)</f>
        <v>376.6853078</v>
      </c>
      <c r="I15" s="53">
        <f>IFERROR(VLOOKUP(B15, 'HMMTPUMaC Geo'!A$2:$B$198,2, 0), 0)</f>
        <v>1588.395393</v>
      </c>
      <c r="J15" s="53">
        <f>IFERROR(VLOOKUP(B15, 'HMMT 1 Real'!$A$2:B$198,2, 0), 0)</f>
        <v>2053.537216</v>
      </c>
      <c r="K15" s="66">
        <f>IFERROR(VLOOKUP(B15, 'HMMT 2 Real'!$A$2:C$198,2, 0), 0)</f>
        <v>0</v>
      </c>
    </row>
    <row r="16">
      <c r="A16" s="65">
        <f t="shared" si="1"/>
        <v>15</v>
      </c>
      <c r="B16" s="7" t="s">
        <v>565</v>
      </c>
      <c r="C16" s="53">
        <f t="shared" si="2"/>
        <v>840.8961494</v>
      </c>
      <c r="D16" s="53">
        <f t="shared" si="3"/>
        <v>840.896</v>
      </c>
      <c r="E16" s="57">
        <f>IFERROR(VLOOKUP(B16, Proof!A$2:$B$199,2, 0), 0)</f>
        <v>0</v>
      </c>
      <c r="F16" s="66">
        <f>IFERROR(VLOOKUP(B16, 'HMMTPUMaC Combo'!A$2:$B$198,2, 0), 0)</f>
        <v>1927.159543</v>
      </c>
      <c r="G16" s="53">
        <f>IFERROR(VLOOKUP(B16, 'HMMTPUMaC NT'!A$2:$B$198,2, 0), 0)</f>
        <v>808.8422408</v>
      </c>
      <c r="H16" s="66">
        <f>IFERROR(VLOOKUP(B16, 'HMMTPUMaC Algebra'!A$2:$B$198,2, 0), 0)</f>
        <v>376.6853078</v>
      </c>
      <c r="I16" s="53">
        <f>IFERROR(VLOOKUP(B16, 'HMMTPUMaC Geo'!A$2:$B$198,2, 0), 0)</f>
        <v>1588.395393</v>
      </c>
      <c r="J16" s="53">
        <f>IFERROR(VLOOKUP(B16, 'HMMT 1 Real'!$A$2:B$198,2, 0), 0)</f>
        <v>1098.494702</v>
      </c>
      <c r="K16" s="66">
        <f>IFERROR(VLOOKUP(B16, 'HMMT 2 Real'!$A$2:C$198,2, 0), 0)</f>
        <v>0</v>
      </c>
    </row>
    <row r="17">
      <c r="A17" s="65">
        <f t="shared" si="1"/>
        <v>16</v>
      </c>
      <c r="B17" s="7" t="s">
        <v>432</v>
      </c>
      <c r="C17" s="53">
        <f t="shared" si="2"/>
        <v>950.8461871</v>
      </c>
      <c r="D17" s="53">
        <f t="shared" si="3"/>
        <v>950.846</v>
      </c>
      <c r="E17" s="57">
        <f>IFERROR(VLOOKUP(B17, Proof!A$2:$B$199,2, 0), 0)</f>
        <v>0</v>
      </c>
      <c r="F17" s="66">
        <f>IFERROR(VLOOKUP(B17, 'HMMTPUMaC Combo'!A$2:$B$198,2, 0), 0)</f>
        <v>810.2240746</v>
      </c>
      <c r="G17" s="53">
        <f>IFERROR(VLOOKUP(B17, 'HMMTPUMaC NT'!A$2:$B$198,2, 0), 0)</f>
        <v>2945.897324</v>
      </c>
      <c r="H17" s="66">
        <f>IFERROR(VLOOKUP(B17, 'HMMTPUMaC Algebra'!A$2:$B$198,2, 0), 0)</f>
        <v>376.6853078</v>
      </c>
      <c r="I17" s="53">
        <f>IFERROR(VLOOKUP(B17, 'HMMTPUMaC Geo'!A$2:$B$198,2, 0), 0)</f>
        <v>965.2896404</v>
      </c>
      <c r="J17" s="53">
        <f>IFERROR(VLOOKUP(B17, 'HMMT 1 Real'!$A$2:B$198,2, 0), 0)</f>
        <v>1386.483036</v>
      </c>
      <c r="K17" s="66">
        <f>IFERROR(VLOOKUP(B17, 'HMMT 2 Real'!$A$2:C$198,2, 0), 0)</f>
        <v>0</v>
      </c>
    </row>
    <row r="18">
      <c r="A18" s="65">
        <f t="shared" si="1"/>
        <v>17</v>
      </c>
      <c r="B18" s="7" t="s">
        <v>24</v>
      </c>
      <c r="C18" s="53">
        <f t="shared" si="2"/>
        <v>1087.443371</v>
      </c>
      <c r="D18" s="53">
        <f t="shared" si="3"/>
        <v>1087.443</v>
      </c>
      <c r="E18" s="57">
        <f>IFERROR(VLOOKUP(B18, Proof!A$2:$B$199,2, 0), 0)</f>
        <v>1890.909091</v>
      </c>
      <c r="F18" s="66">
        <f>IFERROR(VLOOKUP(B18, 'HMMTPUMaC Combo'!A$2:$B$198,2, 0), 0)</f>
        <v>0</v>
      </c>
      <c r="G18" s="53">
        <f>IFERROR(VLOOKUP(B18, 'HMMTPUMaC NT'!A$2:$B$198,2, 0), 0)</f>
        <v>808.8422408</v>
      </c>
      <c r="H18" s="66">
        <f>IFERROR(VLOOKUP(B18, 'HMMTPUMaC Algebra'!A$2:$B$198,2, 0), 0)</f>
        <v>1159.833916</v>
      </c>
      <c r="I18" s="53">
        <f>IFERROR(VLOOKUP(B18, 'HMMTPUMaC Geo'!A$2:$B$198,2, 0), 0)</f>
        <v>1588.395393</v>
      </c>
      <c r="J18" s="53">
        <f>IFERROR(VLOOKUP(B18, 'HMMT 1 Real'!$A$2:B$198,2, 0), 0)</f>
        <v>1004.004686</v>
      </c>
      <c r="K18" s="66">
        <f>IFERROR(VLOOKUP(B18, 'HMMT 2 Real'!$A$2:C$198,2, 0), 0)</f>
        <v>0</v>
      </c>
    </row>
    <row r="19">
      <c r="A19" s="65">
        <f t="shared" si="1"/>
        <v>18</v>
      </c>
      <c r="B19" s="7" t="s">
        <v>29</v>
      </c>
      <c r="C19" s="53">
        <f t="shared" si="2"/>
        <v>960.910982</v>
      </c>
      <c r="D19" s="53">
        <f t="shared" si="3"/>
        <v>960.911</v>
      </c>
      <c r="E19" s="57">
        <f>IFERROR(VLOOKUP(B19, Proof!A$2:$B$199,2, 0), 0)</f>
        <v>1745.454545</v>
      </c>
      <c r="F19" s="66">
        <f>IFERROR(VLOOKUP(B19, 'HMMTPUMaC Combo'!A$2:$B$198,2, 0), 0)</f>
        <v>457.1082334</v>
      </c>
      <c r="G19" s="53">
        <f>IFERROR(VLOOKUP(B19, 'HMMTPUMaC NT'!A$2:$B$198,2, 0), 0)</f>
        <v>808.8422408</v>
      </c>
      <c r="H19" s="66">
        <f>IFERROR(VLOOKUP(B19, 'HMMTPUMaC Algebra'!A$2:$B$198,2, 0), 0)</f>
        <v>376.6853078</v>
      </c>
      <c r="I19" s="53">
        <f>IFERROR(VLOOKUP(B19, 'HMMTPUMaC Geo'!A$2:$B$198,2, 0), 0)</f>
        <v>1588.395393</v>
      </c>
      <c r="J19" s="53">
        <f>IFERROR(VLOOKUP(B19, 'HMMT 1 Real'!$A$2:B$198,2, 0), 0)</f>
        <v>1049.53253</v>
      </c>
      <c r="K19" s="66">
        <f>IFERROR(VLOOKUP(B19, 'HMMT 2 Real'!$A$2:C$198,2, 0), 0)</f>
        <v>0</v>
      </c>
    </row>
    <row r="20">
      <c r="A20" s="65">
        <f t="shared" si="1"/>
        <v>19</v>
      </c>
      <c r="B20" s="7" t="s">
        <v>63</v>
      </c>
      <c r="C20" s="53">
        <f t="shared" si="2"/>
        <v>949.3406533</v>
      </c>
      <c r="D20" s="53">
        <f t="shared" si="3"/>
        <v>949.341</v>
      </c>
      <c r="E20" s="57">
        <f>IFERROR(VLOOKUP(B20, Proof!A$2:$B$199,2, 0), 0)</f>
        <v>1018.181818</v>
      </c>
      <c r="F20" s="66">
        <f>IFERROR(VLOOKUP(B20, 'HMMTPUMaC Combo'!A$2:$B$198,2, 0), 0)</f>
        <v>0</v>
      </c>
      <c r="G20" s="53">
        <f>IFERROR(VLOOKUP(B20, 'HMMTPUMaC NT'!A$2:$B$198,2, 0), 0)</f>
        <v>808.8422408</v>
      </c>
      <c r="H20" s="66">
        <f>IFERROR(VLOOKUP(B20, 'HMMTPUMaC Algebra'!A$2:$B$198,2, 0), 0)</f>
        <v>0</v>
      </c>
      <c r="I20" s="53">
        <f>IFERROR(VLOOKUP(B20, 'HMMTPUMaC Geo'!A$2:$B$198,2, 0), 0)</f>
        <v>1588.395393</v>
      </c>
      <c r="J20" s="53">
        <f>IFERROR(VLOOKUP(B20, 'HMMT 1 Real'!$A$2:B$198,2, 0), 0)</f>
        <v>2206.392255</v>
      </c>
      <c r="K20" s="66">
        <f>IFERROR(VLOOKUP(B20, 'HMMT 2 Real'!$A$2:C$198,2, 0), 0)</f>
        <v>0</v>
      </c>
    </row>
    <row r="21">
      <c r="A21" s="65">
        <f t="shared" si="1"/>
        <v>20</v>
      </c>
      <c r="B21" s="7" t="s">
        <v>23</v>
      </c>
      <c r="C21" s="53">
        <f t="shared" si="2"/>
        <v>888.2866998</v>
      </c>
      <c r="D21" s="53">
        <f t="shared" si="3"/>
        <v>888.287</v>
      </c>
      <c r="E21" s="57">
        <f>IFERROR(VLOOKUP(B21, Proof!A$2:$B$199,2, 0), 0)</f>
        <v>1163.636364</v>
      </c>
      <c r="F21" s="66">
        <f>IFERROR(VLOOKUP(B21, 'HMMTPUMaC Combo'!A$2:$B$198,2, 0), 0)</f>
        <v>0</v>
      </c>
      <c r="G21" s="53">
        <f>IFERROR(VLOOKUP(B21, 'HMMTPUMaC NT'!A$2:$B$198,2, 0), 0)</f>
        <v>386.2073683</v>
      </c>
      <c r="H21" s="66">
        <f>IFERROR(VLOOKUP(B21, 'HMMTPUMaC Algebra'!A$2:$B$198,2, 0), 0)</f>
        <v>0</v>
      </c>
      <c r="I21" s="53">
        <f>IFERROR(VLOOKUP(B21, 'HMMTPUMaC Geo'!A$2:$B$198,2, 0), 0)</f>
        <v>1588.395393</v>
      </c>
      <c r="J21" s="53">
        <f>IFERROR(VLOOKUP(B21, 'HMMT 1 Real'!$A$2:B$198,2, 0), 0)</f>
        <v>2053.537216</v>
      </c>
      <c r="K21" s="66">
        <f>IFERROR(VLOOKUP(B21, 'HMMT 2 Real'!$A$2:C$198,2, 0), 0)</f>
        <v>0</v>
      </c>
    </row>
    <row r="22">
      <c r="A22" s="65">
        <f t="shared" si="1"/>
        <v>21</v>
      </c>
      <c r="B22" s="7" t="s">
        <v>33</v>
      </c>
      <c r="C22" s="53">
        <f t="shared" si="2"/>
        <v>859.2335385</v>
      </c>
      <c r="D22" s="53">
        <f t="shared" si="3"/>
        <v>859.234</v>
      </c>
      <c r="E22" s="57">
        <f>IFERROR(VLOOKUP(B22, Proof!A$2:$B$199,2, 0), 0)</f>
        <v>1163.636364</v>
      </c>
      <c r="F22" s="66">
        <f>IFERROR(VLOOKUP(B22, 'HMMTPUMaC Combo'!A$2:$B$198,2, 0), 0)</f>
        <v>0</v>
      </c>
      <c r="G22" s="53">
        <f>IFERROR(VLOOKUP(B22, 'HMMTPUMaC NT'!A$2:$B$198,2, 0), 0)</f>
        <v>808.8422408</v>
      </c>
      <c r="H22" s="66">
        <f>IFERROR(VLOOKUP(B22, 'HMMTPUMaC Algebra'!A$2:$B$198,2, 0), 0)</f>
        <v>376.6853078</v>
      </c>
      <c r="I22" s="53">
        <f>IFERROR(VLOOKUP(B22, 'HMMTPUMaC Geo'!A$2:$B$198,2, 0), 0)</f>
        <v>1588.395393</v>
      </c>
      <c r="J22" s="53">
        <f>IFERROR(VLOOKUP(B22, 'HMMT 1 Real'!$A$2:B$198,2, 0), 0)</f>
        <v>1202.387569</v>
      </c>
      <c r="K22" s="66">
        <f>IFERROR(VLOOKUP(B22, 'HMMT 2 Real'!$A$2:C$198,2, 0), 0)</f>
        <v>0</v>
      </c>
    </row>
    <row r="23">
      <c r="A23" s="65">
        <f t="shared" si="1"/>
        <v>22</v>
      </c>
      <c r="B23" s="7" t="s">
        <v>14</v>
      </c>
      <c r="C23" s="53">
        <f t="shared" si="2"/>
        <v>689.1308422</v>
      </c>
      <c r="D23" s="53">
        <f t="shared" si="3"/>
        <v>689.131</v>
      </c>
      <c r="E23" s="57">
        <f>IFERROR(VLOOKUP(B23, Proof!A$2:$B$199,2, 0), 0)</f>
        <v>1018.181818</v>
      </c>
      <c r="F23" s="66">
        <f>IFERROR(VLOOKUP(B23, 'HMMTPUMaC Combo'!A$2:$B$198,2, 0), 0)</f>
        <v>810.2240746</v>
      </c>
      <c r="G23" s="53">
        <f>IFERROR(VLOOKUP(B23, 'HMMTPUMaC NT'!A$2:$B$198,2, 0), 0)</f>
        <v>808.8422408</v>
      </c>
      <c r="H23" s="66">
        <f>IFERROR(VLOOKUP(B23, 'HMMTPUMaC Algebra'!A$2:$B$198,2, 0), 0)</f>
        <v>0</v>
      </c>
      <c r="I23" s="53">
        <f>IFERROR(VLOOKUP(B23, 'HMMTPUMaC Geo'!A$2:$B$198,2, 0), 0)</f>
        <v>0</v>
      </c>
      <c r="J23" s="53">
        <f>IFERROR(VLOOKUP(B23, 'HMMT 1 Real'!$A$2:B$198,2, 0), 0)</f>
        <v>1386.483036</v>
      </c>
      <c r="K23" s="66">
        <f>IFERROR(VLOOKUP(B23, 'HMMT 2 Real'!$A$2:C$198,2, 0), 0)</f>
        <v>0</v>
      </c>
    </row>
    <row r="24">
      <c r="A24" s="65">
        <f t="shared" si="1"/>
        <v>23</v>
      </c>
      <c r="B24" s="7" t="s">
        <v>430</v>
      </c>
      <c r="C24" s="53">
        <f t="shared" si="2"/>
        <v>527.1259654</v>
      </c>
      <c r="D24" s="53">
        <f t="shared" si="3"/>
        <v>527.126</v>
      </c>
      <c r="E24" s="57">
        <f>IFERROR(VLOOKUP(B24, Proof!A$2:$B$199,2, 0), 0)</f>
        <v>0</v>
      </c>
      <c r="F24" s="66">
        <f>IFERROR(VLOOKUP(B24, 'HMMTPUMaC Combo'!A$2:$B$198,2, 0), 0)</f>
        <v>1116.935469</v>
      </c>
      <c r="G24" s="53">
        <f>IFERROR(VLOOKUP(B24, 'HMMTPUMaC NT'!A$2:$B$198,2, 0), 0)</f>
        <v>808.8422408</v>
      </c>
      <c r="H24" s="66">
        <f>IFERROR(VLOOKUP(B24, 'HMMTPUMaC Algebra'!A$2:$B$198,2, 0), 0)</f>
        <v>0</v>
      </c>
      <c r="I24" s="53">
        <f>IFERROR(VLOOKUP(B24, 'HMMTPUMaC Geo'!A$2:$B$198,2, 0), 0)</f>
        <v>1588.395393</v>
      </c>
      <c r="J24" s="53">
        <f>IFERROR(VLOOKUP(B24, 'HMMT 1 Real'!$A$2:B$198,2, 0), 0)</f>
        <v>0</v>
      </c>
      <c r="K24" s="66">
        <f>IFERROR(VLOOKUP(B24, 'HMMT 2 Real'!$A$2:C$198,2, 0), 0)</f>
        <v>0</v>
      </c>
    </row>
    <row r="25">
      <c r="A25" s="65">
        <f t="shared" si="1"/>
        <v>24</v>
      </c>
      <c r="B25" s="7" t="s">
        <v>572</v>
      </c>
      <c r="C25" s="53">
        <f t="shared" si="2"/>
        <v>595.8207523</v>
      </c>
      <c r="D25" s="53">
        <f t="shared" si="3"/>
        <v>595.821</v>
      </c>
      <c r="E25" s="57">
        <f>IFERROR(VLOOKUP(B25, Proof!A$2:$B$199,2, 0), 0)</f>
        <v>0</v>
      </c>
      <c r="F25" s="66">
        <f>IFERROR(VLOOKUP(B25, 'HMMTPUMaC Combo'!A$2:$B$198,2, 0), 0)</f>
        <v>0</v>
      </c>
      <c r="G25" s="53">
        <f>IFERROR(VLOOKUP(B25, 'HMMTPUMaC NT'!A$2:$B$198,2, 0), 0)</f>
        <v>386.2073683</v>
      </c>
      <c r="H25" s="66">
        <f>IFERROR(VLOOKUP(B25, 'HMMTPUMaC Algebra'!A$2:$B$198,2, 0), 0)</f>
        <v>376.6853078</v>
      </c>
      <c r="I25" s="53">
        <f>IFERROR(VLOOKUP(B25, 'HMMTPUMaC Geo'!A$2:$B$198,2, 0), 0)</f>
        <v>1028.230299</v>
      </c>
      <c r="J25" s="53">
        <f>IFERROR(VLOOKUP(B25, 'HMMT 1 Real'!$A$2:B$198,2, 0), 0)</f>
        <v>1869.441749</v>
      </c>
      <c r="K25" s="66">
        <f>IFERROR(VLOOKUP(B25, 'HMMT 2 Real'!$A$2:C$198,2, 0), 0)</f>
        <v>0</v>
      </c>
    </row>
    <row r="26">
      <c r="A26" s="65">
        <f t="shared" si="1"/>
        <v>25</v>
      </c>
      <c r="B26" s="7" t="s">
        <v>60</v>
      </c>
      <c r="C26" s="53">
        <f t="shared" si="2"/>
        <v>800.6312644</v>
      </c>
      <c r="D26" s="53">
        <f t="shared" si="3"/>
        <v>800.631</v>
      </c>
      <c r="E26" s="57">
        <f>IFERROR(VLOOKUP(B26, Proof!A$2:$B$199,2, 0), 0)</f>
        <v>2327.272727</v>
      </c>
      <c r="F26" s="66">
        <f>IFERROR(VLOOKUP(B26, 'HMMTPUMaC Combo'!A$2:$B$198,2, 0), 0)</f>
        <v>0</v>
      </c>
      <c r="G26" s="53">
        <f>IFERROR(VLOOKUP(B26, 'HMMTPUMaC NT'!A$2:$B$198,2, 0), 0)</f>
        <v>386.2073683</v>
      </c>
      <c r="H26" s="66">
        <f>IFERROR(VLOOKUP(B26, 'HMMTPUMaC Algebra'!A$2:$B$198,2, 0), 0)</f>
        <v>996.954804</v>
      </c>
      <c r="I26" s="53">
        <f>IFERROR(VLOOKUP(B26, 'HMMTPUMaC Geo'!A$2:$B$198,2, 0), 0)</f>
        <v>405.1245459</v>
      </c>
      <c r="J26" s="53">
        <f>IFERROR(VLOOKUP(B26, 'HMMT 1 Real'!$A$2:B$198,2, 0), 0)</f>
        <v>382.47835</v>
      </c>
      <c r="K26" s="66">
        <f>IFERROR(VLOOKUP(B26, 'HMMT 2 Real'!$A$2:C$198,2, 0), 0)</f>
        <v>0</v>
      </c>
    </row>
    <row r="27">
      <c r="A27" s="65">
        <f t="shared" si="1"/>
        <v>26</v>
      </c>
      <c r="B27" s="7" t="s">
        <v>434</v>
      </c>
      <c r="C27" s="53">
        <f t="shared" si="2"/>
        <v>497.0231043</v>
      </c>
      <c r="D27" s="53">
        <f t="shared" si="3"/>
        <v>497.023</v>
      </c>
      <c r="E27" s="57">
        <f>IFERROR(VLOOKUP(B27, Proof!A$2:$B$199,2, 0), 0)</f>
        <v>0</v>
      </c>
      <c r="F27" s="66">
        <f>IFERROR(VLOOKUP(B27, 'HMMTPUMaC Combo'!A$2:$B$198,2, 0), 0)</f>
        <v>457.1082334</v>
      </c>
      <c r="G27" s="53">
        <f>IFERROR(VLOOKUP(B27, 'HMMTPUMaC NT'!A$2:$B$198,2, 0), 0)</f>
        <v>808.8422408</v>
      </c>
      <c r="H27" s="66">
        <f>IFERROR(VLOOKUP(B27, 'HMMTPUMaC Algebra'!A$2:$B$198,2, 0), 0)</f>
        <v>916.2497279</v>
      </c>
      <c r="I27" s="53">
        <f>IFERROR(VLOOKUP(B27, 'HMMTPUMaC Geo'!A$2:$B$198,2, 0), 0)</f>
        <v>1588.395393</v>
      </c>
      <c r="J27" s="53">
        <f>IFERROR(VLOOKUP(B27, 'HMMT 1 Real'!$A$2:B$198,2, 0), 0)</f>
        <v>0</v>
      </c>
      <c r="K27" s="66">
        <f>IFERROR(VLOOKUP(B27, 'HMMT 2 Real'!$A$2:C$198,2, 0), 0)</f>
        <v>0</v>
      </c>
    </row>
    <row r="28">
      <c r="A28" s="65">
        <f t="shared" si="1"/>
        <v>27</v>
      </c>
      <c r="B28" s="7" t="s">
        <v>571</v>
      </c>
      <c r="C28" s="53">
        <f t="shared" si="2"/>
        <v>465.0583808</v>
      </c>
      <c r="D28" s="53">
        <f t="shared" si="3"/>
        <v>465.058</v>
      </c>
      <c r="E28" s="57">
        <f>IFERROR(VLOOKUP(B28, Proof!A$2:$B$199,2, 0), 0)</f>
        <v>0</v>
      </c>
      <c r="F28" s="66">
        <f>IFERROR(VLOOKUP(B28, 'HMMTPUMaC Combo'!A$2:$B$198,2, 0), 0)</f>
        <v>0</v>
      </c>
      <c r="G28" s="53">
        <f>IFERROR(VLOOKUP(B28, 'HMMTPUMaC NT'!A$2:$B$198,2, 0), 0)</f>
        <v>808.8422408</v>
      </c>
      <c r="H28" s="66">
        <f>IFERROR(VLOOKUP(B28, 'HMMTPUMaC Algebra'!A$2:$B$198,2, 0), 0)</f>
        <v>376.6853078</v>
      </c>
      <c r="I28" s="53">
        <f>IFERROR(VLOOKUP(B28, 'HMMTPUMaC Geo'!A$2:$B$198,2, 0), 0)</f>
        <v>965.2896404</v>
      </c>
      <c r="J28" s="53">
        <f>IFERROR(VLOOKUP(B28, 'HMMT 1 Real'!$A$2:B$198,2, 0), 0)</f>
        <v>813.9188714</v>
      </c>
      <c r="K28" s="66">
        <f>IFERROR(VLOOKUP(B28, 'HMMT 2 Real'!$A$2:C$198,2, 0), 0)</f>
        <v>0</v>
      </c>
    </row>
    <row r="29">
      <c r="A29" s="65">
        <f t="shared" si="1"/>
        <v>28</v>
      </c>
      <c r="B29" s="7" t="s">
        <v>569</v>
      </c>
      <c r="C29" s="53">
        <f t="shared" si="2"/>
        <v>443.1012012</v>
      </c>
      <c r="D29" s="53">
        <f t="shared" si="3"/>
        <v>443.101</v>
      </c>
      <c r="E29" s="57">
        <f>IFERROR(VLOOKUP(B29, Proof!A$2:$B$199,2, 0), 0)</f>
        <v>0</v>
      </c>
      <c r="F29" s="66">
        <f>IFERROR(VLOOKUP(B29, 'HMMTPUMaC Combo'!A$2:$B$198,2, 0), 0)</f>
        <v>1116.935469</v>
      </c>
      <c r="G29" s="53">
        <f>IFERROR(VLOOKUP(B29, 'HMMTPUMaC NT'!A$2:$B$198,2, 0), 0)</f>
        <v>808.8422408</v>
      </c>
      <c r="H29" s="66">
        <f>IFERROR(VLOOKUP(B29, 'HMMTPUMaC Algebra'!A$2:$B$198,2, 0), 0)</f>
        <v>376.6853078</v>
      </c>
      <c r="I29" s="53">
        <f>IFERROR(VLOOKUP(B29, 'HMMTPUMaC Geo'!A$2:$B$198,2, 0), 0)</f>
        <v>1028.230299</v>
      </c>
      <c r="J29" s="53">
        <f>IFERROR(VLOOKUP(B29, 'HMMT 1 Real'!$A$2:B$198,2, 0), 0)</f>
        <v>0</v>
      </c>
      <c r="K29" s="66">
        <f>IFERROR(VLOOKUP(B29, 'HMMT 2 Real'!$A$2:C$198,2, 0), 0)</f>
        <v>0</v>
      </c>
    </row>
    <row r="30">
      <c r="A30" s="65">
        <f t="shared" si="1"/>
        <v>29</v>
      </c>
      <c r="B30" s="7" t="s">
        <v>13</v>
      </c>
      <c r="C30" s="53">
        <f t="shared" si="2"/>
        <v>912.6005231</v>
      </c>
      <c r="D30" s="53">
        <f t="shared" si="3"/>
        <v>912.601</v>
      </c>
      <c r="E30" s="57">
        <f>IFERROR(VLOOKUP(B30, Proof!A$2:$B$199,2, 0), 0)</f>
        <v>2036.363636</v>
      </c>
      <c r="F30" s="66">
        <f>IFERROR(VLOOKUP(B30, 'HMMTPUMaC Combo'!A$2:$B$198,2, 0), 0)</f>
        <v>457.1082334</v>
      </c>
      <c r="G30" s="53">
        <f>IFERROR(VLOOKUP(B30, 'HMMTPUMaC NT'!A$2:$B$198,2, 0), 0)</f>
        <v>422.6348725</v>
      </c>
      <c r="H30" s="66">
        <f>IFERROR(VLOOKUP(B30, 'HMMTPUMaC Algebra'!A$2:$B$198,2, 0), 0)</f>
        <v>1500.229356</v>
      </c>
      <c r="I30" s="53">
        <f>IFERROR(VLOOKUP(B30, 'HMMTPUMaC Geo'!A$2:$B$198,2, 0), 0)</f>
        <v>965.2896404</v>
      </c>
      <c r="J30" s="53">
        <f>IFERROR(VLOOKUP(B30, 'HMMT 1 Real'!$A$2:B$198,2, 0), 0)</f>
        <v>382.47835</v>
      </c>
      <c r="K30" s="66">
        <f>IFERROR(VLOOKUP(B30, 'HMMT 2 Real'!$A$2:C$198,2, 0), 0)</f>
        <v>0</v>
      </c>
    </row>
    <row r="31">
      <c r="A31" s="65">
        <f t="shared" si="1"/>
        <v>30</v>
      </c>
      <c r="B31" s="7" t="s">
        <v>573</v>
      </c>
      <c r="C31" s="53">
        <f t="shared" si="2"/>
        <v>342.4945922</v>
      </c>
      <c r="D31" s="53">
        <f t="shared" si="3"/>
        <v>342.495</v>
      </c>
      <c r="E31" s="57">
        <f>IFERROR(VLOOKUP(B31, Proof!A$2:$B$199,2, 0), 0)</f>
        <v>0</v>
      </c>
      <c r="F31" s="66">
        <f>IFERROR(VLOOKUP(B31, 'HMMTPUMaC Combo'!A$2:$B$198,2, 0), 0)</f>
        <v>0</v>
      </c>
      <c r="G31" s="53">
        <f>IFERROR(VLOOKUP(B31, 'HMMTPUMaC NT'!A$2:$B$198,2, 0), 0)</f>
        <v>808.8422408</v>
      </c>
      <c r="H31" s="66">
        <f>IFERROR(VLOOKUP(B31, 'HMMTPUMaC Algebra'!A$2:$B$198,2, 0), 0)</f>
        <v>0</v>
      </c>
      <c r="I31" s="53">
        <f>IFERROR(VLOOKUP(B31, 'HMMTPUMaC Geo'!A$2:$B$198,2, 0), 0)</f>
        <v>1028.230299</v>
      </c>
      <c r="J31" s="53">
        <f>IFERROR(VLOOKUP(B31, 'HMMT 1 Real'!$A$2:B$198,2, 0), 0)</f>
        <v>382.47835</v>
      </c>
      <c r="K31" s="66">
        <f>IFERROR(VLOOKUP(B31, 'HMMT 2 Real'!$A$2:C$198,2, 0), 0)</f>
        <v>0</v>
      </c>
    </row>
    <row r="32">
      <c r="A32" s="65">
        <f t="shared" si="1"/>
        <v>31</v>
      </c>
      <c r="B32" s="7" t="s">
        <v>21</v>
      </c>
      <c r="C32" s="53">
        <f t="shared" si="2"/>
        <v>393.3477684</v>
      </c>
      <c r="D32" s="53">
        <f t="shared" si="3"/>
        <v>393.348</v>
      </c>
      <c r="E32" s="57">
        <f>IFERROR(VLOOKUP(B32, Proof!A$2:$B$199,2, 0), 0)</f>
        <v>290.9090909</v>
      </c>
      <c r="F32" s="66">
        <f>IFERROR(VLOOKUP(B32, 'HMMTPUMaC Combo'!A$2:$B$198,2, 0), 0)</f>
        <v>457.1082334</v>
      </c>
      <c r="G32" s="53">
        <f>IFERROR(VLOOKUP(B32, 'HMMTPUMaC NT'!A$2:$B$198,2, 0), 0)</f>
        <v>422.6348725</v>
      </c>
      <c r="H32" s="66">
        <f>IFERROR(VLOOKUP(B32, 'HMMTPUMaC Algebra'!A$2:$B$198,2, 0), 0)</f>
        <v>0</v>
      </c>
      <c r="I32" s="53">
        <f>IFERROR(VLOOKUP(B32, 'HMMTPUMaC Geo'!A$2:$B$198,2, 0), 0)</f>
        <v>405.1245459</v>
      </c>
      <c r="J32" s="53">
        <f>IFERROR(VLOOKUP(B32, 'HMMT 1 Real'!$A$2:B$198,2, 0), 0)</f>
        <v>813.9188714</v>
      </c>
      <c r="K32" s="66">
        <f>IFERROR(VLOOKUP(B32, 'HMMT 2 Real'!$A$2:C$198,2, 0), 0)</f>
        <v>0</v>
      </c>
    </row>
    <row r="33">
      <c r="A33" s="65">
        <f t="shared" si="1"/>
        <v>32</v>
      </c>
      <c r="B33" s="7" t="s">
        <v>88</v>
      </c>
      <c r="C33" s="53">
        <f t="shared" si="2"/>
        <v>398.9973883</v>
      </c>
      <c r="D33" s="53">
        <f t="shared" si="3"/>
        <v>398.997</v>
      </c>
      <c r="E33" s="57">
        <f>IFERROR(VLOOKUP(B33, Proof!A$2:$B$199,2, 0), 0)</f>
        <v>0</v>
      </c>
      <c r="F33" s="66">
        <f>IFERROR(VLOOKUP(B33, 'HMMTPUMaC Combo'!A$2:$B$198,2, 0), 0)</f>
        <v>0</v>
      </c>
      <c r="G33" s="53">
        <f>IFERROR(VLOOKUP(B33, 'HMMTPUMaC NT'!A$2:$B$198,2, 0), 0)</f>
        <v>808.8422408</v>
      </c>
      <c r="H33" s="66">
        <f>IFERROR(VLOOKUP(B33, 'HMMTPUMaC Algebra'!A$2:$B$198,2, 0), 0)</f>
        <v>376.6853078</v>
      </c>
      <c r="I33" s="53">
        <f>IFERROR(VLOOKUP(B33, 'HMMTPUMaC Geo'!A$2:$B$198,2, 0), 0)</f>
        <v>1028.230299</v>
      </c>
      <c r="J33" s="53">
        <f>IFERROR(VLOOKUP(B33, 'HMMT 1 Real'!$A$2:B$198,2, 0), 0)</f>
        <v>382.47835</v>
      </c>
      <c r="K33" s="66">
        <f>IFERROR(VLOOKUP(B33, 'HMMT 2 Real'!$A$2:C$198,2, 0), 0)</f>
        <v>0</v>
      </c>
    </row>
    <row r="34">
      <c r="A34" s="65">
        <f t="shared" si="1"/>
        <v>33</v>
      </c>
      <c r="B34" s="7" t="s">
        <v>17</v>
      </c>
      <c r="C34" s="53">
        <f t="shared" si="2"/>
        <v>620.9121925</v>
      </c>
      <c r="D34" s="53">
        <f t="shared" si="3"/>
        <v>620.912</v>
      </c>
      <c r="E34" s="57">
        <f>IFERROR(VLOOKUP(B34, Proof!A$2:$B$199,2, 0), 0)</f>
        <v>0</v>
      </c>
      <c r="F34" s="66">
        <f>IFERROR(VLOOKUP(B34, 'HMMTPUMaC Combo'!A$2:$B$198,2, 0), 0)</f>
        <v>1116.935469</v>
      </c>
      <c r="G34" s="53">
        <f>IFERROR(VLOOKUP(B34, 'HMMTPUMaC NT'!A$2:$B$198,2, 0), 0)</f>
        <v>0</v>
      </c>
      <c r="H34" s="66">
        <f>IFERROR(VLOOKUP(B34, 'HMMTPUMaC Algebra'!A$2:$B$198,2, 0), 0)</f>
        <v>376.6853078</v>
      </c>
      <c r="I34" s="53">
        <f>IFERROR(VLOOKUP(B34, 'HMMTPUMaC Geo'!A$2:$B$198,2, 0), 0)</f>
        <v>1028.230299</v>
      </c>
      <c r="J34" s="53">
        <f>IFERROR(VLOOKUP(B34, 'HMMT 1 Real'!$A$2:B$198,2, 0), 0)</f>
        <v>1386.483036</v>
      </c>
      <c r="K34" s="66">
        <f>IFERROR(VLOOKUP(B34, 'HMMT 2 Real'!$A$2:C$198,2, 0), 0)</f>
        <v>0</v>
      </c>
    </row>
    <row r="35">
      <c r="A35" s="65">
        <f t="shared" si="1"/>
        <v>34</v>
      </c>
      <c r="B35" s="7" t="s">
        <v>45</v>
      </c>
      <c r="C35" s="53">
        <f t="shared" si="2"/>
        <v>491.5696512</v>
      </c>
      <c r="D35" s="53">
        <f t="shared" si="3"/>
        <v>491.57</v>
      </c>
      <c r="E35" s="57">
        <f>IFERROR(VLOOKUP(B35, Proof!A$2:$B$199,2, 0), 0)</f>
        <v>0</v>
      </c>
      <c r="F35" s="66">
        <f>IFERROR(VLOOKUP(B35, 'HMMTPUMaC Combo'!A$2:$B$198,2, 0), 0)</f>
        <v>976.0619827</v>
      </c>
      <c r="G35" s="53">
        <f>IFERROR(VLOOKUP(B35, 'HMMTPUMaC NT'!A$2:$B$198,2, 0), 0)</f>
        <v>386.2073683</v>
      </c>
      <c r="H35" s="66">
        <f>IFERROR(VLOOKUP(B35, 'HMMTPUMaC Algebra'!A$2:$B$198,2, 0), 0)</f>
        <v>0</v>
      </c>
      <c r="I35" s="53">
        <f>IFERROR(VLOOKUP(B35, 'HMMTPUMaC Geo'!A$2:$B$198,2, 0), 0)</f>
        <v>965.2896404</v>
      </c>
      <c r="J35" s="53">
        <f>IFERROR(VLOOKUP(B35, 'HMMT 1 Real'!$A$2:B$198,2, 0), 0)</f>
        <v>813.9188714</v>
      </c>
      <c r="K35" s="66">
        <f>IFERROR(VLOOKUP(B35, 'HMMT 2 Real'!$A$2:C$198,2, 0), 0)</f>
        <v>0</v>
      </c>
    </row>
    <row r="36">
      <c r="A36" s="65">
        <f t="shared" si="1"/>
        <v>35</v>
      </c>
      <c r="B36" s="7" t="s">
        <v>19</v>
      </c>
      <c r="C36" s="53">
        <f t="shared" si="2"/>
        <v>733.8257945</v>
      </c>
      <c r="D36" s="53">
        <f t="shared" si="3"/>
        <v>733.826</v>
      </c>
      <c r="E36" s="57">
        <f>IFERROR(VLOOKUP(B36, Proof!A$2:$B$199,2, 0), 0)</f>
        <v>1454.545455</v>
      </c>
      <c r="F36" s="66">
        <f>IFERROR(VLOOKUP(B36, 'HMMTPUMaC Combo'!A$2:$B$198,2, 0), 0)</f>
        <v>0</v>
      </c>
      <c r="G36" s="53">
        <f>IFERROR(VLOOKUP(B36, 'HMMTPUMaC NT'!A$2:$B$198,2, 0), 0)</f>
        <v>808.8422408</v>
      </c>
      <c r="H36" s="66">
        <f>IFERROR(VLOOKUP(B36, 'HMMTPUMaC Algebra'!A$2:$B$198,2, 0), 0)</f>
        <v>960.6649363</v>
      </c>
      <c r="I36" s="53">
        <f>IFERROR(VLOOKUP(B36, 'HMMTPUMaC Geo'!A$2:$B$198,2, 0), 0)</f>
        <v>1183.270847</v>
      </c>
      <c r="J36" s="53">
        <f>IFERROR(VLOOKUP(B36, 'HMMT 1 Real'!$A$2:B$198,2, 0), 0)</f>
        <v>0</v>
      </c>
      <c r="K36" s="66">
        <f>IFERROR(VLOOKUP(B36, 'HMMT 2 Real'!$A$2:C$198,2, 0), 0)</f>
        <v>0</v>
      </c>
    </row>
    <row r="37">
      <c r="A37" s="65">
        <f t="shared" si="1"/>
        <v>36</v>
      </c>
      <c r="B37" s="7" t="s">
        <v>57</v>
      </c>
      <c r="C37" s="53">
        <f t="shared" si="2"/>
        <v>465.0583808</v>
      </c>
      <c r="D37" s="53">
        <f t="shared" si="3"/>
        <v>465.058</v>
      </c>
      <c r="E37" s="57">
        <f>IFERROR(VLOOKUP(B37, Proof!A$2:$B$199,2, 0), 0)</f>
        <v>0</v>
      </c>
      <c r="F37" s="66">
        <f>IFERROR(VLOOKUP(B37, 'HMMTPUMaC Combo'!A$2:$B$198,2, 0), 0)</f>
        <v>0</v>
      </c>
      <c r="G37" s="53">
        <f>IFERROR(VLOOKUP(B37, 'HMMTPUMaC NT'!A$2:$B$198,2, 0), 0)</f>
        <v>808.8422408</v>
      </c>
      <c r="H37" s="66">
        <f>IFERROR(VLOOKUP(B37, 'HMMTPUMaC Algebra'!A$2:$B$198,2, 0), 0)</f>
        <v>376.6853078</v>
      </c>
      <c r="I37" s="53">
        <f>IFERROR(VLOOKUP(B37, 'HMMTPUMaC Geo'!A$2:$B$198,2, 0), 0)</f>
        <v>965.2896404</v>
      </c>
      <c r="J37" s="53">
        <f>IFERROR(VLOOKUP(B37, 'HMMT 1 Real'!$A$2:B$198,2, 0), 0)</f>
        <v>813.9188714</v>
      </c>
      <c r="K37" s="66">
        <f>IFERROR(VLOOKUP(B37, 'HMMT 2 Real'!$A$2:C$198,2, 0), 0)</f>
        <v>0</v>
      </c>
    </row>
    <row r="38">
      <c r="A38" s="65">
        <f t="shared" si="1"/>
        <v>37</v>
      </c>
      <c r="B38" s="7" t="s">
        <v>34</v>
      </c>
      <c r="C38" s="53">
        <f t="shared" si="2"/>
        <v>238.5978142</v>
      </c>
      <c r="D38" s="53">
        <f t="shared" si="3"/>
        <v>238.598</v>
      </c>
      <c r="E38" s="57">
        <f>IFERROR(VLOOKUP(B38, Proof!A$2:$B$199,2, 0), 0)</f>
        <v>0</v>
      </c>
      <c r="F38" s="66">
        <f>IFERROR(VLOOKUP(B38, 'HMMTPUMaC Combo'!A$2:$B$198,2, 0), 0)</f>
        <v>0</v>
      </c>
      <c r="G38" s="53">
        <f>IFERROR(VLOOKUP(B38, 'HMMTPUMaC NT'!A$2:$B$198,2, 0), 0)</f>
        <v>808.8422408</v>
      </c>
      <c r="H38" s="66">
        <f>IFERROR(VLOOKUP(B38, 'HMMTPUMaC Algebra'!A$2:$B$198,2, 0), 0)</f>
        <v>376.6853078</v>
      </c>
      <c r="I38" s="53">
        <f>IFERROR(VLOOKUP(B38, 'HMMTPUMaC Geo'!A$2:$B$198,2, 0), 0)</f>
        <v>405.1245459</v>
      </c>
      <c r="J38" s="53">
        <f>IFERROR(VLOOKUP(B38, 'HMMT 1 Real'!$A$2:B$198,2, 0), 0)</f>
        <v>0</v>
      </c>
      <c r="K38" s="66">
        <f>IFERROR(VLOOKUP(B38, 'HMMT 2 Real'!$A$2:C$198,2, 0), 0)</f>
        <v>0</v>
      </c>
    </row>
    <row r="39">
      <c r="A39" s="65">
        <f t="shared" si="1"/>
        <v>38</v>
      </c>
      <c r="B39" s="7" t="s">
        <v>41</v>
      </c>
      <c r="C39" s="53">
        <f t="shared" si="2"/>
        <v>375.7795068</v>
      </c>
      <c r="D39" s="53">
        <f t="shared" si="3"/>
        <v>375.78</v>
      </c>
      <c r="E39" s="57">
        <f>IFERROR(VLOOKUP(B39, Proof!A$2:$B$199,2, 0), 0)</f>
        <v>145.4545455</v>
      </c>
      <c r="F39" s="66">
        <f>IFERROR(VLOOKUP(B39, 'HMMTPUMaC Combo'!A$2:$B$198,2, 0), 0)</f>
        <v>0</v>
      </c>
      <c r="G39" s="53">
        <f>IFERROR(VLOOKUP(B39, 'HMMTPUMaC NT'!A$2:$B$198,2, 0), 0)</f>
        <v>0</v>
      </c>
      <c r="H39" s="66">
        <f>IFERROR(VLOOKUP(B39, 'HMMTPUMaC Algebra'!A$2:$B$198,2, 0), 0)</f>
        <v>0</v>
      </c>
      <c r="I39" s="53">
        <f>IFERROR(VLOOKUP(B39, 'HMMTPUMaC Geo'!A$2:$B$198,2, 0), 0)</f>
        <v>405.1245459</v>
      </c>
      <c r="J39" s="53">
        <f>IFERROR(VLOOKUP(B39, 'HMMT 1 Real'!$A$2:B$198,2, 0), 0)</f>
        <v>1633.82809</v>
      </c>
      <c r="K39" s="66">
        <f>IFERROR(VLOOKUP(B39, 'HMMT 2 Real'!$A$2:C$198,2, 0), 0)</f>
        <v>0</v>
      </c>
    </row>
    <row r="40">
      <c r="A40" s="65">
        <f t="shared" si="1"/>
        <v>39</v>
      </c>
      <c r="B40" s="7" t="s">
        <v>44</v>
      </c>
      <c r="C40" s="53">
        <f t="shared" si="2"/>
        <v>408.5555847</v>
      </c>
      <c r="D40" s="53">
        <f t="shared" si="3"/>
        <v>408.556</v>
      </c>
      <c r="E40" s="57">
        <f>IFERROR(VLOOKUP(B40, Proof!A$2:$B$199,2, 0), 0)</f>
        <v>0</v>
      </c>
      <c r="F40" s="66">
        <f>IFERROR(VLOOKUP(B40, 'HMMTPUMaC Combo'!A$2:$B$198,2, 0), 0)</f>
        <v>0</v>
      </c>
      <c r="G40" s="53">
        <f>IFERROR(VLOOKUP(B40, 'HMMTPUMaC NT'!A$2:$B$198,2, 0), 0)</f>
        <v>808.8422408</v>
      </c>
      <c r="H40" s="66">
        <f>IFERROR(VLOOKUP(B40, 'HMMTPUMaC Algebra'!A$2:$B$198,2, 0), 0)</f>
        <v>0</v>
      </c>
      <c r="I40" s="53">
        <f>IFERROR(VLOOKUP(B40, 'HMMTPUMaC Geo'!A$2:$B$198,2, 0), 0)</f>
        <v>965.2896404</v>
      </c>
      <c r="J40" s="53">
        <f>IFERROR(VLOOKUP(B40, 'HMMT 1 Real'!$A$2:B$198,2, 0), 0)</f>
        <v>813.9188714</v>
      </c>
      <c r="K40" s="66">
        <f>IFERROR(VLOOKUP(B40, 'HMMT 2 Real'!$A$2:C$198,2, 0), 0)</f>
        <v>0</v>
      </c>
    </row>
    <row r="41">
      <c r="A41" s="65">
        <f t="shared" si="1"/>
        <v>40</v>
      </c>
      <c r="B41" s="7" t="s">
        <v>86</v>
      </c>
      <c r="C41" s="53">
        <f t="shared" si="2"/>
        <v>401.6197284</v>
      </c>
      <c r="D41" s="53">
        <f t="shared" si="3"/>
        <v>401.62</v>
      </c>
      <c r="E41" s="57">
        <f>IFERROR(VLOOKUP(B41, Proof!A$2:$B$199,2, 0), 0)</f>
        <v>0</v>
      </c>
      <c r="F41" s="66">
        <f>IFERROR(VLOOKUP(B41, 'HMMTPUMaC Combo'!A$2:$B$198,2, 0), 0)</f>
        <v>457.1082334</v>
      </c>
      <c r="G41" s="53">
        <f>IFERROR(VLOOKUP(B41, 'HMMTPUMaC NT'!A$2:$B$198,2, 0), 0)</f>
        <v>808.8422408</v>
      </c>
      <c r="H41" s="66">
        <f>IFERROR(VLOOKUP(B41, 'HMMTPUMaC Algebra'!A$2:$B$198,2, 0), 0)</f>
        <v>376.6853078</v>
      </c>
      <c r="I41" s="53">
        <f>IFERROR(VLOOKUP(B41, 'HMMTPUMaC Geo'!A$2:$B$198,2, 0), 0)</f>
        <v>965.2896404</v>
      </c>
      <c r="J41" s="53">
        <f>IFERROR(VLOOKUP(B41, 'HMMT 1 Real'!$A$2:B$198,2, 0), 0)</f>
        <v>382.47835</v>
      </c>
      <c r="K41" s="66">
        <f>IFERROR(VLOOKUP(B41, 'HMMT 2 Real'!$A$2:C$198,2, 0), 0)</f>
        <v>0</v>
      </c>
    </row>
    <row r="42">
      <c r="A42" s="65">
        <f t="shared" si="1"/>
        <v>41</v>
      </c>
      <c r="B42" s="7" t="s">
        <v>433</v>
      </c>
      <c r="C42" s="53">
        <f t="shared" si="2"/>
        <v>265.4260766</v>
      </c>
      <c r="D42" s="53">
        <f t="shared" si="3"/>
        <v>265.426</v>
      </c>
      <c r="E42" s="57">
        <f>IFERROR(VLOOKUP(B42, Proof!A$2:$B$199,2, 0), 0)</f>
        <v>0</v>
      </c>
      <c r="F42" s="66">
        <f>IFERROR(VLOOKUP(B42, 'HMMTPUMaC Combo'!A$2:$B$198,2, 0), 0)</f>
        <v>0</v>
      </c>
      <c r="G42" s="53">
        <f>IFERROR(VLOOKUP(B42, 'HMMTPUMaC NT'!A$2:$B$198,2, 0), 0)</f>
        <v>808.8422408</v>
      </c>
      <c r="H42" s="66">
        <f>IFERROR(VLOOKUP(B42, 'HMMTPUMaC Algebra'!A$2:$B$198,2, 0), 0)</f>
        <v>960.6649363</v>
      </c>
      <c r="I42" s="53">
        <f>IFERROR(VLOOKUP(B42, 'HMMTPUMaC Geo'!A$2:$B$198,2, 0), 0)</f>
        <v>0</v>
      </c>
      <c r="J42" s="53">
        <f>IFERROR(VLOOKUP(B42, 'HMMT 1 Real'!$A$2:B$198,2, 0), 0)</f>
        <v>0</v>
      </c>
      <c r="K42" s="66">
        <f>IFERROR(VLOOKUP(B42, 'HMMT 2 Real'!$A$2:C$198,2, 0), 0)</f>
        <v>0</v>
      </c>
    </row>
    <row r="43">
      <c r="A43" s="65">
        <f t="shared" si="1"/>
        <v>42</v>
      </c>
      <c r="B43" s="7" t="s">
        <v>42</v>
      </c>
      <c r="C43" s="53">
        <f t="shared" si="2"/>
        <v>173.1592353</v>
      </c>
      <c r="D43" s="53">
        <f t="shared" si="3"/>
        <v>173.159</v>
      </c>
      <c r="E43" s="57">
        <f>IFERROR(VLOOKUP(B43, Proof!A$2:$B$199,2, 0), 0)</f>
        <v>145.4545455</v>
      </c>
      <c r="F43" s="66">
        <f>IFERROR(VLOOKUP(B43, 'HMMTPUMaC Combo'!A$2:$B$198,2, 0), 0)</f>
        <v>457.1082334</v>
      </c>
      <c r="G43" s="53">
        <f>IFERROR(VLOOKUP(B43, 'HMMTPUMaC NT'!A$2:$B$198,2, 0), 0)</f>
        <v>0</v>
      </c>
      <c r="H43" s="66">
        <f>IFERROR(VLOOKUP(B43, 'HMMTPUMaC Algebra'!A$2:$B$198,2, 0), 0)</f>
        <v>0</v>
      </c>
      <c r="I43" s="53">
        <f>IFERROR(VLOOKUP(B43, 'HMMTPUMaC Geo'!A$2:$B$198,2, 0), 0)</f>
        <v>0</v>
      </c>
      <c r="J43" s="53">
        <f>IFERROR(VLOOKUP(B43, 'HMMT 1 Real'!$A$2:B$198,2, 0), 0)</f>
        <v>431.4405214</v>
      </c>
      <c r="K43" s="66">
        <f>IFERROR(VLOOKUP(B43, 'HMMT 2 Real'!$A$2:C$198,2, 0), 0)</f>
        <v>0</v>
      </c>
    </row>
    <row r="44">
      <c r="A44" s="65">
        <f t="shared" si="1"/>
        <v>43</v>
      </c>
      <c r="B44" s="7" t="s">
        <v>39</v>
      </c>
      <c r="C44" s="53">
        <f t="shared" si="2"/>
        <v>189.8925711</v>
      </c>
      <c r="D44" s="53">
        <f t="shared" si="3"/>
        <v>189.893</v>
      </c>
      <c r="E44" s="57">
        <f>IFERROR(VLOOKUP(B44, Proof!A$2:$B$199,2, 0), 0)</f>
        <v>0</v>
      </c>
      <c r="F44" s="66">
        <f>IFERROR(VLOOKUP(B44, 'HMMTPUMaC Combo'!A$2:$B$198,2, 0), 0)</f>
        <v>457.1082334</v>
      </c>
      <c r="G44" s="53">
        <f>IFERROR(VLOOKUP(B44, 'HMMTPUMaC NT'!A$2:$B$198,2, 0), 0)</f>
        <v>808.8422408</v>
      </c>
      <c r="H44" s="66">
        <f>IFERROR(VLOOKUP(B44, 'HMMTPUMaC Algebra'!A$2:$B$198,2, 0), 0)</f>
        <v>0</v>
      </c>
      <c r="I44" s="53">
        <f>IFERROR(VLOOKUP(B44, 'HMMTPUMaC Geo'!A$2:$B$198,2, 0), 0)</f>
        <v>0</v>
      </c>
      <c r="J44" s="53">
        <f>IFERROR(VLOOKUP(B44, 'HMMT 1 Real'!$A$2:B$198,2, 0), 0)</f>
        <v>0</v>
      </c>
      <c r="K44" s="66">
        <f>IFERROR(VLOOKUP(B44, 'HMMT 2 Real'!$A$2:C$198,2, 0), 0)</f>
        <v>0</v>
      </c>
    </row>
    <row r="45">
      <c r="A45" s="65">
        <f t="shared" si="1"/>
        <v>44</v>
      </c>
      <c r="B45" s="7" t="s">
        <v>568</v>
      </c>
      <c r="C45" s="53">
        <f t="shared" si="2"/>
        <v>167.5403203</v>
      </c>
      <c r="D45" s="53">
        <f t="shared" si="3"/>
        <v>167.54</v>
      </c>
      <c r="E45" s="57">
        <f>IFERROR(VLOOKUP(B45, Proof!A$2:$B$199,2, 0), 0)</f>
        <v>0</v>
      </c>
      <c r="F45" s="66">
        <f>IFERROR(VLOOKUP(B45, 'HMMTPUMaC Combo'!A$2:$B$198,2, 0), 0)</f>
        <v>1116.935469</v>
      </c>
      <c r="G45" s="53">
        <f>IFERROR(VLOOKUP(B45, 'HMMTPUMaC NT'!A$2:$B$198,2, 0), 0)</f>
        <v>0</v>
      </c>
      <c r="H45" s="66">
        <f>IFERROR(VLOOKUP(B45, 'HMMTPUMaC Algebra'!A$2:$B$198,2, 0), 0)</f>
        <v>0</v>
      </c>
      <c r="I45" s="53">
        <f>IFERROR(VLOOKUP(B45, 'HMMTPUMaC Geo'!A$2:$B$198,2, 0), 0)</f>
        <v>0</v>
      </c>
      <c r="J45" s="53">
        <f>IFERROR(VLOOKUP(B45, 'HMMT 1 Real'!$A$2:B$198,2, 0), 0)</f>
        <v>0</v>
      </c>
      <c r="K45" s="66">
        <f>IFERROR(VLOOKUP(B45, 'HMMT 2 Real'!$A$2:C$198,2, 0), 0)</f>
        <v>0</v>
      </c>
    </row>
    <row r="46">
      <c r="A46" s="65">
        <f t="shared" si="1"/>
        <v>45</v>
      </c>
      <c r="B46" s="7" t="s">
        <v>40</v>
      </c>
      <c r="C46" s="53">
        <f t="shared" si="2"/>
        <v>274.3972684</v>
      </c>
      <c r="D46" s="53">
        <f t="shared" si="3"/>
        <v>274.397</v>
      </c>
      <c r="E46" s="57">
        <f>IFERROR(VLOOKUP(B46, Proof!A$2:$B$199,2, 0), 0)</f>
        <v>0</v>
      </c>
      <c r="F46" s="66">
        <f>IFERROR(VLOOKUP(B46, 'HMMTPUMaC Combo'!A$2:$B$198,2, 0), 0)</f>
        <v>457.1082334</v>
      </c>
      <c r="G46" s="53">
        <f>IFERROR(VLOOKUP(B46, 'HMMTPUMaC NT'!A$2:$B$198,2, 0), 0)</f>
        <v>422.6348725</v>
      </c>
      <c r="H46" s="66">
        <f>IFERROR(VLOOKUP(B46, 'HMMTPUMaC Algebra'!A$2:$B$198,2, 0), 0)</f>
        <v>0</v>
      </c>
      <c r="I46" s="53">
        <f>IFERROR(VLOOKUP(B46, 'HMMTPUMaC Geo'!A$2:$B$198,2, 0), 0)</f>
        <v>0</v>
      </c>
      <c r="J46" s="53">
        <f>IFERROR(VLOOKUP(B46, 'HMMT 1 Real'!$A$2:B$198,2, 0), 0)</f>
        <v>813.9188714</v>
      </c>
      <c r="K46" s="66">
        <f>IFERROR(VLOOKUP(B46, 'HMMT 2 Real'!$A$2:C$198,2, 0), 0)</f>
        <v>0</v>
      </c>
    </row>
    <row r="47">
      <c r="A47" s="65">
        <f t="shared" si="1"/>
        <v>46</v>
      </c>
      <c r="B47" s="7" t="s">
        <v>43</v>
      </c>
      <c r="C47" s="53">
        <f t="shared" si="2"/>
        <v>191.097624</v>
      </c>
      <c r="D47" s="53">
        <f t="shared" si="3"/>
        <v>191.098</v>
      </c>
      <c r="E47" s="57">
        <f>IFERROR(VLOOKUP(B47, Proof!A$2:$B$199,2, 0), 0)</f>
        <v>0</v>
      </c>
      <c r="F47" s="66">
        <f>IFERROR(VLOOKUP(B47, 'HMMTPUMaC Combo'!A$2:$B$198,2, 0), 0)</f>
        <v>0</v>
      </c>
      <c r="G47" s="53">
        <f>IFERROR(VLOOKUP(B47, 'HMMTPUMaC NT'!A$2:$B$198,2, 0), 0)</f>
        <v>422.6348725</v>
      </c>
      <c r="H47" s="66">
        <f>IFERROR(VLOOKUP(B47, 'HMMTPUMaC Algebra'!A$2:$B$198,2, 0), 0)</f>
        <v>0</v>
      </c>
      <c r="I47" s="53">
        <f>IFERROR(VLOOKUP(B47, 'HMMTPUMaC Geo'!A$2:$B$198,2, 0), 0)</f>
        <v>405.1245459</v>
      </c>
      <c r="J47" s="53">
        <f>IFERROR(VLOOKUP(B47, 'HMMT 1 Real'!$A$2:B$198,2, 0), 0)</f>
        <v>382.47835</v>
      </c>
      <c r="K47" s="66">
        <f>IFERROR(VLOOKUP(B47, 'HMMT 2 Real'!$A$2:C$198,2, 0), 0)</f>
        <v>0</v>
      </c>
    </row>
    <row r="48">
      <c r="A48" s="65">
        <f t="shared" si="1"/>
        <v>47</v>
      </c>
      <c r="B48" s="7" t="s">
        <v>96</v>
      </c>
      <c r="C48" s="53">
        <f t="shared" si="2"/>
        <v>189.8925711</v>
      </c>
      <c r="D48" s="53">
        <f t="shared" si="3"/>
        <v>189.893</v>
      </c>
      <c r="E48" s="57">
        <f>IFERROR(VLOOKUP(B48, Proof!A$2:$B$199,2, 0), 0)</f>
        <v>0</v>
      </c>
      <c r="F48" s="66">
        <f>IFERROR(VLOOKUP(B48, 'HMMTPUMaC Combo'!A$2:$B$198,2, 0), 0)</f>
        <v>457.1082334</v>
      </c>
      <c r="G48" s="53">
        <f>IFERROR(VLOOKUP(B48, 'HMMTPUMaC NT'!A$2:$B$198,2, 0), 0)</f>
        <v>808.8422408</v>
      </c>
      <c r="H48" s="66">
        <f>IFERROR(VLOOKUP(B48, 'HMMTPUMaC Algebra'!A$2:$B$198,2, 0), 0)</f>
        <v>0</v>
      </c>
      <c r="I48" s="53">
        <f>IFERROR(VLOOKUP(B48, 'HMMTPUMaC Geo'!A$2:$B$198,2, 0), 0)</f>
        <v>0</v>
      </c>
      <c r="J48" s="53">
        <f>IFERROR(VLOOKUP(B48, 'HMMT 1 Real'!$A$2:B$198,2, 0), 0)</f>
        <v>0</v>
      </c>
      <c r="K48" s="66">
        <f>IFERROR(VLOOKUP(B48, 'HMMT 2 Real'!$A$2:C$198,2, 0), 0)</f>
        <v>0</v>
      </c>
    </row>
    <row r="49">
      <c r="A49" s="65">
        <f t="shared" si="1"/>
        <v>48</v>
      </c>
      <c r="B49" s="7" t="s">
        <v>95</v>
      </c>
      <c r="C49" s="53">
        <f t="shared" si="2"/>
        <v>182.095018</v>
      </c>
      <c r="D49" s="53">
        <f t="shared" si="3"/>
        <v>182.095</v>
      </c>
      <c r="E49" s="57">
        <f>IFERROR(VLOOKUP(B49, Proof!A$2:$B$199,2, 0), 0)</f>
        <v>0</v>
      </c>
      <c r="F49" s="66">
        <f>IFERROR(VLOOKUP(B49, 'HMMTPUMaC Combo'!A$2:$B$198,2, 0), 0)</f>
        <v>0</v>
      </c>
      <c r="G49" s="53">
        <f>IFERROR(VLOOKUP(B49, 'HMMTPUMaC NT'!A$2:$B$198,2, 0), 0)</f>
        <v>808.8422408</v>
      </c>
      <c r="H49" s="66">
        <f>IFERROR(VLOOKUP(B49, 'HMMTPUMaC Algebra'!A$2:$B$198,2, 0), 0)</f>
        <v>0</v>
      </c>
      <c r="I49" s="53">
        <f>IFERROR(VLOOKUP(B49, 'HMMTPUMaC Geo'!A$2:$B$198,2, 0), 0)</f>
        <v>405.1245459</v>
      </c>
      <c r="J49" s="53">
        <f>IFERROR(VLOOKUP(B49, 'HMMT 1 Real'!$A$2:B$198,2, 0), 0)</f>
        <v>0</v>
      </c>
      <c r="K49" s="66">
        <f>IFERROR(VLOOKUP(B49, 'HMMT 2 Real'!$A$2:C$198,2, 0), 0)</f>
        <v>0</v>
      </c>
    </row>
    <row r="50">
      <c r="A50" s="65">
        <f t="shared" si="1"/>
        <v>49</v>
      </c>
      <c r="B50" s="7" t="s">
        <v>435</v>
      </c>
      <c r="C50" s="53">
        <f t="shared" si="2"/>
        <v>228.3090022</v>
      </c>
      <c r="D50" s="53">
        <f t="shared" si="3"/>
        <v>228.309</v>
      </c>
      <c r="E50" s="57">
        <f>IFERROR(VLOOKUP(B50, Proof!A$2:$B$199,2, 0), 0)</f>
        <v>0</v>
      </c>
      <c r="F50" s="66">
        <f>IFERROR(VLOOKUP(B50, 'HMMTPUMaC Combo'!A$2:$B$198,2, 0), 0)</f>
        <v>1116.935469</v>
      </c>
      <c r="G50" s="53">
        <f>IFERROR(VLOOKUP(B50, 'HMMTPUMaC NT'!A$2:$B$198,2, 0), 0)</f>
        <v>0</v>
      </c>
      <c r="H50" s="66">
        <f>IFERROR(VLOOKUP(B50, 'HMMTPUMaC Algebra'!A$2:$B$198,2, 0), 0)</f>
        <v>0</v>
      </c>
      <c r="I50" s="53">
        <f>IFERROR(VLOOKUP(B50, 'HMMTPUMaC Geo'!A$2:$B$198,2, 0), 0)</f>
        <v>405.1245459</v>
      </c>
      <c r="J50" s="53">
        <f>IFERROR(VLOOKUP(B50, 'HMMT 1 Real'!$A$2:B$198,2, 0), 0)</f>
        <v>0</v>
      </c>
      <c r="K50" s="66">
        <f>IFERROR(VLOOKUP(B50, 'HMMT 2 Real'!$A$2:C$198,2, 0), 0)</f>
        <v>0</v>
      </c>
    </row>
    <row r="51">
      <c r="A51" s="65">
        <f t="shared" si="1"/>
        <v>50</v>
      </c>
      <c r="B51" s="7" t="s">
        <v>89</v>
      </c>
      <c r="C51" s="53">
        <f t="shared" si="2"/>
        <v>204.2934924</v>
      </c>
      <c r="D51" s="53">
        <f t="shared" si="3"/>
        <v>204.293</v>
      </c>
      <c r="E51" s="57">
        <f>IFERROR(VLOOKUP(B51, Proof!A$2:$B$199,2, 0), 0)</f>
        <v>145.4545455</v>
      </c>
      <c r="F51" s="66">
        <f>IFERROR(VLOOKUP(B51, 'HMMTPUMaC Combo'!A$2:$B$198,2, 0), 0)</f>
        <v>0</v>
      </c>
      <c r="G51" s="53">
        <f>IFERROR(VLOOKUP(B51, 'HMMTPUMaC NT'!A$2:$B$198,2, 0), 0)</f>
        <v>386.2073683</v>
      </c>
      <c r="H51" s="66">
        <f>IFERROR(VLOOKUP(B51, 'HMMTPUMaC Algebra'!A$2:$B$198,2, 0), 0)</f>
        <v>376.6853078</v>
      </c>
      <c r="I51" s="53">
        <f>IFERROR(VLOOKUP(B51, 'HMMTPUMaC Geo'!A$2:$B$198,2, 0), 0)</f>
        <v>405.1245459</v>
      </c>
      <c r="J51" s="53">
        <f>IFERROR(VLOOKUP(B51, 'HMMT 1 Real'!$A$2:B$198,2, 0), 0)</f>
        <v>0</v>
      </c>
      <c r="K51" s="66">
        <f>IFERROR(VLOOKUP(B51, 'HMMT 2 Real'!$A$2:C$198,2, 0), 0)</f>
        <v>0</v>
      </c>
    </row>
    <row r="52">
      <c r="A52" s="65">
        <f t="shared" si="1"/>
        <v>51</v>
      </c>
      <c r="B52" s="7" t="s">
        <v>99</v>
      </c>
      <c r="C52" s="53">
        <f t="shared" si="2"/>
        <v>68.56623501</v>
      </c>
      <c r="D52" s="53">
        <f t="shared" si="3"/>
        <v>68.566</v>
      </c>
      <c r="E52" s="57">
        <f>IFERROR(VLOOKUP(B52, Proof!A$2:$B$199,2, 0), 0)</f>
        <v>0</v>
      </c>
      <c r="F52" s="66">
        <f>IFERROR(VLOOKUP(B52, 'HMMTPUMaC Combo'!A$2:$B$198,2, 0), 0)</f>
        <v>457.1082334</v>
      </c>
      <c r="G52" s="53">
        <f>IFERROR(VLOOKUP(B52, 'HMMTPUMaC NT'!A$2:$B$198,2, 0), 0)</f>
        <v>0</v>
      </c>
      <c r="H52" s="66">
        <f>IFERROR(VLOOKUP(B52, 'HMMTPUMaC Algebra'!A$2:$B$198,2, 0), 0)</f>
        <v>0</v>
      </c>
      <c r="I52" s="53">
        <f>IFERROR(VLOOKUP(B52, 'HMMTPUMaC Geo'!A$2:$B$198,2, 0), 0)</f>
        <v>0</v>
      </c>
      <c r="J52" s="53">
        <f>IFERROR(VLOOKUP(B52, 'HMMT 1 Real'!$A$2:B$198,2, 0), 0)</f>
        <v>0</v>
      </c>
      <c r="K52" s="66">
        <f>IFERROR(VLOOKUP(B52, 'HMMT 2 Real'!$A$2:C$198,2, 0), 0)</f>
        <v>0</v>
      </c>
    </row>
    <row r="53">
      <c r="A53" s="65">
        <f t="shared" si="1"/>
        <v>52</v>
      </c>
      <c r="B53" s="7" t="s">
        <v>37</v>
      </c>
      <c r="C53" s="53">
        <f t="shared" si="2"/>
        <v>299.660984</v>
      </c>
      <c r="D53" s="53">
        <f t="shared" si="3"/>
        <v>299.661</v>
      </c>
      <c r="E53" s="57">
        <f>IFERROR(VLOOKUP(B53, Proof!A$2:$B$199,2, 0), 0)</f>
        <v>1163.636364</v>
      </c>
      <c r="F53" s="66">
        <f>IFERROR(VLOOKUP(B53, 'HMMTPUMaC Combo'!A$2:$B$198,2, 0), 0)</f>
        <v>0</v>
      </c>
      <c r="G53" s="53">
        <f>IFERROR(VLOOKUP(B53, 'HMMTPUMaC NT'!A$2:$B$198,2, 0), 0)</f>
        <v>0</v>
      </c>
      <c r="H53" s="66">
        <f>IFERROR(VLOOKUP(B53, 'HMMTPUMaC Algebra'!A$2:$B$198,2, 0), 0)</f>
        <v>0</v>
      </c>
      <c r="I53" s="53">
        <f>IFERROR(VLOOKUP(B53, 'HMMTPUMaC Geo'!A$2:$B$198,2, 0), 0)</f>
        <v>0</v>
      </c>
      <c r="J53" s="53">
        <f>IFERROR(VLOOKUP(B53, 'HMMT 1 Real'!$A$2:B$198,2, 0), 0)</f>
        <v>382.47835</v>
      </c>
      <c r="K53" s="66">
        <f>IFERROR(VLOOKUP(B53, 'HMMT 2 Real'!$A$2:C$198,2, 0), 0)</f>
        <v>0</v>
      </c>
    </row>
    <row r="54">
      <c r="A54" s="65">
        <f t="shared" si="1"/>
        <v>53</v>
      </c>
      <c r="B54" s="7" t="s">
        <v>298</v>
      </c>
      <c r="C54" s="53">
        <f t="shared" si="2"/>
        <v>189.7210206</v>
      </c>
      <c r="D54" s="53">
        <f t="shared" si="3"/>
        <v>189.721</v>
      </c>
      <c r="E54" s="57">
        <f>IFERROR(VLOOKUP(B54, Proof!A$2:$B$199,2, 0), 0)</f>
        <v>0</v>
      </c>
      <c r="F54" s="66">
        <f>IFERROR(VLOOKUP(B54, 'HMMTPUMaC Combo'!A$2:$B$198,2, 0), 0)</f>
        <v>842.1719314</v>
      </c>
      <c r="G54" s="53">
        <f>IFERROR(VLOOKUP(B54, 'HMMTPUMaC NT'!A$2:$B$198,2, 0), 0)</f>
        <v>422.6348725</v>
      </c>
      <c r="H54" s="66">
        <f>IFERROR(VLOOKUP(B54, 'HMMTPUMaC Algebra'!A$2:$B$198,2, 0), 0)</f>
        <v>0</v>
      </c>
      <c r="I54" s="53">
        <f>IFERROR(VLOOKUP(B54, 'HMMTPUMaC Geo'!A$2:$B$198,2, 0), 0)</f>
        <v>0</v>
      </c>
      <c r="J54" s="53">
        <f>IFERROR(VLOOKUP(B54, 'HMMT 1 Real'!$A$2:B$198,2, 0), 0)</f>
        <v>0</v>
      </c>
      <c r="K54" s="66">
        <f>IFERROR(VLOOKUP(B54, 'HMMT 2 Real'!$A$2:C$198,2, 0), 0)</f>
        <v>0</v>
      </c>
    </row>
    <row r="55">
      <c r="A55" s="65">
        <f t="shared" si="1"/>
        <v>54</v>
      </c>
      <c r="B55" s="7" t="s">
        <v>318</v>
      </c>
      <c r="C55" s="53">
        <f t="shared" si="2"/>
        <v>136.2707731</v>
      </c>
      <c r="D55" s="53">
        <f t="shared" si="3"/>
        <v>136.271</v>
      </c>
      <c r="E55" s="57">
        <f>IFERROR(VLOOKUP(B55, Proof!A$2:$B$199,2, 0), 0)</f>
        <v>0</v>
      </c>
      <c r="F55" s="66">
        <f>IFERROR(VLOOKUP(B55, 'HMMTPUMaC Combo'!A$2:$B$198,2, 0), 0)</f>
        <v>0</v>
      </c>
      <c r="G55" s="53">
        <f>IFERROR(VLOOKUP(B55, 'HMMTPUMaC NT'!A$2:$B$198,2, 0), 0)</f>
        <v>0</v>
      </c>
      <c r="H55" s="66">
        <f>IFERROR(VLOOKUP(B55, 'HMMTPUMaC Algebra'!A$2:$B$198,2, 0), 0)</f>
        <v>0</v>
      </c>
      <c r="I55" s="53">
        <f>IFERROR(VLOOKUP(B55, 'HMMTPUMaC Geo'!A$2:$B$198,2, 0), 0)</f>
        <v>405.1245459</v>
      </c>
      <c r="J55" s="53">
        <f>IFERROR(VLOOKUP(B55, 'HMMT 1 Real'!$A$2:B$198,2, 0), 0)</f>
        <v>431.4405214</v>
      </c>
      <c r="K55" s="66">
        <f>IFERROR(VLOOKUP(B55, 'HMMT 2 Real'!$A$2:C$198,2, 0), 0)</f>
        <v>0</v>
      </c>
    </row>
    <row r="56">
      <c r="A56" s="65">
        <f t="shared" si="1"/>
        <v>55</v>
      </c>
      <c r="B56" s="7" t="s">
        <v>140</v>
      </c>
      <c r="C56" s="53">
        <f t="shared" si="2"/>
        <v>68.56623501</v>
      </c>
      <c r="D56" s="53">
        <f t="shared" si="3"/>
        <v>68.566</v>
      </c>
      <c r="E56" s="57">
        <f>IFERROR(VLOOKUP(B56, Proof!A$2:$B$199,2, 0), 0)</f>
        <v>0</v>
      </c>
      <c r="F56" s="66">
        <f>IFERROR(VLOOKUP(B56, 'HMMTPUMaC Combo'!A$2:$B$198,2, 0), 0)</f>
        <v>457.1082334</v>
      </c>
      <c r="G56" s="53">
        <f>IFERROR(VLOOKUP(B56, 'HMMTPUMaC NT'!A$2:$B$198,2, 0), 0)</f>
        <v>0</v>
      </c>
      <c r="H56" s="66">
        <f>IFERROR(VLOOKUP(B56, 'HMMTPUMaC Algebra'!A$2:$B$198,2, 0), 0)</f>
        <v>0</v>
      </c>
      <c r="I56" s="53">
        <f>IFERROR(VLOOKUP(B56, 'HMMTPUMaC Geo'!A$2:$B$198,2, 0), 0)</f>
        <v>0</v>
      </c>
      <c r="J56" s="53">
        <f>IFERROR(VLOOKUP(B56, 'HMMT 1 Real'!$A$2:B$198,2, 0), 0)</f>
        <v>0</v>
      </c>
      <c r="K56" s="66">
        <f>IFERROR(VLOOKUP(B56, 'HMMT 2 Real'!$A$2:C$198,2, 0), 0)</f>
        <v>0</v>
      </c>
    </row>
    <row r="57">
      <c r="A57" s="65">
        <f t="shared" si="1"/>
        <v>56</v>
      </c>
      <c r="B57" s="7" t="s">
        <v>442</v>
      </c>
      <c r="C57" s="53">
        <f t="shared" si="2"/>
        <v>129.3349169</v>
      </c>
      <c r="D57" s="53">
        <f t="shared" si="3"/>
        <v>129.335</v>
      </c>
      <c r="E57" s="57">
        <f>IFERROR(VLOOKUP(B57, Proof!A$2:$B$199,2, 0), 0)</f>
        <v>0</v>
      </c>
      <c r="F57" s="66">
        <f>IFERROR(VLOOKUP(B57, 'HMMTPUMaC Combo'!A$2:$B$198,2, 0), 0)</f>
        <v>457.1082334</v>
      </c>
      <c r="G57" s="53">
        <f>IFERROR(VLOOKUP(B57, 'HMMTPUMaC NT'!A$2:$B$198,2, 0), 0)</f>
        <v>0</v>
      </c>
      <c r="H57" s="66">
        <f>IFERROR(VLOOKUP(B57, 'HMMTPUMaC Algebra'!A$2:$B$198,2, 0), 0)</f>
        <v>0</v>
      </c>
      <c r="I57" s="53">
        <f>IFERROR(VLOOKUP(B57, 'HMMTPUMaC Geo'!A$2:$B$198,2, 0), 0)</f>
        <v>405.1245459</v>
      </c>
      <c r="J57" s="53">
        <f>IFERROR(VLOOKUP(B57, 'HMMT 1 Real'!$A$2:B$198,2, 0), 0)</f>
        <v>0</v>
      </c>
      <c r="K57" s="66">
        <f>IFERROR(VLOOKUP(B57, 'HMMT 2 Real'!$A$2:C$198,2, 0), 0)</f>
        <v>0</v>
      </c>
    </row>
    <row r="58">
      <c r="A58" s="65">
        <f t="shared" si="1"/>
        <v>57</v>
      </c>
      <c r="B58" s="7" t="s">
        <v>305</v>
      </c>
      <c r="C58" s="53">
        <f t="shared" si="2"/>
        <v>126.4973403</v>
      </c>
      <c r="D58" s="53">
        <f t="shared" si="3"/>
        <v>126.497</v>
      </c>
      <c r="E58" s="57">
        <f>IFERROR(VLOOKUP(B58, Proof!A$2:$B$199,2, 0), 0)</f>
        <v>0</v>
      </c>
      <c r="F58" s="66">
        <f>IFERROR(VLOOKUP(B58, 'HMMTPUMaC Combo'!A$2:$B$198,2, 0), 0)</f>
        <v>457.1082334</v>
      </c>
      <c r="G58" s="53">
        <f>IFERROR(VLOOKUP(B58, 'HMMTPUMaC NT'!A$2:$B$198,2, 0), 0)</f>
        <v>386.2073683</v>
      </c>
      <c r="H58" s="66">
        <f>IFERROR(VLOOKUP(B58, 'HMMTPUMaC Algebra'!A$2:$B$198,2, 0), 0)</f>
        <v>0</v>
      </c>
      <c r="I58" s="53">
        <f>IFERROR(VLOOKUP(B58, 'HMMTPUMaC Geo'!A$2:$B$198,2, 0), 0)</f>
        <v>0</v>
      </c>
      <c r="J58" s="53">
        <f>IFERROR(VLOOKUP(B58, 'HMMT 1 Real'!$A$2:B$198,2, 0), 0)</f>
        <v>0</v>
      </c>
      <c r="K58" s="66">
        <f>IFERROR(VLOOKUP(B58, 'HMMT 2 Real'!$A$2:C$198,2, 0), 0)</f>
        <v>0</v>
      </c>
    </row>
    <row r="59">
      <c r="A59" s="65">
        <f t="shared" si="1"/>
        <v>58</v>
      </c>
      <c r="B59" s="7" t="s">
        <v>64</v>
      </c>
      <c r="C59" s="53">
        <f t="shared" si="2"/>
        <v>124.8648165</v>
      </c>
      <c r="D59" s="53">
        <f t="shared" si="3"/>
        <v>124.865</v>
      </c>
      <c r="E59" s="57">
        <f>IFERROR(VLOOKUP(B59, Proof!A$2:$B$199,2, 0), 0)</f>
        <v>0</v>
      </c>
      <c r="F59" s="66">
        <f>IFERROR(VLOOKUP(B59, 'HMMTPUMaC Combo'!A$2:$B$198,2, 0), 0)</f>
        <v>0</v>
      </c>
      <c r="G59" s="53">
        <f>IFERROR(VLOOKUP(B59, 'HMMTPUMaC NT'!A$2:$B$198,2, 0), 0)</f>
        <v>386.2073683</v>
      </c>
      <c r="H59" s="66">
        <f>IFERROR(VLOOKUP(B59, 'HMMTPUMaC Algebra'!A$2:$B$198,2, 0), 0)</f>
        <v>0</v>
      </c>
      <c r="I59" s="53">
        <f>IFERROR(VLOOKUP(B59, 'HMMTPUMaC Geo'!A$2:$B$198,2, 0), 0)</f>
        <v>0</v>
      </c>
      <c r="J59" s="53">
        <f>IFERROR(VLOOKUP(B59, 'HMMT 1 Real'!$A$2:B$198,2, 0), 0)</f>
        <v>382.47835</v>
      </c>
      <c r="K59" s="66">
        <f>IFERROR(VLOOKUP(B59, 'HMMT 2 Real'!$A$2:C$198,2, 0), 0)</f>
        <v>0</v>
      </c>
    </row>
    <row r="60">
      <c r="A60" s="65">
        <f t="shared" si="1"/>
        <v>59</v>
      </c>
      <c r="B60" s="7" t="s">
        <v>31</v>
      </c>
      <c r="C60" s="53">
        <f t="shared" si="2"/>
        <v>124.1639128</v>
      </c>
      <c r="D60" s="53">
        <f t="shared" si="3"/>
        <v>124.164</v>
      </c>
      <c r="E60" s="57">
        <f>IFERROR(VLOOKUP(B60, Proof!A$2:$B$199,2, 0), 0)</f>
        <v>0</v>
      </c>
      <c r="F60" s="66">
        <f>IFERROR(VLOOKUP(B60, 'HMMTPUMaC Combo'!A$2:$B$198,2, 0), 0)</f>
        <v>0</v>
      </c>
      <c r="G60" s="53">
        <f>IFERROR(VLOOKUP(B60, 'HMMTPUMaC NT'!A$2:$B$198,2, 0), 0)</f>
        <v>422.6348725</v>
      </c>
      <c r="H60" s="66">
        <f>IFERROR(VLOOKUP(B60, 'HMMTPUMaC Algebra'!A$2:$B$198,2, 0), 0)</f>
        <v>0</v>
      </c>
      <c r="I60" s="53">
        <f>IFERROR(VLOOKUP(B60, 'HMMTPUMaC Geo'!A$2:$B$198,2, 0), 0)</f>
        <v>405.1245459</v>
      </c>
      <c r="J60" s="53">
        <f>IFERROR(VLOOKUP(B60, 'HMMT 1 Real'!$A$2:B$198,2, 0), 0)</f>
        <v>0</v>
      </c>
      <c r="K60" s="66">
        <f>IFERROR(VLOOKUP(B60, 'HMMT 2 Real'!$A$2:C$198,2, 0), 0)</f>
        <v>0</v>
      </c>
    </row>
    <row r="61">
      <c r="A61" s="65">
        <f t="shared" si="1"/>
        <v>60</v>
      </c>
      <c r="B61" s="7" t="s">
        <v>16</v>
      </c>
      <c r="C61" s="53">
        <f t="shared" si="2"/>
        <v>121.3263361</v>
      </c>
      <c r="D61" s="53">
        <f t="shared" si="3"/>
        <v>121.326</v>
      </c>
      <c r="E61" s="57">
        <f>IFERROR(VLOOKUP(B61, Proof!A$2:$B$199,2, 0), 0)</f>
        <v>0</v>
      </c>
      <c r="F61" s="66">
        <f>IFERROR(VLOOKUP(B61, 'HMMTPUMaC Combo'!A$2:$B$198,2, 0), 0)</f>
        <v>0</v>
      </c>
      <c r="G61" s="53">
        <f>IFERROR(VLOOKUP(B61, 'HMMTPUMaC NT'!A$2:$B$198,2, 0), 0)</f>
        <v>808.8422408</v>
      </c>
      <c r="H61" s="66">
        <f>IFERROR(VLOOKUP(B61, 'HMMTPUMaC Algebra'!A$2:$B$198,2, 0), 0)</f>
        <v>0</v>
      </c>
      <c r="I61" s="53">
        <f>IFERROR(VLOOKUP(B61, 'HMMTPUMaC Geo'!A$2:$B$198,2, 0), 0)</f>
        <v>0</v>
      </c>
      <c r="J61" s="53">
        <f>IFERROR(VLOOKUP(B61, 'HMMT 1 Real'!$A$2:B$198,2, 0), 0)</f>
        <v>0</v>
      </c>
      <c r="K61" s="66">
        <f>IFERROR(VLOOKUP(B61, 'HMMT 2 Real'!$A$2:C$198,2, 0), 0)</f>
        <v>0</v>
      </c>
    </row>
    <row r="62">
      <c r="A62" s="65">
        <f t="shared" si="1"/>
        <v>61</v>
      </c>
      <c r="B62" s="7" t="s">
        <v>61</v>
      </c>
      <c r="C62" s="53">
        <f t="shared" si="2"/>
        <v>98.97408531</v>
      </c>
      <c r="D62" s="53">
        <f t="shared" si="3"/>
        <v>98.974</v>
      </c>
      <c r="E62" s="57">
        <f>IFERROR(VLOOKUP(B62, Proof!A$2:$B$199,2, 0), 0)</f>
        <v>0</v>
      </c>
      <c r="F62" s="66">
        <f>IFERROR(VLOOKUP(B62, 'HMMTPUMaC Combo'!A$2:$B$198,2, 0), 0)</f>
        <v>659.8272354</v>
      </c>
      <c r="G62" s="53">
        <f>IFERROR(VLOOKUP(B62, 'HMMTPUMaC NT'!A$2:$B$198,2, 0), 0)</f>
        <v>0</v>
      </c>
      <c r="H62" s="66">
        <f>IFERROR(VLOOKUP(B62, 'HMMTPUMaC Algebra'!A$2:$B$198,2, 0), 0)</f>
        <v>0</v>
      </c>
      <c r="I62" s="53">
        <f>IFERROR(VLOOKUP(B62, 'HMMTPUMaC Geo'!A$2:$B$198,2, 0), 0)</f>
        <v>0</v>
      </c>
      <c r="J62" s="53">
        <f>IFERROR(VLOOKUP(B62, 'HMMT 1 Real'!$A$2:B$198,2, 0), 0)</f>
        <v>0</v>
      </c>
      <c r="K62" s="66">
        <f>IFERROR(VLOOKUP(B62, 'HMMT 2 Real'!$A$2:C$198,2, 0), 0)</f>
        <v>0</v>
      </c>
    </row>
    <row r="63">
      <c r="A63" s="65">
        <f t="shared" si="1"/>
        <v>62</v>
      </c>
      <c r="B63" s="7" t="s">
        <v>100</v>
      </c>
      <c r="C63" s="53">
        <f t="shared" si="2"/>
        <v>0</v>
      </c>
      <c r="D63" s="53">
        <f t="shared" si="3"/>
        <v>0</v>
      </c>
      <c r="E63" s="57">
        <f>IFERROR(VLOOKUP(B63, Proof!A$2:$B$199,2, 0), 0)</f>
        <v>0</v>
      </c>
      <c r="F63" s="66">
        <f>IFERROR(VLOOKUP(B63, 'HMMTPUMaC Combo'!A$2:$B$198,2, 0), 0)</f>
        <v>0</v>
      </c>
      <c r="G63" s="53">
        <f>IFERROR(VLOOKUP(B63, 'HMMTPUMaC NT'!A$2:$B$198,2, 0), 0)</f>
        <v>0</v>
      </c>
      <c r="H63" s="66">
        <f>IFERROR(VLOOKUP(B63, 'HMMTPUMaC Algebra'!A$2:$B$198,2, 0), 0)</f>
        <v>0</v>
      </c>
      <c r="I63" s="53">
        <f>IFERROR(VLOOKUP(B63, 'HMMTPUMaC Geo'!A$2:$B$198,2, 0), 0)</f>
        <v>0</v>
      </c>
      <c r="J63" s="53">
        <f>IFERROR(VLOOKUP(B63, 'HMMT 1 Real'!$A$2:B$198,2, 0), 0)</f>
        <v>0</v>
      </c>
      <c r="K63" s="66">
        <f>IFERROR(VLOOKUP(B63, 'HMMT 2 Real'!$A$2:C$198,2, 0), 0)</f>
        <v>0</v>
      </c>
    </row>
    <row r="64">
      <c r="A64" s="65">
        <f t="shared" si="1"/>
        <v>63</v>
      </c>
      <c r="B64" s="7" t="s">
        <v>441</v>
      </c>
      <c r="C64" s="53">
        <f t="shared" si="2"/>
        <v>98.97408531</v>
      </c>
      <c r="D64" s="53">
        <f t="shared" si="3"/>
        <v>98.974</v>
      </c>
      <c r="E64" s="57">
        <f>IFERROR(VLOOKUP(B64, Proof!A$2:$B$199,2, 0), 0)</f>
        <v>0</v>
      </c>
      <c r="F64" s="66">
        <f>IFERROR(VLOOKUP(B64, 'HMMTPUMaC Combo'!A$2:$B$198,2, 0), 0)</f>
        <v>659.8272354</v>
      </c>
      <c r="G64" s="53">
        <f>IFERROR(VLOOKUP(B64, 'HMMTPUMaC NT'!A$2:$B$198,2, 0), 0)</f>
        <v>0</v>
      </c>
      <c r="H64" s="66">
        <f>IFERROR(VLOOKUP(B64, 'HMMTPUMaC Algebra'!A$2:$B$198,2, 0), 0)</f>
        <v>0</v>
      </c>
      <c r="I64" s="53">
        <f>IFERROR(VLOOKUP(B64, 'HMMTPUMaC Geo'!A$2:$B$198,2, 0), 0)</f>
        <v>0</v>
      </c>
      <c r="J64" s="53">
        <f>IFERROR(VLOOKUP(B64, 'HMMT 1 Real'!$A$2:B$198,2, 0), 0)</f>
        <v>0</v>
      </c>
      <c r="K64" s="66">
        <f>IFERROR(VLOOKUP(B64, 'HMMT 2 Real'!$A$2:C$198,2, 0), 0)</f>
        <v>0</v>
      </c>
    </row>
    <row r="65">
      <c r="A65" s="65">
        <f t="shared" si="1"/>
        <v>64</v>
      </c>
      <c r="B65" s="7" t="s">
        <v>93</v>
      </c>
      <c r="C65" s="53">
        <f t="shared" si="2"/>
        <v>66.93371125</v>
      </c>
      <c r="D65" s="53">
        <f t="shared" si="3"/>
        <v>66.934</v>
      </c>
      <c r="E65" s="57">
        <f>IFERROR(VLOOKUP(B65, Proof!A$2:$B$199,2, 0), 0)</f>
        <v>0</v>
      </c>
      <c r="F65" s="66">
        <f>IFERROR(VLOOKUP(B65, 'HMMTPUMaC Combo'!A$2:$B$198,2, 0), 0)</f>
        <v>0</v>
      </c>
      <c r="G65" s="53">
        <f>IFERROR(VLOOKUP(B65, 'HMMTPUMaC NT'!A$2:$B$198,2, 0), 0)</f>
        <v>0</v>
      </c>
      <c r="H65" s="66">
        <f>IFERROR(VLOOKUP(B65, 'HMMTPUMaC Algebra'!A$2:$B$198,2, 0), 0)</f>
        <v>0</v>
      </c>
      <c r="I65" s="53">
        <f>IFERROR(VLOOKUP(B65, 'HMMTPUMaC Geo'!A$2:$B$198,2, 0), 0)</f>
        <v>0</v>
      </c>
      <c r="J65" s="53">
        <f>IFERROR(VLOOKUP(B65, 'HMMT 1 Real'!$A$2:B$198,2, 0), 0)</f>
        <v>382.47835</v>
      </c>
      <c r="K65" s="66">
        <f>IFERROR(VLOOKUP(B65, 'HMMT 2 Real'!$A$2:C$198,2, 0), 0)</f>
        <v>0</v>
      </c>
    </row>
    <row r="66">
      <c r="A66" s="65">
        <f t="shared" si="1"/>
        <v>65</v>
      </c>
      <c r="B66" s="7" t="s">
        <v>306</v>
      </c>
      <c r="C66" s="53">
        <f t="shared" si="2"/>
        <v>68.56623501</v>
      </c>
      <c r="D66" s="53">
        <f t="shared" si="3"/>
        <v>68.566</v>
      </c>
      <c r="E66" s="57">
        <f>IFERROR(VLOOKUP(B66, Proof!A$2:$B$199,2, 0), 0)</f>
        <v>0</v>
      </c>
      <c r="F66" s="66">
        <f>IFERROR(VLOOKUP(B66, 'HMMTPUMaC Combo'!A$2:$B$198,2, 0), 0)</f>
        <v>457.1082334</v>
      </c>
      <c r="G66" s="53">
        <f>IFERROR(VLOOKUP(B66, 'HMMTPUMaC NT'!A$2:$B$198,2, 0), 0)</f>
        <v>0</v>
      </c>
      <c r="H66" s="66">
        <f>IFERROR(VLOOKUP(B66, 'HMMTPUMaC Algebra'!A$2:$B$198,2, 0), 0)</f>
        <v>0</v>
      </c>
      <c r="I66" s="53">
        <f>IFERROR(VLOOKUP(B66, 'HMMTPUMaC Geo'!A$2:$B$198,2, 0), 0)</f>
        <v>0</v>
      </c>
      <c r="J66" s="53">
        <f>IFERROR(VLOOKUP(B66, 'HMMT 1 Real'!$A$2:B$198,2, 0), 0)</f>
        <v>0</v>
      </c>
      <c r="K66" s="66">
        <f>IFERROR(VLOOKUP(B66, 'HMMT 2 Real'!$A$2:C$198,2, 0), 0)</f>
        <v>0</v>
      </c>
    </row>
    <row r="67">
      <c r="A67" s="65">
        <f t="shared" si="1"/>
        <v>66</v>
      </c>
      <c r="B67" s="7" t="s">
        <v>312</v>
      </c>
      <c r="C67" s="53">
        <f t="shared" si="2"/>
        <v>68.56623501</v>
      </c>
      <c r="D67" s="53">
        <f t="shared" si="3"/>
        <v>68.566</v>
      </c>
      <c r="E67" s="57">
        <f>IFERROR(VLOOKUP(B67, Proof!A$2:$B$199,2, 0), 0)</f>
        <v>0</v>
      </c>
      <c r="F67" s="66">
        <f>IFERROR(VLOOKUP(B67, 'HMMTPUMaC Combo'!A$2:$B$198,2, 0), 0)</f>
        <v>457.1082334</v>
      </c>
      <c r="G67" s="53">
        <f>IFERROR(VLOOKUP(B67, 'HMMTPUMaC NT'!A$2:$B$198,2, 0), 0)</f>
        <v>0</v>
      </c>
      <c r="H67" s="66">
        <f>IFERROR(VLOOKUP(B67, 'HMMTPUMaC Algebra'!A$2:$B$198,2, 0), 0)</f>
        <v>0</v>
      </c>
      <c r="I67" s="53">
        <f>IFERROR(VLOOKUP(B67, 'HMMTPUMaC Geo'!A$2:$B$198,2, 0), 0)</f>
        <v>0</v>
      </c>
      <c r="J67" s="53">
        <f>IFERROR(VLOOKUP(B67, 'HMMT 1 Real'!$A$2:B$198,2, 0), 0)</f>
        <v>0</v>
      </c>
      <c r="K67" s="66">
        <f>IFERROR(VLOOKUP(B67, 'HMMT 2 Real'!$A$2:C$198,2, 0), 0)</f>
        <v>0</v>
      </c>
    </row>
    <row r="68">
      <c r="A68" s="65">
        <f t="shared" si="1"/>
        <v>67</v>
      </c>
      <c r="B68" s="7" t="s">
        <v>570</v>
      </c>
      <c r="C68" s="53">
        <f t="shared" si="2"/>
        <v>68.56623501</v>
      </c>
      <c r="D68" s="53">
        <f t="shared" si="3"/>
        <v>68.566</v>
      </c>
      <c r="E68" s="57">
        <f>IFERROR(VLOOKUP(B68, Proof!A$2:$B$199,2, 0), 0)</f>
        <v>0</v>
      </c>
      <c r="F68" s="66">
        <f>IFERROR(VLOOKUP(B68, 'HMMTPUMaC Combo'!A$2:$B$198,2, 0), 0)</f>
        <v>457.1082334</v>
      </c>
      <c r="G68" s="53">
        <f>IFERROR(VLOOKUP(B68, 'HMMTPUMaC NT'!A$2:$B$198,2, 0), 0)</f>
        <v>0</v>
      </c>
      <c r="H68" s="66">
        <f>IFERROR(VLOOKUP(B68, 'HMMTPUMaC Algebra'!A$2:$B$198,2, 0), 0)</f>
        <v>0</v>
      </c>
      <c r="I68" s="53">
        <f>IFERROR(VLOOKUP(B68, 'HMMTPUMaC Geo'!A$2:$B$198,2, 0), 0)</f>
        <v>0</v>
      </c>
      <c r="J68" s="53">
        <f>IFERROR(VLOOKUP(B68, 'HMMT 1 Real'!$A$2:B$198,2, 0), 0)</f>
        <v>0</v>
      </c>
      <c r="K68" s="66">
        <f>IFERROR(VLOOKUP(B68, 'HMMT 2 Real'!$A$2:C$198,2, 0), 0)</f>
        <v>0</v>
      </c>
    </row>
    <row r="69">
      <c r="A69" s="65">
        <f t="shared" si="1"/>
        <v>68</v>
      </c>
      <c r="B69" s="7" t="s">
        <v>346</v>
      </c>
      <c r="C69" s="53">
        <f t="shared" si="2"/>
        <v>68.56623501</v>
      </c>
      <c r="D69" s="53">
        <f t="shared" si="3"/>
        <v>68.566</v>
      </c>
      <c r="E69" s="57">
        <f>IFERROR(VLOOKUP(B69, Proof!A$2:$B$199,2, 0), 0)</f>
        <v>0</v>
      </c>
      <c r="F69" s="66">
        <f>IFERROR(VLOOKUP(B69, 'HMMTPUMaC Combo'!A$2:$B$198,2, 0), 0)</f>
        <v>457.1082334</v>
      </c>
      <c r="G69" s="53">
        <f>IFERROR(VLOOKUP(B69, 'HMMTPUMaC NT'!A$2:$B$198,2, 0), 0)</f>
        <v>0</v>
      </c>
      <c r="H69" s="66">
        <f>IFERROR(VLOOKUP(B69, 'HMMTPUMaC Algebra'!A$2:$B$198,2, 0), 0)</f>
        <v>0</v>
      </c>
      <c r="I69" s="53">
        <f>IFERROR(VLOOKUP(B69, 'HMMTPUMaC Geo'!A$2:$B$198,2, 0), 0)</f>
        <v>0</v>
      </c>
      <c r="J69" s="53">
        <f>IFERROR(VLOOKUP(B69, 'HMMT 1 Real'!$A$2:B$198,2, 0), 0)</f>
        <v>0</v>
      </c>
      <c r="K69" s="66">
        <f>IFERROR(VLOOKUP(B69, 'HMMT 2 Real'!$A$2:C$198,2, 0), 0)</f>
        <v>0</v>
      </c>
    </row>
    <row r="70">
      <c r="A70" s="65">
        <f t="shared" si="1"/>
        <v>69</v>
      </c>
      <c r="B70" s="7" t="s">
        <v>293</v>
      </c>
      <c r="C70" s="53">
        <f t="shared" si="2"/>
        <v>68.56623501</v>
      </c>
      <c r="D70" s="53">
        <f t="shared" si="3"/>
        <v>68.566</v>
      </c>
      <c r="E70" s="57">
        <f>IFERROR(VLOOKUP(B70, Proof!A$2:$B$199,2, 0), 0)</f>
        <v>0</v>
      </c>
      <c r="F70" s="66">
        <f>IFERROR(VLOOKUP(B70, 'HMMTPUMaC Combo'!A$2:$B$198,2, 0), 0)</f>
        <v>457.1082334</v>
      </c>
      <c r="G70" s="53">
        <f>IFERROR(VLOOKUP(B70, 'HMMTPUMaC NT'!A$2:$B$198,2, 0), 0)</f>
        <v>0</v>
      </c>
      <c r="H70" s="66">
        <f>IFERROR(VLOOKUP(B70, 'HMMTPUMaC Algebra'!A$2:$B$198,2, 0), 0)</f>
        <v>0</v>
      </c>
      <c r="I70" s="53">
        <f>IFERROR(VLOOKUP(B70, 'HMMTPUMaC Geo'!A$2:$B$198,2, 0), 0)</f>
        <v>0</v>
      </c>
      <c r="J70" s="53">
        <f>IFERROR(VLOOKUP(B70, 'HMMT 1 Real'!$A$2:B$198,2, 0), 0)</f>
        <v>0</v>
      </c>
      <c r="K70" s="66">
        <f>IFERROR(VLOOKUP(B70, 'HMMT 2 Real'!$A$2:C$198,2, 0), 0)</f>
        <v>0</v>
      </c>
    </row>
    <row r="71">
      <c r="A71" s="65">
        <f t="shared" si="1"/>
        <v>70</v>
      </c>
      <c r="B71" s="7" t="s">
        <v>303</v>
      </c>
      <c r="C71" s="53">
        <f t="shared" si="2"/>
        <v>68.56623501</v>
      </c>
      <c r="D71" s="53">
        <f t="shared" si="3"/>
        <v>68.566</v>
      </c>
      <c r="E71" s="57">
        <f>IFERROR(VLOOKUP(B71, Proof!A$2:$B$199,2, 0), 0)</f>
        <v>0</v>
      </c>
      <c r="F71" s="66">
        <f>IFERROR(VLOOKUP(B71, 'HMMTPUMaC Combo'!A$2:$B$198,2, 0), 0)</f>
        <v>457.1082334</v>
      </c>
      <c r="G71" s="53">
        <f>IFERROR(VLOOKUP(B71, 'HMMTPUMaC NT'!A$2:$B$198,2, 0), 0)</f>
        <v>0</v>
      </c>
      <c r="H71" s="66">
        <f>IFERROR(VLOOKUP(B71, 'HMMTPUMaC Algebra'!A$2:$B$198,2, 0), 0)</f>
        <v>0</v>
      </c>
      <c r="I71" s="53">
        <f>IFERROR(VLOOKUP(B71, 'HMMTPUMaC Geo'!A$2:$B$198,2, 0), 0)</f>
        <v>0</v>
      </c>
      <c r="J71" s="53">
        <f>IFERROR(VLOOKUP(B71, 'HMMT 1 Real'!$A$2:B$198,2, 0), 0)</f>
        <v>0</v>
      </c>
      <c r="K71" s="66">
        <f>IFERROR(VLOOKUP(B71, 'HMMT 2 Real'!$A$2:C$198,2, 0), 0)</f>
        <v>0</v>
      </c>
    </row>
    <row r="72">
      <c r="A72" s="65">
        <f t="shared" si="1"/>
        <v>71</v>
      </c>
      <c r="B72" s="7" t="s">
        <v>50</v>
      </c>
      <c r="C72" s="53">
        <f t="shared" si="2"/>
        <v>0</v>
      </c>
      <c r="D72" s="53">
        <f t="shared" si="3"/>
        <v>0</v>
      </c>
      <c r="E72" s="57">
        <f>IFERROR(VLOOKUP(B72, Proof!A$2:$B$199,2, 0), 0)</f>
        <v>0</v>
      </c>
      <c r="F72" s="58">
        <f>IFERROR(VLOOKUP(B72, 'HMMTPUMaC Algebra'!A$2:$B$500,2, 0), 0)</f>
        <v>0</v>
      </c>
      <c r="G72" s="53">
        <f>IFERROR(VLOOKUP(B72, 'HMMTPUMaC Combo'!A$2:$B$500,2, 0), 0)</f>
        <v>0</v>
      </c>
      <c r="H72" s="66">
        <f>IFERROR(VLOOKUP(B72, 'HMMTPUMaC Algebra'!A$2:$B$198,2, 0), 0)</f>
        <v>0</v>
      </c>
      <c r="I72" s="53">
        <f>IFERROR(VLOOKUP(B72, 'HMMTPUMaC NT'!A$2:$B$500,2, 0), 0)</f>
        <v>0</v>
      </c>
      <c r="J72" s="53">
        <f>IFERROR(VLOOKUP(B72, 'HMMT 1 Real'!$A$2:B$198,2, 0), 0)</f>
        <v>0</v>
      </c>
      <c r="K72" s="66">
        <f>IFERROR(VLOOKUP(B72, 'HMMT 2 Real'!$A$2:C$198,2, 0), 0)</f>
        <v>0</v>
      </c>
    </row>
    <row r="73">
      <c r="A73" s="65">
        <f t="shared" si="1"/>
        <v>72</v>
      </c>
      <c r="B73" s="7" t="s">
        <v>325</v>
      </c>
      <c r="C73" s="53">
        <f t="shared" si="2"/>
        <v>63.39523087</v>
      </c>
      <c r="D73" s="53">
        <f t="shared" si="3"/>
        <v>63.395</v>
      </c>
      <c r="E73" s="57">
        <f>IFERROR(VLOOKUP(B73, Proof!A$2:$B$199,2, 0), 0)</f>
        <v>0</v>
      </c>
      <c r="F73" s="66">
        <f>IFERROR(VLOOKUP(B73, 'HMMTPUMaC Combo'!A$2:$B$198,2, 0), 0)</f>
        <v>0</v>
      </c>
      <c r="G73" s="53">
        <f>IFERROR(VLOOKUP(B73, 'HMMTPUMaC NT'!A$2:$B$198,2, 0), 0)</f>
        <v>422.6348725</v>
      </c>
      <c r="H73" s="66">
        <f>IFERROR(VLOOKUP(B73, 'HMMTPUMaC Algebra'!A$2:$B$198,2, 0), 0)</f>
        <v>0</v>
      </c>
      <c r="I73" s="53">
        <f>IFERROR(VLOOKUP(B73, 'HMMTPUMaC Geo'!A$2:$B$198,2, 0), 0)</f>
        <v>0</v>
      </c>
      <c r="J73" s="53">
        <f>IFERROR(VLOOKUP(B73, 'HMMT 1 Real'!$A$2:B$198,2, 0), 0)</f>
        <v>0</v>
      </c>
      <c r="K73" s="66">
        <f>IFERROR(VLOOKUP(B73, 'HMMT 2 Real'!$A$2:C$198,2, 0), 0)</f>
        <v>0</v>
      </c>
    </row>
    <row r="74">
      <c r="A74" s="65">
        <f t="shared" si="1"/>
        <v>73</v>
      </c>
      <c r="B74" s="7" t="s">
        <v>272</v>
      </c>
      <c r="C74" s="53">
        <f t="shared" si="2"/>
        <v>60.76868189</v>
      </c>
      <c r="D74" s="53">
        <f t="shared" si="3"/>
        <v>60.769</v>
      </c>
      <c r="E74" s="57">
        <f>IFERROR(VLOOKUP(B74, Proof!A$2:$B$199,2, 0), 0)</f>
        <v>0</v>
      </c>
      <c r="F74" s="66">
        <f>IFERROR(VLOOKUP(B74, 'HMMTPUMaC Combo'!A$2:$B$198,2, 0), 0)</f>
        <v>0</v>
      </c>
      <c r="G74" s="53">
        <f>IFERROR(VLOOKUP(B74, 'HMMTPUMaC NT'!A$2:$B$198,2, 0), 0)</f>
        <v>0</v>
      </c>
      <c r="H74" s="66">
        <f>IFERROR(VLOOKUP(B74, 'HMMTPUMaC Algebra'!A$2:$B$198,2, 0), 0)</f>
        <v>0</v>
      </c>
      <c r="I74" s="53">
        <f>IFERROR(VLOOKUP(B74, 'HMMTPUMaC Geo'!A$2:$B$198,2, 0), 0)</f>
        <v>405.1245459</v>
      </c>
      <c r="J74" s="53">
        <f>IFERROR(VLOOKUP(B74, 'HMMT 1 Real'!$A$2:B$198,2, 0), 0)</f>
        <v>0</v>
      </c>
      <c r="K74" s="66">
        <f>IFERROR(VLOOKUP(B74, 'HMMT 2 Real'!$A$2:C$198,2, 0), 0)</f>
        <v>0</v>
      </c>
    </row>
    <row r="75">
      <c r="A75" s="65">
        <f t="shared" si="1"/>
        <v>74</v>
      </c>
      <c r="B75" s="7" t="s">
        <v>130</v>
      </c>
      <c r="C75" s="53">
        <f t="shared" si="2"/>
        <v>60.76868189</v>
      </c>
      <c r="D75" s="53">
        <f t="shared" si="3"/>
        <v>60.769</v>
      </c>
      <c r="E75" s="57">
        <f>IFERROR(VLOOKUP(B75, Proof!A$2:$B$199,2, 0), 0)</f>
        <v>0</v>
      </c>
      <c r="F75" s="66">
        <f>IFERROR(VLOOKUP(B75, 'HMMTPUMaC Combo'!A$2:$B$198,2, 0), 0)</f>
        <v>0</v>
      </c>
      <c r="G75" s="53">
        <f>IFERROR(VLOOKUP(B75, 'HMMTPUMaC NT'!A$2:$B$198,2, 0), 0)</f>
        <v>0</v>
      </c>
      <c r="H75" s="66">
        <f>IFERROR(VLOOKUP(B75, 'HMMTPUMaC Algebra'!A$2:$B$198,2, 0), 0)</f>
        <v>0</v>
      </c>
      <c r="I75" s="53">
        <f>IFERROR(VLOOKUP(B75, 'HMMTPUMaC Geo'!A$2:$B$198,2, 0), 0)</f>
        <v>405.1245459</v>
      </c>
      <c r="J75" s="53">
        <f>IFERROR(VLOOKUP(B75, 'HMMT 1 Real'!$A$2:B$198,2, 0), 0)</f>
        <v>0</v>
      </c>
      <c r="K75" s="66">
        <f>IFERROR(VLOOKUP(B75, 'HMMT 2 Real'!$A$2:C$198,2, 0), 0)</f>
        <v>0</v>
      </c>
    </row>
    <row r="76">
      <c r="A76" s="65">
        <f t="shared" si="1"/>
        <v>75</v>
      </c>
      <c r="B76" s="7" t="s">
        <v>179</v>
      </c>
      <c r="C76" s="53">
        <f t="shared" si="2"/>
        <v>60.76868189</v>
      </c>
      <c r="D76" s="53">
        <f t="shared" si="3"/>
        <v>60.769</v>
      </c>
      <c r="E76" s="57">
        <f>IFERROR(VLOOKUP(B76, Proof!A$2:$B$199,2, 0), 0)</f>
        <v>0</v>
      </c>
      <c r="F76" s="66">
        <f>IFERROR(VLOOKUP(B76, 'HMMTPUMaC Combo'!A$2:$B$198,2, 0), 0)</f>
        <v>0</v>
      </c>
      <c r="G76" s="53">
        <f>IFERROR(VLOOKUP(B76, 'HMMTPUMaC NT'!A$2:$B$198,2, 0), 0)</f>
        <v>0</v>
      </c>
      <c r="H76" s="66">
        <f>IFERROR(VLOOKUP(B76, 'HMMTPUMaC Algebra'!A$2:$B$198,2, 0), 0)</f>
        <v>0</v>
      </c>
      <c r="I76" s="53">
        <f>IFERROR(VLOOKUP(B76, 'HMMTPUMaC Geo'!A$2:$B$198,2, 0), 0)</f>
        <v>405.1245459</v>
      </c>
      <c r="J76" s="53">
        <f>IFERROR(VLOOKUP(B76, 'HMMT 1 Real'!$A$2:B$198,2, 0), 0)</f>
        <v>0</v>
      </c>
      <c r="K76" s="66">
        <f>IFERROR(VLOOKUP(B76, 'HMMT 2 Real'!$A$2:C$198,2, 0), 0)</f>
        <v>0</v>
      </c>
    </row>
    <row r="77">
      <c r="A77" s="65">
        <f t="shared" si="1"/>
        <v>76</v>
      </c>
      <c r="B77" s="7" t="s">
        <v>290</v>
      </c>
      <c r="C77" s="53">
        <f t="shared" si="2"/>
        <v>60.76868189</v>
      </c>
      <c r="D77" s="53">
        <f t="shared" si="3"/>
        <v>60.769</v>
      </c>
      <c r="E77" s="57">
        <f>IFERROR(VLOOKUP(B77, Proof!A$2:$B$199,2, 0), 0)</f>
        <v>0</v>
      </c>
      <c r="F77" s="66">
        <f>IFERROR(VLOOKUP(B77, 'HMMTPUMaC Combo'!A$2:$B$198,2, 0), 0)</f>
        <v>0</v>
      </c>
      <c r="G77" s="53">
        <f>IFERROR(VLOOKUP(B77, 'HMMTPUMaC NT'!A$2:$B$198,2, 0), 0)</f>
        <v>0</v>
      </c>
      <c r="H77" s="66">
        <f>IFERROR(VLOOKUP(B77, 'HMMTPUMaC Algebra'!A$2:$B$198,2, 0), 0)</f>
        <v>0</v>
      </c>
      <c r="I77" s="53">
        <f>IFERROR(VLOOKUP(B77, 'HMMTPUMaC Geo'!A$2:$B$198,2, 0), 0)</f>
        <v>405.1245459</v>
      </c>
      <c r="J77" s="53">
        <f>IFERROR(VLOOKUP(B77, 'HMMT 1 Real'!$A$2:B$198,2, 0), 0)</f>
        <v>0</v>
      </c>
      <c r="K77" s="66">
        <f>IFERROR(VLOOKUP(B77, 'HMMT 2 Real'!$A$2:C$198,2, 0), 0)</f>
        <v>0</v>
      </c>
    </row>
    <row r="78">
      <c r="A78" s="65">
        <f t="shared" si="1"/>
        <v>77</v>
      </c>
      <c r="B78" s="7" t="s">
        <v>234</v>
      </c>
      <c r="C78" s="53">
        <f t="shared" si="2"/>
        <v>57.93110525</v>
      </c>
      <c r="D78" s="53">
        <f t="shared" si="3"/>
        <v>57.931</v>
      </c>
      <c r="E78" s="57">
        <f>IFERROR(VLOOKUP(B78, Proof!A$2:$B$199,2, 0), 0)</f>
        <v>0</v>
      </c>
      <c r="F78" s="66">
        <f>IFERROR(VLOOKUP(B78, 'HMMTPUMaC Combo'!A$2:$B$198,2, 0), 0)</f>
        <v>0</v>
      </c>
      <c r="G78" s="53">
        <f>IFERROR(VLOOKUP(B78, 'HMMTPUMaC NT'!A$2:$B$198,2, 0), 0)</f>
        <v>386.2073683</v>
      </c>
      <c r="H78" s="66">
        <f>IFERROR(VLOOKUP(B78, 'HMMTPUMaC Algebra'!A$2:$B$198,2, 0), 0)</f>
        <v>0</v>
      </c>
      <c r="I78" s="53">
        <f>IFERROR(VLOOKUP(B78, 'HMMTPUMaC Geo'!A$2:$B$198,2, 0), 0)</f>
        <v>0</v>
      </c>
      <c r="J78" s="53">
        <f>IFERROR(VLOOKUP(B78, 'HMMT 1 Real'!$A$2:B$198,2, 0), 0)</f>
        <v>0</v>
      </c>
      <c r="K78" s="66">
        <f>IFERROR(VLOOKUP(B78, 'HMMT 2 Real'!$A$2:C$198,2, 0), 0)</f>
        <v>0</v>
      </c>
    </row>
    <row r="79">
      <c r="A79" s="65">
        <f t="shared" si="1"/>
        <v>78</v>
      </c>
      <c r="B79" s="7" t="s">
        <v>56</v>
      </c>
      <c r="C79" s="53">
        <f t="shared" si="2"/>
        <v>57.93110525</v>
      </c>
      <c r="D79" s="53">
        <f t="shared" si="3"/>
        <v>57.931</v>
      </c>
      <c r="E79" s="57">
        <f>IFERROR(VLOOKUP(B79, Proof!A$2:$B$199,2, 0), 0)</f>
        <v>0</v>
      </c>
      <c r="F79" s="66">
        <f>IFERROR(VLOOKUP(B79, 'HMMTPUMaC Combo'!A$2:$B$198,2, 0), 0)</f>
        <v>0</v>
      </c>
      <c r="G79" s="53">
        <f>IFERROR(VLOOKUP(B79, 'HMMTPUMaC NT'!A$2:$B$198,2, 0), 0)</f>
        <v>386.2073683</v>
      </c>
      <c r="H79" s="66">
        <f>IFERROR(VLOOKUP(B79, 'HMMTPUMaC Algebra'!A$2:$B$198,2, 0), 0)</f>
        <v>0</v>
      </c>
      <c r="I79" s="53">
        <f>IFERROR(VLOOKUP(B79, 'HMMTPUMaC Geo'!A$2:$B$198,2, 0), 0)</f>
        <v>0</v>
      </c>
      <c r="J79" s="53">
        <f>IFERROR(VLOOKUP(B79, 'HMMT 1 Real'!$A$2:B$198,2, 0), 0)</f>
        <v>0</v>
      </c>
      <c r="K79" s="66">
        <f>IFERROR(VLOOKUP(B79, 'HMMT 2 Real'!$A$2:C$198,2, 0), 0)</f>
        <v>0</v>
      </c>
    </row>
    <row r="80">
      <c r="A80" s="65">
        <f t="shared" si="1"/>
        <v>79</v>
      </c>
      <c r="B80" s="7" t="s">
        <v>578</v>
      </c>
      <c r="C80" s="53">
        <f t="shared" si="2"/>
        <v>57.93110525</v>
      </c>
      <c r="D80" s="53">
        <f t="shared" si="3"/>
        <v>57.931</v>
      </c>
      <c r="E80" s="57">
        <f>IFERROR(VLOOKUP(B80, Proof!A$2:$B$199,2, 0), 0)</f>
        <v>0</v>
      </c>
      <c r="F80" s="66">
        <f>IFERROR(VLOOKUP(B80, 'HMMTPUMaC Combo'!A$2:$B$198,2, 0), 0)</f>
        <v>0</v>
      </c>
      <c r="G80" s="53">
        <f>IFERROR(VLOOKUP(B80, 'HMMTPUMaC NT'!A$2:$B$198,2, 0), 0)</f>
        <v>386.2073683</v>
      </c>
      <c r="H80" s="66">
        <f>IFERROR(VLOOKUP(B80, 'HMMTPUMaC Algebra'!A$2:$B$198,2, 0), 0)</f>
        <v>0</v>
      </c>
      <c r="I80" s="53">
        <f>IFERROR(VLOOKUP(B80, 'HMMTPUMaC Geo'!A$2:$B$198,2, 0), 0)</f>
        <v>0</v>
      </c>
      <c r="J80" s="53">
        <f>IFERROR(VLOOKUP(B80, 'HMMT 1 Real'!$A$2:B$198,2, 0), 0)</f>
        <v>0</v>
      </c>
      <c r="K80" s="66">
        <f>IFERROR(VLOOKUP(B80, 'HMMT 2 Real'!$A$2:C$198,2, 0), 0)</f>
        <v>0</v>
      </c>
    </row>
    <row r="81">
      <c r="A81" s="65">
        <f t="shared" si="1"/>
        <v>80</v>
      </c>
      <c r="B81" s="7" t="s">
        <v>319</v>
      </c>
      <c r="C81" s="53">
        <f t="shared" si="2"/>
        <v>57.93110525</v>
      </c>
      <c r="D81" s="53">
        <f t="shared" si="3"/>
        <v>57.931</v>
      </c>
      <c r="E81" s="57">
        <f>IFERROR(VLOOKUP(B81, Proof!A$2:$B$199,2, 0), 0)</f>
        <v>0</v>
      </c>
      <c r="F81" s="66">
        <f>IFERROR(VLOOKUP(B81, 'HMMTPUMaC Combo'!A$2:$B$198,2, 0), 0)</f>
        <v>0</v>
      </c>
      <c r="G81" s="53">
        <f>IFERROR(VLOOKUP(B81, 'HMMTPUMaC NT'!A$2:$B$198,2, 0), 0)</f>
        <v>386.2073683</v>
      </c>
      <c r="H81" s="66">
        <f>IFERROR(VLOOKUP(B81, 'HMMTPUMaC Algebra'!A$2:$B$198,2, 0), 0)</f>
        <v>0</v>
      </c>
      <c r="I81" s="53">
        <f>IFERROR(VLOOKUP(B81, 'HMMTPUMaC Geo'!A$2:$B$198,2, 0), 0)</f>
        <v>0</v>
      </c>
      <c r="J81" s="53">
        <f>IFERROR(VLOOKUP(B81, 'HMMT 1 Real'!$A$2:B$198,2, 0), 0)</f>
        <v>0</v>
      </c>
      <c r="K81" s="66">
        <f>IFERROR(VLOOKUP(B81, 'HMMT 2 Real'!$A$2:C$198,2, 0), 0)</f>
        <v>0</v>
      </c>
    </row>
    <row r="82">
      <c r="A82" s="65">
        <f t="shared" si="1"/>
        <v>81</v>
      </c>
      <c r="B82" s="7" t="s">
        <v>301</v>
      </c>
      <c r="C82" s="53">
        <f t="shared" si="2"/>
        <v>57.93110525</v>
      </c>
      <c r="D82" s="53">
        <f t="shared" si="3"/>
        <v>57.931</v>
      </c>
      <c r="E82" s="57">
        <f>IFERROR(VLOOKUP(B82, Proof!A$2:$B$199,2, 0), 0)</f>
        <v>0</v>
      </c>
      <c r="F82" s="66">
        <f>IFERROR(VLOOKUP(B82, 'HMMTPUMaC Combo'!A$2:$B$198,2, 0), 0)</f>
        <v>0</v>
      </c>
      <c r="G82" s="53">
        <f>IFERROR(VLOOKUP(B82, 'HMMTPUMaC NT'!A$2:$B$198,2, 0), 0)</f>
        <v>386.2073683</v>
      </c>
      <c r="H82" s="66">
        <f>IFERROR(VLOOKUP(B82, 'HMMTPUMaC Algebra'!A$2:$B$198,2, 0), 0)</f>
        <v>0</v>
      </c>
      <c r="I82" s="53">
        <f>IFERROR(VLOOKUP(B82, 'HMMTPUMaC Geo'!A$2:$B$198,2, 0), 0)</f>
        <v>0</v>
      </c>
      <c r="J82" s="53">
        <f>IFERROR(VLOOKUP(B82, 'HMMT 1 Real'!$A$2:B$198,2, 0), 0)</f>
        <v>0</v>
      </c>
      <c r="K82" s="66">
        <f>IFERROR(VLOOKUP(B82, 'HMMT 2 Real'!$A$2:C$198,2, 0), 0)</f>
        <v>0</v>
      </c>
    </row>
    <row r="83">
      <c r="A83" s="65">
        <f t="shared" si="1"/>
        <v>82</v>
      </c>
      <c r="B83" s="7" t="s">
        <v>285</v>
      </c>
      <c r="C83" s="53">
        <f t="shared" si="2"/>
        <v>57.93110525</v>
      </c>
      <c r="D83" s="53">
        <f t="shared" si="3"/>
        <v>57.931</v>
      </c>
      <c r="E83" s="57">
        <f>IFERROR(VLOOKUP(B83, Proof!A$2:$B$199,2, 0), 0)</f>
        <v>0</v>
      </c>
      <c r="F83" s="66">
        <f>IFERROR(VLOOKUP(B83, 'HMMTPUMaC Combo'!A$2:$B$198,2, 0), 0)</f>
        <v>0</v>
      </c>
      <c r="G83" s="53">
        <f>IFERROR(VLOOKUP(B83, 'HMMTPUMaC NT'!A$2:$B$198,2, 0), 0)</f>
        <v>386.2073683</v>
      </c>
      <c r="H83" s="66">
        <f>IFERROR(VLOOKUP(B83, 'HMMTPUMaC Algebra'!A$2:$B$198,2, 0), 0)</f>
        <v>0</v>
      </c>
      <c r="I83" s="53">
        <f>IFERROR(VLOOKUP(B83, 'HMMTPUMaC Geo'!A$2:$B$198,2, 0), 0)</f>
        <v>0</v>
      </c>
      <c r="J83" s="53">
        <f>IFERROR(VLOOKUP(B83, 'HMMT 1 Real'!$A$2:B$198,2, 0), 0)</f>
        <v>0</v>
      </c>
      <c r="K83" s="66">
        <f>IFERROR(VLOOKUP(B83, 'HMMT 2 Real'!$A$2:C$198,2, 0), 0)</f>
        <v>0</v>
      </c>
    </row>
    <row r="84">
      <c r="A84" s="65">
        <f t="shared" si="1"/>
        <v>83</v>
      </c>
      <c r="B84" s="7" t="s">
        <v>156</v>
      </c>
      <c r="C84" s="53">
        <f t="shared" si="2"/>
        <v>56.50279617</v>
      </c>
      <c r="D84" s="53">
        <f t="shared" si="3"/>
        <v>56.503</v>
      </c>
      <c r="E84" s="57">
        <f>IFERROR(VLOOKUP(B84, Proof!A$2:$B$199,2, 0), 0)</f>
        <v>0</v>
      </c>
      <c r="F84" s="66">
        <f>IFERROR(VLOOKUP(B84, 'HMMTPUMaC Combo'!A$2:$B$198,2, 0), 0)</f>
        <v>0</v>
      </c>
      <c r="G84" s="53">
        <f>IFERROR(VLOOKUP(B84, 'HMMTPUMaC NT'!A$2:$B$198,2, 0), 0)</f>
        <v>0</v>
      </c>
      <c r="H84" s="66">
        <f>IFERROR(VLOOKUP(B84, 'HMMTPUMaC Algebra'!A$2:$B$198,2, 0), 0)</f>
        <v>376.6853078</v>
      </c>
      <c r="I84" s="53">
        <f>IFERROR(VLOOKUP(B84, 'HMMTPUMaC Geo'!A$2:$B$198,2, 0), 0)</f>
        <v>0</v>
      </c>
      <c r="J84" s="53">
        <f>IFERROR(VLOOKUP(B84, 'HMMT 1 Real'!$A$2:B$198,2, 0), 0)</f>
        <v>0</v>
      </c>
      <c r="K84" s="66">
        <f>IFERROR(VLOOKUP(B84, 'HMMT 2 Real'!$A$2:C$198,2, 0), 0)</f>
        <v>0</v>
      </c>
    </row>
    <row r="85">
      <c r="A85" s="65">
        <f t="shared" si="1"/>
        <v>84</v>
      </c>
      <c r="B85" s="7" t="s">
        <v>279</v>
      </c>
      <c r="C85" s="53">
        <f t="shared" si="2"/>
        <v>56.50279617</v>
      </c>
      <c r="D85" s="53">
        <f t="shared" si="3"/>
        <v>56.503</v>
      </c>
      <c r="E85" s="57">
        <f>IFERROR(VLOOKUP(B85, Proof!A$2:$B$199,2, 0), 0)</f>
        <v>0</v>
      </c>
      <c r="F85" s="66">
        <f>IFERROR(VLOOKUP(B85, 'HMMTPUMaC Combo'!A$2:$B$198,2, 0), 0)</f>
        <v>0</v>
      </c>
      <c r="G85" s="53">
        <f>IFERROR(VLOOKUP(B85, 'HMMTPUMaC NT'!A$2:$B$198,2, 0), 0)</f>
        <v>0</v>
      </c>
      <c r="H85" s="66">
        <f>IFERROR(VLOOKUP(B85, 'HMMTPUMaC Algebra'!A$2:$B$198,2, 0), 0)</f>
        <v>376.6853078</v>
      </c>
      <c r="I85" s="53">
        <f>IFERROR(VLOOKUP(B85, 'HMMTPUMaC Geo'!A$2:$B$198,2, 0), 0)</f>
        <v>0</v>
      </c>
      <c r="J85" s="53">
        <f>IFERROR(VLOOKUP(B85, 'HMMT 1 Real'!$A$2:B$198,2, 0), 0)</f>
        <v>0</v>
      </c>
      <c r="K85" s="66">
        <f>IFERROR(VLOOKUP(B85, 'HMMT 2 Real'!$A$2:C$198,2, 0), 0)</f>
        <v>0</v>
      </c>
    </row>
    <row r="86">
      <c r="A86" s="65">
        <f t="shared" si="1"/>
        <v>85</v>
      </c>
      <c r="B86" s="7" t="s">
        <v>198</v>
      </c>
      <c r="C86" s="53">
        <f t="shared" ref="C86:C87" si="4">0.55/3*LARGE(F86:I86, 1)+0.55/3*LARGE(F86:I86, 2)+0.55/3*LARGE(F86:I86, 3)+0.1*E86+0.175*J86+0.175*K86</f>
        <v>0</v>
      </c>
      <c r="D86" s="53">
        <f t="shared" si="3"/>
        <v>0</v>
      </c>
      <c r="E86" s="57">
        <f>IFERROR(VLOOKUP(B86, Proof!A$2:$B$199,2, 0), 0)</f>
        <v>0</v>
      </c>
      <c r="F86" s="58">
        <f>IFERROR(VLOOKUP(B86, 'HMMTPUMaC Algebra'!A$2:$B$500,2, 0), 0)</f>
        <v>0</v>
      </c>
      <c r="G86" s="53">
        <f>IFERROR(VLOOKUP(B86, 'HMMTPUMaC Combo'!A$2:$B$500,2, 0), 0)</f>
        <v>0</v>
      </c>
      <c r="H86" s="66">
        <f>IFERROR(VLOOKUP(B86, 'HMMTPUMaC Algebra'!A$2:$B$198,2, 0), 0)</f>
        <v>0</v>
      </c>
      <c r="I86" s="53">
        <f>IFERROR(VLOOKUP(B86, 'HMMTPUMaC NT'!A$2:$B$500,2, 0), 0)</f>
        <v>0</v>
      </c>
      <c r="J86" s="53">
        <f>IFERROR(VLOOKUP(B86, 'HMMT 1 Real'!$A$2:B$198,2, 0), 0)</f>
        <v>0</v>
      </c>
      <c r="K86" s="66">
        <f>IFERROR(VLOOKUP(B86, 'HMMT 2 Real'!$A$2:C$198,2, 0), 0)</f>
        <v>0</v>
      </c>
    </row>
    <row r="87">
      <c r="A87" s="65">
        <f t="shared" si="1"/>
        <v>86</v>
      </c>
      <c r="B87" s="7" t="s">
        <v>146</v>
      </c>
      <c r="C87" s="53">
        <f t="shared" si="4"/>
        <v>0</v>
      </c>
      <c r="D87" s="53">
        <f t="shared" si="3"/>
        <v>0</v>
      </c>
      <c r="E87" s="57">
        <f>IFERROR(VLOOKUP(B87, Proof!A$2:$B$199,2, 0), 0)</f>
        <v>0</v>
      </c>
      <c r="F87" s="58">
        <f>IFERROR(VLOOKUP(B87, 'HMMTPUMaC Algebra'!A$2:$B$500,2, 0), 0)</f>
        <v>0</v>
      </c>
      <c r="G87" s="53">
        <f>IFERROR(VLOOKUP(B87, 'HMMTPUMaC Combo'!A$2:$B$500,2, 0), 0)</f>
        <v>0</v>
      </c>
      <c r="H87" s="66">
        <f>IFERROR(VLOOKUP(B87, 'HMMTPUMaC Algebra'!A$2:$B$198,2, 0), 0)</f>
        <v>0</v>
      </c>
      <c r="I87" s="53">
        <f>IFERROR(VLOOKUP(B87, 'HMMTPUMaC NT'!A$2:$B$500,2, 0), 0)</f>
        <v>0</v>
      </c>
      <c r="J87" s="53">
        <f>IFERROR(VLOOKUP(B87, 'HMMT 1 Real'!$A$2:B$198,2, 0), 0)</f>
        <v>0</v>
      </c>
      <c r="K87" s="66">
        <f>IFERROR(VLOOKUP(B87, 'HMMT 2 Real'!$A$2:C$198,2, 0), 0)</f>
        <v>0</v>
      </c>
    </row>
    <row r="88">
      <c r="A88" s="65">
        <f t="shared" si="1"/>
        <v>87</v>
      </c>
      <c r="B88" s="7" t="s">
        <v>436</v>
      </c>
      <c r="C88" s="53">
        <f t="shared" ref="C88:C204" si="5">0.15*LARGE(F88:I88, 1)+0.15*LARGE(F88:I88, 2)+0.15*LARGE(F88:I88, 3)+0.2*E88+0.175*J88+0.175*K88</f>
        <v>0</v>
      </c>
      <c r="D88" s="53">
        <f t="shared" si="3"/>
        <v>0</v>
      </c>
      <c r="E88" s="57">
        <f>IFERROR(VLOOKUP(B88, Proof!A$2:$B$199,2, 0), 0)</f>
        <v>0</v>
      </c>
      <c r="F88" s="66">
        <f>IFERROR(VLOOKUP(B88, 'HMMTPUMaC Combo'!A$2:$B$198,2, 0), 0)</f>
        <v>0</v>
      </c>
      <c r="G88" s="53">
        <f>IFERROR(VLOOKUP(B88, 'HMMTPUMaC NT'!A$2:$B$198,2, 0), 0)</f>
        <v>0</v>
      </c>
      <c r="H88" s="66">
        <f>IFERROR(VLOOKUP(B88, 'HMMTPUMaC Algebra'!A$2:$B$198,2, 0), 0)</f>
        <v>0</v>
      </c>
      <c r="I88" s="53">
        <f>IFERROR(VLOOKUP(B88, 'HMMTPUMaC Geo'!A$2:$B$198,2, 0), 0)</f>
        <v>0</v>
      </c>
      <c r="J88" s="53">
        <f>IFERROR(VLOOKUP(B88, 'HMMT 1 Real'!$A$2:B$198,2, 0), 0)</f>
        <v>0</v>
      </c>
      <c r="K88" s="66">
        <f>IFERROR(VLOOKUP(B88, 'HMMT 2 Real'!$A$2:C$198,2, 0), 0)</f>
        <v>0</v>
      </c>
    </row>
    <row r="89">
      <c r="A89" s="65">
        <f t="shared" si="1"/>
        <v>88</v>
      </c>
      <c r="B89" s="7" t="s">
        <v>444</v>
      </c>
      <c r="C89" s="53">
        <f t="shared" si="5"/>
        <v>0</v>
      </c>
      <c r="D89" s="53">
        <f t="shared" si="3"/>
        <v>0</v>
      </c>
      <c r="E89" s="57">
        <f>IFERROR(VLOOKUP(B89, Proof!A$2:$B$199,2, 0), 0)</f>
        <v>0</v>
      </c>
      <c r="F89" s="58">
        <f>IFERROR(VLOOKUP(B89, 'HMMTPUMaC Algebra'!A$2:$B$500,2, 0), 0)</f>
        <v>0</v>
      </c>
      <c r="G89" s="53">
        <f>IFERROR(VLOOKUP(B89, 'HMMTPUMaC Combo'!A$2:$B$500,2, 0), 0)</f>
        <v>0</v>
      </c>
      <c r="H89" s="66">
        <f>IFERROR(VLOOKUP(B89, 'HMMTPUMaC Algebra'!A$2:$B$198,2, 0), 0)</f>
        <v>0</v>
      </c>
      <c r="I89" s="53">
        <f>IFERROR(VLOOKUP(B89, 'HMMTPUMaC NT'!A$2:$B$500,2, 0), 0)</f>
        <v>0</v>
      </c>
      <c r="J89" s="53">
        <f>IFERROR(VLOOKUP(B89, 'HMMT 1 Real'!$A$2:B$198,2, 0), 0)</f>
        <v>0</v>
      </c>
      <c r="K89" s="66">
        <f>IFERROR(VLOOKUP(B89, 'HMMT 2 Real'!$A$2:C$198,2, 0), 0)</f>
        <v>0</v>
      </c>
    </row>
    <row r="90">
      <c r="A90" s="65">
        <f t="shared" si="1"/>
        <v>89</v>
      </c>
      <c r="B90" s="7" t="s">
        <v>581</v>
      </c>
      <c r="C90" s="53">
        <f t="shared" si="5"/>
        <v>0</v>
      </c>
      <c r="D90" s="53">
        <f t="shared" si="3"/>
        <v>0</v>
      </c>
      <c r="E90" s="57">
        <f>IFERROR(VLOOKUP(B90, Proof!A$2:$B$199,2, 0), 0)</f>
        <v>0</v>
      </c>
      <c r="F90" s="58">
        <f>IFERROR(VLOOKUP(B90, 'HMMTPUMaC Algebra'!A$2:$B$500,2, 0), 0)</f>
        <v>0</v>
      </c>
      <c r="G90" s="53">
        <f>IFERROR(VLOOKUP(B90, 'HMMTPUMaC Combo'!A$2:$B$500,2, 0), 0)</f>
        <v>0</v>
      </c>
      <c r="H90" s="66">
        <f>IFERROR(VLOOKUP(B90, 'HMMTPUMaC Algebra'!A$2:$B$198,2, 0), 0)</f>
        <v>0</v>
      </c>
      <c r="I90" s="53">
        <f>IFERROR(VLOOKUP(B90, 'HMMTPUMaC NT'!A$2:$B$500,2, 0), 0)</f>
        <v>0</v>
      </c>
      <c r="J90" s="53">
        <f>IFERROR(VLOOKUP(B90, 'HMMT 1 Real'!$A$2:B$198,2, 0), 0)</f>
        <v>0</v>
      </c>
      <c r="K90" s="66">
        <f>IFERROR(VLOOKUP(B90, 'HMMT 2 Real'!$A$2:C$198,2, 0), 0)</f>
        <v>0</v>
      </c>
    </row>
    <row r="91">
      <c r="A91" s="65">
        <f t="shared" si="1"/>
        <v>90</v>
      </c>
      <c r="B91" s="7" t="s">
        <v>594</v>
      </c>
      <c r="C91" s="53">
        <f t="shared" si="5"/>
        <v>0</v>
      </c>
      <c r="D91" s="53">
        <f t="shared" si="3"/>
        <v>0</v>
      </c>
      <c r="E91" s="57">
        <f>IFERROR(VLOOKUP(B91, Proof!A$2:$B$199,2, 0), 0)</f>
        <v>0</v>
      </c>
      <c r="F91" s="66">
        <f>IFERROR(VLOOKUP(B91, 'HMMTPUMaC Combo'!A$2:$B$198,2, 0), 0)</f>
        <v>0</v>
      </c>
      <c r="G91" s="66">
        <f>IFERROR(VLOOKUP(B91, 'HMMTPUMaC NT'!A$2:$B$198,2, 0), 0)</f>
        <v>0</v>
      </c>
      <c r="H91" s="66">
        <f>IFERROR(VLOOKUP(B91, 'HMMTPUMaC Algebra'!A$2:$B$198,2, 0), 0)</f>
        <v>0</v>
      </c>
      <c r="I91" s="66">
        <f>IFERROR(VLOOKUP(B91, 'HMMTPUMaC Geo'!A$2:$B$198,2, 0), 0)</f>
        <v>0</v>
      </c>
      <c r="J91" s="53">
        <f>IFERROR(VLOOKUP(B91, 'HMMT 1 Real'!$A$2:B$198,2, 0), 0)</f>
        <v>0</v>
      </c>
      <c r="K91" s="66">
        <f>IFERROR(VLOOKUP(B91, 'HMMT 2 Real'!$A$2:C$198,2, 0), 0)</f>
        <v>0</v>
      </c>
    </row>
    <row r="92">
      <c r="A92" s="65">
        <f t="shared" si="1"/>
        <v>91</v>
      </c>
      <c r="B92" s="7" t="s">
        <v>94</v>
      </c>
      <c r="C92" s="53">
        <f t="shared" si="5"/>
        <v>0</v>
      </c>
      <c r="D92" s="53">
        <f t="shared" si="3"/>
        <v>0</v>
      </c>
      <c r="E92" s="57">
        <f>IFERROR(VLOOKUP(B92, Proof!A$2:$B$199,2, 0), 0)</f>
        <v>0</v>
      </c>
      <c r="F92" s="66">
        <f>IFERROR(VLOOKUP(B92, 'HMMTPUMaC Combo'!A$2:$B$198,2, 0), 0)</f>
        <v>0</v>
      </c>
      <c r="G92" s="53">
        <f>IFERROR(VLOOKUP(B92, 'HMMTPUMaC NT'!A$2:$B$198,2, 0), 0)</f>
        <v>0</v>
      </c>
      <c r="H92" s="66">
        <f>IFERROR(VLOOKUP(B92, 'HMMTPUMaC Algebra'!A$2:$B$198,2, 0), 0)</f>
        <v>0</v>
      </c>
      <c r="I92" s="53">
        <f>IFERROR(VLOOKUP(B92, 'HMMTPUMaC Geo'!A$2:$B$198,2, 0), 0)</f>
        <v>0</v>
      </c>
      <c r="J92" s="53">
        <f>IFERROR(VLOOKUP(B92, 'HMMT 1 Real'!$A$2:B$198,2, 0), 0)</f>
        <v>0</v>
      </c>
      <c r="K92" s="66">
        <f>IFERROR(VLOOKUP(B92, 'HMMT 2 Real'!$A$2:C$198,2, 0), 0)</f>
        <v>0</v>
      </c>
    </row>
    <row r="93">
      <c r="A93" s="65">
        <f t="shared" si="1"/>
        <v>92</v>
      </c>
      <c r="B93" s="7" t="s">
        <v>438</v>
      </c>
      <c r="C93" s="53">
        <f t="shared" si="5"/>
        <v>0</v>
      </c>
      <c r="D93" s="53">
        <f t="shared" si="3"/>
        <v>0</v>
      </c>
      <c r="E93" s="57">
        <f>IFERROR(VLOOKUP(B93, Proof!A$2:$B$199,2, 0), 0)</f>
        <v>0</v>
      </c>
      <c r="F93" s="66">
        <f>IFERROR(VLOOKUP(B93, 'HMMTPUMaC Combo'!A$2:$B$198,2, 0), 0)</f>
        <v>0</v>
      </c>
      <c r="G93" s="53">
        <f>IFERROR(VLOOKUP(B93, 'HMMTPUMaC NT'!A$2:$B$198,2, 0), 0)</f>
        <v>0</v>
      </c>
      <c r="H93" s="66">
        <f>IFERROR(VLOOKUP(B93, 'HMMTPUMaC Algebra'!A$2:$B$198,2, 0), 0)</f>
        <v>0</v>
      </c>
      <c r="I93" s="53">
        <f>IFERROR(VLOOKUP(B93, 'HMMTPUMaC Geo'!A$2:$B$198,2, 0), 0)</f>
        <v>0</v>
      </c>
      <c r="J93" s="53">
        <f>IFERROR(VLOOKUP(B93, 'HMMT 1 Real'!$A$2:B$198,2, 0), 0)</f>
        <v>0</v>
      </c>
      <c r="K93" s="66">
        <f>IFERROR(VLOOKUP(B93, 'HMMT 2 Real'!$A$2:C$198,2, 0), 0)</f>
        <v>0</v>
      </c>
    </row>
    <row r="94">
      <c r="A94" s="65">
        <f t="shared" si="1"/>
        <v>93</v>
      </c>
      <c r="B94" s="7" t="s">
        <v>313</v>
      </c>
      <c r="C94" s="53">
        <f t="shared" si="5"/>
        <v>0</v>
      </c>
      <c r="D94" s="53">
        <f t="shared" si="3"/>
        <v>0</v>
      </c>
      <c r="E94" s="57">
        <f>IFERROR(VLOOKUP(B94, Proof!A$2:$B$199,2, 0), 0)</f>
        <v>0</v>
      </c>
      <c r="F94" s="66">
        <f>IFERROR(VLOOKUP(B94, 'HMMTPUMaC Combo'!A$2:$B$198,2, 0), 0)</f>
        <v>0</v>
      </c>
      <c r="G94" s="53">
        <f>IFERROR(VLOOKUP(B94, 'HMMTPUMaC NT'!A$2:$B$198,2, 0), 0)</f>
        <v>0</v>
      </c>
      <c r="H94" s="66">
        <f>IFERROR(VLOOKUP(B94, 'HMMTPUMaC Algebra'!A$2:$B$198,2, 0), 0)</f>
        <v>0</v>
      </c>
      <c r="I94" s="53">
        <f>IFERROR(VLOOKUP(B94, 'HMMTPUMaC Geo'!A$2:$B$198,2, 0), 0)</f>
        <v>0</v>
      </c>
      <c r="J94" s="53">
        <f>IFERROR(VLOOKUP(B94, 'HMMT 1 Real'!$A$2:B$198,2, 0), 0)</f>
        <v>0</v>
      </c>
      <c r="K94" s="66">
        <f>IFERROR(VLOOKUP(B94, 'HMMT 2 Real'!$A$2:C$198,2, 0), 0)</f>
        <v>0</v>
      </c>
    </row>
    <row r="95">
      <c r="A95" s="65">
        <f t="shared" si="1"/>
        <v>94</v>
      </c>
      <c r="B95" s="7" t="s">
        <v>97</v>
      </c>
      <c r="C95" s="53">
        <f t="shared" si="5"/>
        <v>0</v>
      </c>
      <c r="D95" s="53">
        <f t="shared" si="3"/>
        <v>0</v>
      </c>
      <c r="E95" s="57">
        <f>IFERROR(VLOOKUP(B95, Proof!A$2:$B$199,2, 0), 0)</f>
        <v>0</v>
      </c>
      <c r="F95" s="66">
        <f>IFERROR(VLOOKUP(B95, 'HMMTPUMaC Combo'!A$2:$B$198,2, 0), 0)</f>
        <v>0</v>
      </c>
      <c r="G95" s="53">
        <f>IFERROR(VLOOKUP(B95, 'HMMTPUMaC NT'!A$2:$B$198,2, 0), 0)</f>
        <v>0</v>
      </c>
      <c r="H95" s="66">
        <f>IFERROR(VLOOKUP(B95, 'HMMTPUMaC Algebra'!A$2:$B$198,2, 0), 0)</f>
        <v>0</v>
      </c>
      <c r="I95" s="53">
        <f>IFERROR(VLOOKUP(B95, 'HMMTPUMaC Geo'!A$2:$B$198,2, 0), 0)</f>
        <v>0</v>
      </c>
      <c r="J95" s="53">
        <f>IFERROR(VLOOKUP(B95, 'HMMT 1 Real'!$A$2:B$198,2, 0), 0)</f>
        <v>0</v>
      </c>
      <c r="K95" s="66">
        <f>IFERROR(VLOOKUP(B95, 'HMMT 2 Real'!$A$2:C$198,2, 0), 0)</f>
        <v>0</v>
      </c>
    </row>
    <row r="96">
      <c r="A96" s="65">
        <f t="shared" si="1"/>
        <v>95</v>
      </c>
      <c r="B96" s="7" t="s">
        <v>335</v>
      </c>
      <c r="C96" s="53">
        <f t="shared" si="5"/>
        <v>0</v>
      </c>
      <c r="D96" s="53">
        <f t="shared" si="3"/>
        <v>0</v>
      </c>
      <c r="E96" s="57">
        <f>IFERROR(VLOOKUP(B96, Proof!A$2:$B$199,2, 0), 0)</f>
        <v>0</v>
      </c>
      <c r="F96" s="66">
        <f>IFERROR(VLOOKUP(B96, 'HMMTPUMaC Combo'!A$2:$B$198,2, 0), 0)</f>
        <v>0</v>
      </c>
      <c r="G96" s="53">
        <f>IFERROR(VLOOKUP(B96, 'HMMTPUMaC NT'!A$2:$B$198,2, 0), 0)</f>
        <v>0</v>
      </c>
      <c r="H96" s="66">
        <f>IFERROR(VLOOKUP(B96, 'HMMTPUMaC Algebra'!A$2:$B$198,2, 0), 0)</f>
        <v>0</v>
      </c>
      <c r="I96" s="53">
        <f>IFERROR(VLOOKUP(B96, 'HMMTPUMaC Geo'!A$2:$B$198,2, 0), 0)</f>
        <v>0</v>
      </c>
      <c r="J96" s="53">
        <f>IFERROR(VLOOKUP(B96, 'HMMT 1 Real'!$A$2:B$198,2, 0), 0)</f>
        <v>0</v>
      </c>
      <c r="K96" s="66">
        <f>IFERROR(VLOOKUP(B96, 'HMMT 2 Real'!$A$2:C$198,2, 0), 0)</f>
        <v>0</v>
      </c>
    </row>
    <row r="97">
      <c r="A97" s="65">
        <f t="shared" si="1"/>
        <v>96</v>
      </c>
      <c r="B97" s="7" t="s">
        <v>450</v>
      </c>
      <c r="C97" s="53">
        <f t="shared" si="5"/>
        <v>0</v>
      </c>
      <c r="D97" s="53">
        <f t="shared" si="3"/>
        <v>0</v>
      </c>
      <c r="E97" s="57">
        <f>IFERROR(VLOOKUP(B97, Proof!A$2:$B$199,2, 0), 0)</f>
        <v>0</v>
      </c>
      <c r="F97" s="66">
        <f>IFERROR(VLOOKUP(B97, 'HMMTPUMaC Combo'!A$2:$B$198,2, 0), 0)</f>
        <v>0</v>
      </c>
      <c r="G97" s="53">
        <f>IFERROR(VLOOKUP(B97, 'HMMTPUMaC NT'!A$2:$B$198,2, 0), 0)</f>
        <v>0</v>
      </c>
      <c r="H97" s="66">
        <f>IFERROR(VLOOKUP(B97, 'HMMTPUMaC Algebra'!A$2:$B$198,2, 0), 0)</f>
        <v>0</v>
      </c>
      <c r="I97" s="53">
        <f>IFERROR(VLOOKUP(B97, 'HMMTPUMaC Geo'!A$2:$B$198,2, 0), 0)</f>
        <v>0</v>
      </c>
      <c r="J97" s="53">
        <f>IFERROR(VLOOKUP(B97, 'HMMT 1 Real'!$A$2:B$198,2, 0), 0)</f>
        <v>0</v>
      </c>
      <c r="K97" s="66">
        <f>IFERROR(VLOOKUP(B97, 'HMMT 2 Real'!$A$2:C$198,2, 0), 0)</f>
        <v>0</v>
      </c>
    </row>
    <row r="98">
      <c r="A98" s="65">
        <f t="shared" si="1"/>
        <v>97</v>
      </c>
      <c r="B98" s="7" t="s">
        <v>351</v>
      </c>
      <c r="C98" s="53">
        <f t="shared" si="5"/>
        <v>0</v>
      </c>
      <c r="D98" s="53">
        <f t="shared" si="3"/>
        <v>0</v>
      </c>
      <c r="E98" s="57">
        <f>IFERROR(VLOOKUP(B98, Proof!A$2:$B$199,2, 0), 0)</f>
        <v>0</v>
      </c>
      <c r="F98" s="66">
        <f>IFERROR(VLOOKUP(B98, 'HMMTPUMaC Combo'!A$2:$B$198,2, 0), 0)</f>
        <v>0</v>
      </c>
      <c r="G98" s="53">
        <f>IFERROR(VLOOKUP(B98, 'HMMTPUMaC NT'!A$2:$B$198,2, 0), 0)</f>
        <v>0</v>
      </c>
      <c r="H98" s="66">
        <f>IFERROR(VLOOKUP(B98, 'HMMTPUMaC Algebra'!A$2:$B$198,2, 0), 0)</f>
        <v>0</v>
      </c>
      <c r="I98" s="53">
        <f>IFERROR(VLOOKUP(B98, 'HMMTPUMaC Geo'!A$2:$B$198,2, 0), 0)</f>
        <v>0</v>
      </c>
      <c r="J98" s="53">
        <f>IFERROR(VLOOKUP(B98, 'HMMT 1 Real'!$A$2:B$198,2, 0), 0)</f>
        <v>0</v>
      </c>
      <c r="K98" s="66">
        <f>IFERROR(VLOOKUP(B98, 'HMMT 2 Real'!$A$2:C$198,2, 0), 0)</f>
        <v>0</v>
      </c>
    </row>
    <row r="99">
      <c r="A99" s="65">
        <f t="shared" si="1"/>
        <v>98</v>
      </c>
      <c r="B99" s="7" t="s">
        <v>291</v>
      </c>
      <c r="C99" s="53">
        <f t="shared" si="5"/>
        <v>0</v>
      </c>
      <c r="D99" s="53">
        <f t="shared" si="3"/>
        <v>0</v>
      </c>
      <c r="E99" s="57">
        <f>IFERROR(VLOOKUP(B99, Proof!A$2:$B$199,2, 0), 0)</f>
        <v>0</v>
      </c>
      <c r="F99" s="66">
        <f>IFERROR(VLOOKUP(B99, 'HMMTPUMaC Combo'!A$2:$B$198,2, 0), 0)</f>
        <v>0</v>
      </c>
      <c r="G99" s="53">
        <f>IFERROR(VLOOKUP(B99, 'HMMTPUMaC NT'!A$2:$B$198,2, 0), 0)</f>
        <v>0</v>
      </c>
      <c r="H99" s="66">
        <f>IFERROR(VLOOKUP(B99, 'HMMTPUMaC Algebra'!A$2:$B$198,2, 0), 0)</f>
        <v>0</v>
      </c>
      <c r="I99" s="53">
        <f>IFERROR(VLOOKUP(B99, 'HMMTPUMaC Geo'!A$2:$B$198,2, 0), 0)</f>
        <v>0</v>
      </c>
      <c r="J99" s="53">
        <f>IFERROR(VLOOKUP(B99, 'HMMT 1 Real'!$A$2:B$198,2, 0), 0)</f>
        <v>0</v>
      </c>
      <c r="K99" s="66">
        <f>IFERROR(VLOOKUP(B99, 'HMMT 2 Real'!$A$2:C$198,2, 0), 0)</f>
        <v>0</v>
      </c>
    </row>
    <row r="100">
      <c r="A100" s="65">
        <f t="shared" si="1"/>
        <v>99</v>
      </c>
      <c r="B100" s="7" t="s">
        <v>253</v>
      </c>
      <c r="C100" s="53">
        <f t="shared" si="5"/>
        <v>0</v>
      </c>
      <c r="D100" s="53">
        <f t="shared" si="3"/>
        <v>0</v>
      </c>
      <c r="E100" s="57">
        <f>IFERROR(VLOOKUP(B100, Proof!A$2:$B$199,2, 0), 0)</f>
        <v>0</v>
      </c>
      <c r="F100" s="66">
        <f>IFERROR(VLOOKUP(B100, 'HMMTPUMaC Combo'!A$2:$B$198,2, 0), 0)</f>
        <v>0</v>
      </c>
      <c r="G100" s="53">
        <f>IFERROR(VLOOKUP(B100, 'HMMTPUMaC NT'!A$2:$B$198,2, 0), 0)</f>
        <v>0</v>
      </c>
      <c r="H100" s="66">
        <f>IFERROR(VLOOKUP(B100, 'HMMTPUMaC Algebra'!A$2:$B$198,2, 0), 0)</f>
        <v>0</v>
      </c>
      <c r="I100" s="53">
        <f>IFERROR(VLOOKUP(B100, 'HMMTPUMaC Geo'!A$2:$B$198,2, 0), 0)</f>
        <v>0</v>
      </c>
      <c r="J100" s="53">
        <f>IFERROR(VLOOKUP(B100, 'HMMT 1 Real'!$A$2:B$198,2, 0), 0)</f>
        <v>0</v>
      </c>
      <c r="K100" s="66">
        <f>IFERROR(VLOOKUP(B100, 'HMMT 2 Real'!$A$2:C$198,2, 0), 0)</f>
        <v>0</v>
      </c>
    </row>
    <row r="101">
      <c r="A101" s="65">
        <f t="shared" si="1"/>
        <v>100</v>
      </c>
      <c r="B101" s="7" t="s">
        <v>326</v>
      </c>
      <c r="C101" s="53">
        <f t="shared" si="5"/>
        <v>0</v>
      </c>
      <c r="D101" s="53">
        <f t="shared" si="3"/>
        <v>0</v>
      </c>
      <c r="E101" s="57">
        <f>IFERROR(VLOOKUP(B101, Proof!A$2:$B$199,2, 0), 0)</f>
        <v>0</v>
      </c>
      <c r="F101" s="66">
        <f>IFERROR(VLOOKUP(B101, 'HMMTPUMaC Combo'!A$2:$B$198,2, 0), 0)</f>
        <v>0</v>
      </c>
      <c r="G101" s="53">
        <f>IFERROR(VLOOKUP(B101, 'HMMTPUMaC NT'!A$2:$B$198,2, 0), 0)</f>
        <v>0</v>
      </c>
      <c r="H101" s="66">
        <f>IFERROR(VLOOKUP(B101, 'HMMTPUMaC Algebra'!A$2:$B$198,2, 0), 0)</f>
        <v>0</v>
      </c>
      <c r="I101" s="53">
        <f>IFERROR(VLOOKUP(B101, 'HMMTPUMaC Geo'!A$2:$B$198,2, 0), 0)</f>
        <v>0</v>
      </c>
      <c r="J101" s="53">
        <f>IFERROR(VLOOKUP(B101, 'HMMT 1 Real'!$A$2:B$198,2, 0), 0)</f>
        <v>0</v>
      </c>
      <c r="K101" s="66">
        <f>IFERROR(VLOOKUP(B101, 'HMMT 2 Real'!$A$2:C$198,2, 0), 0)</f>
        <v>0</v>
      </c>
    </row>
    <row r="102">
      <c r="A102" s="65">
        <f t="shared" si="1"/>
        <v>101</v>
      </c>
      <c r="B102" s="7" t="s">
        <v>294</v>
      </c>
      <c r="C102" s="53">
        <f t="shared" si="5"/>
        <v>0</v>
      </c>
      <c r="D102" s="53">
        <f t="shared" si="3"/>
        <v>0</v>
      </c>
      <c r="E102" s="57">
        <f>IFERROR(VLOOKUP(B102, Proof!A$2:$B$199,2, 0), 0)</f>
        <v>0</v>
      </c>
      <c r="F102" s="58">
        <f>IFERROR(VLOOKUP(B102, 'HMMTPUMaC Algebra'!A$2:$B$500,2, 0), 0)</f>
        <v>0</v>
      </c>
      <c r="G102" s="53">
        <f>IFERROR(VLOOKUP(B102, 'HMMTPUMaC Combo'!A$2:$B$500,2, 0), 0)</f>
        <v>0</v>
      </c>
      <c r="H102" s="66">
        <f>IFERROR(VLOOKUP(B102, 'HMMTPUMaC Algebra'!A$2:$B$198,2, 0), 0)</f>
        <v>0</v>
      </c>
      <c r="I102" s="53">
        <f>IFERROR(VLOOKUP(B102, 'HMMTPUMaC NT'!A$2:$B$500,2, 0), 0)</f>
        <v>0</v>
      </c>
      <c r="J102" s="53">
        <f>IFERROR(VLOOKUP(B102, 'HMMT 1 Real'!$A$2:B$198,2, 0), 0)</f>
        <v>0</v>
      </c>
      <c r="K102" s="66">
        <f>IFERROR(VLOOKUP(B102, 'HMMT 2 Real'!$A$2:C$198,2, 0), 0)</f>
        <v>0</v>
      </c>
    </row>
    <row r="103">
      <c r="A103" s="65">
        <f t="shared" si="1"/>
        <v>102</v>
      </c>
      <c r="B103" s="7" t="s">
        <v>300</v>
      </c>
      <c r="C103" s="53">
        <f t="shared" si="5"/>
        <v>0</v>
      </c>
      <c r="D103" s="53">
        <f t="shared" si="3"/>
        <v>0</v>
      </c>
      <c r="E103" s="57">
        <f>IFERROR(VLOOKUP(B103, Proof!A$2:$B$199,2, 0), 0)</f>
        <v>0</v>
      </c>
      <c r="F103" s="58">
        <f>IFERROR(VLOOKUP(B103, 'HMMTPUMaC Algebra'!A$2:$B$500,2, 0), 0)</f>
        <v>0</v>
      </c>
      <c r="G103" s="53">
        <f>IFERROR(VLOOKUP(B103, 'HMMTPUMaC Combo'!A$2:$B$500,2, 0), 0)</f>
        <v>0</v>
      </c>
      <c r="H103" s="66">
        <f>IFERROR(VLOOKUP(B103, 'HMMTPUMaC Algebra'!A$2:$B$198,2, 0), 0)</f>
        <v>0</v>
      </c>
      <c r="I103" s="53">
        <f>IFERROR(VLOOKUP(B103, 'HMMTPUMaC NT'!A$2:$B$500,2, 0), 0)</f>
        <v>0</v>
      </c>
      <c r="J103" s="53">
        <f>IFERROR(VLOOKUP(B103, 'HMMT 1 Real'!$A$2:B$198,2, 0), 0)</f>
        <v>0</v>
      </c>
      <c r="K103" s="66">
        <f>IFERROR(VLOOKUP(B103, 'HMMT 2 Real'!$A$2:C$198,2, 0), 0)</f>
        <v>0</v>
      </c>
    </row>
    <row r="104">
      <c r="A104" s="65">
        <f t="shared" si="1"/>
        <v>103</v>
      </c>
      <c r="B104" s="7" t="s">
        <v>98</v>
      </c>
      <c r="C104" s="53">
        <f t="shared" si="5"/>
        <v>0</v>
      </c>
      <c r="D104" s="53">
        <f t="shared" si="3"/>
        <v>0</v>
      </c>
      <c r="E104" s="57">
        <f>IFERROR(VLOOKUP(B104, Proof!A$2:$B$199,2, 0), 0)</f>
        <v>0</v>
      </c>
      <c r="F104" s="58">
        <f>IFERROR(VLOOKUP(B104, 'HMMTPUMaC Algebra'!A$2:$B$500,2, 0), 0)</f>
        <v>0</v>
      </c>
      <c r="G104" s="53">
        <f>IFERROR(VLOOKUP(B104, 'HMMTPUMaC Combo'!A$2:$B$500,2, 0), 0)</f>
        <v>0</v>
      </c>
      <c r="H104" s="66">
        <f>IFERROR(VLOOKUP(B104, 'HMMTPUMaC Algebra'!A$2:$B$198,2, 0), 0)</f>
        <v>0</v>
      </c>
      <c r="I104" s="53">
        <f>IFERROR(VLOOKUP(B104, 'HMMTPUMaC NT'!A$2:$B$500,2, 0), 0)</f>
        <v>0</v>
      </c>
      <c r="J104" s="53">
        <f>IFERROR(VLOOKUP(B104, 'HMMT 1 Real'!$A$2:B$198,2, 0), 0)</f>
        <v>0</v>
      </c>
      <c r="K104" s="66">
        <f>IFERROR(VLOOKUP(B104, 'HMMT 2 Real'!$A$2:C$198,2, 0), 0)</f>
        <v>0</v>
      </c>
    </row>
    <row r="105">
      <c r="A105" s="65">
        <f t="shared" si="1"/>
        <v>104</v>
      </c>
      <c r="B105" s="7" t="s">
        <v>103</v>
      </c>
      <c r="C105" s="53">
        <f t="shared" si="5"/>
        <v>0</v>
      </c>
      <c r="D105" s="53">
        <f t="shared" si="3"/>
        <v>0</v>
      </c>
      <c r="E105" s="57">
        <f>IFERROR(VLOOKUP(B105, Proof!A$2:$B$199,2, 0), 0)</f>
        <v>0</v>
      </c>
      <c r="F105" s="58">
        <f>IFERROR(VLOOKUP(B105, 'HMMTPUMaC Algebra'!A$2:$B$500,2, 0), 0)</f>
        <v>0</v>
      </c>
      <c r="G105" s="53">
        <f>IFERROR(VLOOKUP(B105, 'HMMTPUMaC Combo'!A$2:$B$500,2, 0), 0)</f>
        <v>0</v>
      </c>
      <c r="H105" s="66">
        <f>IFERROR(VLOOKUP(B105, 'HMMTPUMaC Algebra'!A$2:$B$198,2, 0), 0)</f>
        <v>0</v>
      </c>
      <c r="I105" s="53">
        <f>IFERROR(VLOOKUP(B105, 'HMMTPUMaC NT'!A$2:$B$500,2, 0), 0)</f>
        <v>0</v>
      </c>
      <c r="J105" s="53">
        <f>IFERROR(VLOOKUP(B105, 'HMMT 1 Real'!$A$2:B$198,2, 0), 0)</f>
        <v>0</v>
      </c>
      <c r="K105" s="66">
        <f>IFERROR(VLOOKUP(B105, 'HMMT 2 Real'!$A$2:C$198,2, 0), 0)</f>
        <v>0</v>
      </c>
    </row>
    <row r="106">
      <c r="A106" s="65">
        <f t="shared" si="1"/>
        <v>105</v>
      </c>
      <c r="B106" s="7" t="s">
        <v>173</v>
      </c>
      <c r="C106" s="53">
        <f t="shared" si="5"/>
        <v>0</v>
      </c>
      <c r="D106" s="53">
        <f t="shared" si="3"/>
        <v>0</v>
      </c>
      <c r="E106" s="57">
        <f>IFERROR(VLOOKUP(B106, Proof!A$2:$B$199,2, 0), 0)</f>
        <v>0</v>
      </c>
      <c r="F106" s="58">
        <f>IFERROR(VLOOKUP(B106, 'HMMTPUMaC Algebra'!A$2:$B$500,2, 0), 0)</f>
        <v>0</v>
      </c>
      <c r="G106" s="53">
        <f>IFERROR(VLOOKUP(B106, 'HMMTPUMaC Combo'!A$2:$B$500,2, 0), 0)</f>
        <v>0</v>
      </c>
      <c r="H106" s="66">
        <f>IFERROR(VLOOKUP(B106, 'HMMTPUMaC Algebra'!A$2:$B$198,2, 0), 0)</f>
        <v>0</v>
      </c>
      <c r="I106" s="53">
        <f>IFERROR(VLOOKUP(B106, 'HMMTPUMaC NT'!A$2:$B$500,2, 0), 0)</f>
        <v>0</v>
      </c>
      <c r="J106" s="53">
        <f>IFERROR(VLOOKUP(B106, 'HMMT 1 Real'!$A$2:B$198,2, 0), 0)</f>
        <v>0</v>
      </c>
      <c r="K106" s="66">
        <f>IFERROR(VLOOKUP(B106, 'HMMT 2 Real'!$A$2:C$198,2, 0), 0)</f>
        <v>0</v>
      </c>
    </row>
    <row r="107">
      <c r="A107" s="65">
        <f t="shared" si="1"/>
        <v>106</v>
      </c>
      <c r="B107" s="7" t="s">
        <v>341</v>
      </c>
      <c r="C107" s="53">
        <f t="shared" si="5"/>
        <v>0</v>
      </c>
      <c r="D107" s="53">
        <f t="shared" si="3"/>
        <v>0</v>
      </c>
      <c r="E107" s="57">
        <f>IFERROR(VLOOKUP(B107, Proof!A$2:$B$199,2, 0), 0)</f>
        <v>0</v>
      </c>
      <c r="F107" s="58">
        <f>IFERROR(VLOOKUP(B107, 'HMMTPUMaC Algebra'!A$2:$B$500,2, 0), 0)</f>
        <v>0</v>
      </c>
      <c r="G107" s="53">
        <f>IFERROR(VLOOKUP(B107, 'HMMTPUMaC Combo'!A$2:$B$500,2, 0), 0)</f>
        <v>0</v>
      </c>
      <c r="H107" s="66">
        <f>IFERROR(VLOOKUP(B107, 'HMMTPUMaC Algebra'!A$2:$B$198,2, 0), 0)</f>
        <v>0</v>
      </c>
      <c r="I107" s="53">
        <f>IFERROR(VLOOKUP(B107, 'HMMTPUMaC NT'!A$2:$B$500,2, 0), 0)</f>
        <v>0</v>
      </c>
      <c r="J107" s="53">
        <f>IFERROR(VLOOKUP(B107, 'HMMT 1 Real'!$A$2:B$198,2, 0), 0)</f>
        <v>0</v>
      </c>
      <c r="K107" s="66">
        <f>IFERROR(VLOOKUP(B107, 'HMMT 2 Real'!$A$2:C$198,2, 0), 0)</f>
        <v>0</v>
      </c>
    </row>
    <row r="108">
      <c r="A108" s="65">
        <f t="shared" si="1"/>
        <v>107</v>
      </c>
      <c r="B108" s="7" t="s">
        <v>609</v>
      </c>
      <c r="C108" s="53">
        <f t="shared" si="5"/>
        <v>0</v>
      </c>
      <c r="D108" s="53">
        <f t="shared" si="3"/>
        <v>0</v>
      </c>
      <c r="E108" s="57">
        <f>IFERROR(VLOOKUP(B108, Proof!A$2:$B$199,2, 0), 0)</f>
        <v>0</v>
      </c>
      <c r="F108" s="58">
        <f>IFERROR(VLOOKUP(B108, 'HMMTPUMaC Algebra'!A$2:$B$500,2, 0), 0)</f>
        <v>0</v>
      </c>
      <c r="G108" s="53">
        <f>IFERROR(VLOOKUP(B108, 'HMMTPUMaC Combo'!A$2:$B$500,2, 0), 0)</f>
        <v>0</v>
      </c>
      <c r="H108" s="66">
        <f>IFERROR(VLOOKUP(B108, 'HMMTPUMaC Algebra'!A$2:$B$198,2, 0), 0)</f>
        <v>0</v>
      </c>
      <c r="I108" s="53">
        <f>IFERROR(VLOOKUP(B108, 'HMMTPUMaC NT'!A$2:$B$500,2, 0), 0)</f>
        <v>0</v>
      </c>
      <c r="J108" s="53">
        <f>IFERROR(VLOOKUP(B108, 'HMMT 1 Real'!$A$2:B$198,2, 0), 0)</f>
        <v>0</v>
      </c>
      <c r="K108" s="66">
        <f>IFERROR(VLOOKUP(B108, 'HMMT 2 Real'!$A$2:C$198,2, 0), 0)</f>
        <v>0</v>
      </c>
    </row>
    <row r="109">
      <c r="A109" s="65">
        <f t="shared" si="1"/>
        <v>108</v>
      </c>
      <c r="B109" s="7" t="s">
        <v>610</v>
      </c>
      <c r="C109" s="53">
        <f t="shared" si="5"/>
        <v>0</v>
      </c>
      <c r="D109" s="53">
        <f t="shared" si="3"/>
        <v>0</v>
      </c>
      <c r="E109" s="57">
        <f>IFERROR(VLOOKUP(B109, Proof!A$2:$B$199,2, 0), 0)</f>
        <v>0</v>
      </c>
      <c r="F109" s="58">
        <f>IFERROR(VLOOKUP(B109, 'HMMTPUMaC Algebra'!A$2:$B$500,2, 0), 0)</f>
        <v>0</v>
      </c>
      <c r="G109" s="53">
        <f>IFERROR(VLOOKUP(B109, 'HMMTPUMaC Combo'!A$2:$B$500,2, 0), 0)</f>
        <v>0</v>
      </c>
      <c r="H109" s="66">
        <f>IFERROR(VLOOKUP(B109, 'HMMTPUMaC Algebra'!A$2:$B$198,2, 0), 0)</f>
        <v>0</v>
      </c>
      <c r="I109" s="53">
        <f>IFERROR(VLOOKUP(B109, 'HMMTPUMaC NT'!A$2:$B$500,2, 0), 0)</f>
        <v>0</v>
      </c>
      <c r="J109" s="53">
        <f>IFERROR(VLOOKUP(B109, 'HMMT 1 Real'!$A$2:B$198,2, 0), 0)</f>
        <v>0</v>
      </c>
      <c r="K109" s="66">
        <f>IFERROR(VLOOKUP(B109, 'HMMT 2 Real'!$A$2:C$198,2, 0), 0)</f>
        <v>0</v>
      </c>
    </row>
    <row r="110">
      <c r="A110" s="65">
        <f t="shared" si="1"/>
        <v>109</v>
      </c>
      <c r="B110" s="7" t="s">
        <v>620</v>
      </c>
      <c r="C110" s="53">
        <f t="shared" si="5"/>
        <v>0</v>
      </c>
      <c r="D110" s="53">
        <f t="shared" si="3"/>
        <v>0</v>
      </c>
      <c r="E110" s="57">
        <f>IFERROR(VLOOKUP(B110, Proof!A$2:$B$199,2, 0), 0)</f>
        <v>0</v>
      </c>
      <c r="F110" s="58">
        <f>IFERROR(VLOOKUP(B110, 'HMMTPUMaC Algebra'!A$2:$B$500,2, 0), 0)</f>
        <v>0</v>
      </c>
      <c r="G110" s="53">
        <f>IFERROR(VLOOKUP(B110, 'HMMTPUMaC Combo'!A$2:$B$500,2, 0), 0)</f>
        <v>0</v>
      </c>
      <c r="H110" s="66">
        <f>IFERROR(VLOOKUP(B110, 'HMMTPUMaC Algebra'!A$2:$B$198,2, 0), 0)</f>
        <v>0</v>
      </c>
      <c r="I110" s="53">
        <f>IFERROR(VLOOKUP(B110, 'HMMTPUMaC NT'!A$2:$B$500,2, 0), 0)</f>
        <v>0</v>
      </c>
      <c r="J110" s="53">
        <f>IFERROR(VLOOKUP(B110, 'HMMT 1 Real'!$A$2:B$198,2, 0), 0)</f>
        <v>0</v>
      </c>
      <c r="K110" s="66">
        <f>IFERROR(VLOOKUP(B110, 'HMMT 2 Real'!$A$2:C$198,2, 0), 0)</f>
        <v>0</v>
      </c>
    </row>
    <row r="111">
      <c r="A111" s="65">
        <f t="shared" si="1"/>
        <v>110</v>
      </c>
      <c r="B111" s="7" t="s">
        <v>583</v>
      </c>
      <c r="C111" s="53">
        <f t="shared" si="5"/>
        <v>0</v>
      </c>
      <c r="D111" s="53">
        <f t="shared" si="3"/>
        <v>0</v>
      </c>
      <c r="E111" s="57">
        <f>IFERROR(VLOOKUP(B111, Proof!A$2:$B$199,2, 0), 0)</f>
        <v>0</v>
      </c>
      <c r="F111" s="58">
        <f>IFERROR(VLOOKUP(B111, 'HMMTPUMaC Algebra'!A$2:$B$500,2, 0), 0)</f>
        <v>0</v>
      </c>
      <c r="G111" s="53">
        <f>IFERROR(VLOOKUP(B111, 'HMMTPUMaC Combo'!A$2:$B$500,2, 0), 0)</f>
        <v>0</v>
      </c>
      <c r="H111" s="66">
        <f>IFERROR(VLOOKUP(B111, 'HMMTPUMaC Algebra'!A$2:$B$198,2, 0), 0)</f>
        <v>0</v>
      </c>
      <c r="I111" s="53">
        <f>IFERROR(VLOOKUP(B111, 'HMMTPUMaC NT'!A$2:$B$500,2, 0), 0)</f>
        <v>0</v>
      </c>
      <c r="J111" s="53">
        <f>IFERROR(VLOOKUP(B111, 'HMMT 1 Real'!$A$2:B$198,2, 0), 0)</f>
        <v>0</v>
      </c>
      <c r="K111" s="66">
        <f>IFERROR(VLOOKUP(B111, 'HMMT 2 Real'!$A$2:C$198,2, 0), 0)</f>
        <v>0</v>
      </c>
    </row>
    <row r="112">
      <c r="A112" s="65">
        <f t="shared" si="1"/>
        <v>111</v>
      </c>
      <c r="B112" s="7" t="s">
        <v>601</v>
      </c>
      <c r="C112" s="53">
        <f t="shared" si="5"/>
        <v>0</v>
      </c>
      <c r="D112" s="53">
        <f t="shared" si="3"/>
        <v>0</v>
      </c>
      <c r="E112" s="57">
        <f>IFERROR(VLOOKUP(B112, Proof!A$2:$B$199,2, 0), 0)</f>
        <v>0</v>
      </c>
      <c r="F112" s="58">
        <f>IFERROR(VLOOKUP(B112, 'HMMTPUMaC Algebra'!A$2:$B$500,2, 0), 0)</f>
        <v>0</v>
      </c>
      <c r="G112" s="53">
        <f>IFERROR(VLOOKUP(B112, 'HMMTPUMaC Combo'!A$2:$B$500,2, 0), 0)</f>
        <v>0</v>
      </c>
      <c r="H112" s="66">
        <f>IFERROR(VLOOKUP(B112, 'HMMTPUMaC Algebra'!A$2:$B$198,2, 0), 0)</f>
        <v>0</v>
      </c>
      <c r="I112" s="53">
        <f>IFERROR(VLOOKUP(B112, 'HMMTPUMaC NT'!A$2:$B$500,2, 0), 0)</f>
        <v>0</v>
      </c>
      <c r="J112" s="53">
        <f>IFERROR(VLOOKUP(B112, 'HMMT 1 Real'!$A$2:B$198,2, 0), 0)</f>
        <v>0</v>
      </c>
      <c r="K112" s="66">
        <f>IFERROR(VLOOKUP(B112, 'HMMT 2 Real'!$A$2:C$198,2, 0), 0)</f>
        <v>0</v>
      </c>
    </row>
    <row r="113">
      <c r="A113" s="65">
        <f t="shared" si="1"/>
        <v>112</v>
      </c>
      <c r="B113" s="7" t="s">
        <v>617</v>
      </c>
      <c r="C113" s="53">
        <f t="shared" si="5"/>
        <v>0</v>
      </c>
      <c r="D113" s="53">
        <f t="shared" si="3"/>
        <v>0</v>
      </c>
      <c r="E113" s="57">
        <f>IFERROR(VLOOKUP(B113, Proof!A$2:$B$199,2, 0), 0)</f>
        <v>0</v>
      </c>
      <c r="F113" s="58">
        <f>IFERROR(VLOOKUP(B113, 'HMMTPUMaC Algebra'!A$2:$B$500,2, 0), 0)</f>
        <v>0</v>
      </c>
      <c r="G113" s="53">
        <f>IFERROR(VLOOKUP(B113, 'HMMTPUMaC Combo'!A$2:$B$500,2, 0), 0)</f>
        <v>0</v>
      </c>
      <c r="H113" s="66">
        <f>IFERROR(VLOOKUP(B113, 'HMMTPUMaC Algebra'!A$2:$B$198,2, 0), 0)</f>
        <v>0</v>
      </c>
      <c r="I113" s="53">
        <f>IFERROR(VLOOKUP(B113, 'HMMTPUMaC NT'!A$2:$B$500,2, 0), 0)</f>
        <v>0</v>
      </c>
      <c r="J113" s="53">
        <f>IFERROR(VLOOKUP(B113, 'HMMT 1 Real'!$A$2:B$198,2, 0), 0)</f>
        <v>0</v>
      </c>
      <c r="K113" s="66">
        <f>IFERROR(VLOOKUP(B113, 'HMMT 2 Real'!$A$2:C$198,2, 0), 0)</f>
        <v>0</v>
      </c>
    </row>
    <row r="114">
      <c r="A114" s="65">
        <f t="shared" si="1"/>
        <v>113</v>
      </c>
      <c r="B114" s="7" t="s">
        <v>579</v>
      </c>
      <c r="C114" s="53">
        <f t="shared" si="5"/>
        <v>0</v>
      </c>
      <c r="D114" s="53">
        <f t="shared" si="3"/>
        <v>0</v>
      </c>
      <c r="E114" s="57">
        <f>IFERROR(VLOOKUP(B114, Proof!A$2:$B$199,2, 0), 0)</f>
        <v>0</v>
      </c>
      <c r="F114" s="58">
        <f>IFERROR(VLOOKUP(B114, 'HMMTPUMaC Algebra'!A$2:$B$500,2, 0), 0)</f>
        <v>0</v>
      </c>
      <c r="G114" s="53">
        <f>IFERROR(VLOOKUP(B114, 'HMMTPUMaC Combo'!A$2:$B$500,2, 0), 0)</f>
        <v>0</v>
      </c>
      <c r="H114" s="66">
        <f>IFERROR(VLOOKUP(B114, 'HMMTPUMaC Algebra'!A$2:$B$198,2, 0), 0)</f>
        <v>0</v>
      </c>
      <c r="I114" s="53">
        <f>IFERROR(VLOOKUP(B114, 'HMMTPUMaC NT'!A$2:$B$500,2, 0), 0)</f>
        <v>0</v>
      </c>
      <c r="J114" s="53">
        <f>IFERROR(VLOOKUP(B114, 'HMMT 1 Real'!$A$2:B$198,2, 0), 0)</f>
        <v>0</v>
      </c>
      <c r="K114" s="66">
        <f>IFERROR(VLOOKUP(B114, 'HMMT 2 Real'!$A$2:C$198,2, 0), 0)</f>
        <v>0</v>
      </c>
    </row>
    <row r="115">
      <c r="A115" s="65">
        <f t="shared" si="1"/>
        <v>114</v>
      </c>
      <c r="B115" s="7" t="s">
        <v>612</v>
      </c>
      <c r="C115" s="53">
        <f t="shared" si="5"/>
        <v>0</v>
      </c>
      <c r="D115" s="53">
        <f t="shared" si="3"/>
        <v>0</v>
      </c>
      <c r="E115" s="57">
        <f>IFERROR(VLOOKUP(B115, Proof!A$2:$B$199,2, 0), 0)</f>
        <v>0</v>
      </c>
      <c r="F115" s="58">
        <f>IFERROR(VLOOKUP(B115, 'HMMTPUMaC Algebra'!A$2:$B$500,2, 0), 0)</f>
        <v>0</v>
      </c>
      <c r="G115" s="53">
        <f>IFERROR(VLOOKUP(B115, 'HMMTPUMaC Combo'!A$2:$B$500,2, 0), 0)</f>
        <v>0</v>
      </c>
      <c r="H115" s="66">
        <f>IFERROR(VLOOKUP(B115, 'HMMTPUMaC Algebra'!A$2:$B$198,2, 0), 0)</f>
        <v>0</v>
      </c>
      <c r="I115" s="53">
        <f>IFERROR(VLOOKUP(B115, 'HMMTPUMaC NT'!A$2:$B$500,2, 0), 0)</f>
        <v>0</v>
      </c>
      <c r="J115" s="53">
        <f>IFERROR(VLOOKUP(B115, 'HMMT 1 Real'!$A$2:B$198,2, 0), 0)</f>
        <v>0</v>
      </c>
      <c r="K115" s="66">
        <f>IFERROR(VLOOKUP(B115, 'HMMT 2 Real'!$A$2:C$198,2, 0), 0)</f>
        <v>0</v>
      </c>
    </row>
    <row r="116">
      <c r="A116" s="65">
        <f t="shared" si="1"/>
        <v>115</v>
      </c>
      <c r="B116" s="7" t="s">
        <v>606</v>
      </c>
      <c r="C116" s="53">
        <f t="shared" si="5"/>
        <v>0</v>
      </c>
      <c r="D116" s="53">
        <f t="shared" si="3"/>
        <v>0</v>
      </c>
      <c r="E116" s="57">
        <f>IFERROR(VLOOKUP(B116, Proof!A$2:$B$199,2, 0), 0)</f>
        <v>0</v>
      </c>
      <c r="F116" s="58">
        <f>IFERROR(VLOOKUP(B116, 'HMMTPUMaC Algebra'!A$2:$B$500,2, 0), 0)</f>
        <v>0</v>
      </c>
      <c r="G116" s="53">
        <f>IFERROR(VLOOKUP(B116, 'HMMTPUMaC Combo'!A$2:$B$500,2, 0), 0)</f>
        <v>0</v>
      </c>
      <c r="H116" s="66">
        <f>IFERROR(VLOOKUP(B116, 'HMMTPUMaC Algebra'!A$2:$B$198,2, 0), 0)</f>
        <v>0</v>
      </c>
      <c r="I116" s="53">
        <f>IFERROR(VLOOKUP(B116, 'HMMTPUMaC NT'!A$2:$B$500,2, 0), 0)</f>
        <v>0</v>
      </c>
      <c r="J116" s="53">
        <f>IFERROR(VLOOKUP(B116, 'HMMT 1 Real'!$A$2:B$198,2, 0), 0)</f>
        <v>0</v>
      </c>
      <c r="K116" s="66">
        <f>IFERROR(VLOOKUP(B116, 'HMMT 2 Real'!$A$2:C$198,2, 0), 0)</f>
        <v>0</v>
      </c>
    </row>
    <row r="117">
      <c r="A117" s="65">
        <f t="shared" si="1"/>
        <v>116</v>
      </c>
      <c r="B117" s="7" t="s">
        <v>636</v>
      </c>
      <c r="C117" s="53">
        <f t="shared" si="5"/>
        <v>0</v>
      </c>
      <c r="D117" s="53">
        <f t="shared" si="3"/>
        <v>0</v>
      </c>
      <c r="E117" s="57">
        <f>IFERROR(VLOOKUP(B117, Proof!A$2:$B$199,2, 0), 0)</f>
        <v>0</v>
      </c>
      <c r="F117" s="58">
        <f>IFERROR(VLOOKUP(B117, 'HMMTPUMaC Algebra'!A$2:$B$500,2, 0), 0)</f>
        <v>0</v>
      </c>
      <c r="G117" s="53">
        <f>IFERROR(VLOOKUP(B117, 'HMMTPUMaC Combo'!A$2:$B$500,2, 0), 0)</f>
        <v>0</v>
      </c>
      <c r="H117" s="66">
        <f>IFERROR(VLOOKUP(B117, 'HMMTPUMaC Algebra'!A$2:$B$198,2, 0), 0)</f>
        <v>0</v>
      </c>
      <c r="I117" s="53">
        <f>IFERROR(VLOOKUP(B117, 'HMMTPUMaC NT'!A$2:$B$500,2, 0), 0)</f>
        <v>0</v>
      </c>
      <c r="J117" s="53">
        <f>IFERROR(VLOOKUP(B117, 'HMMT 1 Real'!$A$2:B$198,2, 0), 0)</f>
        <v>0</v>
      </c>
      <c r="K117" s="66">
        <f>IFERROR(VLOOKUP(B117, 'HMMT 2 Real'!$A$2:C$198,2, 0), 0)</f>
        <v>0</v>
      </c>
    </row>
    <row r="118">
      <c r="A118" s="65">
        <f t="shared" si="1"/>
        <v>117</v>
      </c>
      <c r="B118" s="7" t="s">
        <v>639</v>
      </c>
      <c r="C118" s="53">
        <f t="shared" si="5"/>
        <v>0</v>
      </c>
      <c r="D118" s="53">
        <f t="shared" si="3"/>
        <v>0</v>
      </c>
      <c r="E118" s="57">
        <f>IFERROR(VLOOKUP(B118, Proof!A$2:$B$199,2, 0), 0)</f>
        <v>0</v>
      </c>
      <c r="F118" s="58">
        <f>IFERROR(VLOOKUP(B118, 'HMMTPUMaC Algebra'!A$2:$B$500,2, 0), 0)</f>
        <v>0</v>
      </c>
      <c r="G118" s="53">
        <f>IFERROR(VLOOKUP(B118, 'HMMTPUMaC Combo'!A$2:$B$500,2, 0), 0)</f>
        <v>0</v>
      </c>
      <c r="H118" s="66">
        <f>IFERROR(VLOOKUP(B118, 'HMMTPUMaC Algebra'!A$2:$B$198,2, 0), 0)</f>
        <v>0</v>
      </c>
      <c r="I118" s="53">
        <f>IFERROR(VLOOKUP(B118, 'HMMTPUMaC NT'!A$2:$B$500,2, 0), 0)</f>
        <v>0</v>
      </c>
      <c r="J118" s="53">
        <f>IFERROR(VLOOKUP(B118, 'HMMT 1 Real'!$A$2:B$198,2, 0), 0)</f>
        <v>0</v>
      </c>
      <c r="K118" s="66">
        <f>IFERROR(VLOOKUP(B118, 'HMMT 2 Real'!$A$2:C$198,2, 0), 0)</f>
        <v>0</v>
      </c>
    </row>
    <row r="119">
      <c r="A119" s="65">
        <f t="shared" si="1"/>
        <v>118</v>
      </c>
      <c r="B119" s="7" t="s">
        <v>615</v>
      </c>
      <c r="C119" s="53">
        <f t="shared" si="5"/>
        <v>0</v>
      </c>
      <c r="D119" s="53">
        <f t="shared" si="3"/>
        <v>0</v>
      </c>
      <c r="E119" s="57">
        <f>IFERROR(VLOOKUP(B119, Proof!A$2:$B$199,2, 0), 0)</f>
        <v>0</v>
      </c>
      <c r="F119" s="58">
        <f>IFERROR(VLOOKUP(B119, 'HMMTPUMaC Algebra'!A$2:$B$500,2, 0), 0)</f>
        <v>0</v>
      </c>
      <c r="G119" s="53">
        <f>IFERROR(VLOOKUP(B119, 'HMMTPUMaC Combo'!A$2:$B$500,2, 0), 0)</f>
        <v>0</v>
      </c>
      <c r="H119" s="66">
        <f>IFERROR(VLOOKUP(B119, 'HMMTPUMaC Algebra'!A$2:$B$198,2, 0), 0)</f>
        <v>0</v>
      </c>
      <c r="I119" s="53">
        <f>IFERROR(VLOOKUP(B119, 'HMMTPUMaC NT'!A$2:$B$500,2, 0), 0)</f>
        <v>0</v>
      </c>
      <c r="J119" s="53">
        <f>IFERROR(VLOOKUP(B119, 'HMMT 1 Real'!$A$2:B$198,2, 0), 0)</f>
        <v>0</v>
      </c>
      <c r="K119" s="66">
        <f>IFERROR(VLOOKUP(B119, 'HMMT 2 Real'!$A$2:C$198,2, 0), 0)</f>
        <v>0</v>
      </c>
    </row>
    <row r="120">
      <c r="A120" s="65">
        <f t="shared" si="1"/>
        <v>119</v>
      </c>
      <c r="B120" s="7" t="s">
        <v>638</v>
      </c>
      <c r="C120" s="53">
        <f t="shared" si="5"/>
        <v>0</v>
      </c>
      <c r="D120" s="53">
        <f t="shared" si="3"/>
        <v>0</v>
      </c>
      <c r="E120" s="57">
        <f>IFERROR(VLOOKUP(B120, Proof!A$2:$B$199,2, 0), 0)</f>
        <v>0</v>
      </c>
      <c r="F120" s="58">
        <f>IFERROR(VLOOKUP(B120, 'HMMTPUMaC Algebra'!A$2:$B$500,2, 0), 0)</f>
        <v>0</v>
      </c>
      <c r="G120" s="53">
        <f>IFERROR(VLOOKUP(B120, 'HMMTPUMaC Combo'!A$2:$B$500,2, 0), 0)</f>
        <v>0</v>
      </c>
      <c r="H120" s="66">
        <f>IFERROR(VLOOKUP(B120, 'HMMTPUMaC Algebra'!A$2:$B$198,2, 0), 0)</f>
        <v>0</v>
      </c>
      <c r="I120" s="53">
        <f>IFERROR(VLOOKUP(B120, 'HMMTPUMaC NT'!A$2:$B$500,2, 0), 0)</f>
        <v>0</v>
      </c>
      <c r="J120" s="53">
        <f>IFERROR(VLOOKUP(B120, 'HMMT 1 Real'!$A$2:B$198,2, 0), 0)</f>
        <v>0</v>
      </c>
      <c r="K120" s="66">
        <f>IFERROR(VLOOKUP(B120, 'HMMT 2 Real'!$A$2:C$198,2, 0), 0)</f>
        <v>0</v>
      </c>
    </row>
    <row r="121">
      <c r="A121" s="65">
        <f t="shared" si="1"/>
        <v>120</v>
      </c>
      <c r="B121" s="7" t="s">
        <v>585</v>
      </c>
      <c r="C121" s="53">
        <f t="shared" si="5"/>
        <v>0</v>
      </c>
      <c r="D121" s="53">
        <f t="shared" si="3"/>
        <v>0</v>
      </c>
      <c r="E121" s="57">
        <f>IFERROR(VLOOKUP(B121, Proof!A$2:$B$199,2, 0), 0)</f>
        <v>0</v>
      </c>
      <c r="F121" s="58">
        <f>IFERROR(VLOOKUP(B121, 'HMMTPUMaC Algebra'!A$2:$B$500,2, 0), 0)</f>
        <v>0</v>
      </c>
      <c r="G121" s="53">
        <f>IFERROR(VLOOKUP(B121, 'HMMTPUMaC Combo'!A$2:$B$500,2, 0), 0)</f>
        <v>0</v>
      </c>
      <c r="H121" s="66">
        <f>IFERROR(VLOOKUP(B121, 'HMMTPUMaC Algebra'!A$2:$B$198,2, 0), 0)</f>
        <v>0</v>
      </c>
      <c r="I121" s="53">
        <f>IFERROR(VLOOKUP(B121, 'HMMTPUMaC NT'!A$2:$B$500,2, 0), 0)</f>
        <v>0</v>
      </c>
      <c r="J121" s="53">
        <f>IFERROR(VLOOKUP(B121, 'HMMT 1 Real'!$A$2:B$198,2, 0), 0)</f>
        <v>0</v>
      </c>
      <c r="K121" s="66">
        <f>IFERROR(VLOOKUP(B121, 'HMMT 2 Real'!$A$2:C$198,2, 0), 0)</f>
        <v>0</v>
      </c>
    </row>
    <row r="122">
      <c r="A122" s="65">
        <f t="shared" si="1"/>
        <v>121</v>
      </c>
      <c r="B122" s="7" t="s">
        <v>643</v>
      </c>
      <c r="C122" s="53">
        <f t="shared" si="5"/>
        <v>0</v>
      </c>
      <c r="D122" s="53">
        <f t="shared" si="3"/>
        <v>0</v>
      </c>
      <c r="E122" s="57">
        <f>IFERROR(VLOOKUP(B122, Proof!A$2:$B$199,2, 0), 0)</f>
        <v>0</v>
      </c>
      <c r="F122" s="58">
        <f>IFERROR(VLOOKUP(B122, 'HMMTPUMaC Algebra'!A$2:$B$500,2, 0), 0)</f>
        <v>0</v>
      </c>
      <c r="G122" s="53">
        <f>IFERROR(VLOOKUP(B122, 'HMMTPUMaC Combo'!A$2:$B$500,2, 0), 0)</f>
        <v>0</v>
      </c>
      <c r="H122" s="66">
        <f>IFERROR(VLOOKUP(B122, 'HMMTPUMaC Algebra'!A$2:$B$198,2, 0), 0)</f>
        <v>0</v>
      </c>
      <c r="I122" s="53">
        <f>IFERROR(VLOOKUP(B122, 'HMMTPUMaC NT'!A$2:$B$500,2, 0), 0)</f>
        <v>0</v>
      </c>
      <c r="J122" s="53">
        <f>IFERROR(VLOOKUP(B122, 'HMMT 1 Real'!$A$2:B$198,2, 0), 0)</f>
        <v>0</v>
      </c>
      <c r="K122" s="66">
        <f>IFERROR(VLOOKUP(B122, 'HMMT 2 Real'!$A$2:C$198,2, 0), 0)</f>
        <v>0</v>
      </c>
    </row>
    <row r="123">
      <c r="A123" s="65">
        <f t="shared" si="1"/>
        <v>122</v>
      </c>
      <c r="B123" s="7" t="s">
        <v>642</v>
      </c>
      <c r="C123" s="53">
        <f t="shared" si="5"/>
        <v>0</v>
      </c>
      <c r="D123" s="53">
        <f t="shared" si="3"/>
        <v>0</v>
      </c>
      <c r="E123" s="57">
        <f>IFERROR(VLOOKUP(B123, Proof!A$2:$B$199,2, 0), 0)</f>
        <v>0</v>
      </c>
      <c r="F123" s="58">
        <f>IFERROR(VLOOKUP(B123, 'HMMTPUMaC Algebra'!A$2:$B$500,2, 0), 0)</f>
        <v>0</v>
      </c>
      <c r="G123" s="53">
        <f>IFERROR(VLOOKUP(B123, 'HMMTPUMaC Combo'!A$2:$B$500,2, 0), 0)</f>
        <v>0</v>
      </c>
      <c r="H123" s="66">
        <f>IFERROR(VLOOKUP(B123, 'HMMTPUMaC Algebra'!A$2:$B$198,2, 0), 0)</f>
        <v>0</v>
      </c>
      <c r="I123" s="53">
        <f>IFERROR(VLOOKUP(B123, 'HMMTPUMaC NT'!A$2:$B$500,2, 0), 0)</f>
        <v>0</v>
      </c>
      <c r="J123" s="53">
        <f>IFERROR(VLOOKUP(B123, 'HMMT 1 Real'!$A$2:B$198,2, 0), 0)</f>
        <v>0</v>
      </c>
      <c r="K123" s="66">
        <f>IFERROR(VLOOKUP(B123, 'HMMT 2 Real'!$A$2:C$198,2, 0), 0)</f>
        <v>0</v>
      </c>
    </row>
    <row r="124">
      <c r="A124" s="65">
        <f t="shared" si="1"/>
        <v>123</v>
      </c>
      <c r="B124" s="7" t="s">
        <v>576</v>
      </c>
      <c r="C124" s="53">
        <f t="shared" si="5"/>
        <v>0</v>
      </c>
      <c r="D124" s="53">
        <f t="shared" si="3"/>
        <v>0</v>
      </c>
      <c r="E124" s="57">
        <f>IFERROR(VLOOKUP(B124, Proof!A$2:$B$199,2, 0), 0)</f>
        <v>0</v>
      </c>
      <c r="F124" s="58">
        <f>IFERROR(VLOOKUP(B124, 'HMMTPUMaC Algebra'!A$2:$B$500,2, 0), 0)</f>
        <v>0</v>
      </c>
      <c r="G124" s="53">
        <f>IFERROR(VLOOKUP(B124, 'HMMTPUMaC Combo'!A$2:$B$500,2, 0), 0)</f>
        <v>0</v>
      </c>
      <c r="H124" s="66">
        <f>IFERROR(VLOOKUP(B124, 'HMMTPUMaC Algebra'!A$2:$B$198,2, 0), 0)</f>
        <v>0</v>
      </c>
      <c r="I124" s="53">
        <f>IFERROR(VLOOKUP(B124, 'HMMTPUMaC NT'!A$2:$B$500,2, 0), 0)</f>
        <v>0</v>
      </c>
      <c r="J124" s="53">
        <f>IFERROR(VLOOKUP(B124, 'HMMT 1 Real'!$A$2:B$198,2, 0), 0)</f>
        <v>0</v>
      </c>
      <c r="K124" s="66">
        <f>IFERROR(VLOOKUP(B124, 'HMMT 2 Real'!$A$2:C$198,2, 0), 0)</f>
        <v>0</v>
      </c>
    </row>
    <row r="125">
      <c r="A125" s="65">
        <f t="shared" si="1"/>
        <v>124</v>
      </c>
      <c r="B125" s="7" t="s">
        <v>624</v>
      </c>
      <c r="C125" s="53">
        <f t="shared" si="5"/>
        <v>0</v>
      </c>
      <c r="D125" s="53">
        <f t="shared" si="3"/>
        <v>0</v>
      </c>
      <c r="E125" s="57">
        <f>IFERROR(VLOOKUP(B125, Proof!A$2:$B$199,2, 0), 0)</f>
        <v>0</v>
      </c>
      <c r="F125" s="58">
        <f>IFERROR(VLOOKUP(B125, 'HMMTPUMaC Algebra'!A$2:$B$500,2, 0), 0)</f>
        <v>0</v>
      </c>
      <c r="G125" s="53">
        <f>IFERROR(VLOOKUP(B125, 'HMMTPUMaC Combo'!A$2:$B$500,2, 0), 0)</f>
        <v>0</v>
      </c>
      <c r="H125" s="66">
        <f>IFERROR(VLOOKUP(B125, 'HMMTPUMaC Algebra'!A$2:$B$198,2, 0), 0)</f>
        <v>0</v>
      </c>
      <c r="I125" s="53">
        <f>IFERROR(VLOOKUP(B125, 'HMMTPUMaC NT'!A$2:$B$500,2, 0), 0)</f>
        <v>0</v>
      </c>
      <c r="J125" s="53">
        <f>IFERROR(VLOOKUP(B125, 'HMMT 1 Real'!$A$2:B$198,2, 0), 0)</f>
        <v>0</v>
      </c>
      <c r="K125" s="66">
        <f>IFERROR(VLOOKUP(B125, 'HMMT 2 Real'!$A$2:C$198,2, 0), 0)</f>
        <v>0</v>
      </c>
    </row>
    <row r="126">
      <c r="A126" s="65">
        <f t="shared" si="1"/>
        <v>125</v>
      </c>
      <c r="B126" s="7" t="s">
        <v>595</v>
      </c>
      <c r="C126" s="53">
        <f t="shared" si="5"/>
        <v>0</v>
      </c>
      <c r="D126" s="53">
        <f t="shared" si="3"/>
        <v>0</v>
      </c>
      <c r="E126" s="57">
        <f>IFERROR(VLOOKUP(B126, Proof!A$2:$B$199,2, 0), 0)</f>
        <v>0</v>
      </c>
      <c r="F126" s="58">
        <f>IFERROR(VLOOKUP(B126, 'HMMTPUMaC Algebra'!A$2:$B$500,2, 0), 0)</f>
        <v>0</v>
      </c>
      <c r="G126" s="53">
        <f>IFERROR(VLOOKUP(B126, 'HMMTPUMaC Combo'!A$2:$B$500,2, 0), 0)</f>
        <v>0</v>
      </c>
      <c r="H126" s="66">
        <f>IFERROR(VLOOKUP(B126, 'HMMTPUMaC Algebra'!A$2:$B$198,2, 0), 0)</f>
        <v>0</v>
      </c>
      <c r="I126" s="53">
        <f>IFERROR(VLOOKUP(B126, 'HMMTPUMaC NT'!A$2:$B$500,2, 0), 0)</f>
        <v>0</v>
      </c>
      <c r="J126" s="53">
        <f>IFERROR(VLOOKUP(B126, 'HMMT 1 Real'!$A$2:B$198,2, 0), 0)</f>
        <v>0</v>
      </c>
      <c r="K126" s="66">
        <f>IFERROR(VLOOKUP(B126, 'HMMT 2 Real'!$A$2:C$198,2, 0), 0)</f>
        <v>0</v>
      </c>
    </row>
    <row r="127">
      <c r="A127" s="65">
        <f t="shared" si="1"/>
        <v>126</v>
      </c>
      <c r="B127" s="7" t="s">
        <v>633</v>
      </c>
      <c r="C127" s="53">
        <f t="shared" si="5"/>
        <v>0</v>
      </c>
      <c r="D127" s="53">
        <f t="shared" si="3"/>
        <v>0</v>
      </c>
      <c r="E127" s="57">
        <f>IFERROR(VLOOKUP(B127, Proof!A$2:$B$199,2, 0), 0)</f>
        <v>0</v>
      </c>
      <c r="F127" s="58">
        <f>IFERROR(VLOOKUP(B127, 'HMMTPUMaC Algebra'!A$2:$B$500,2, 0), 0)</f>
        <v>0</v>
      </c>
      <c r="G127" s="53">
        <f>IFERROR(VLOOKUP(B127, 'HMMTPUMaC Combo'!A$2:$B$500,2, 0), 0)</f>
        <v>0</v>
      </c>
      <c r="H127" s="66">
        <f>IFERROR(VLOOKUP(B127, 'HMMTPUMaC Algebra'!A$2:$B$198,2, 0), 0)</f>
        <v>0</v>
      </c>
      <c r="I127" s="53">
        <f>IFERROR(VLOOKUP(B127, 'HMMTPUMaC NT'!A$2:$B$500,2, 0), 0)</f>
        <v>0</v>
      </c>
      <c r="J127" s="53">
        <f>IFERROR(VLOOKUP(B127, 'HMMT 1 Real'!$A$2:B$198,2, 0), 0)</f>
        <v>0</v>
      </c>
      <c r="K127" s="66">
        <f>IFERROR(VLOOKUP(B127, 'HMMT 2 Real'!$A$2:C$198,2, 0), 0)</f>
        <v>0</v>
      </c>
    </row>
    <row r="128">
      <c r="A128" s="65">
        <f t="shared" si="1"/>
        <v>127</v>
      </c>
      <c r="B128" s="7" t="s">
        <v>599</v>
      </c>
      <c r="C128" s="53">
        <f t="shared" si="5"/>
        <v>0</v>
      </c>
      <c r="D128" s="53">
        <f t="shared" si="3"/>
        <v>0</v>
      </c>
      <c r="E128" s="57">
        <f>IFERROR(VLOOKUP(B128, Proof!A$2:$B$199,2, 0), 0)</f>
        <v>0</v>
      </c>
      <c r="F128" s="58">
        <f>IFERROR(VLOOKUP(B128, 'HMMTPUMaC Algebra'!A$2:$B$500,2, 0), 0)</f>
        <v>0</v>
      </c>
      <c r="G128" s="53">
        <f>IFERROR(VLOOKUP(B128, 'HMMTPUMaC Combo'!A$2:$B$500,2, 0), 0)</f>
        <v>0</v>
      </c>
      <c r="H128" s="66">
        <f>IFERROR(VLOOKUP(B128, 'HMMTPUMaC Algebra'!A$2:$B$198,2, 0), 0)</f>
        <v>0</v>
      </c>
      <c r="I128" s="53">
        <f>IFERROR(VLOOKUP(B128, 'HMMTPUMaC NT'!A$2:$B$500,2, 0), 0)</f>
        <v>0</v>
      </c>
      <c r="J128" s="53">
        <f>IFERROR(VLOOKUP(B128, 'HMMT 1 Real'!$A$2:B$198,2, 0), 0)</f>
        <v>0</v>
      </c>
      <c r="K128" s="66">
        <f>IFERROR(VLOOKUP(B128, 'HMMT 2 Real'!$A$2:C$198,2, 0), 0)</f>
        <v>0</v>
      </c>
    </row>
    <row r="129">
      <c r="A129" s="65">
        <f t="shared" si="1"/>
        <v>128</v>
      </c>
      <c r="B129" s="7" t="s">
        <v>621</v>
      </c>
      <c r="C129" s="53">
        <f t="shared" si="5"/>
        <v>0</v>
      </c>
      <c r="D129" s="53">
        <f t="shared" si="3"/>
        <v>0</v>
      </c>
      <c r="E129" s="57">
        <f>IFERROR(VLOOKUP(B129, Proof!A$2:$B$199,2, 0), 0)</f>
        <v>0</v>
      </c>
      <c r="F129" s="58">
        <f>IFERROR(VLOOKUP(B129, 'HMMTPUMaC Algebra'!A$2:$B$500,2, 0), 0)</f>
        <v>0</v>
      </c>
      <c r="G129" s="53">
        <f>IFERROR(VLOOKUP(B129, 'HMMTPUMaC Combo'!A$2:$B$500,2, 0), 0)</f>
        <v>0</v>
      </c>
      <c r="H129" s="66">
        <f>IFERROR(VLOOKUP(B129, 'HMMTPUMaC Algebra'!A$2:$B$198,2, 0), 0)</f>
        <v>0</v>
      </c>
      <c r="I129" s="53">
        <f>IFERROR(VLOOKUP(B129, 'HMMTPUMaC NT'!A$2:$B$500,2, 0), 0)</f>
        <v>0</v>
      </c>
      <c r="J129" s="53">
        <f>IFERROR(VLOOKUP(B129, 'HMMT 1 Real'!$A$2:B$198,2, 0), 0)</f>
        <v>0</v>
      </c>
      <c r="K129" s="66">
        <f>IFERROR(VLOOKUP(B129, 'HMMT 2 Real'!$A$2:C$198,2, 0), 0)</f>
        <v>0</v>
      </c>
    </row>
    <row r="130">
      <c r="A130" s="65">
        <f t="shared" si="1"/>
        <v>129</v>
      </c>
      <c r="B130" s="7" t="s">
        <v>584</v>
      </c>
      <c r="C130" s="53">
        <f t="shared" si="5"/>
        <v>0</v>
      </c>
      <c r="D130" s="53">
        <f t="shared" si="3"/>
        <v>0</v>
      </c>
      <c r="E130" s="57">
        <f>IFERROR(VLOOKUP(B130, Proof!A$2:$B$199,2, 0), 0)</f>
        <v>0</v>
      </c>
      <c r="F130" s="58">
        <f>IFERROR(VLOOKUP(B130, 'HMMTPUMaC Algebra'!A$2:$B$500,2, 0), 0)</f>
        <v>0</v>
      </c>
      <c r="G130" s="53">
        <f>IFERROR(VLOOKUP(B130, 'HMMTPUMaC Combo'!A$2:$B$500,2, 0), 0)</f>
        <v>0</v>
      </c>
      <c r="H130" s="66">
        <f>IFERROR(VLOOKUP(B130, 'HMMTPUMaC Algebra'!A$2:$B$198,2, 0), 0)</f>
        <v>0</v>
      </c>
      <c r="I130" s="53">
        <f>IFERROR(VLOOKUP(B130, 'HMMTPUMaC NT'!A$2:$B$500,2, 0), 0)</f>
        <v>0</v>
      </c>
      <c r="J130" s="53">
        <f>IFERROR(VLOOKUP(B130, 'HMMT 1 Real'!$A$2:B$198,2, 0), 0)</f>
        <v>0</v>
      </c>
      <c r="K130" s="66">
        <f>IFERROR(VLOOKUP(B130, 'HMMT 2 Real'!$A$2:C$198,2, 0), 0)</f>
        <v>0</v>
      </c>
    </row>
    <row r="131">
      <c r="A131" s="65">
        <f t="shared" si="1"/>
        <v>130</v>
      </c>
      <c r="B131" s="7" t="s">
        <v>611</v>
      </c>
      <c r="C131" s="53">
        <f t="shared" si="5"/>
        <v>0</v>
      </c>
      <c r="D131" s="53">
        <f t="shared" si="3"/>
        <v>0</v>
      </c>
      <c r="E131" s="57">
        <f>IFERROR(VLOOKUP(B131, Proof!A$2:$B$199,2, 0), 0)</f>
        <v>0</v>
      </c>
      <c r="F131" s="58">
        <f>IFERROR(VLOOKUP(B131, 'HMMTPUMaC Algebra'!A$2:$B$500,2, 0), 0)</f>
        <v>0</v>
      </c>
      <c r="G131" s="53">
        <f>IFERROR(VLOOKUP(B131, 'HMMTPUMaC Combo'!A$2:$B$500,2, 0), 0)</f>
        <v>0</v>
      </c>
      <c r="H131" s="66">
        <f>IFERROR(VLOOKUP(B131, 'HMMTPUMaC Algebra'!A$2:$B$198,2, 0), 0)</f>
        <v>0</v>
      </c>
      <c r="I131" s="53">
        <f>IFERROR(VLOOKUP(B131, 'HMMTPUMaC NT'!A$2:$B$500,2, 0), 0)</f>
        <v>0</v>
      </c>
      <c r="J131" s="53">
        <f>IFERROR(VLOOKUP(B131, 'HMMT 1 Real'!$A$2:B$198,2, 0), 0)</f>
        <v>0</v>
      </c>
      <c r="K131" s="66">
        <f>IFERROR(VLOOKUP(B131, 'HMMT 2 Real'!$A$2:C$198,2, 0), 0)</f>
        <v>0</v>
      </c>
    </row>
    <row r="132">
      <c r="A132" s="65">
        <f t="shared" si="1"/>
        <v>131</v>
      </c>
      <c r="B132" s="7" t="s">
        <v>586</v>
      </c>
      <c r="C132" s="53">
        <f t="shared" si="5"/>
        <v>0</v>
      </c>
      <c r="D132" s="53">
        <f t="shared" si="3"/>
        <v>0</v>
      </c>
      <c r="E132" s="57">
        <f>IFERROR(VLOOKUP(B132, Proof!A$2:$B$199,2, 0), 0)</f>
        <v>0</v>
      </c>
      <c r="F132" s="58">
        <f>IFERROR(VLOOKUP(B132, 'HMMTPUMaC Algebra'!A$2:$B$500,2, 0), 0)</f>
        <v>0</v>
      </c>
      <c r="G132" s="53">
        <f>IFERROR(VLOOKUP(B132, 'HMMTPUMaC Combo'!A$2:$B$500,2, 0), 0)</f>
        <v>0</v>
      </c>
      <c r="H132" s="66">
        <f>IFERROR(VLOOKUP(B132, 'HMMTPUMaC Algebra'!A$2:$B$198,2, 0), 0)</f>
        <v>0</v>
      </c>
      <c r="I132" s="53">
        <f>IFERROR(VLOOKUP(B132, 'HMMTPUMaC NT'!A$2:$B$500,2, 0), 0)</f>
        <v>0</v>
      </c>
      <c r="J132" s="53">
        <f>IFERROR(VLOOKUP(B132, 'HMMT 1 Real'!$A$2:B$198,2, 0), 0)</f>
        <v>0</v>
      </c>
      <c r="K132" s="66">
        <f>IFERROR(VLOOKUP(B132, 'HMMT 2 Real'!$A$2:C$198,2, 0), 0)</f>
        <v>0</v>
      </c>
    </row>
    <row r="133">
      <c r="A133" s="65">
        <f t="shared" si="1"/>
        <v>132</v>
      </c>
      <c r="B133" s="7" t="s">
        <v>627</v>
      </c>
      <c r="C133" s="53">
        <f t="shared" si="5"/>
        <v>0</v>
      </c>
      <c r="D133" s="53">
        <f t="shared" si="3"/>
        <v>0</v>
      </c>
      <c r="E133" s="57">
        <f>IFERROR(VLOOKUP(B133, Proof!A$2:$B$199,2, 0), 0)</f>
        <v>0</v>
      </c>
      <c r="F133" s="58">
        <f>IFERROR(VLOOKUP(B133, 'HMMTPUMaC Algebra'!A$2:$B$500,2, 0), 0)</f>
        <v>0</v>
      </c>
      <c r="G133" s="53">
        <f>IFERROR(VLOOKUP(B133, 'HMMTPUMaC Combo'!A$2:$B$500,2, 0), 0)</f>
        <v>0</v>
      </c>
      <c r="H133" s="66">
        <f>IFERROR(VLOOKUP(B133, 'HMMTPUMaC Algebra'!A$2:$B$198,2, 0), 0)</f>
        <v>0</v>
      </c>
      <c r="I133" s="53">
        <f>IFERROR(VLOOKUP(B133, 'HMMTPUMaC NT'!A$2:$B$500,2, 0), 0)</f>
        <v>0</v>
      </c>
      <c r="J133" s="53">
        <f>IFERROR(VLOOKUP(B133, 'HMMT 1 Real'!$A$2:B$198,2, 0), 0)</f>
        <v>0</v>
      </c>
      <c r="K133" s="66">
        <f>IFERROR(VLOOKUP(B133, 'HMMT 2 Real'!$A$2:C$198,2, 0), 0)</f>
        <v>0</v>
      </c>
    </row>
    <row r="134">
      <c r="A134" s="65">
        <f t="shared" si="1"/>
        <v>133</v>
      </c>
      <c r="B134" s="7" t="s">
        <v>591</v>
      </c>
      <c r="C134" s="53">
        <f t="shared" si="5"/>
        <v>0</v>
      </c>
      <c r="D134" s="53">
        <f t="shared" si="3"/>
        <v>0</v>
      </c>
      <c r="E134" s="57">
        <f>IFERROR(VLOOKUP(B134, Proof!A$2:$B$199,2, 0), 0)</f>
        <v>0</v>
      </c>
      <c r="F134" s="58">
        <f>IFERROR(VLOOKUP(B134, 'HMMTPUMaC Algebra'!A$2:$B$500,2, 0), 0)</f>
        <v>0</v>
      </c>
      <c r="G134" s="53">
        <f>IFERROR(VLOOKUP(B134, 'HMMTPUMaC Combo'!A$2:$B$500,2, 0), 0)</f>
        <v>0</v>
      </c>
      <c r="H134" s="66">
        <f>IFERROR(VLOOKUP(B134, 'HMMTPUMaC Algebra'!A$2:$B$198,2, 0), 0)</f>
        <v>0</v>
      </c>
      <c r="I134" s="53">
        <f>IFERROR(VLOOKUP(B134, 'HMMTPUMaC NT'!A$2:$B$500,2, 0), 0)</f>
        <v>0</v>
      </c>
      <c r="J134" s="53">
        <f>IFERROR(VLOOKUP(B134, 'HMMT 1 Real'!$A$2:B$198,2, 0), 0)</f>
        <v>0</v>
      </c>
      <c r="K134" s="66">
        <f>IFERROR(VLOOKUP(B134, 'HMMT 2 Real'!$A$2:C$198,2, 0), 0)</f>
        <v>0</v>
      </c>
    </row>
    <row r="135">
      <c r="A135" s="65">
        <f t="shared" si="1"/>
        <v>134</v>
      </c>
      <c r="B135" s="7" t="s">
        <v>600</v>
      </c>
      <c r="C135" s="53">
        <f t="shared" si="5"/>
        <v>0</v>
      </c>
      <c r="D135" s="53">
        <f t="shared" si="3"/>
        <v>0</v>
      </c>
      <c r="E135" s="57">
        <f>IFERROR(VLOOKUP(B135, Proof!A$2:$B$199,2, 0), 0)</f>
        <v>0</v>
      </c>
      <c r="F135" s="58">
        <f>IFERROR(VLOOKUP(B135, 'HMMTPUMaC Algebra'!A$2:$B$500,2, 0), 0)</f>
        <v>0</v>
      </c>
      <c r="G135" s="53">
        <f>IFERROR(VLOOKUP(B135, 'HMMTPUMaC Combo'!A$2:$B$500,2, 0), 0)</f>
        <v>0</v>
      </c>
      <c r="H135" s="66">
        <f>IFERROR(VLOOKUP(B135, 'HMMTPUMaC Algebra'!A$2:$B$198,2, 0), 0)</f>
        <v>0</v>
      </c>
      <c r="I135" s="53">
        <f>IFERROR(VLOOKUP(B135, 'HMMTPUMaC NT'!A$2:$B$500,2, 0), 0)</f>
        <v>0</v>
      </c>
      <c r="J135" s="53">
        <f>IFERROR(VLOOKUP(B135, 'HMMT 1 Real'!$A$2:B$198,2, 0), 0)</f>
        <v>0</v>
      </c>
      <c r="K135" s="66">
        <f>IFERROR(VLOOKUP(B135, 'HMMT 2 Real'!$A$2:C$198,2, 0), 0)</f>
        <v>0</v>
      </c>
    </row>
    <row r="136">
      <c r="A136" s="65">
        <f t="shared" si="1"/>
        <v>135</v>
      </c>
      <c r="B136" s="7" t="s">
        <v>613</v>
      </c>
      <c r="C136" s="53">
        <f t="shared" si="5"/>
        <v>0</v>
      </c>
      <c r="D136" s="53">
        <f t="shared" si="3"/>
        <v>0</v>
      </c>
      <c r="E136" s="57">
        <f>IFERROR(VLOOKUP(B136, Proof!A$2:$B$199,2, 0), 0)</f>
        <v>0</v>
      </c>
      <c r="F136" s="58">
        <f>IFERROR(VLOOKUP(B136, 'HMMTPUMaC Algebra'!A$2:$B$500,2, 0), 0)</f>
        <v>0</v>
      </c>
      <c r="G136" s="53">
        <f>IFERROR(VLOOKUP(B136, 'HMMTPUMaC Combo'!A$2:$B$500,2, 0), 0)</f>
        <v>0</v>
      </c>
      <c r="H136" s="66">
        <f>IFERROR(VLOOKUP(B136, 'HMMTPUMaC Algebra'!A$2:$B$198,2, 0), 0)</f>
        <v>0</v>
      </c>
      <c r="I136" s="53">
        <f>IFERROR(VLOOKUP(B136, 'HMMTPUMaC NT'!A$2:$B$500,2, 0), 0)</f>
        <v>0</v>
      </c>
      <c r="J136" s="53">
        <f>IFERROR(VLOOKUP(B136, 'HMMT 1 Real'!$A$2:B$198,2, 0), 0)</f>
        <v>0</v>
      </c>
      <c r="K136" s="66">
        <f>IFERROR(VLOOKUP(B136, 'HMMT 2 Real'!$A$2:C$198,2, 0), 0)</f>
        <v>0</v>
      </c>
    </row>
    <row r="137">
      <c r="A137" s="65">
        <f t="shared" si="1"/>
        <v>136</v>
      </c>
      <c r="B137" s="7" t="s">
        <v>618</v>
      </c>
      <c r="C137" s="53">
        <f t="shared" si="5"/>
        <v>0</v>
      </c>
      <c r="D137" s="53">
        <f t="shared" si="3"/>
        <v>0</v>
      </c>
      <c r="E137" s="57">
        <f>IFERROR(VLOOKUP(B137, Proof!A$2:$B$199,2, 0), 0)</f>
        <v>0</v>
      </c>
      <c r="F137" s="58">
        <f>IFERROR(VLOOKUP(B137, 'HMMTPUMaC Algebra'!A$2:$B$500,2, 0), 0)</f>
        <v>0</v>
      </c>
      <c r="G137" s="53">
        <f>IFERROR(VLOOKUP(B137, 'HMMTPUMaC Combo'!A$2:$B$500,2, 0), 0)</f>
        <v>0</v>
      </c>
      <c r="H137" s="66">
        <f>IFERROR(VLOOKUP(B137, 'HMMTPUMaC Algebra'!A$2:$B$198,2, 0), 0)</f>
        <v>0</v>
      </c>
      <c r="I137" s="53">
        <f>IFERROR(VLOOKUP(B137, 'HMMTPUMaC NT'!A$2:$B$500,2, 0), 0)</f>
        <v>0</v>
      </c>
      <c r="J137" s="53">
        <f>IFERROR(VLOOKUP(B137, 'HMMT 1 Real'!$A$2:B$198,2, 0), 0)</f>
        <v>0</v>
      </c>
      <c r="K137" s="66">
        <f>IFERROR(VLOOKUP(B137, 'HMMT 2 Real'!$A$2:C$198,2, 0), 0)</f>
        <v>0</v>
      </c>
    </row>
    <row r="138">
      <c r="A138" s="65">
        <f t="shared" si="1"/>
        <v>137</v>
      </c>
      <c r="B138" s="7" t="s">
        <v>614</v>
      </c>
      <c r="C138" s="53">
        <f t="shared" si="5"/>
        <v>0</v>
      </c>
      <c r="D138" s="53">
        <f t="shared" si="3"/>
        <v>0</v>
      </c>
      <c r="E138" s="57">
        <f>IFERROR(VLOOKUP(B138, Proof!A$2:$B$199,2, 0), 0)</f>
        <v>0</v>
      </c>
      <c r="F138" s="58">
        <f>IFERROR(VLOOKUP(B138, 'HMMTPUMaC Algebra'!A$2:$B$500,2, 0), 0)</f>
        <v>0</v>
      </c>
      <c r="G138" s="53">
        <f>IFERROR(VLOOKUP(B138, 'HMMTPUMaC Combo'!A$2:$B$500,2, 0), 0)</f>
        <v>0</v>
      </c>
      <c r="H138" s="66">
        <f>IFERROR(VLOOKUP(B138, 'HMMTPUMaC Algebra'!A$2:$B$198,2, 0), 0)</f>
        <v>0</v>
      </c>
      <c r="I138" s="53">
        <f>IFERROR(VLOOKUP(B138, 'HMMTPUMaC NT'!A$2:$B$500,2, 0), 0)</f>
        <v>0</v>
      </c>
      <c r="J138" s="53">
        <f>IFERROR(VLOOKUP(B138, 'HMMT 1 Real'!$A$2:B$198,2, 0), 0)</f>
        <v>0</v>
      </c>
      <c r="K138" s="66">
        <f>IFERROR(VLOOKUP(B138, 'HMMT 2 Real'!$A$2:C$198,2, 0), 0)</f>
        <v>0</v>
      </c>
    </row>
    <row r="139">
      <c r="A139" s="65">
        <f t="shared" si="1"/>
        <v>138</v>
      </c>
      <c r="B139" s="7" t="s">
        <v>625</v>
      </c>
      <c r="C139" s="53">
        <f t="shared" si="5"/>
        <v>0</v>
      </c>
      <c r="D139" s="53">
        <f t="shared" si="3"/>
        <v>0</v>
      </c>
      <c r="E139" s="57">
        <f>IFERROR(VLOOKUP(B139, Proof!A$2:$B$199,2, 0), 0)</f>
        <v>0</v>
      </c>
      <c r="F139" s="58">
        <f>IFERROR(VLOOKUP(B139, 'HMMTPUMaC Algebra'!A$2:$B$500,2, 0), 0)</f>
        <v>0</v>
      </c>
      <c r="G139" s="53">
        <f>IFERROR(VLOOKUP(B139, 'HMMTPUMaC Combo'!A$2:$B$500,2, 0), 0)</f>
        <v>0</v>
      </c>
      <c r="H139" s="66">
        <f>IFERROR(VLOOKUP(B139, 'HMMTPUMaC Algebra'!A$2:$B$198,2, 0), 0)</f>
        <v>0</v>
      </c>
      <c r="I139" s="53">
        <f>IFERROR(VLOOKUP(B139, 'HMMTPUMaC NT'!A$2:$B$500,2, 0), 0)</f>
        <v>0</v>
      </c>
      <c r="J139" s="53">
        <f>IFERROR(VLOOKUP(B139, 'HMMT 1 Real'!$A$2:B$198,2, 0), 0)</f>
        <v>0</v>
      </c>
      <c r="K139" s="66">
        <f>IFERROR(VLOOKUP(B139, 'HMMT 2 Real'!$A$2:C$198,2, 0), 0)</f>
        <v>0</v>
      </c>
    </row>
    <row r="140">
      <c r="A140" s="65">
        <f t="shared" si="1"/>
        <v>139</v>
      </c>
      <c r="B140" s="7" t="s">
        <v>575</v>
      </c>
      <c r="C140" s="53">
        <f t="shared" si="5"/>
        <v>0</v>
      </c>
      <c r="D140" s="53">
        <f t="shared" si="3"/>
        <v>0</v>
      </c>
      <c r="E140" s="57">
        <f>IFERROR(VLOOKUP(B140, Proof!A$2:$B$199,2, 0), 0)</f>
        <v>0</v>
      </c>
      <c r="F140" s="58">
        <f>IFERROR(VLOOKUP(B140, 'HMMTPUMaC Algebra'!A$2:$B$500,2, 0), 0)</f>
        <v>0</v>
      </c>
      <c r="G140" s="53">
        <f>IFERROR(VLOOKUP(B140, 'HMMTPUMaC Combo'!A$2:$B$500,2, 0), 0)</f>
        <v>0</v>
      </c>
      <c r="H140" s="66">
        <f>IFERROR(VLOOKUP(B140, 'HMMTPUMaC Algebra'!A$2:$B$198,2, 0), 0)</f>
        <v>0</v>
      </c>
      <c r="I140" s="53">
        <f>IFERROR(VLOOKUP(B140, 'HMMTPUMaC NT'!A$2:$B$500,2, 0), 0)</f>
        <v>0</v>
      </c>
      <c r="J140" s="53">
        <f>IFERROR(VLOOKUP(B140, 'HMMT 1 Real'!$A$2:B$198,2, 0), 0)</f>
        <v>0</v>
      </c>
      <c r="K140" s="66">
        <f>IFERROR(VLOOKUP(B140, 'HMMT 2 Real'!$A$2:C$198,2, 0), 0)</f>
        <v>0</v>
      </c>
    </row>
    <row r="141">
      <c r="A141" s="65">
        <f t="shared" si="1"/>
        <v>140</v>
      </c>
      <c r="B141" s="7" t="s">
        <v>593</v>
      </c>
      <c r="C141" s="53">
        <f t="shared" si="5"/>
        <v>0</v>
      </c>
      <c r="D141" s="53">
        <f t="shared" si="3"/>
        <v>0</v>
      </c>
      <c r="E141" s="57">
        <f>IFERROR(VLOOKUP(B141, Proof!A$2:$B$199,2, 0), 0)</f>
        <v>0</v>
      </c>
      <c r="F141" s="58">
        <f>IFERROR(VLOOKUP(B141, 'HMMTPUMaC Algebra'!A$2:$B$500,2, 0), 0)</f>
        <v>0</v>
      </c>
      <c r="G141" s="53">
        <f>IFERROR(VLOOKUP(B141, 'HMMTPUMaC Combo'!A$2:$B$500,2, 0), 0)</f>
        <v>0</v>
      </c>
      <c r="H141" s="66">
        <f>IFERROR(VLOOKUP(B141, 'HMMTPUMaC Algebra'!A$2:$B$198,2, 0), 0)</f>
        <v>0</v>
      </c>
      <c r="I141" s="53">
        <f>IFERROR(VLOOKUP(B141, 'HMMTPUMaC NT'!A$2:$B$500,2, 0), 0)</f>
        <v>0</v>
      </c>
      <c r="J141" s="53">
        <f>IFERROR(VLOOKUP(B141, 'HMMT 1 Real'!$A$2:B$198,2, 0), 0)</f>
        <v>0</v>
      </c>
      <c r="K141" s="66">
        <f>IFERROR(VLOOKUP(B141, 'HMMT 2 Real'!$A$2:C$198,2, 0), 0)</f>
        <v>0</v>
      </c>
    </row>
    <row r="142">
      <c r="A142" s="65">
        <f t="shared" si="1"/>
        <v>141</v>
      </c>
      <c r="B142" s="7" t="s">
        <v>616</v>
      </c>
      <c r="C142" s="53">
        <f t="shared" si="5"/>
        <v>0</v>
      </c>
      <c r="D142" s="53">
        <f t="shared" si="3"/>
        <v>0</v>
      </c>
      <c r="E142" s="57">
        <f>IFERROR(VLOOKUP(B142, Proof!A$2:$B$199,2, 0), 0)</f>
        <v>0</v>
      </c>
      <c r="F142" s="58">
        <f>IFERROR(VLOOKUP(B142, 'HMMTPUMaC Algebra'!A$2:$B$500,2, 0), 0)</f>
        <v>0</v>
      </c>
      <c r="G142" s="53">
        <f>IFERROR(VLOOKUP(B142, 'HMMTPUMaC Combo'!A$2:$B$500,2, 0), 0)</f>
        <v>0</v>
      </c>
      <c r="H142" s="66">
        <f>IFERROR(VLOOKUP(B142, 'HMMTPUMaC Algebra'!A$2:$B$198,2, 0), 0)</f>
        <v>0</v>
      </c>
      <c r="I142" s="53">
        <f>IFERROR(VLOOKUP(B142, 'HMMTPUMaC NT'!A$2:$B$500,2, 0), 0)</f>
        <v>0</v>
      </c>
      <c r="J142" s="53">
        <f>IFERROR(VLOOKUP(B142, 'HMMT 1 Real'!$A$2:B$198,2, 0), 0)</f>
        <v>0</v>
      </c>
      <c r="K142" s="66">
        <f>IFERROR(VLOOKUP(B142, 'HMMT 2 Real'!$A$2:C$198,2, 0), 0)</f>
        <v>0</v>
      </c>
    </row>
    <row r="143">
      <c r="A143" s="65">
        <f t="shared" si="1"/>
        <v>142</v>
      </c>
      <c r="B143" s="7" t="s">
        <v>574</v>
      </c>
      <c r="C143" s="53">
        <f t="shared" si="5"/>
        <v>0</v>
      </c>
      <c r="D143" s="53">
        <f t="shared" si="3"/>
        <v>0</v>
      </c>
      <c r="E143" s="57">
        <f>IFERROR(VLOOKUP(B143, Proof!A$2:$B$199,2, 0), 0)</f>
        <v>0</v>
      </c>
      <c r="F143" s="58">
        <f>IFERROR(VLOOKUP(B143, 'HMMTPUMaC Algebra'!A$2:$B$500,2, 0), 0)</f>
        <v>0</v>
      </c>
      <c r="G143" s="53">
        <f>IFERROR(VLOOKUP(B143, 'HMMTPUMaC Combo'!A$2:$B$500,2, 0), 0)</f>
        <v>0</v>
      </c>
      <c r="H143" s="66">
        <f>IFERROR(VLOOKUP(B143, 'HMMTPUMaC Algebra'!A$2:$B$198,2, 0), 0)</f>
        <v>0</v>
      </c>
      <c r="I143" s="53">
        <f>IFERROR(VLOOKUP(B143, 'HMMTPUMaC NT'!A$2:$B$500,2, 0), 0)</f>
        <v>0</v>
      </c>
      <c r="J143" s="53">
        <f>IFERROR(VLOOKUP(B143, 'HMMT 1 Real'!$A$2:B$198,2, 0), 0)</f>
        <v>0</v>
      </c>
      <c r="K143" s="66">
        <f>IFERROR(VLOOKUP(B143, 'HMMT 2 Real'!$A$2:C$198,2, 0), 0)</f>
        <v>0</v>
      </c>
    </row>
    <row r="144">
      <c r="A144" s="65">
        <f t="shared" si="1"/>
        <v>143</v>
      </c>
      <c r="B144" s="7" t="s">
        <v>628</v>
      </c>
      <c r="C144" s="53">
        <f t="shared" si="5"/>
        <v>0</v>
      </c>
      <c r="D144" s="53">
        <f t="shared" si="3"/>
        <v>0</v>
      </c>
      <c r="E144" s="57">
        <f>IFERROR(VLOOKUP(B144, Proof!A$2:$B$199,2, 0), 0)</f>
        <v>0</v>
      </c>
      <c r="F144" s="58">
        <f>IFERROR(VLOOKUP(B144, 'HMMTPUMaC Algebra'!A$2:$B$500,2, 0), 0)</f>
        <v>0</v>
      </c>
      <c r="G144" s="53">
        <f>IFERROR(VLOOKUP(B144, 'HMMTPUMaC Combo'!A$2:$B$500,2, 0), 0)</f>
        <v>0</v>
      </c>
      <c r="H144" s="66">
        <f>IFERROR(VLOOKUP(B144, 'HMMTPUMaC Algebra'!A$2:$B$198,2, 0), 0)</f>
        <v>0</v>
      </c>
      <c r="I144" s="53">
        <f>IFERROR(VLOOKUP(B144, 'HMMTPUMaC NT'!A$2:$B$500,2, 0), 0)</f>
        <v>0</v>
      </c>
      <c r="J144" s="53">
        <f>IFERROR(VLOOKUP(B144, 'HMMT 1 Real'!$A$2:B$198,2, 0), 0)</f>
        <v>0</v>
      </c>
      <c r="K144" s="66">
        <f>IFERROR(VLOOKUP(B144, 'HMMT 2 Real'!$A$2:C$198,2, 0), 0)</f>
        <v>0</v>
      </c>
    </row>
    <row r="145">
      <c r="A145" s="65">
        <f t="shared" si="1"/>
        <v>144</v>
      </c>
      <c r="B145" s="7" t="s">
        <v>582</v>
      </c>
      <c r="C145" s="53">
        <f t="shared" si="5"/>
        <v>0</v>
      </c>
      <c r="D145" s="53">
        <f t="shared" si="3"/>
        <v>0</v>
      </c>
      <c r="E145" s="57">
        <f>IFERROR(VLOOKUP(B145, Proof!A$2:$B$199,2, 0), 0)</f>
        <v>0</v>
      </c>
      <c r="F145" s="58">
        <f>IFERROR(VLOOKUP(B145, 'HMMTPUMaC Algebra'!A$2:$B$500,2, 0), 0)</f>
        <v>0</v>
      </c>
      <c r="G145" s="53">
        <f>IFERROR(VLOOKUP(B145, 'HMMTPUMaC Combo'!A$2:$B$500,2, 0), 0)</f>
        <v>0</v>
      </c>
      <c r="H145" s="66">
        <f>IFERROR(VLOOKUP(B145, 'HMMTPUMaC Algebra'!A$2:$B$198,2, 0), 0)</f>
        <v>0</v>
      </c>
      <c r="I145" s="53">
        <f>IFERROR(VLOOKUP(B145, 'HMMTPUMaC NT'!A$2:$B$500,2, 0), 0)</f>
        <v>0</v>
      </c>
      <c r="J145" s="53">
        <f>IFERROR(VLOOKUP(B145, 'HMMT 1 Real'!$A$2:B$198,2, 0), 0)</f>
        <v>0</v>
      </c>
      <c r="K145" s="66">
        <f>IFERROR(VLOOKUP(B145, 'HMMT 2 Real'!$A$2:C$198,2, 0), 0)</f>
        <v>0</v>
      </c>
    </row>
    <row r="146">
      <c r="A146" s="65">
        <f t="shared" si="1"/>
        <v>145</v>
      </c>
      <c r="B146" s="7" t="s">
        <v>603</v>
      </c>
      <c r="C146" s="53">
        <f t="shared" si="5"/>
        <v>0</v>
      </c>
      <c r="D146" s="53">
        <f t="shared" si="3"/>
        <v>0</v>
      </c>
      <c r="E146" s="57">
        <f>IFERROR(VLOOKUP(B146, Proof!A$2:$B$199,2, 0), 0)</f>
        <v>0</v>
      </c>
      <c r="F146" s="58">
        <f>IFERROR(VLOOKUP(B146, 'HMMTPUMaC Algebra'!A$2:$B$500,2, 0), 0)</f>
        <v>0</v>
      </c>
      <c r="G146" s="53">
        <f>IFERROR(VLOOKUP(B146, 'HMMTPUMaC Combo'!A$2:$B$500,2, 0), 0)</f>
        <v>0</v>
      </c>
      <c r="H146" s="66">
        <f>IFERROR(VLOOKUP(B146, 'HMMTPUMaC Algebra'!A$2:$B$198,2, 0), 0)</f>
        <v>0</v>
      </c>
      <c r="I146" s="53">
        <f>IFERROR(VLOOKUP(B146, 'HMMTPUMaC NT'!A$2:$B$500,2, 0), 0)</f>
        <v>0</v>
      </c>
      <c r="J146" s="53">
        <f>IFERROR(VLOOKUP(B146, 'HMMT 1 Real'!$A$2:B$198,2, 0), 0)</f>
        <v>0</v>
      </c>
      <c r="K146" s="66">
        <f>IFERROR(VLOOKUP(B146, 'HMMT 2 Real'!$A$2:C$198,2, 0), 0)</f>
        <v>0</v>
      </c>
    </row>
    <row r="147">
      <c r="A147" s="65">
        <f t="shared" si="1"/>
        <v>146</v>
      </c>
      <c r="B147" s="7" t="s">
        <v>631</v>
      </c>
      <c r="C147" s="53">
        <f t="shared" si="5"/>
        <v>0</v>
      </c>
      <c r="D147" s="53">
        <f t="shared" si="3"/>
        <v>0</v>
      </c>
      <c r="E147" s="57">
        <f>IFERROR(VLOOKUP(B147, Proof!A$2:$B$199,2, 0), 0)</f>
        <v>0</v>
      </c>
      <c r="F147" s="58">
        <f>IFERROR(VLOOKUP(B147, 'HMMTPUMaC Algebra'!A$2:$B$500,2, 0), 0)</f>
        <v>0</v>
      </c>
      <c r="G147" s="53">
        <f>IFERROR(VLOOKUP(B147, 'HMMTPUMaC Combo'!A$2:$B$500,2, 0), 0)</f>
        <v>0</v>
      </c>
      <c r="H147" s="66">
        <f>IFERROR(VLOOKUP(B147, 'HMMTPUMaC Algebra'!A$2:$B$198,2, 0), 0)</f>
        <v>0</v>
      </c>
      <c r="I147" s="53">
        <f>IFERROR(VLOOKUP(B147, 'HMMTPUMaC NT'!A$2:$B$500,2, 0), 0)</f>
        <v>0</v>
      </c>
      <c r="J147" s="53">
        <f>IFERROR(VLOOKUP(B147, 'HMMT 1 Real'!$A$2:B$198,2, 0), 0)</f>
        <v>0</v>
      </c>
      <c r="K147" s="66">
        <f>IFERROR(VLOOKUP(B147, 'HMMT 2 Real'!$A$2:C$198,2, 0), 0)</f>
        <v>0</v>
      </c>
    </row>
    <row r="148">
      <c r="A148" s="65">
        <f t="shared" si="1"/>
        <v>147</v>
      </c>
      <c r="B148" s="7" t="s">
        <v>607</v>
      </c>
      <c r="C148" s="53">
        <f t="shared" si="5"/>
        <v>0</v>
      </c>
      <c r="D148" s="53">
        <f t="shared" si="3"/>
        <v>0</v>
      </c>
      <c r="E148" s="57">
        <f>IFERROR(VLOOKUP(B148, Proof!A$2:$B$199,2, 0), 0)</f>
        <v>0</v>
      </c>
      <c r="F148" s="58">
        <f>IFERROR(VLOOKUP(B148, 'HMMTPUMaC Algebra'!A$2:$B$500,2, 0), 0)</f>
        <v>0</v>
      </c>
      <c r="G148" s="53">
        <f>IFERROR(VLOOKUP(B148, 'HMMTPUMaC Combo'!A$2:$B$500,2, 0), 0)</f>
        <v>0</v>
      </c>
      <c r="H148" s="66">
        <f>IFERROR(VLOOKUP(B148, 'HMMTPUMaC Algebra'!A$2:$B$198,2, 0), 0)</f>
        <v>0</v>
      </c>
      <c r="I148" s="53">
        <f>IFERROR(VLOOKUP(B148, 'HMMTPUMaC NT'!A$2:$B$500,2, 0), 0)</f>
        <v>0</v>
      </c>
      <c r="J148" s="53">
        <f>IFERROR(VLOOKUP(B148, 'HMMT 1 Real'!$A$2:B$198,2, 0), 0)</f>
        <v>0</v>
      </c>
      <c r="K148" s="66">
        <f>IFERROR(VLOOKUP(B148, 'HMMT 2 Real'!$A$2:C$198,2, 0), 0)</f>
        <v>0</v>
      </c>
    </row>
    <row r="149">
      <c r="A149" s="65">
        <f t="shared" si="1"/>
        <v>148</v>
      </c>
      <c r="B149" s="7" t="s">
        <v>604</v>
      </c>
      <c r="C149" s="53">
        <f t="shared" si="5"/>
        <v>0</v>
      </c>
      <c r="D149" s="53">
        <f t="shared" si="3"/>
        <v>0</v>
      </c>
      <c r="E149" s="57">
        <f>IFERROR(VLOOKUP(B149, Proof!A$2:$B$199,2, 0), 0)</f>
        <v>0</v>
      </c>
      <c r="F149" s="58">
        <f>IFERROR(VLOOKUP(B149, 'HMMTPUMaC Algebra'!A$2:$B$500,2, 0), 0)</f>
        <v>0</v>
      </c>
      <c r="G149" s="53">
        <f>IFERROR(VLOOKUP(B149, 'HMMTPUMaC Combo'!A$2:$B$500,2, 0), 0)</f>
        <v>0</v>
      </c>
      <c r="H149" s="66">
        <f>IFERROR(VLOOKUP(B149, 'HMMTPUMaC Algebra'!A$2:$B$198,2, 0), 0)</f>
        <v>0</v>
      </c>
      <c r="I149" s="53">
        <f>IFERROR(VLOOKUP(B149, 'HMMTPUMaC NT'!A$2:$B$500,2, 0), 0)</f>
        <v>0</v>
      </c>
      <c r="J149" s="53">
        <f>IFERROR(VLOOKUP(B149, 'HMMT 1 Real'!$A$2:B$198,2, 0), 0)</f>
        <v>0</v>
      </c>
      <c r="K149" s="66">
        <f>IFERROR(VLOOKUP(B149, 'HMMT 2 Real'!$A$2:C$198,2, 0), 0)</f>
        <v>0</v>
      </c>
    </row>
    <row r="150">
      <c r="A150" s="65">
        <f t="shared" si="1"/>
        <v>149</v>
      </c>
      <c r="B150" s="7" t="s">
        <v>635</v>
      </c>
      <c r="C150" s="53">
        <f t="shared" si="5"/>
        <v>0</v>
      </c>
      <c r="D150" s="53">
        <f t="shared" si="3"/>
        <v>0</v>
      </c>
      <c r="E150" s="57">
        <f>IFERROR(VLOOKUP(B150, Proof!A$2:$B$199,2, 0), 0)</f>
        <v>0</v>
      </c>
      <c r="F150" s="58">
        <f>IFERROR(VLOOKUP(B150, 'HMMTPUMaC Algebra'!A$2:$B$500,2, 0), 0)</f>
        <v>0</v>
      </c>
      <c r="G150" s="53">
        <f>IFERROR(VLOOKUP(B150, 'HMMTPUMaC Combo'!A$2:$B$500,2, 0), 0)</f>
        <v>0</v>
      </c>
      <c r="H150" s="66">
        <f>IFERROR(VLOOKUP(B150, 'HMMTPUMaC Algebra'!A$2:$B$198,2, 0), 0)</f>
        <v>0</v>
      </c>
      <c r="I150" s="53">
        <f>IFERROR(VLOOKUP(B150, 'HMMTPUMaC NT'!A$2:$B$500,2, 0), 0)</f>
        <v>0</v>
      </c>
      <c r="J150" s="53">
        <f>IFERROR(VLOOKUP(B150, 'HMMT 1 Real'!$A$2:B$198,2, 0), 0)</f>
        <v>0</v>
      </c>
      <c r="K150" s="66">
        <f>IFERROR(VLOOKUP(B150, 'HMMT 2 Real'!$A$2:C$198,2, 0), 0)</f>
        <v>0</v>
      </c>
    </row>
    <row r="151">
      <c r="A151" s="65">
        <f t="shared" si="1"/>
        <v>150</v>
      </c>
      <c r="B151" s="7" t="s">
        <v>637</v>
      </c>
      <c r="C151" s="53">
        <f t="shared" si="5"/>
        <v>0</v>
      </c>
      <c r="D151" s="53">
        <f t="shared" si="3"/>
        <v>0</v>
      </c>
      <c r="E151" s="57">
        <f>IFERROR(VLOOKUP(B151, Proof!A$2:$B$199,2, 0), 0)</f>
        <v>0</v>
      </c>
      <c r="F151" s="58">
        <f>IFERROR(VLOOKUP(B151, 'HMMTPUMaC Algebra'!A$2:$B$500,2, 0), 0)</f>
        <v>0</v>
      </c>
      <c r="G151" s="53">
        <f>IFERROR(VLOOKUP(B151, 'HMMTPUMaC Combo'!A$2:$B$500,2, 0), 0)</f>
        <v>0</v>
      </c>
      <c r="H151" s="66">
        <f>IFERROR(VLOOKUP(B151, 'HMMTPUMaC Algebra'!A$2:$B$198,2, 0), 0)</f>
        <v>0</v>
      </c>
      <c r="I151" s="53">
        <f>IFERROR(VLOOKUP(B151, 'HMMTPUMaC NT'!A$2:$B$500,2, 0), 0)</f>
        <v>0</v>
      </c>
      <c r="J151" s="53">
        <f>IFERROR(VLOOKUP(B151, 'HMMT 1 Real'!$A$2:B$198,2, 0), 0)</f>
        <v>0</v>
      </c>
      <c r="K151" s="66">
        <f>IFERROR(VLOOKUP(B151, 'HMMT 2 Real'!$A$2:C$198,2, 0), 0)</f>
        <v>0</v>
      </c>
    </row>
    <row r="152">
      <c r="A152" s="65">
        <f t="shared" si="1"/>
        <v>151</v>
      </c>
      <c r="B152" s="7" t="s">
        <v>640</v>
      </c>
      <c r="C152" s="53">
        <f t="shared" si="5"/>
        <v>0</v>
      </c>
      <c r="D152" s="53">
        <f t="shared" si="3"/>
        <v>0</v>
      </c>
      <c r="E152" s="57">
        <f>IFERROR(VLOOKUP(B152, Proof!A$2:$B$199,2, 0), 0)</f>
        <v>0</v>
      </c>
      <c r="F152" s="58">
        <f>IFERROR(VLOOKUP(B152, 'HMMTPUMaC Algebra'!A$2:$B$500,2, 0), 0)</f>
        <v>0</v>
      </c>
      <c r="G152" s="53">
        <f>IFERROR(VLOOKUP(B152, 'HMMTPUMaC Combo'!A$2:$B$500,2, 0), 0)</f>
        <v>0</v>
      </c>
      <c r="H152" s="66">
        <f>IFERROR(VLOOKUP(B152, 'HMMTPUMaC Algebra'!A$2:$B$198,2, 0), 0)</f>
        <v>0</v>
      </c>
      <c r="I152" s="53">
        <f>IFERROR(VLOOKUP(B152, 'HMMTPUMaC NT'!A$2:$B$500,2, 0), 0)</f>
        <v>0</v>
      </c>
      <c r="J152" s="53">
        <f>IFERROR(VLOOKUP(B152, 'HMMT 1 Real'!$A$2:B$198,2, 0), 0)</f>
        <v>0</v>
      </c>
      <c r="K152" s="66">
        <f>IFERROR(VLOOKUP(B152, 'HMMT 2 Real'!$A$2:C$198,2, 0), 0)</f>
        <v>0</v>
      </c>
    </row>
    <row r="153">
      <c r="A153" s="65">
        <f t="shared" si="1"/>
        <v>152</v>
      </c>
      <c r="B153" s="7" t="s">
        <v>580</v>
      </c>
      <c r="C153" s="53">
        <f t="shared" si="5"/>
        <v>0</v>
      </c>
      <c r="D153" s="53">
        <f t="shared" si="3"/>
        <v>0</v>
      </c>
      <c r="E153" s="57">
        <f>IFERROR(VLOOKUP(B153, Proof!A$2:$B$199,2, 0), 0)</f>
        <v>0</v>
      </c>
      <c r="F153" s="58">
        <f>IFERROR(VLOOKUP(B153, 'HMMTPUMaC Algebra'!A$2:$B$500,2, 0), 0)</f>
        <v>0</v>
      </c>
      <c r="G153" s="53">
        <f>IFERROR(VLOOKUP(B153, 'HMMTPUMaC Combo'!A$2:$B$500,2, 0), 0)</f>
        <v>0</v>
      </c>
      <c r="H153" s="66">
        <f>IFERROR(VLOOKUP(B153, 'HMMTPUMaC Algebra'!A$2:$B$198,2, 0), 0)</f>
        <v>0</v>
      </c>
      <c r="I153" s="53">
        <f>IFERROR(VLOOKUP(B153, 'HMMTPUMaC NT'!A$2:$B$500,2, 0), 0)</f>
        <v>0</v>
      </c>
      <c r="J153" s="53">
        <f>IFERROR(VLOOKUP(B153, 'HMMT 1 Real'!$A$2:B$198,2, 0), 0)</f>
        <v>0</v>
      </c>
      <c r="K153" s="66">
        <f>IFERROR(VLOOKUP(B153, 'HMMT 2 Real'!$A$2:C$198,2, 0), 0)</f>
        <v>0</v>
      </c>
    </row>
    <row r="154">
      <c r="A154" s="65">
        <f t="shared" si="1"/>
        <v>153</v>
      </c>
      <c r="B154" s="7" t="s">
        <v>596</v>
      </c>
      <c r="C154" s="53">
        <f t="shared" si="5"/>
        <v>0</v>
      </c>
      <c r="D154" s="53">
        <f t="shared" si="3"/>
        <v>0</v>
      </c>
      <c r="E154" s="57">
        <f>IFERROR(VLOOKUP(B154, Proof!A$2:$B$199,2, 0), 0)</f>
        <v>0</v>
      </c>
      <c r="F154" s="58">
        <f>IFERROR(VLOOKUP(B154, 'HMMTPUMaC Algebra'!A$2:$B$500,2, 0), 0)</f>
        <v>0</v>
      </c>
      <c r="G154" s="53">
        <f>IFERROR(VLOOKUP(B154, 'HMMTPUMaC Combo'!A$2:$B$500,2, 0), 0)</f>
        <v>0</v>
      </c>
      <c r="H154" s="66">
        <f>IFERROR(VLOOKUP(B154, 'HMMTPUMaC Algebra'!A$2:$B$198,2, 0), 0)</f>
        <v>0</v>
      </c>
      <c r="I154" s="53">
        <f>IFERROR(VLOOKUP(B154, 'HMMTPUMaC NT'!A$2:$B$500,2, 0), 0)</f>
        <v>0</v>
      </c>
      <c r="J154" s="53">
        <f>IFERROR(VLOOKUP(B154, 'HMMT 1 Real'!$A$2:B$198,2, 0), 0)</f>
        <v>0</v>
      </c>
      <c r="K154" s="66">
        <f>IFERROR(VLOOKUP(B154, 'HMMT 2 Real'!$A$2:C$198,2, 0), 0)</f>
        <v>0</v>
      </c>
    </row>
    <row r="155">
      <c r="A155" s="65">
        <f t="shared" si="1"/>
        <v>154</v>
      </c>
      <c r="B155" s="7" t="s">
        <v>622</v>
      </c>
      <c r="C155" s="53">
        <f t="shared" si="5"/>
        <v>0</v>
      </c>
      <c r="D155" s="53">
        <f t="shared" si="3"/>
        <v>0</v>
      </c>
      <c r="E155" s="57">
        <f>IFERROR(VLOOKUP(B155, Proof!A$2:$B$199,2, 0), 0)</f>
        <v>0</v>
      </c>
      <c r="F155" s="58">
        <f>IFERROR(VLOOKUP(B155, 'HMMTPUMaC Algebra'!A$2:$B$500,2, 0), 0)</f>
        <v>0</v>
      </c>
      <c r="G155" s="53">
        <f>IFERROR(VLOOKUP(B155, 'HMMTPUMaC Combo'!A$2:$B$500,2, 0), 0)</f>
        <v>0</v>
      </c>
      <c r="H155" s="66">
        <f>IFERROR(VLOOKUP(B155, 'HMMTPUMaC Algebra'!A$2:$B$198,2, 0), 0)</f>
        <v>0</v>
      </c>
      <c r="I155" s="53">
        <f>IFERROR(VLOOKUP(B155, 'HMMTPUMaC NT'!A$2:$B$500,2, 0), 0)</f>
        <v>0</v>
      </c>
      <c r="J155" s="53">
        <f>IFERROR(VLOOKUP(B155, 'HMMT 1 Real'!$A$2:B$198,2, 0), 0)</f>
        <v>0</v>
      </c>
      <c r="K155" s="66">
        <f>IFERROR(VLOOKUP(B155, 'HMMT 2 Real'!$A$2:C$198,2, 0), 0)</f>
        <v>0</v>
      </c>
    </row>
    <row r="156">
      <c r="A156" s="65">
        <f t="shared" si="1"/>
        <v>155</v>
      </c>
      <c r="B156" s="7" t="s">
        <v>632</v>
      </c>
      <c r="C156" s="53">
        <f t="shared" si="5"/>
        <v>0</v>
      </c>
      <c r="D156" s="53">
        <f t="shared" si="3"/>
        <v>0</v>
      </c>
      <c r="E156" s="57">
        <f>IFERROR(VLOOKUP(B156, Proof!A$2:$B$199,2, 0), 0)</f>
        <v>0</v>
      </c>
      <c r="F156" s="58">
        <f>IFERROR(VLOOKUP(B156, 'HMMTPUMaC Algebra'!A$2:$B$500,2, 0), 0)</f>
        <v>0</v>
      </c>
      <c r="G156" s="53">
        <f>IFERROR(VLOOKUP(B156, 'HMMTPUMaC Combo'!A$2:$B$500,2, 0), 0)</f>
        <v>0</v>
      </c>
      <c r="H156" s="66">
        <f>IFERROR(VLOOKUP(B156, 'HMMTPUMaC Algebra'!A$2:$B$198,2, 0), 0)</f>
        <v>0</v>
      </c>
      <c r="I156" s="53">
        <f>IFERROR(VLOOKUP(B156, 'HMMTPUMaC NT'!A$2:$B$500,2, 0), 0)</f>
        <v>0</v>
      </c>
      <c r="J156" s="53">
        <f>IFERROR(VLOOKUP(B156, 'HMMT 1 Real'!$A$2:B$198,2, 0), 0)</f>
        <v>0</v>
      </c>
      <c r="K156" s="66">
        <f>IFERROR(VLOOKUP(B156, 'HMMT 2 Real'!$A$2:C$198,2, 0), 0)</f>
        <v>0</v>
      </c>
    </row>
    <row r="157">
      <c r="A157" s="65">
        <f t="shared" si="1"/>
        <v>156</v>
      </c>
      <c r="B157" s="7" t="s">
        <v>608</v>
      </c>
      <c r="C157" s="53">
        <f t="shared" si="5"/>
        <v>0</v>
      </c>
      <c r="D157" s="53">
        <f t="shared" si="3"/>
        <v>0</v>
      </c>
      <c r="E157" s="57">
        <f>IFERROR(VLOOKUP(B157, Proof!A$2:$B$199,2, 0), 0)</f>
        <v>0</v>
      </c>
      <c r="F157" s="58">
        <f>IFERROR(VLOOKUP(B157, 'HMMTPUMaC Algebra'!A$2:$B$500,2, 0), 0)</f>
        <v>0</v>
      </c>
      <c r="G157" s="53">
        <f>IFERROR(VLOOKUP(B157, 'HMMTPUMaC Combo'!A$2:$B$500,2, 0), 0)</f>
        <v>0</v>
      </c>
      <c r="H157" s="66">
        <f>IFERROR(VLOOKUP(B157, 'HMMTPUMaC Algebra'!A$2:$B$198,2, 0), 0)</f>
        <v>0</v>
      </c>
      <c r="I157" s="53">
        <f>IFERROR(VLOOKUP(B157, 'HMMTPUMaC NT'!A$2:$B$500,2, 0), 0)</f>
        <v>0</v>
      </c>
      <c r="J157" s="53">
        <f>IFERROR(VLOOKUP(B157, 'HMMT 1 Real'!$A$2:B$198,2, 0), 0)</f>
        <v>0</v>
      </c>
      <c r="K157" s="66">
        <f>IFERROR(VLOOKUP(B157, 'HMMT 2 Real'!$A$2:C$198,2, 0), 0)</f>
        <v>0</v>
      </c>
    </row>
    <row r="158">
      <c r="A158" s="65">
        <f t="shared" si="1"/>
        <v>157</v>
      </c>
      <c r="B158" s="7" t="s">
        <v>626</v>
      </c>
      <c r="C158" s="53">
        <f t="shared" si="5"/>
        <v>0</v>
      </c>
      <c r="D158" s="53">
        <f t="shared" si="3"/>
        <v>0</v>
      </c>
      <c r="E158" s="57">
        <f>IFERROR(VLOOKUP(B158, Proof!A$2:$B$199,2, 0), 0)</f>
        <v>0</v>
      </c>
      <c r="F158" s="58">
        <f>IFERROR(VLOOKUP(B158, 'HMMTPUMaC Algebra'!A$2:$B$500,2, 0), 0)</f>
        <v>0</v>
      </c>
      <c r="G158" s="53">
        <f>IFERROR(VLOOKUP(B158, 'HMMTPUMaC Combo'!A$2:$B$500,2, 0), 0)</f>
        <v>0</v>
      </c>
      <c r="H158" s="66">
        <f>IFERROR(VLOOKUP(B158, 'HMMTPUMaC Algebra'!A$2:$B$198,2, 0), 0)</f>
        <v>0</v>
      </c>
      <c r="I158" s="53">
        <f>IFERROR(VLOOKUP(B158, 'HMMTPUMaC NT'!A$2:$B$500,2, 0), 0)</f>
        <v>0</v>
      </c>
      <c r="J158" s="53">
        <f>IFERROR(VLOOKUP(B158, 'HMMT 1 Real'!$A$2:B$198,2, 0), 0)</f>
        <v>0</v>
      </c>
      <c r="K158" s="66">
        <f>IFERROR(VLOOKUP(B158, 'HMMT 2 Real'!$A$2:C$198,2, 0), 0)</f>
        <v>0</v>
      </c>
    </row>
    <row r="159">
      <c r="A159" s="65">
        <f t="shared" si="1"/>
        <v>158</v>
      </c>
      <c r="B159" s="7" t="s">
        <v>577</v>
      </c>
      <c r="C159" s="53">
        <f t="shared" si="5"/>
        <v>0</v>
      </c>
      <c r="D159" s="53">
        <f t="shared" si="3"/>
        <v>0</v>
      </c>
      <c r="E159" s="57">
        <f>IFERROR(VLOOKUP(B159, Proof!A$2:$B$199,2, 0), 0)</f>
        <v>0</v>
      </c>
      <c r="F159" s="58">
        <f>IFERROR(VLOOKUP(B159, 'HMMTPUMaC Algebra'!A$2:$B$500,2, 0), 0)</f>
        <v>0</v>
      </c>
      <c r="G159" s="53">
        <f>IFERROR(VLOOKUP(B159, 'HMMTPUMaC Combo'!A$2:$B$500,2, 0), 0)</f>
        <v>0</v>
      </c>
      <c r="H159" s="66">
        <f>IFERROR(VLOOKUP(B159, 'HMMTPUMaC Algebra'!A$2:$B$198,2, 0), 0)</f>
        <v>0</v>
      </c>
      <c r="I159" s="53">
        <f>IFERROR(VLOOKUP(B159, 'HMMTPUMaC NT'!A$2:$B$500,2, 0), 0)</f>
        <v>0</v>
      </c>
      <c r="J159" s="53">
        <f>IFERROR(VLOOKUP(B159, 'HMMT 1 Real'!$A$2:B$198,2, 0), 0)</f>
        <v>0</v>
      </c>
      <c r="K159" s="66">
        <f>IFERROR(VLOOKUP(B159, 'HMMT 2 Real'!$A$2:C$198,2, 0), 0)</f>
        <v>0</v>
      </c>
    </row>
    <row r="160">
      <c r="A160" s="65">
        <f t="shared" si="1"/>
        <v>159</v>
      </c>
      <c r="B160" s="7" t="s">
        <v>641</v>
      </c>
      <c r="C160" s="53">
        <f t="shared" si="5"/>
        <v>0</v>
      </c>
      <c r="D160" s="53">
        <f t="shared" si="3"/>
        <v>0</v>
      </c>
      <c r="E160" s="57">
        <f>IFERROR(VLOOKUP(B160, Proof!A$2:$B$199,2, 0), 0)</f>
        <v>0</v>
      </c>
      <c r="F160" s="58">
        <f>IFERROR(VLOOKUP(B160, 'HMMTPUMaC Algebra'!A$2:$B$500,2, 0), 0)</f>
        <v>0</v>
      </c>
      <c r="G160" s="53">
        <f>IFERROR(VLOOKUP(B160, 'HMMTPUMaC Combo'!A$2:$B$500,2, 0), 0)</f>
        <v>0</v>
      </c>
      <c r="H160" s="66">
        <f>IFERROR(VLOOKUP(B160, 'HMMTPUMaC Algebra'!A$2:$B$198,2, 0), 0)</f>
        <v>0</v>
      </c>
      <c r="I160" s="53">
        <f>IFERROR(VLOOKUP(B160, 'HMMTPUMaC NT'!A$2:$B$500,2, 0), 0)</f>
        <v>0</v>
      </c>
      <c r="J160" s="53">
        <f>IFERROR(VLOOKUP(B160, 'HMMT 1 Real'!$A$2:B$198,2, 0), 0)</f>
        <v>0</v>
      </c>
      <c r="K160" s="66">
        <f>IFERROR(VLOOKUP(B160, 'HMMT 2 Real'!$A$2:C$198,2, 0), 0)</f>
        <v>0</v>
      </c>
    </row>
    <row r="161">
      <c r="A161" s="65">
        <f t="shared" si="1"/>
        <v>160</v>
      </c>
      <c r="B161" s="7" t="s">
        <v>644</v>
      </c>
      <c r="C161" s="53">
        <f t="shared" si="5"/>
        <v>0</v>
      </c>
      <c r="D161" s="53">
        <f t="shared" si="3"/>
        <v>0</v>
      </c>
      <c r="E161" s="57">
        <f>IFERROR(VLOOKUP(B161, Proof!A$2:$B$199,2, 0), 0)</f>
        <v>0</v>
      </c>
      <c r="F161" s="58">
        <f>IFERROR(VLOOKUP(B161, 'HMMTPUMaC Algebra'!A$2:$B$500,2, 0), 0)</f>
        <v>0</v>
      </c>
      <c r="G161" s="53">
        <f>IFERROR(VLOOKUP(B161, 'HMMTPUMaC Combo'!A$2:$B$500,2, 0), 0)</f>
        <v>0</v>
      </c>
      <c r="H161" s="66">
        <f>IFERROR(VLOOKUP(B161, 'HMMTPUMaC Algebra'!A$2:$B$198,2, 0), 0)</f>
        <v>0</v>
      </c>
      <c r="I161" s="53">
        <f>IFERROR(VLOOKUP(B161, 'HMMTPUMaC NT'!A$2:$B$500,2, 0), 0)</f>
        <v>0</v>
      </c>
      <c r="J161" s="53">
        <f>IFERROR(VLOOKUP(B161, 'HMMT 1 Real'!$A$2:B$198,2, 0), 0)</f>
        <v>0</v>
      </c>
      <c r="K161" s="66">
        <f>IFERROR(VLOOKUP(B161, 'HMMT 2 Real'!$A$2:C$198,2, 0), 0)</f>
        <v>0</v>
      </c>
    </row>
    <row r="162">
      <c r="A162" s="65">
        <f t="shared" si="1"/>
        <v>161</v>
      </c>
      <c r="B162" s="7" t="s">
        <v>588</v>
      </c>
      <c r="C162" s="53">
        <f t="shared" si="5"/>
        <v>0</v>
      </c>
      <c r="D162" s="53">
        <f t="shared" si="3"/>
        <v>0</v>
      </c>
      <c r="E162" s="57">
        <f>IFERROR(VLOOKUP(B162, Proof!A$2:$B$199,2, 0), 0)</f>
        <v>0</v>
      </c>
      <c r="F162" s="58">
        <f>IFERROR(VLOOKUP(B162, 'HMMTPUMaC Algebra'!A$2:$B$500,2, 0), 0)</f>
        <v>0</v>
      </c>
      <c r="G162" s="53">
        <f>IFERROR(VLOOKUP(B162, 'HMMTPUMaC Combo'!A$2:$B$500,2, 0), 0)</f>
        <v>0</v>
      </c>
      <c r="H162" s="66">
        <f>IFERROR(VLOOKUP(B162, 'HMMTPUMaC Algebra'!A$2:$B$198,2, 0), 0)</f>
        <v>0</v>
      </c>
      <c r="I162" s="53">
        <f>IFERROR(VLOOKUP(B162, 'HMMTPUMaC NT'!A$2:$B$500,2, 0), 0)</f>
        <v>0</v>
      </c>
      <c r="J162" s="53">
        <f>IFERROR(VLOOKUP(B162, 'HMMT 1 Real'!$A$2:B$198,2, 0), 0)</f>
        <v>0</v>
      </c>
      <c r="K162" s="66">
        <f>IFERROR(VLOOKUP(B162, 'HMMT 2 Real'!$A$2:C$198,2, 0), 0)</f>
        <v>0</v>
      </c>
    </row>
    <row r="163">
      <c r="A163" s="65">
        <f t="shared" si="1"/>
        <v>162</v>
      </c>
      <c r="B163" s="7" t="s">
        <v>605</v>
      </c>
      <c r="C163" s="53">
        <f t="shared" si="5"/>
        <v>0</v>
      </c>
      <c r="D163" s="53">
        <f t="shared" si="3"/>
        <v>0</v>
      </c>
      <c r="E163" s="57">
        <f>IFERROR(VLOOKUP(B163, Proof!A$2:$B$199,2, 0), 0)</f>
        <v>0</v>
      </c>
      <c r="F163" s="58">
        <f>IFERROR(VLOOKUP(B163, 'HMMTPUMaC Algebra'!A$2:$B$500,2, 0), 0)</f>
        <v>0</v>
      </c>
      <c r="G163" s="53">
        <f>IFERROR(VLOOKUP(B163, 'HMMTPUMaC Combo'!A$2:$B$500,2, 0), 0)</f>
        <v>0</v>
      </c>
      <c r="H163" s="66">
        <f>IFERROR(VLOOKUP(B163, 'HMMTPUMaC Algebra'!A$2:$B$198,2, 0), 0)</f>
        <v>0</v>
      </c>
      <c r="I163" s="53">
        <f>IFERROR(VLOOKUP(B163, 'HMMTPUMaC NT'!A$2:$B$500,2, 0), 0)</f>
        <v>0</v>
      </c>
      <c r="J163" s="53">
        <f>IFERROR(VLOOKUP(B163, 'HMMT 1 Real'!$A$2:B$198,2, 0), 0)</f>
        <v>0</v>
      </c>
      <c r="K163" s="66">
        <f>IFERROR(VLOOKUP(B163, 'HMMT 2 Real'!$A$2:C$198,2, 0), 0)</f>
        <v>0</v>
      </c>
    </row>
    <row r="164">
      <c r="A164" s="65">
        <f t="shared" si="1"/>
        <v>163</v>
      </c>
      <c r="B164" s="7" t="s">
        <v>589</v>
      </c>
      <c r="C164" s="53">
        <f t="shared" si="5"/>
        <v>0</v>
      </c>
      <c r="D164" s="53">
        <f t="shared" si="3"/>
        <v>0</v>
      </c>
      <c r="E164" s="57">
        <f>IFERROR(VLOOKUP(B164, Proof!A$2:$B$199,2, 0), 0)</f>
        <v>0</v>
      </c>
      <c r="F164" s="58">
        <f>IFERROR(VLOOKUP(B164, 'HMMTPUMaC Algebra'!A$2:$B$500,2, 0), 0)</f>
        <v>0</v>
      </c>
      <c r="G164" s="53">
        <f>IFERROR(VLOOKUP(B164, 'HMMTPUMaC Combo'!A$2:$B$500,2, 0), 0)</f>
        <v>0</v>
      </c>
      <c r="H164" s="66">
        <f>IFERROR(VLOOKUP(B164, 'HMMTPUMaC Algebra'!A$2:$B$198,2, 0), 0)</f>
        <v>0</v>
      </c>
      <c r="I164" s="53">
        <f>IFERROR(VLOOKUP(B164, 'HMMTPUMaC NT'!A$2:$B$500,2, 0), 0)</f>
        <v>0</v>
      </c>
      <c r="J164" s="53">
        <f>IFERROR(VLOOKUP(B164, 'HMMT 1 Real'!$A$2:B$198,2, 0), 0)</f>
        <v>0</v>
      </c>
      <c r="K164" s="66">
        <f>IFERROR(VLOOKUP(B164, 'HMMT 2 Real'!$A$2:C$198,2, 0), 0)</f>
        <v>0</v>
      </c>
    </row>
    <row r="165">
      <c r="A165" s="65">
        <f t="shared" si="1"/>
        <v>164</v>
      </c>
      <c r="B165" s="7" t="s">
        <v>598</v>
      </c>
      <c r="C165" s="53">
        <f t="shared" si="5"/>
        <v>0</v>
      </c>
      <c r="D165" s="53">
        <f t="shared" si="3"/>
        <v>0</v>
      </c>
      <c r="E165" s="57">
        <f>IFERROR(VLOOKUP(B165, Proof!A$2:$B$199,2, 0), 0)</f>
        <v>0</v>
      </c>
      <c r="F165" s="58">
        <f>IFERROR(VLOOKUP(B165, 'HMMTPUMaC Algebra'!A$2:$B$500,2, 0), 0)</f>
        <v>0</v>
      </c>
      <c r="G165" s="53">
        <f>IFERROR(VLOOKUP(B165, 'HMMTPUMaC Combo'!A$2:$B$500,2, 0), 0)</f>
        <v>0</v>
      </c>
      <c r="H165" s="66">
        <f>IFERROR(VLOOKUP(B165, 'HMMTPUMaC Algebra'!A$2:$B$198,2, 0), 0)</f>
        <v>0</v>
      </c>
      <c r="I165" s="53">
        <f>IFERROR(VLOOKUP(B165, 'HMMTPUMaC NT'!A$2:$B$500,2, 0), 0)</f>
        <v>0</v>
      </c>
      <c r="J165" s="53">
        <f>IFERROR(VLOOKUP(B165, 'HMMT 1 Real'!$A$2:B$198,2, 0), 0)</f>
        <v>0</v>
      </c>
      <c r="K165" s="66">
        <f>IFERROR(VLOOKUP(B165, 'HMMT 2 Real'!$A$2:C$198,2, 0), 0)</f>
        <v>0</v>
      </c>
    </row>
    <row r="166">
      <c r="A166" s="65">
        <f t="shared" si="1"/>
        <v>165</v>
      </c>
      <c r="B166" s="7" t="s">
        <v>602</v>
      </c>
      <c r="C166" s="53">
        <f t="shared" si="5"/>
        <v>0</v>
      </c>
      <c r="D166" s="53">
        <f t="shared" si="3"/>
        <v>0</v>
      </c>
      <c r="E166" s="57">
        <f>IFERROR(VLOOKUP(B166, Proof!A$2:$B$199,2, 0), 0)</f>
        <v>0</v>
      </c>
      <c r="F166" s="58">
        <f>IFERROR(VLOOKUP(B166, 'HMMTPUMaC Algebra'!A$2:$B$500,2, 0), 0)</f>
        <v>0</v>
      </c>
      <c r="G166" s="53">
        <f>IFERROR(VLOOKUP(B166, 'HMMTPUMaC Combo'!A$2:$B$500,2, 0), 0)</f>
        <v>0</v>
      </c>
      <c r="H166" s="66">
        <f>IFERROR(VLOOKUP(B166, 'HMMTPUMaC Algebra'!A$2:$B$198,2, 0), 0)</f>
        <v>0</v>
      </c>
      <c r="I166" s="53">
        <f>IFERROR(VLOOKUP(B166, 'HMMTPUMaC NT'!A$2:$B$500,2, 0), 0)</f>
        <v>0</v>
      </c>
      <c r="J166" s="53">
        <f>IFERROR(VLOOKUP(B166, 'HMMT 1 Real'!$A$2:B$198,2, 0), 0)</f>
        <v>0</v>
      </c>
      <c r="K166" s="66">
        <f>IFERROR(VLOOKUP(B166, 'HMMT 2 Real'!$A$2:C$198,2, 0), 0)</f>
        <v>0</v>
      </c>
    </row>
    <row r="167">
      <c r="A167" s="65">
        <f t="shared" si="1"/>
        <v>166</v>
      </c>
      <c r="B167" s="7" t="s">
        <v>629</v>
      </c>
      <c r="C167" s="53">
        <f t="shared" si="5"/>
        <v>0</v>
      </c>
      <c r="D167" s="53">
        <f t="shared" si="3"/>
        <v>0</v>
      </c>
      <c r="E167" s="57">
        <f>IFERROR(VLOOKUP(B167, Proof!A$2:$B$199,2, 0), 0)</f>
        <v>0</v>
      </c>
      <c r="F167" s="58">
        <f>IFERROR(VLOOKUP(B167, 'HMMTPUMaC Algebra'!A$2:$B$500,2, 0), 0)</f>
        <v>0</v>
      </c>
      <c r="G167" s="53">
        <f>IFERROR(VLOOKUP(B167, 'HMMTPUMaC Combo'!A$2:$B$500,2, 0), 0)</f>
        <v>0</v>
      </c>
      <c r="H167" s="66">
        <f>IFERROR(VLOOKUP(B167, 'HMMTPUMaC Algebra'!A$2:$B$198,2, 0), 0)</f>
        <v>0</v>
      </c>
      <c r="I167" s="53">
        <f>IFERROR(VLOOKUP(B167, 'HMMTPUMaC NT'!A$2:$B$500,2, 0), 0)</f>
        <v>0</v>
      </c>
      <c r="J167" s="53">
        <f>IFERROR(VLOOKUP(B167, 'HMMT 1 Real'!$A$2:B$198,2, 0), 0)</f>
        <v>0</v>
      </c>
      <c r="K167" s="66">
        <f>IFERROR(VLOOKUP(B167, 'HMMT 2 Real'!$A$2:C$198,2, 0), 0)</f>
        <v>0</v>
      </c>
    </row>
    <row r="168">
      <c r="A168" s="65">
        <f t="shared" si="1"/>
        <v>167</v>
      </c>
      <c r="B168" s="7" t="s">
        <v>592</v>
      </c>
      <c r="C168" s="53">
        <f t="shared" si="5"/>
        <v>0</v>
      </c>
      <c r="D168" s="53">
        <f t="shared" si="3"/>
        <v>0</v>
      </c>
      <c r="E168" s="57">
        <f>IFERROR(VLOOKUP(B168, Proof!A$2:$B$199,2, 0), 0)</f>
        <v>0</v>
      </c>
      <c r="F168" s="58">
        <f>IFERROR(VLOOKUP(B168, 'HMMTPUMaC Algebra'!A$2:$B$500,2, 0), 0)</f>
        <v>0</v>
      </c>
      <c r="G168" s="53">
        <f>IFERROR(VLOOKUP(B168, 'HMMTPUMaC Combo'!A$2:$B$500,2, 0), 0)</f>
        <v>0</v>
      </c>
      <c r="H168" s="66">
        <f>IFERROR(VLOOKUP(B168, 'HMMTPUMaC Algebra'!A$2:$B$198,2, 0), 0)</f>
        <v>0</v>
      </c>
      <c r="I168" s="53">
        <f>IFERROR(VLOOKUP(B168, 'HMMTPUMaC NT'!A$2:$B$500,2, 0), 0)</f>
        <v>0</v>
      </c>
      <c r="J168" s="53">
        <f>IFERROR(VLOOKUP(B168, 'HMMT 1 Real'!$A$2:B$198,2, 0), 0)</f>
        <v>0</v>
      </c>
      <c r="K168" s="66">
        <f>IFERROR(VLOOKUP(B168, 'HMMT 2 Real'!$A$2:C$198,2, 0), 0)</f>
        <v>0</v>
      </c>
    </row>
    <row r="169">
      <c r="A169" s="65">
        <f t="shared" si="1"/>
        <v>168</v>
      </c>
      <c r="B169" s="7" t="s">
        <v>619</v>
      </c>
      <c r="C169" s="53">
        <f t="shared" si="5"/>
        <v>0</v>
      </c>
      <c r="D169" s="53">
        <f t="shared" si="3"/>
        <v>0</v>
      </c>
      <c r="E169" s="57">
        <f>IFERROR(VLOOKUP(B169, Proof!A$2:$B$199,2, 0), 0)</f>
        <v>0</v>
      </c>
      <c r="F169" s="58">
        <f>IFERROR(VLOOKUP(B169, 'HMMTPUMaC Algebra'!A$2:$B$500,2, 0), 0)</f>
        <v>0</v>
      </c>
      <c r="G169" s="53">
        <f>IFERROR(VLOOKUP(B169, 'HMMTPUMaC Combo'!A$2:$B$500,2, 0), 0)</f>
        <v>0</v>
      </c>
      <c r="H169" s="66">
        <f>IFERROR(VLOOKUP(B169, 'HMMTPUMaC Algebra'!A$2:$B$198,2, 0), 0)</f>
        <v>0</v>
      </c>
      <c r="I169" s="53">
        <f>IFERROR(VLOOKUP(B169, 'HMMTPUMaC NT'!A$2:$B$500,2, 0), 0)</f>
        <v>0</v>
      </c>
      <c r="J169" s="53">
        <f>IFERROR(VLOOKUP(B169, 'HMMT 1 Real'!$A$2:B$198,2, 0), 0)</f>
        <v>0</v>
      </c>
      <c r="K169" s="66">
        <f>IFERROR(VLOOKUP(B169, 'HMMT 2 Real'!$A$2:C$198,2, 0), 0)</f>
        <v>0</v>
      </c>
    </row>
    <row r="170">
      <c r="A170" s="65">
        <f t="shared" si="1"/>
        <v>169</v>
      </c>
      <c r="B170" s="7" t="s">
        <v>158</v>
      </c>
      <c r="C170" s="53">
        <f t="shared" si="5"/>
        <v>0</v>
      </c>
      <c r="D170" s="53">
        <f t="shared" si="3"/>
        <v>0</v>
      </c>
      <c r="E170" s="57">
        <f>IFERROR(VLOOKUP(B170, Proof!A$2:$B$199,2, 0), 0)</f>
        <v>0</v>
      </c>
      <c r="F170" s="58">
        <f>IFERROR(VLOOKUP(B170, 'HMMTPUMaC Algebra'!A$2:$B$500,2, 0), 0)</f>
        <v>0</v>
      </c>
      <c r="G170" s="53">
        <f>IFERROR(VLOOKUP(B170, 'HMMTPUMaC Combo'!A$2:$B$500,2, 0), 0)</f>
        <v>0</v>
      </c>
      <c r="H170" s="66">
        <f>IFERROR(VLOOKUP(B170, 'HMMTPUMaC Algebra'!A$2:$B$198,2, 0), 0)</f>
        <v>0</v>
      </c>
      <c r="I170" s="53">
        <f>IFERROR(VLOOKUP(B170, 'HMMTPUMaC NT'!A$2:$B$500,2, 0), 0)</f>
        <v>0</v>
      </c>
      <c r="J170" s="53">
        <f>IFERROR(VLOOKUP(B170, 'HMMT 1 Real'!$A$2:B$198,2, 0), 0)</f>
        <v>0</v>
      </c>
      <c r="K170" s="66">
        <f>IFERROR(VLOOKUP(B170, 'HMMT 2 Real'!$A$2:C$198,2, 0), 0)</f>
        <v>0</v>
      </c>
    </row>
    <row r="171">
      <c r="A171" s="65">
        <f t="shared" si="1"/>
        <v>170</v>
      </c>
      <c r="B171" s="7" t="s">
        <v>452</v>
      </c>
      <c r="C171" s="53">
        <f t="shared" si="5"/>
        <v>0</v>
      </c>
      <c r="D171" s="53">
        <f t="shared" si="3"/>
        <v>0</v>
      </c>
      <c r="E171" s="57">
        <f>IFERROR(VLOOKUP(B171, Proof!A$2:$B$199,2, 0), 0)</f>
        <v>0</v>
      </c>
      <c r="F171" s="58">
        <f>IFERROR(VLOOKUP(B171, 'HMMTPUMaC Algebra'!A$2:$B$500,2, 0), 0)</f>
        <v>0</v>
      </c>
      <c r="G171" s="53">
        <f>IFERROR(VLOOKUP(B171, 'HMMTPUMaC Combo'!A$2:$B$500,2, 0), 0)</f>
        <v>0</v>
      </c>
      <c r="H171" s="66">
        <f>IFERROR(VLOOKUP(B171, 'HMMTPUMaC Algebra'!A$2:$B$198,2, 0), 0)</f>
        <v>0</v>
      </c>
      <c r="I171" s="53">
        <f>IFERROR(VLOOKUP(B171, 'HMMTPUMaC NT'!A$2:$B$500,2, 0), 0)</f>
        <v>0</v>
      </c>
      <c r="J171" s="53">
        <f>IFERROR(VLOOKUP(B171, 'HMMT 1 Real'!$A$2:B$198,2, 0), 0)</f>
        <v>0</v>
      </c>
      <c r="K171" s="66">
        <f>IFERROR(VLOOKUP(B171, 'HMMT 2 Real'!$A$2:C$198,2, 0), 0)</f>
        <v>0</v>
      </c>
    </row>
    <row r="172">
      <c r="A172" s="65">
        <f t="shared" si="1"/>
        <v>171</v>
      </c>
      <c r="B172" s="7" t="s">
        <v>115</v>
      </c>
      <c r="C172" s="53">
        <f t="shared" si="5"/>
        <v>0</v>
      </c>
      <c r="D172" s="53">
        <f t="shared" si="3"/>
        <v>0</v>
      </c>
      <c r="E172" s="57">
        <f>IFERROR(VLOOKUP(B172, Proof!A$2:$B$199,2, 0), 0)</f>
        <v>0</v>
      </c>
      <c r="F172" s="58">
        <f>IFERROR(VLOOKUP(B172, 'HMMTPUMaC Algebra'!A$2:$B$500,2, 0), 0)</f>
        <v>0</v>
      </c>
      <c r="G172" s="53">
        <f>IFERROR(VLOOKUP(B172, 'HMMTPUMaC Combo'!A$2:$B$500,2, 0), 0)</f>
        <v>0</v>
      </c>
      <c r="H172" s="66">
        <f>IFERROR(VLOOKUP(B172, 'HMMTPUMaC Algebra'!A$2:$B$198,2, 0), 0)</f>
        <v>0</v>
      </c>
      <c r="I172" s="53">
        <f>IFERROR(VLOOKUP(B172, 'HMMTPUMaC NT'!A$2:$B$500,2, 0), 0)</f>
        <v>0</v>
      </c>
      <c r="J172" s="53">
        <f>IFERROR(VLOOKUP(B172, 'HMMT 1 Real'!$A$2:B$198,2, 0), 0)</f>
        <v>0</v>
      </c>
      <c r="K172" s="66">
        <f>IFERROR(VLOOKUP(B172, 'HMMT 2 Real'!$A$2:C$198,2, 0), 0)</f>
        <v>0</v>
      </c>
    </row>
    <row r="173">
      <c r="A173" s="65">
        <f t="shared" si="1"/>
        <v>172</v>
      </c>
      <c r="B173" s="7" t="s">
        <v>494</v>
      </c>
      <c r="C173" s="53">
        <f t="shared" si="5"/>
        <v>0</v>
      </c>
      <c r="D173" s="53">
        <f t="shared" si="3"/>
        <v>0</v>
      </c>
      <c r="E173" s="57">
        <f>IFERROR(VLOOKUP(B173, Proof!A$2:$B$199,2, 0), 0)</f>
        <v>0</v>
      </c>
      <c r="F173" s="58">
        <f>IFERROR(VLOOKUP(B173, 'HMMTPUMaC Algebra'!A$2:$B$500,2, 0), 0)</f>
        <v>0</v>
      </c>
      <c r="G173" s="53">
        <f>IFERROR(VLOOKUP(B173, 'HMMTPUMaC Combo'!A$2:$B$500,2, 0), 0)</f>
        <v>0</v>
      </c>
      <c r="H173" s="66">
        <f>IFERROR(VLOOKUP(B173, 'HMMTPUMaC Algebra'!A$2:$B$198,2, 0), 0)</f>
        <v>0</v>
      </c>
      <c r="I173" s="53">
        <f>IFERROR(VLOOKUP(B173, 'HMMTPUMaC NT'!A$2:$B$500,2, 0), 0)</f>
        <v>0</v>
      </c>
      <c r="J173" s="53">
        <f>IFERROR(VLOOKUP(B173, 'HMMT 1 Real'!$A$2:B$198,2, 0), 0)</f>
        <v>0</v>
      </c>
      <c r="K173" s="66">
        <f>IFERROR(VLOOKUP(B173, 'HMMT 2 Real'!$A$2:C$198,2, 0), 0)</f>
        <v>0</v>
      </c>
    </row>
    <row r="174">
      <c r="A174" s="65">
        <f t="shared" si="1"/>
        <v>173</v>
      </c>
      <c r="B174" s="17" t="s">
        <v>472</v>
      </c>
      <c r="C174" s="53">
        <f t="shared" si="5"/>
        <v>0</v>
      </c>
      <c r="D174" s="53">
        <f t="shared" si="3"/>
        <v>0</v>
      </c>
      <c r="E174" s="57">
        <f>IFERROR(VLOOKUP(B174, Proof!A$2:$B$199,2, 0), 0)</f>
        <v>0</v>
      </c>
      <c r="F174" s="58">
        <f>IFERROR(VLOOKUP(B174, 'HMMTPUMaC Algebra'!A$2:$B$500,2, 0), 0)</f>
        <v>0</v>
      </c>
      <c r="G174" s="53">
        <f>IFERROR(VLOOKUP(B174, 'HMMTPUMaC Combo'!A$2:$B$500,2, 0), 0)</f>
        <v>0</v>
      </c>
      <c r="H174" s="66">
        <f>IFERROR(VLOOKUP(B174, 'HMMTPUMaC Algebra'!A$2:$B$198,2, 0), 0)</f>
        <v>0</v>
      </c>
      <c r="I174" s="53">
        <f>IFERROR(VLOOKUP(B174, 'HMMTPUMaC NT'!A$2:$B$500,2, 0), 0)</f>
        <v>0</v>
      </c>
      <c r="J174" s="53">
        <f>IFERROR(VLOOKUP(B174, 'HMMT 1 Real'!$A$2:B$198,2, 0), 0)</f>
        <v>0</v>
      </c>
      <c r="K174" s="66">
        <f>IFERROR(VLOOKUP(B174, 'HMMT 2 Real'!$A$2:C$198,2, 0), 0)</f>
        <v>0</v>
      </c>
    </row>
    <row r="175">
      <c r="A175" s="65">
        <f t="shared" si="1"/>
        <v>174</v>
      </c>
      <c r="B175" s="7" t="s">
        <v>510</v>
      </c>
      <c r="C175" s="53">
        <f t="shared" si="5"/>
        <v>0</v>
      </c>
      <c r="D175" s="53">
        <f t="shared" si="3"/>
        <v>0</v>
      </c>
      <c r="E175" s="57">
        <f>IFERROR(VLOOKUP(B175, Proof!A$2:$B$199,2, 0), 0)</f>
        <v>0</v>
      </c>
      <c r="F175" s="58">
        <f>IFERROR(VLOOKUP(B175, 'HMMTPUMaC Algebra'!A$2:$B$500,2, 0), 0)</f>
        <v>0</v>
      </c>
      <c r="G175" s="53">
        <f>IFERROR(VLOOKUP(B175, 'HMMTPUMaC Combo'!A$2:$B$500,2, 0), 0)</f>
        <v>0</v>
      </c>
      <c r="H175" s="66">
        <f>IFERROR(VLOOKUP(B175, 'HMMTPUMaC Algebra'!A$2:$B$198,2, 0), 0)</f>
        <v>0</v>
      </c>
      <c r="I175" s="53">
        <f>IFERROR(VLOOKUP(B175, 'HMMTPUMaC NT'!A$2:$B$500,2, 0), 0)</f>
        <v>0</v>
      </c>
      <c r="J175" s="53">
        <f>IFERROR(VLOOKUP(B175, 'HMMT 1 Real'!$A$2:B$198,2, 0), 0)</f>
        <v>0</v>
      </c>
      <c r="K175" s="66">
        <f>IFERROR(VLOOKUP(B175, 'HMMT 2 Real'!$A$2:C$198,2, 0), 0)</f>
        <v>0</v>
      </c>
    </row>
    <row r="176">
      <c r="A176" s="65">
        <f t="shared" si="1"/>
        <v>175</v>
      </c>
      <c r="B176" s="7" t="s">
        <v>246</v>
      </c>
      <c r="C176" s="53">
        <f t="shared" si="5"/>
        <v>0</v>
      </c>
      <c r="D176" s="53">
        <f t="shared" si="3"/>
        <v>0</v>
      </c>
      <c r="E176" s="57">
        <f>IFERROR(VLOOKUP(B176, Proof!A$2:$B$199,2, 0), 0)</f>
        <v>0</v>
      </c>
      <c r="F176" s="58">
        <f>IFERROR(VLOOKUP(B176, 'HMMTPUMaC Algebra'!A$2:$B$500,2, 0), 0)</f>
        <v>0</v>
      </c>
      <c r="G176" s="53">
        <f>IFERROR(VLOOKUP(B176, 'HMMTPUMaC Combo'!A$2:$B$500,2, 0), 0)</f>
        <v>0</v>
      </c>
      <c r="H176" s="66">
        <f>IFERROR(VLOOKUP(B176, 'HMMTPUMaC Algebra'!A$2:$B$198,2, 0), 0)</f>
        <v>0</v>
      </c>
      <c r="I176" s="53">
        <f>IFERROR(VLOOKUP(B176, 'HMMTPUMaC NT'!A$2:$B$500,2, 0), 0)</f>
        <v>0</v>
      </c>
      <c r="J176" s="53">
        <f>IFERROR(VLOOKUP(B176, 'HMMT 1 Real'!$A$2:B$198,2, 0), 0)</f>
        <v>0</v>
      </c>
      <c r="K176" s="66">
        <f>IFERROR(VLOOKUP(B176, 'HMMT 2 Real'!$A$2:C$198,2, 0), 0)</f>
        <v>0</v>
      </c>
    </row>
    <row r="177">
      <c r="A177" s="65">
        <f t="shared" si="1"/>
        <v>176</v>
      </c>
      <c r="B177" s="7" t="s">
        <v>116</v>
      </c>
      <c r="C177" s="53">
        <f t="shared" si="5"/>
        <v>0</v>
      </c>
      <c r="D177" s="53">
        <f t="shared" si="3"/>
        <v>0</v>
      </c>
      <c r="E177" s="57">
        <f>IFERROR(VLOOKUP(B177, Proof!A$2:$B$199,2, 0), 0)</f>
        <v>0</v>
      </c>
      <c r="F177" s="58">
        <f>IFERROR(VLOOKUP(B177, 'HMMTPUMaC Algebra'!A$2:$B$500,2, 0), 0)</f>
        <v>0</v>
      </c>
      <c r="G177" s="53">
        <f>IFERROR(VLOOKUP(B177, 'HMMTPUMaC Combo'!A$2:$B$500,2, 0), 0)</f>
        <v>0</v>
      </c>
      <c r="H177" s="66">
        <f>IFERROR(VLOOKUP(B177, 'HMMTPUMaC Algebra'!A$2:$B$198,2, 0), 0)</f>
        <v>0</v>
      </c>
      <c r="I177" s="53">
        <f>IFERROR(VLOOKUP(B177, 'HMMTPUMaC NT'!A$2:$B$500,2, 0), 0)</f>
        <v>0</v>
      </c>
      <c r="J177" s="53">
        <f>IFERROR(VLOOKUP(B177, 'HMMT 1 Real'!$A$2:B$198,2, 0), 0)</f>
        <v>0</v>
      </c>
      <c r="K177" s="66">
        <f>IFERROR(VLOOKUP(B177, 'HMMT 2 Real'!$A$2:C$198,2, 0), 0)</f>
        <v>0</v>
      </c>
    </row>
    <row r="178">
      <c r="A178" s="65">
        <f t="shared" si="1"/>
        <v>177</v>
      </c>
      <c r="B178" s="7" t="s">
        <v>487</v>
      </c>
      <c r="C178" s="53">
        <f t="shared" si="5"/>
        <v>0</v>
      </c>
      <c r="D178" s="53">
        <f t="shared" si="3"/>
        <v>0</v>
      </c>
      <c r="E178" s="57">
        <f>IFERROR(VLOOKUP(B178, Proof!A$2:$B$199,2, 0), 0)</f>
        <v>0</v>
      </c>
      <c r="F178" s="58">
        <f>IFERROR(VLOOKUP(B178, 'HMMTPUMaC Algebra'!A$2:$B$500,2, 0), 0)</f>
        <v>0</v>
      </c>
      <c r="G178" s="53">
        <f>IFERROR(VLOOKUP(B178, 'HMMTPUMaC Combo'!A$2:$B$500,2, 0), 0)</f>
        <v>0</v>
      </c>
      <c r="H178" s="66">
        <f>IFERROR(VLOOKUP(B178, 'HMMTPUMaC Algebra'!A$2:$B$198,2, 0), 0)</f>
        <v>0</v>
      </c>
      <c r="I178" s="53">
        <f>IFERROR(VLOOKUP(B178, 'HMMTPUMaC NT'!A$2:$B$500,2, 0), 0)</f>
        <v>0</v>
      </c>
      <c r="J178" s="53">
        <f>IFERROR(VLOOKUP(B178, 'HMMT 1 Real'!$A$2:B$198,2, 0), 0)</f>
        <v>0</v>
      </c>
      <c r="K178" s="66">
        <f>IFERROR(VLOOKUP(B178, 'HMMT 2 Real'!$A$2:C$198,2, 0), 0)</f>
        <v>0</v>
      </c>
    </row>
    <row r="179">
      <c r="A179" s="65">
        <f t="shared" si="1"/>
        <v>178</v>
      </c>
      <c r="B179" s="7" t="s">
        <v>139</v>
      </c>
      <c r="C179" s="53">
        <f t="shared" si="5"/>
        <v>0</v>
      </c>
      <c r="D179" s="53">
        <f t="shared" si="3"/>
        <v>0</v>
      </c>
      <c r="E179" s="57">
        <f>IFERROR(VLOOKUP(B179, Proof!A$2:$B$199,2, 0), 0)</f>
        <v>0</v>
      </c>
      <c r="F179" s="58">
        <f>IFERROR(VLOOKUP(B179, 'HMMTPUMaC Algebra'!A$2:$B$500,2, 0), 0)</f>
        <v>0</v>
      </c>
      <c r="G179" s="53">
        <f>IFERROR(VLOOKUP(B179, 'HMMTPUMaC Combo'!A$2:$B$500,2, 0), 0)</f>
        <v>0</v>
      </c>
      <c r="H179" s="66">
        <f>IFERROR(VLOOKUP(B179, 'HMMTPUMaC Algebra'!A$2:$B$198,2, 0), 0)</f>
        <v>0</v>
      </c>
      <c r="I179" s="53">
        <f>IFERROR(VLOOKUP(B179, 'HMMTPUMaC NT'!A$2:$B$500,2, 0), 0)</f>
        <v>0</v>
      </c>
      <c r="J179" s="53">
        <f>IFERROR(VLOOKUP(B179, 'HMMT 1 Real'!$A$2:B$198,2, 0), 0)</f>
        <v>0</v>
      </c>
      <c r="K179" s="66">
        <f>IFERROR(VLOOKUP(B179, 'HMMT 2 Real'!$A$2:C$198,2, 0), 0)</f>
        <v>0</v>
      </c>
    </row>
    <row r="180">
      <c r="A180" s="65">
        <f t="shared" si="1"/>
        <v>179</v>
      </c>
      <c r="B180" s="7" t="s">
        <v>219</v>
      </c>
      <c r="C180" s="53">
        <f t="shared" si="5"/>
        <v>0</v>
      </c>
      <c r="D180" s="53">
        <f t="shared" si="3"/>
        <v>0</v>
      </c>
      <c r="E180" s="57">
        <f>IFERROR(VLOOKUP(B180, Proof!A$2:$B$199,2, 0), 0)</f>
        <v>0</v>
      </c>
      <c r="F180" s="58">
        <f>IFERROR(VLOOKUP(B180, 'HMMTPUMaC Algebra'!A$2:$B$500,2, 0), 0)</f>
        <v>0</v>
      </c>
      <c r="G180" s="53">
        <f>IFERROR(VLOOKUP(B180, 'HMMTPUMaC Combo'!A$2:$B$500,2, 0), 0)</f>
        <v>0</v>
      </c>
      <c r="H180" s="66">
        <f>IFERROR(VLOOKUP(B180, 'HMMTPUMaC Algebra'!A$2:$B$198,2, 0), 0)</f>
        <v>0</v>
      </c>
      <c r="I180" s="53">
        <f>IFERROR(VLOOKUP(B180, 'HMMTPUMaC NT'!A$2:$B$500,2, 0), 0)</f>
        <v>0</v>
      </c>
      <c r="J180" s="53">
        <f>IFERROR(VLOOKUP(B180, 'HMMT 1 Real'!$A$2:B$198,2, 0), 0)</f>
        <v>0</v>
      </c>
      <c r="K180" s="66">
        <f>IFERROR(VLOOKUP(B180, 'HMMT 2 Real'!$A$2:C$198,2, 0), 0)</f>
        <v>0</v>
      </c>
    </row>
    <row r="181">
      <c r="A181" s="65">
        <f t="shared" si="1"/>
        <v>180</v>
      </c>
      <c r="B181" s="7" t="s">
        <v>466</v>
      </c>
      <c r="C181" s="53">
        <f t="shared" si="5"/>
        <v>0</v>
      </c>
      <c r="D181" s="53">
        <f t="shared" si="3"/>
        <v>0</v>
      </c>
      <c r="E181" s="57">
        <f>IFERROR(VLOOKUP(B181, Proof!A$2:$B$199,2, 0), 0)</f>
        <v>0</v>
      </c>
      <c r="F181" s="58">
        <f>IFERROR(VLOOKUP(B181, 'HMMTPUMaC Algebra'!A$2:$B$500,2, 0), 0)</f>
        <v>0</v>
      </c>
      <c r="G181" s="53">
        <f>IFERROR(VLOOKUP(B181, 'HMMTPUMaC Combo'!A$2:$B$500,2, 0), 0)</f>
        <v>0</v>
      </c>
      <c r="H181" s="66">
        <f>IFERROR(VLOOKUP(B181, 'HMMTPUMaC Algebra'!A$2:$B$198,2, 0), 0)</f>
        <v>0</v>
      </c>
      <c r="I181" s="53">
        <f>IFERROR(VLOOKUP(B181, 'HMMTPUMaC NT'!A$2:$B$500,2, 0), 0)</f>
        <v>0</v>
      </c>
      <c r="J181" s="53">
        <f>IFERROR(VLOOKUP(B181, 'HMMT 1 Real'!$A$2:B$198,2, 0), 0)</f>
        <v>0</v>
      </c>
      <c r="K181" s="66">
        <f>IFERROR(VLOOKUP(B181, 'HMMT 2 Real'!$A$2:C$198,2, 0), 0)</f>
        <v>0</v>
      </c>
    </row>
    <row r="182">
      <c r="A182" s="65">
        <f t="shared" si="1"/>
        <v>181</v>
      </c>
      <c r="B182" s="7" t="s">
        <v>287</v>
      </c>
      <c r="C182" s="53">
        <f t="shared" si="5"/>
        <v>0</v>
      </c>
      <c r="D182" s="53">
        <f t="shared" si="3"/>
        <v>0</v>
      </c>
      <c r="E182" s="57">
        <f>IFERROR(VLOOKUP(B182, Proof!A$2:$B$199,2, 0), 0)</f>
        <v>0</v>
      </c>
      <c r="F182" s="58">
        <f>IFERROR(VLOOKUP(B182, 'HMMTPUMaC Algebra'!A$2:$B$500,2, 0), 0)</f>
        <v>0</v>
      </c>
      <c r="G182" s="53">
        <f>IFERROR(VLOOKUP(B182, 'HMMTPUMaC Combo'!A$2:$B$500,2, 0), 0)</f>
        <v>0</v>
      </c>
      <c r="H182" s="66">
        <f>IFERROR(VLOOKUP(B182, 'HMMTPUMaC Algebra'!A$2:$B$198,2, 0), 0)</f>
        <v>0</v>
      </c>
      <c r="I182" s="53">
        <f>IFERROR(VLOOKUP(B182, 'HMMTPUMaC NT'!A$2:$B$500,2, 0), 0)</f>
        <v>0</v>
      </c>
      <c r="J182" s="53">
        <f>IFERROR(VLOOKUP(B182, 'HMMT 1 Real'!$A$2:B$198,2, 0), 0)</f>
        <v>0</v>
      </c>
      <c r="K182" s="66">
        <f>IFERROR(VLOOKUP(B182, 'HMMT 2 Real'!$A$2:C$198,2, 0), 0)</f>
        <v>0</v>
      </c>
    </row>
    <row r="183">
      <c r="A183" s="65">
        <f t="shared" si="1"/>
        <v>182</v>
      </c>
      <c r="B183" s="7" t="s">
        <v>107</v>
      </c>
      <c r="C183" s="53">
        <f t="shared" si="5"/>
        <v>0</v>
      </c>
      <c r="D183" s="53">
        <f t="shared" si="3"/>
        <v>0</v>
      </c>
      <c r="E183" s="57">
        <f>IFERROR(VLOOKUP(B183, Proof!A$2:$B$199,2, 0), 0)</f>
        <v>0</v>
      </c>
      <c r="F183" s="58">
        <f>IFERROR(VLOOKUP(B183, 'HMMTPUMaC Algebra'!A$2:$B$500,2, 0), 0)</f>
        <v>0</v>
      </c>
      <c r="G183" s="53">
        <f>IFERROR(VLOOKUP(B183, 'HMMTPUMaC Combo'!A$2:$B$500,2, 0), 0)</f>
        <v>0</v>
      </c>
      <c r="H183" s="66">
        <f>IFERROR(VLOOKUP(B183, 'HMMTPUMaC Algebra'!A$2:$B$198,2, 0), 0)</f>
        <v>0</v>
      </c>
      <c r="I183" s="53">
        <f>IFERROR(VLOOKUP(B183, 'HMMTPUMaC NT'!A$2:$B$500,2, 0), 0)</f>
        <v>0</v>
      </c>
      <c r="J183" s="53">
        <f>IFERROR(VLOOKUP(B183, 'HMMT 1 Real'!$A$2:B$198,2, 0), 0)</f>
        <v>0</v>
      </c>
      <c r="K183" s="66">
        <f>IFERROR(VLOOKUP(B183, 'HMMT 2 Real'!$A$2:C$198,2, 0), 0)</f>
        <v>0</v>
      </c>
    </row>
    <row r="184">
      <c r="A184" s="65">
        <f t="shared" si="1"/>
        <v>183</v>
      </c>
      <c r="B184" s="7" t="s">
        <v>469</v>
      </c>
      <c r="C184" s="53">
        <f t="shared" si="5"/>
        <v>0</v>
      </c>
      <c r="D184" s="53">
        <f t="shared" si="3"/>
        <v>0</v>
      </c>
      <c r="E184" s="57">
        <f>IFERROR(VLOOKUP(B184, Proof!A$2:$B$199,2, 0), 0)</f>
        <v>0</v>
      </c>
      <c r="F184" s="58">
        <f>IFERROR(VLOOKUP(B184, 'HMMTPUMaC Algebra'!A$2:$B$500,2, 0), 0)</f>
        <v>0</v>
      </c>
      <c r="G184" s="53">
        <f>IFERROR(VLOOKUP(B184, 'HMMTPUMaC Combo'!A$2:$B$500,2, 0), 0)</f>
        <v>0</v>
      </c>
      <c r="H184" s="66">
        <f>IFERROR(VLOOKUP(B184, 'HMMTPUMaC Algebra'!A$2:$B$198,2, 0), 0)</f>
        <v>0</v>
      </c>
      <c r="I184" s="53">
        <f>IFERROR(VLOOKUP(B184, 'HMMTPUMaC NT'!A$2:$B$500,2, 0), 0)</f>
        <v>0</v>
      </c>
      <c r="J184" s="53">
        <f>IFERROR(VLOOKUP(B184, 'HMMT 1 Real'!$A$2:B$198,2, 0), 0)</f>
        <v>0</v>
      </c>
      <c r="K184" s="66">
        <f>IFERROR(VLOOKUP(B184, 'HMMT 2 Real'!$A$2:C$198,2, 0), 0)</f>
        <v>0</v>
      </c>
    </row>
    <row r="185">
      <c r="A185" s="65">
        <f t="shared" si="1"/>
        <v>184</v>
      </c>
      <c r="B185" s="7" t="s">
        <v>440</v>
      </c>
      <c r="C185" s="53">
        <f t="shared" si="5"/>
        <v>0</v>
      </c>
      <c r="D185" s="53">
        <f t="shared" si="3"/>
        <v>0</v>
      </c>
      <c r="E185" s="57">
        <f>IFERROR(VLOOKUP(B185, Proof!A$2:$B$199,2, 0), 0)</f>
        <v>0</v>
      </c>
      <c r="F185" s="58">
        <f>IFERROR(VLOOKUP(B185, 'HMMTPUMaC Algebra'!A$2:$B$500,2, 0), 0)</f>
        <v>0</v>
      </c>
      <c r="G185" s="53">
        <f>IFERROR(VLOOKUP(B185, 'HMMTPUMaC Combo'!A$2:$B$500,2, 0), 0)</f>
        <v>0</v>
      </c>
      <c r="H185" s="66">
        <f>IFERROR(VLOOKUP(B185, 'HMMTPUMaC Algebra'!A$2:$B$198,2, 0), 0)</f>
        <v>0</v>
      </c>
      <c r="I185" s="53">
        <f>IFERROR(VLOOKUP(B185, 'HMMTPUMaC NT'!A$2:$B$500,2, 0), 0)</f>
        <v>0</v>
      </c>
      <c r="J185" s="53">
        <f>IFERROR(VLOOKUP(B185, 'HMMT 1 Real'!$A$2:B$198,2, 0), 0)</f>
        <v>0</v>
      </c>
      <c r="K185" s="66">
        <f>IFERROR(VLOOKUP(B185, 'HMMT 2 Real'!$A$2:C$198,2, 0), 0)</f>
        <v>0</v>
      </c>
    </row>
    <row r="186">
      <c r="A186" s="65">
        <f t="shared" si="1"/>
        <v>185</v>
      </c>
      <c r="B186" s="7" t="s">
        <v>477</v>
      </c>
      <c r="C186" s="53">
        <f t="shared" si="5"/>
        <v>0</v>
      </c>
      <c r="D186" s="53">
        <f t="shared" si="3"/>
        <v>0</v>
      </c>
      <c r="E186" s="57">
        <f>IFERROR(VLOOKUP(B186, Proof!A$2:$B$199,2, 0), 0)</f>
        <v>0</v>
      </c>
      <c r="F186" s="58">
        <f>IFERROR(VLOOKUP(B186, 'HMMTPUMaC Algebra'!A$2:$B$500,2, 0), 0)</f>
        <v>0</v>
      </c>
      <c r="G186" s="53">
        <f>IFERROR(VLOOKUP(B186, 'HMMTPUMaC Combo'!A$2:$B$500,2, 0), 0)</f>
        <v>0</v>
      </c>
      <c r="H186" s="66">
        <f>IFERROR(VLOOKUP(B186, 'HMMTPUMaC Algebra'!A$2:$B$198,2, 0), 0)</f>
        <v>0</v>
      </c>
      <c r="I186" s="53">
        <f>IFERROR(VLOOKUP(B186, 'HMMTPUMaC NT'!A$2:$B$500,2, 0), 0)</f>
        <v>0</v>
      </c>
      <c r="J186" s="53">
        <f>IFERROR(VLOOKUP(B186, 'HMMT 1 Real'!$A$2:B$198,2, 0), 0)</f>
        <v>0</v>
      </c>
      <c r="K186" s="66">
        <f>IFERROR(VLOOKUP(B186, 'HMMT 2 Real'!$A$2:C$198,2, 0), 0)</f>
        <v>0</v>
      </c>
    </row>
    <row r="187">
      <c r="A187" s="65">
        <f t="shared" si="1"/>
        <v>186</v>
      </c>
      <c r="B187" s="7" t="s">
        <v>439</v>
      </c>
      <c r="C187" s="53">
        <f t="shared" si="5"/>
        <v>0</v>
      </c>
      <c r="D187" s="53">
        <f t="shared" si="3"/>
        <v>0</v>
      </c>
      <c r="E187" s="57">
        <f>IFERROR(VLOOKUP(B187, Proof!A$2:$B$199,2, 0), 0)</f>
        <v>0</v>
      </c>
      <c r="F187" s="58">
        <f>IFERROR(VLOOKUP(B187, 'HMMTPUMaC Algebra'!A$2:$B$500,2, 0), 0)</f>
        <v>0</v>
      </c>
      <c r="G187" s="53">
        <f>IFERROR(VLOOKUP(B187, 'HMMTPUMaC Combo'!A$2:$B$500,2, 0), 0)</f>
        <v>0</v>
      </c>
      <c r="H187" s="66">
        <f>IFERROR(VLOOKUP(B187, 'HMMTPUMaC Algebra'!A$2:$B$198,2, 0), 0)</f>
        <v>0</v>
      </c>
      <c r="I187" s="53">
        <f>IFERROR(VLOOKUP(B187, 'HMMTPUMaC NT'!A$2:$B$500,2, 0), 0)</f>
        <v>0</v>
      </c>
      <c r="J187" s="53">
        <f>IFERROR(VLOOKUP(B187, 'HMMT 1 Real'!$A$2:B$198,2, 0), 0)</f>
        <v>0</v>
      </c>
      <c r="K187" s="66">
        <f>IFERROR(VLOOKUP(B187, 'HMMT 2 Real'!$A$2:C$198,2, 0), 0)</f>
        <v>0</v>
      </c>
    </row>
    <row r="188">
      <c r="A188" s="65">
        <f t="shared" si="1"/>
        <v>187</v>
      </c>
      <c r="B188" s="7" t="s">
        <v>117</v>
      </c>
      <c r="C188" s="53">
        <f t="shared" si="5"/>
        <v>0</v>
      </c>
      <c r="D188" s="53">
        <f t="shared" si="3"/>
        <v>0</v>
      </c>
      <c r="E188" s="57">
        <f>IFERROR(VLOOKUP(B188, Proof!A$2:$B$199,2, 0), 0)</f>
        <v>0</v>
      </c>
      <c r="F188" s="58">
        <f>IFERROR(VLOOKUP(B188, 'HMMTPUMaC Algebra'!A$2:$B$500,2, 0), 0)</f>
        <v>0</v>
      </c>
      <c r="G188" s="53">
        <f>IFERROR(VLOOKUP(B188, 'HMMTPUMaC Combo'!A$2:$B$500,2, 0), 0)</f>
        <v>0</v>
      </c>
      <c r="H188" s="66">
        <f>IFERROR(VLOOKUP(B188, 'HMMTPUMaC Algebra'!A$2:$B$198,2, 0), 0)</f>
        <v>0</v>
      </c>
      <c r="I188" s="53">
        <f>IFERROR(VLOOKUP(B188, 'HMMTPUMaC NT'!A$2:$B$500,2, 0), 0)</f>
        <v>0</v>
      </c>
      <c r="J188" s="53">
        <f>IFERROR(VLOOKUP(B188, 'HMMT 1 Real'!$A$2:B$198,2, 0), 0)</f>
        <v>0</v>
      </c>
      <c r="K188" s="66">
        <f>IFERROR(VLOOKUP(B188, 'HMMT 2 Real'!$A$2:C$198,2, 0), 0)</f>
        <v>0</v>
      </c>
    </row>
    <row r="189">
      <c r="A189" s="65">
        <f t="shared" si="1"/>
        <v>188</v>
      </c>
      <c r="B189" s="7" t="s">
        <v>468</v>
      </c>
      <c r="C189" s="53">
        <f t="shared" si="5"/>
        <v>0</v>
      </c>
      <c r="D189" s="53">
        <f t="shared" si="3"/>
        <v>0</v>
      </c>
      <c r="E189" s="57">
        <f>IFERROR(VLOOKUP(B189, Proof!A$2:$B$199,2, 0), 0)</f>
        <v>0</v>
      </c>
      <c r="F189" s="58">
        <f>IFERROR(VLOOKUP(B189, 'HMMTPUMaC Algebra'!A$2:$B$500,2, 0), 0)</f>
        <v>0</v>
      </c>
      <c r="G189" s="53">
        <f>IFERROR(VLOOKUP(B189, 'HMMTPUMaC Combo'!A$2:$B$500,2, 0), 0)</f>
        <v>0</v>
      </c>
      <c r="H189" s="66">
        <f>IFERROR(VLOOKUP(B189, 'HMMTPUMaC Algebra'!A$2:$B$198,2, 0), 0)</f>
        <v>0</v>
      </c>
      <c r="I189" s="53">
        <f>IFERROR(VLOOKUP(B189, 'HMMTPUMaC NT'!A$2:$B$500,2, 0), 0)</f>
        <v>0</v>
      </c>
      <c r="J189" s="53">
        <f>IFERROR(VLOOKUP(B189, 'HMMT 1 Real'!$A$2:B$198,2, 0), 0)</f>
        <v>0</v>
      </c>
      <c r="K189" s="66">
        <f>IFERROR(VLOOKUP(B189, 'HMMT 2 Real'!$A$2:C$198,2, 0), 0)</f>
        <v>0</v>
      </c>
    </row>
    <row r="190">
      <c r="A190" s="65">
        <f t="shared" si="1"/>
        <v>189</v>
      </c>
      <c r="B190" s="7" t="s">
        <v>114</v>
      </c>
      <c r="C190" s="53">
        <f t="shared" si="5"/>
        <v>0</v>
      </c>
      <c r="D190" s="53">
        <f t="shared" si="3"/>
        <v>0</v>
      </c>
      <c r="E190" s="57">
        <f>IFERROR(VLOOKUP(B190, Proof!A$2:$B$199,2, 0), 0)</f>
        <v>0</v>
      </c>
      <c r="F190" s="58">
        <f>IFERROR(VLOOKUP(B190, 'HMMTPUMaC Algebra'!A$2:$B$500,2, 0), 0)</f>
        <v>0</v>
      </c>
      <c r="G190" s="53">
        <f>IFERROR(VLOOKUP(B190, 'HMMTPUMaC Combo'!A$2:$B$500,2, 0), 0)</f>
        <v>0</v>
      </c>
      <c r="H190" s="66">
        <f>IFERROR(VLOOKUP(B190, 'HMMTPUMaC Algebra'!A$2:$B$198,2, 0), 0)</f>
        <v>0</v>
      </c>
      <c r="I190" s="53">
        <f>IFERROR(VLOOKUP(B190, 'HMMTPUMaC NT'!A$2:$B$500,2, 0), 0)</f>
        <v>0</v>
      </c>
      <c r="J190" s="53">
        <f>IFERROR(VLOOKUP(B190, 'HMMT 1 Real'!$A$2:B$198,2, 0), 0)</f>
        <v>0</v>
      </c>
      <c r="K190" s="66">
        <f>IFERROR(VLOOKUP(B190, 'HMMT 2 Real'!$A$2:C$198,2, 0), 0)</f>
        <v>0</v>
      </c>
    </row>
    <row r="191">
      <c r="A191" s="65">
        <f t="shared" si="1"/>
        <v>190</v>
      </c>
      <c r="B191" s="7" t="s">
        <v>474</v>
      </c>
      <c r="C191" s="53">
        <f t="shared" si="5"/>
        <v>0</v>
      </c>
      <c r="D191" s="53">
        <f t="shared" si="3"/>
        <v>0</v>
      </c>
      <c r="E191" s="57">
        <f>IFERROR(VLOOKUP(B191, Proof!A$2:$B$199,2, 0), 0)</f>
        <v>0</v>
      </c>
      <c r="F191" s="58">
        <f>IFERROR(VLOOKUP(B191, 'HMMTPUMaC Algebra'!A$2:$B$500,2, 0), 0)</f>
        <v>0</v>
      </c>
      <c r="G191" s="53">
        <f>IFERROR(VLOOKUP(B191, 'HMMTPUMaC Combo'!A$2:$B$500,2, 0), 0)</f>
        <v>0</v>
      </c>
      <c r="H191" s="66">
        <f>IFERROR(VLOOKUP(B191, 'HMMTPUMaC Algebra'!A$2:$B$198,2, 0), 0)</f>
        <v>0</v>
      </c>
      <c r="I191" s="53">
        <f>IFERROR(VLOOKUP(B191, 'HMMTPUMaC NT'!A$2:$B$500,2, 0), 0)</f>
        <v>0</v>
      </c>
      <c r="J191" s="53">
        <f>IFERROR(VLOOKUP(B191, 'HMMT 1 Real'!$A$2:B$198,2, 0), 0)</f>
        <v>0</v>
      </c>
      <c r="K191" s="66">
        <f>IFERROR(VLOOKUP(B191, 'HMMT 2 Real'!$A$2:C$198,2, 0), 0)</f>
        <v>0</v>
      </c>
    </row>
    <row r="192">
      <c r="A192" s="65">
        <f t="shared" si="1"/>
        <v>191</v>
      </c>
      <c r="B192" s="7" t="s">
        <v>106</v>
      </c>
      <c r="C192" s="53">
        <f t="shared" si="5"/>
        <v>0</v>
      </c>
      <c r="D192" s="53">
        <f t="shared" si="3"/>
        <v>0</v>
      </c>
      <c r="E192" s="57">
        <f>IFERROR(VLOOKUP(B192, Proof!A$2:$B$199,2, 0), 0)</f>
        <v>0</v>
      </c>
      <c r="F192" s="58">
        <f>IFERROR(VLOOKUP(B192, 'HMMTPUMaC Algebra'!A$2:$B$500,2, 0), 0)</f>
        <v>0</v>
      </c>
      <c r="G192" s="53">
        <f>IFERROR(VLOOKUP(B192, 'HMMTPUMaC Combo'!A$2:$B$500,2, 0), 0)</f>
        <v>0</v>
      </c>
      <c r="H192" s="66">
        <f>IFERROR(VLOOKUP(B192, 'HMMTPUMaC Algebra'!A$2:$B$198,2, 0), 0)</f>
        <v>0</v>
      </c>
      <c r="I192" s="53">
        <f>IFERROR(VLOOKUP(B192, 'HMMTPUMaC NT'!A$2:$B$500,2, 0), 0)</f>
        <v>0</v>
      </c>
      <c r="J192" s="53">
        <f>IFERROR(VLOOKUP(B192, 'HMMT 1 Real'!$A$2:B$198,2, 0), 0)</f>
        <v>0</v>
      </c>
      <c r="K192" s="66">
        <f>IFERROR(VLOOKUP(B192, 'HMMT 2 Real'!$A$2:C$198,2, 0), 0)</f>
        <v>0</v>
      </c>
    </row>
    <row r="193">
      <c r="A193" s="65">
        <f t="shared" si="1"/>
        <v>192</v>
      </c>
      <c r="B193" s="7" t="s">
        <v>206</v>
      </c>
      <c r="C193" s="53">
        <f t="shared" si="5"/>
        <v>0</v>
      </c>
      <c r="D193" s="53">
        <f t="shared" si="3"/>
        <v>0</v>
      </c>
      <c r="E193" s="57">
        <f>IFERROR(VLOOKUP(B193, Proof!A$2:$B$199,2, 0), 0)</f>
        <v>0</v>
      </c>
      <c r="F193" s="58">
        <f>IFERROR(VLOOKUP(B193, 'HMMTPUMaC Algebra'!A$2:$B$500,2, 0), 0)</f>
        <v>0</v>
      </c>
      <c r="G193" s="53">
        <f>IFERROR(VLOOKUP(B193, 'HMMTPUMaC Combo'!A$2:$B$500,2, 0), 0)</f>
        <v>0</v>
      </c>
      <c r="H193" s="66">
        <f>IFERROR(VLOOKUP(B193, 'HMMTPUMaC Algebra'!A$2:$B$198,2, 0), 0)</f>
        <v>0</v>
      </c>
      <c r="I193" s="53">
        <f>IFERROR(VLOOKUP(B193, 'HMMTPUMaC NT'!A$2:$B$500,2, 0), 0)</f>
        <v>0</v>
      </c>
      <c r="J193" s="53">
        <f>IFERROR(VLOOKUP(B193, 'HMMT 1 Real'!$A$2:B$198,2, 0), 0)</f>
        <v>0</v>
      </c>
      <c r="K193" s="66">
        <f>IFERROR(VLOOKUP(B193, 'HMMT 2 Real'!$A$2:C$198,2, 0), 0)</f>
        <v>0</v>
      </c>
    </row>
    <row r="194">
      <c r="A194" s="65">
        <f t="shared" si="1"/>
        <v>193</v>
      </c>
      <c r="B194" s="7" t="s">
        <v>479</v>
      </c>
      <c r="C194" s="53">
        <f t="shared" si="5"/>
        <v>0</v>
      </c>
      <c r="D194" s="53">
        <f t="shared" si="3"/>
        <v>0</v>
      </c>
      <c r="E194" s="57">
        <f>IFERROR(VLOOKUP(B194, Proof!A$2:$B$199,2, 0), 0)</f>
        <v>0</v>
      </c>
      <c r="F194" s="58">
        <f>IFERROR(VLOOKUP(B194, 'HMMTPUMaC Algebra'!A$2:$B$500,2, 0), 0)</f>
        <v>0</v>
      </c>
      <c r="G194" s="53">
        <f>IFERROR(VLOOKUP(B194, 'HMMTPUMaC Combo'!A$2:$B$500,2, 0), 0)</f>
        <v>0</v>
      </c>
      <c r="H194" s="66">
        <f>IFERROR(VLOOKUP(B194, 'HMMTPUMaC Algebra'!A$2:$B$198,2, 0), 0)</f>
        <v>0</v>
      </c>
      <c r="I194" s="53">
        <f>IFERROR(VLOOKUP(B194, 'HMMTPUMaC NT'!A$2:$B$500,2, 0), 0)</f>
        <v>0</v>
      </c>
      <c r="J194" s="53">
        <f>IFERROR(VLOOKUP(B194, 'HMMT 1 Real'!$A$2:B$198,2, 0), 0)</f>
        <v>0</v>
      </c>
      <c r="K194" s="66">
        <f>IFERROR(VLOOKUP(B194, 'HMMT 2 Real'!$A$2:C$198,2, 0), 0)</f>
        <v>0</v>
      </c>
    </row>
    <row r="195">
      <c r="A195" s="65">
        <f t="shared" si="1"/>
        <v>194</v>
      </c>
      <c r="B195" s="7" t="s">
        <v>447</v>
      </c>
      <c r="C195" s="53">
        <f t="shared" si="5"/>
        <v>0</v>
      </c>
      <c r="D195" s="53">
        <f t="shared" si="3"/>
        <v>0</v>
      </c>
      <c r="E195" s="57">
        <f>IFERROR(VLOOKUP(B195, Proof!A$2:$B$199,2, 0), 0)</f>
        <v>0</v>
      </c>
      <c r="F195" s="58">
        <f>IFERROR(VLOOKUP(B195, 'HMMTPUMaC Algebra'!A$2:$B$500,2, 0), 0)</f>
        <v>0</v>
      </c>
      <c r="G195" s="53">
        <f>IFERROR(VLOOKUP(B195, 'HMMTPUMaC Combo'!A$2:$B$500,2, 0), 0)</f>
        <v>0</v>
      </c>
      <c r="H195" s="66">
        <f>IFERROR(VLOOKUP(B195, 'HMMTPUMaC Algebra'!A$2:$B$198,2, 0), 0)</f>
        <v>0</v>
      </c>
      <c r="I195" s="53">
        <f>IFERROR(VLOOKUP(B195, 'HMMTPUMaC NT'!A$2:$B$500,2, 0), 0)</f>
        <v>0</v>
      </c>
      <c r="J195" s="53">
        <f>IFERROR(VLOOKUP(B195, 'HMMT 1 Real'!$A$2:B$198,2, 0), 0)</f>
        <v>0</v>
      </c>
      <c r="K195" s="66">
        <f>IFERROR(VLOOKUP(B195, 'HMMT 2 Real'!$A$2:C$198,2, 0), 0)</f>
        <v>0</v>
      </c>
    </row>
    <row r="196">
      <c r="A196" s="65">
        <f t="shared" si="1"/>
        <v>195</v>
      </c>
      <c r="B196" s="7" t="s">
        <v>152</v>
      </c>
      <c r="C196" s="53">
        <f t="shared" si="5"/>
        <v>0</v>
      </c>
      <c r="D196" s="53">
        <f t="shared" si="3"/>
        <v>0</v>
      </c>
      <c r="E196" s="57">
        <f>IFERROR(VLOOKUP(B196, Proof!A$2:$B$199,2, 0), 0)</f>
        <v>0</v>
      </c>
      <c r="F196" s="58">
        <f>IFERROR(VLOOKUP(B196, 'HMMTPUMaC Algebra'!A$2:$B$500,2, 0), 0)</f>
        <v>0</v>
      </c>
      <c r="G196" s="53">
        <f>IFERROR(VLOOKUP(B196, 'HMMTPUMaC Combo'!A$2:$B$500,2, 0), 0)</f>
        <v>0</v>
      </c>
      <c r="H196" s="66">
        <f>IFERROR(VLOOKUP(B196, 'HMMTPUMaC Algebra'!A$2:$B$198,2, 0), 0)</f>
        <v>0</v>
      </c>
      <c r="I196" s="53">
        <f>IFERROR(VLOOKUP(B196, 'HMMTPUMaC NT'!A$2:$B$500,2, 0), 0)</f>
        <v>0</v>
      </c>
      <c r="J196" s="53">
        <f>IFERROR(VLOOKUP(B196, 'HMMT 1 Real'!$A$2:B$198,2, 0), 0)</f>
        <v>0</v>
      </c>
      <c r="K196" s="66">
        <f>IFERROR(VLOOKUP(B196, 'HMMT 2 Real'!$A$2:C$198,2, 0), 0)</f>
        <v>0</v>
      </c>
    </row>
    <row r="197">
      <c r="A197" s="65">
        <f t="shared" si="1"/>
        <v>196</v>
      </c>
      <c r="B197" s="7" t="s">
        <v>229</v>
      </c>
      <c r="C197" s="53">
        <f t="shared" si="5"/>
        <v>0</v>
      </c>
      <c r="D197" s="53">
        <f t="shared" si="3"/>
        <v>0</v>
      </c>
      <c r="E197" s="57">
        <f>IFERROR(VLOOKUP(B197, Proof!A$2:$B$199,2, 0), 0)</f>
        <v>0</v>
      </c>
      <c r="F197" s="58">
        <f>IFERROR(VLOOKUP(B197, 'HMMTPUMaC Algebra'!A$2:$B$500,2, 0), 0)</f>
        <v>0</v>
      </c>
      <c r="G197" s="53">
        <f>IFERROR(VLOOKUP(B197, 'HMMTPUMaC Combo'!A$2:$B$500,2, 0), 0)</f>
        <v>0</v>
      </c>
      <c r="H197" s="66">
        <f>IFERROR(VLOOKUP(B197, 'HMMTPUMaC Algebra'!A$2:$B$198,2, 0), 0)</f>
        <v>0</v>
      </c>
      <c r="I197" s="53">
        <f>IFERROR(VLOOKUP(B197, 'HMMTPUMaC NT'!A$2:$B$500,2, 0), 0)</f>
        <v>0</v>
      </c>
      <c r="J197" s="53">
        <f>IFERROR(VLOOKUP(B197, 'HMMT 1 Real'!$A$2:B$198,2, 0), 0)</f>
        <v>0</v>
      </c>
      <c r="K197" s="66">
        <f>IFERROR(VLOOKUP(B197, 'HMMT 2 Real'!$A$2:C$198,2, 0), 0)</f>
        <v>0</v>
      </c>
    </row>
    <row r="198">
      <c r="A198" s="65">
        <f t="shared" si="1"/>
        <v>197</v>
      </c>
      <c r="B198" s="7" t="s">
        <v>480</v>
      </c>
      <c r="C198" s="53">
        <f t="shared" si="5"/>
        <v>0</v>
      </c>
      <c r="D198" s="53">
        <f t="shared" si="3"/>
        <v>0</v>
      </c>
      <c r="E198" s="57">
        <f>IFERROR(VLOOKUP(B198, Proof!A$2:$B$199,2, 0), 0)</f>
        <v>0</v>
      </c>
      <c r="F198" s="58">
        <f>IFERROR(VLOOKUP(B198, 'HMMTPUMaC Algebra'!A$2:$B$500,2, 0), 0)</f>
        <v>0</v>
      </c>
      <c r="G198" s="53">
        <f>IFERROR(VLOOKUP(B198, 'HMMTPUMaC Combo'!A$2:$B$500,2, 0), 0)</f>
        <v>0</v>
      </c>
      <c r="H198" s="66">
        <f>IFERROR(VLOOKUP(B198, 'HMMTPUMaC Algebra'!A$2:$B$198,2, 0), 0)</f>
        <v>0</v>
      </c>
      <c r="I198" s="53">
        <f>IFERROR(VLOOKUP(B198, 'HMMTPUMaC NT'!A$2:$B$500,2, 0), 0)</f>
        <v>0</v>
      </c>
      <c r="J198" s="53">
        <f>IFERROR(VLOOKUP(B198, 'HMMT 1 Real'!$A$2:B$198,2, 0), 0)</f>
        <v>0</v>
      </c>
      <c r="K198" s="66">
        <f>IFERROR(VLOOKUP(B198, 'HMMT 2 Real'!$A$2:C$198,2, 0), 0)</f>
        <v>0</v>
      </c>
    </row>
    <row r="199">
      <c r="A199" s="65">
        <f t="shared" si="1"/>
        <v>198</v>
      </c>
      <c r="B199" s="7" t="s">
        <v>455</v>
      </c>
      <c r="C199" s="53">
        <f t="shared" si="5"/>
        <v>0</v>
      </c>
      <c r="D199" s="53">
        <f t="shared" si="3"/>
        <v>0</v>
      </c>
      <c r="E199" s="57">
        <f>IFERROR(VLOOKUP(B199, Proof!A$2:$B$199,2, 0), 0)</f>
        <v>0</v>
      </c>
      <c r="F199" s="58">
        <f>IFERROR(VLOOKUP(B199, 'HMMTPUMaC Algebra'!A$2:$B$500,2, 0), 0)</f>
        <v>0</v>
      </c>
      <c r="G199" s="53">
        <f>IFERROR(VLOOKUP(B199, 'HMMTPUMaC Combo'!A$2:$B$500,2, 0), 0)</f>
        <v>0</v>
      </c>
      <c r="H199" s="66">
        <f>IFERROR(VLOOKUP(B199, 'HMMTPUMaC Algebra'!A$2:$B$198,2, 0), 0)</f>
        <v>0</v>
      </c>
      <c r="I199" s="53">
        <f>IFERROR(VLOOKUP(B199, 'HMMTPUMaC NT'!A$2:$B$500,2, 0), 0)</f>
        <v>0</v>
      </c>
      <c r="J199" s="53">
        <f>IFERROR(VLOOKUP(B199, 'HMMT 1 Real'!$A$2:B$198,2, 0), 0)</f>
        <v>0</v>
      </c>
      <c r="K199" s="66">
        <f>IFERROR(VLOOKUP(B199, 'HMMT 2 Real'!$A$2:C$198,2, 0), 0)</f>
        <v>0</v>
      </c>
    </row>
    <row r="200">
      <c r="A200" s="65">
        <f t="shared" si="1"/>
        <v>199</v>
      </c>
      <c r="B200" s="7" t="s">
        <v>183</v>
      </c>
      <c r="C200" s="53">
        <f t="shared" si="5"/>
        <v>0</v>
      </c>
      <c r="D200" s="53">
        <f t="shared" si="3"/>
        <v>0</v>
      </c>
      <c r="E200" s="57">
        <f>IFERROR(VLOOKUP(B200, Proof!A$2:$B$199,2, 0), 0)</f>
        <v>0</v>
      </c>
      <c r="F200" s="58">
        <f>IFERROR(VLOOKUP(B200, 'HMMTPUMaC Algebra'!A$2:$B$500,2, 0), 0)</f>
        <v>0</v>
      </c>
      <c r="G200" s="53">
        <f>IFERROR(VLOOKUP(B200, 'HMMTPUMaC Combo'!A$2:$B$500,2, 0), 0)</f>
        <v>0</v>
      </c>
      <c r="H200" s="66">
        <f>IFERROR(VLOOKUP(B200, 'HMMTPUMaC Algebra'!A$2:$B$198,2, 0), 0)</f>
        <v>0</v>
      </c>
      <c r="I200" s="53">
        <f>IFERROR(VLOOKUP(B200, 'HMMTPUMaC NT'!A$2:$B$500,2, 0), 0)</f>
        <v>0</v>
      </c>
      <c r="J200" s="53">
        <f>IFERROR(VLOOKUP(B200, 'HMMT 1 Real'!$A$2:B$198,2, 0), 0)</f>
        <v>0</v>
      </c>
      <c r="K200" s="66">
        <f>IFERROR(VLOOKUP(B200, 'HMMT 2 Real'!$A$2:C$198,2, 0), 0)</f>
        <v>0</v>
      </c>
    </row>
    <row r="201">
      <c r="A201" s="65">
        <f t="shared" si="1"/>
        <v>200</v>
      </c>
      <c r="B201" s="7" t="s">
        <v>102</v>
      </c>
      <c r="C201" s="53">
        <f t="shared" si="5"/>
        <v>0</v>
      </c>
      <c r="D201" s="53">
        <f t="shared" si="3"/>
        <v>0</v>
      </c>
      <c r="E201" s="57">
        <f>IFERROR(VLOOKUP(B201, Proof!A$2:$B$199,2, 0), 0)</f>
        <v>0</v>
      </c>
      <c r="F201" s="58">
        <f>IFERROR(VLOOKUP(B201, 'HMMTPUMaC Algebra'!A$2:$B$500,2, 0), 0)</f>
        <v>0</v>
      </c>
      <c r="G201" s="53">
        <f>IFERROR(VLOOKUP(B201, 'HMMTPUMaC Combo'!A$2:$B$500,2, 0), 0)</f>
        <v>0</v>
      </c>
      <c r="H201" s="66">
        <f>IFERROR(VLOOKUP(B201, 'HMMTPUMaC Algebra'!A$2:$B$198,2, 0), 0)</f>
        <v>0</v>
      </c>
      <c r="I201" s="53">
        <f>IFERROR(VLOOKUP(B201, 'HMMTPUMaC NT'!A$2:$B$500,2, 0), 0)</f>
        <v>0</v>
      </c>
      <c r="J201" s="53">
        <f>IFERROR(VLOOKUP(B201, 'HMMT 1 Real'!$A$2:B$198,2, 0), 0)</f>
        <v>0</v>
      </c>
      <c r="K201" s="66">
        <f>IFERROR(VLOOKUP(B201, 'HMMT 2 Real'!$A$2:C$198,2, 0), 0)</f>
        <v>0</v>
      </c>
    </row>
    <row r="202">
      <c r="A202" s="65">
        <f t="shared" si="1"/>
        <v>201</v>
      </c>
      <c r="B202" s="7" t="s">
        <v>125</v>
      </c>
      <c r="C202" s="53">
        <f t="shared" si="5"/>
        <v>0</v>
      </c>
      <c r="D202" s="53">
        <f t="shared" si="3"/>
        <v>0</v>
      </c>
      <c r="E202" s="57">
        <f>IFERROR(VLOOKUP(B202, Proof!A$2:$B$199,2, 0), 0)</f>
        <v>0</v>
      </c>
      <c r="F202" s="58">
        <f>IFERROR(VLOOKUP(B202, 'HMMTPUMaC Algebra'!A$2:$B$500,2, 0), 0)</f>
        <v>0</v>
      </c>
      <c r="G202" s="53">
        <f>IFERROR(VLOOKUP(B202, 'HMMTPUMaC Combo'!A$2:$B$500,2, 0), 0)</f>
        <v>0</v>
      </c>
      <c r="H202" s="66">
        <f>IFERROR(VLOOKUP(B202, 'HMMTPUMaC Algebra'!A$2:$B$198,2, 0), 0)</f>
        <v>0</v>
      </c>
      <c r="I202" s="53">
        <f>IFERROR(VLOOKUP(B202, 'HMMTPUMaC NT'!A$2:$B$500,2, 0), 0)</f>
        <v>0</v>
      </c>
      <c r="J202" s="53">
        <f>IFERROR(VLOOKUP(B202, 'HMMT 1 Real'!$A$2:B$198,2, 0), 0)</f>
        <v>0</v>
      </c>
      <c r="K202" s="66">
        <f>IFERROR(VLOOKUP(B202, 'HMMT 2 Real'!$A$2:C$198,2, 0), 0)</f>
        <v>0</v>
      </c>
    </row>
    <row r="203">
      <c r="A203" s="65">
        <f t="shared" si="1"/>
        <v>202</v>
      </c>
      <c r="B203" s="7" t="s">
        <v>121</v>
      </c>
      <c r="C203" s="53">
        <f t="shared" si="5"/>
        <v>0</v>
      </c>
      <c r="D203" s="53">
        <f t="shared" si="3"/>
        <v>0</v>
      </c>
      <c r="E203" s="57">
        <f>IFERROR(VLOOKUP(B203, Proof!A$2:$B$199,2, 0), 0)</f>
        <v>0</v>
      </c>
      <c r="F203" s="58">
        <f>IFERROR(VLOOKUP(B203, 'HMMTPUMaC Algebra'!A$2:$B$500,2, 0), 0)</f>
        <v>0</v>
      </c>
      <c r="G203" s="53">
        <f>IFERROR(VLOOKUP(B203, 'HMMTPUMaC Combo'!A$2:$B$500,2, 0), 0)</f>
        <v>0</v>
      </c>
      <c r="H203" s="66">
        <f>IFERROR(VLOOKUP(B203, 'HMMTPUMaC Algebra'!A$2:$B$198,2, 0), 0)</f>
        <v>0</v>
      </c>
      <c r="I203" s="53">
        <f>IFERROR(VLOOKUP(B203, 'HMMTPUMaC NT'!A$2:$B$500,2, 0), 0)</f>
        <v>0</v>
      </c>
      <c r="J203" s="53">
        <f>IFERROR(VLOOKUP(B203, 'HMMT 1 Real'!$A$2:B$198,2, 0), 0)</f>
        <v>0</v>
      </c>
      <c r="K203" s="66">
        <f>IFERROR(VLOOKUP(B203, 'HMMT 2 Real'!$A$2:C$198,2, 0), 0)</f>
        <v>0</v>
      </c>
    </row>
    <row r="204">
      <c r="A204" s="65">
        <f t="shared" si="1"/>
        <v>203</v>
      </c>
      <c r="B204" s="7" t="s">
        <v>220</v>
      </c>
      <c r="C204" s="53">
        <f t="shared" si="5"/>
        <v>0</v>
      </c>
      <c r="D204" s="53">
        <f t="shared" si="3"/>
        <v>0</v>
      </c>
      <c r="E204" s="57">
        <f>IFERROR(VLOOKUP(B204, Proof!A$2:$B$199,2, 0), 0)</f>
        <v>0</v>
      </c>
      <c r="F204" s="58">
        <f>IFERROR(VLOOKUP(B204, 'HMMTPUMaC Algebra'!A$2:$B$500,2, 0), 0)</f>
        <v>0</v>
      </c>
      <c r="G204" s="53">
        <f>IFERROR(VLOOKUP(B204, 'HMMTPUMaC Combo'!A$2:$B$500,2, 0), 0)</f>
        <v>0</v>
      </c>
      <c r="H204" s="66">
        <f>IFERROR(VLOOKUP(B204, 'HMMTPUMaC Algebra'!A$2:$B$198,2, 0), 0)</f>
        <v>0</v>
      </c>
      <c r="I204" s="53">
        <f>IFERROR(VLOOKUP(B204, 'HMMTPUMaC NT'!A$2:$B$500,2, 0), 0)</f>
        <v>0</v>
      </c>
      <c r="J204" s="53">
        <f>IFERROR(VLOOKUP(B204, 'HMMT 1 Real'!$A$2:B$198,2, 0), 0)</f>
        <v>0</v>
      </c>
      <c r="K204" s="66">
        <f>IFERROR(VLOOKUP(B204, 'HMMT 2 Real'!$A$2:C$198,2, 0), 0)</f>
        <v>0</v>
      </c>
    </row>
    <row r="205">
      <c r="A205" s="65">
        <f t="shared" si="1"/>
        <v>204</v>
      </c>
      <c r="B205" s="7" t="s">
        <v>481</v>
      </c>
      <c r="C205" s="53">
        <f t="shared" ref="C205:C462" si="6">0.55/3*LARGE(F205:I205, 1)+0.55/3*LARGE(F205:I205, 2)+0.55/3*LARGE(F205:I205, 3)+0.1*E205+0.175*J205+0.175*K205</f>
        <v>0</v>
      </c>
      <c r="D205" s="53">
        <f t="shared" si="3"/>
        <v>0</v>
      </c>
      <c r="E205" s="57">
        <f>IFERROR(VLOOKUP(B205, Proof!A$2:$B$199,2, 0), 0)</f>
        <v>0</v>
      </c>
      <c r="F205" s="58">
        <f>IFERROR(VLOOKUP(B205, 'HMMTPUMaC Algebra'!A$2:$B$500,2, 0), 0)</f>
        <v>0</v>
      </c>
      <c r="G205" s="53">
        <f>IFERROR(VLOOKUP(B205, 'HMMTPUMaC Combo'!A$2:$B$500,2, 0), 0)</f>
        <v>0</v>
      </c>
      <c r="H205" s="66">
        <f>IFERROR(VLOOKUP(B205, 'HMMTPUMaC Algebra'!A$2:$B$198,2, 0), 0)</f>
        <v>0</v>
      </c>
      <c r="I205" s="53">
        <f>IFERROR(VLOOKUP(B205, 'HMMTPUMaC NT'!A$2:$B$500,2, 0), 0)</f>
        <v>0</v>
      </c>
      <c r="J205" s="53">
        <f>IFERROR(VLOOKUP(B205, 'HMMT 1 Real'!$A$2:B$198,2, 0), 0)</f>
        <v>0</v>
      </c>
      <c r="K205" s="66">
        <f>IFERROR(VLOOKUP(B205, 'HMMT 2 Real'!$A$2:C$198,2, 0), 0)</f>
        <v>0</v>
      </c>
    </row>
    <row r="206">
      <c r="A206" s="65">
        <f t="shared" si="1"/>
        <v>205</v>
      </c>
      <c r="B206" s="7" t="s">
        <v>445</v>
      </c>
      <c r="C206" s="53">
        <f t="shared" si="6"/>
        <v>0</v>
      </c>
      <c r="D206" s="53">
        <f t="shared" si="3"/>
        <v>0</v>
      </c>
      <c r="E206" s="57">
        <f>IFERROR(VLOOKUP(B206, Proof!A$2:$B$199,2, 0), 0)</f>
        <v>0</v>
      </c>
      <c r="F206" s="58">
        <f>IFERROR(VLOOKUP(B206, 'HMMTPUMaC Algebra'!A$2:$B$500,2, 0), 0)</f>
        <v>0</v>
      </c>
      <c r="G206" s="53">
        <f>IFERROR(VLOOKUP(B206, 'HMMTPUMaC Combo'!A$2:$B$500,2, 0), 0)</f>
        <v>0</v>
      </c>
      <c r="H206" s="66">
        <f>IFERROR(VLOOKUP(B206, 'HMMTPUMaC Algebra'!A$2:$B$198,2, 0), 0)</f>
        <v>0</v>
      </c>
      <c r="I206" s="53">
        <f>IFERROR(VLOOKUP(B206, 'HMMTPUMaC NT'!A$2:$B$500,2, 0), 0)</f>
        <v>0</v>
      </c>
      <c r="J206" s="53">
        <f>IFERROR(VLOOKUP(B206, 'HMMT 1 Real'!$A$2:B$198,2, 0), 0)</f>
        <v>0</v>
      </c>
      <c r="K206" s="66">
        <f>IFERROR(VLOOKUP(B206, 'HMMT 2 Real'!$A$2:C$198,2, 0), 0)</f>
        <v>0</v>
      </c>
    </row>
    <row r="207">
      <c r="A207" s="65">
        <f t="shared" si="1"/>
        <v>206</v>
      </c>
      <c r="B207" s="7" t="s">
        <v>231</v>
      </c>
      <c r="C207" s="53">
        <f t="shared" si="6"/>
        <v>0</v>
      </c>
      <c r="D207" s="53">
        <f t="shared" si="3"/>
        <v>0</v>
      </c>
      <c r="E207" s="57">
        <f>IFERROR(VLOOKUP(B207, Proof!A$2:$B$199,2, 0), 0)</f>
        <v>0</v>
      </c>
      <c r="F207" s="58">
        <f>IFERROR(VLOOKUP(B207, 'HMMTPUMaC Algebra'!A$2:$B$500,2, 0), 0)</f>
        <v>0</v>
      </c>
      <c r="G207" s="53">
        <f>IFERROR(VLOOKUP(B207, 'HMMTPUMaC Combo'!A$2:$B$500,2, 0), 0)</f>
        <v>0</v>
      </c>
      <c r="H207" s="66">
        <f>IFERROR(VLOOKUP(B207, 'HMMTPUMaC Algebra'!A$2:$B$198,2, 0), 0)</f>
        <v>0</v>
      </c>
      <c r="I207" s="53">
        <f>IFERROR(VLOOKUP(B207, 'HMMTPUMaC NT'!A$2:$B$500,2, 0), 0)</f>
        <v>0</v>
      </c>
      <c r="J207" s="53">
        <f>IFERROR(VLOOKUP(B207, 'HMMT 1 Real'!$A$2:B$198,2, 0), 0)</f>
        <v>0</v>
      </c>
      <c r="K207" s="66">
        <f>IFERROR(VLOOKUP(B207, 'HMMT 2 Real'!$A$2:C$198,2, 0), 0)</f>
        <v>0</v>
      </c>
    </row>
    <row r="208">
      <c r="A208" s="65">
        <f t="shared" si="1"/>
        <v>207</v>
      </c>
      <c r="B208" s="7" t="s">
        <v>495</v>
      </c>
      <c r="C208" s="53">
        <f t="shared" si="6"/>
        <v>0</v>
      </c>
      <c r="D208" s="53">
        <f t="shared" si="3"/>
        <v>0</v>
      </c>
      <c r="E208" s="57">
        <f>IFERROR(VLOOKUP(B208, Proof!A$2:$B$199,2, 0), 0)</f>
        <v>0</v>
      </c>
      <c r="F208" s="58">
        <f>IFERROR(VLOOKUP(B208, 'HMMTPUMaC Algebra'!A$2:$B$500,2, 0), 0)</f>
        <v>0</v>
      </c>
      <c r="G208" s="53">
        <f>IFERROR(VLOOKUP(B208, 'HMMTPUMaC Combo'!A$2:$B$500,2, 0), 0)</f>
        <v>0</v>
      </c>
      <c r="H208" s="66">
        <f>IFERROR(VLOOKUP(B208, 'HMMTPUMaC Algebra'!A$2:$B$198,2, 0), 0)</f>
        <v>0</v>
      </c>
      <c r="I208" s="53">
        <f>IFERROR(VLOOKUP(B208, 'HMMTPUMaC NT'!A$2:$B$500,2, 0), 0)</f>
        <v>0</v>
      </c>
      <c r="J208" s="53">
        <f>IFERROR(VLOOKUP(B208, 'HMMT 1 Real'!$A$2:B$198,2, 0), 0)</f>
        <v>0</v>
      </c>
      <c r="K208" s="66">
        <f>IFERROR(VLOOKUP(B208, 'HMMT 2 Real'!$A$2:C$198,2, 0), 0)</f>
        <v>0</v>
      </c>
    </row>
    <row r="209">
      <c r="A209" s="65">
        <f t="shared" si="1"/>
        <v>208</v>
      </c>
      <c r="B209" s="7" t="s">
        <v>128</v>
      </c>
      <c r="C209" s="53">
        <f t="shared" si="6"/>
        <v>0</v>
      </c>
      <c r="D209" s="53">
        <f t="shared" si="3"/>
        <v>0</v>
      </c>
      <c r="E209" s="57">
        <f>IFERROR(VLOOKUP(B209, Proof!A$2:$B$199,2, 0), 0)</f>
        <v>0</v>
      </c>
      <c r="F209" s="58">
        <f>IFERROR(VLOOKUP(B209, 'HMMTPUMaC Algebra'!A$2:$B$500,2, 0), 0)</f>
        <v>0</v>
      </c>
      <c r="G209" s="53">
        <f>IFERROR(VLOOKUP(B209, 'HMMTPUMaC Combo'!A$2:$B$500,2, 0), 0)</f>
        <v>0</v>
      </c>
      <c r="H209" s="66">
        <f>IFERROR(VLOOKUP(B209, 'HMMTPUMaC Algebra'!A$2:$B$198,2, 0), 0)</f>
        <v>0</v>
      </c>
      <c r="I209" s="53">
        <f>IFERROR(VLOOKUP(B209, 'HMMTPUMaC NT'!A$2:$B$500,2, 0), 0)</f>
        <v>0</v>
      </c>
      <c r="J209" s="53">
        <f>IFERROR(VLOOKUP(B209, 'HMMT 1 Real'!$A$2:B$198,2, 0), 0)</f>
        <v>0</v>
      </c>
      <c r="K209" s="66">
        <f>IFERROR(VLOOKUP(B209, 'HMMT 2 Real'!$A$2:C$198,2, 0), 0)</f>
        <v>0</v>
      </c>
    </row>
    <row r="210">
      <c r="A210" s="65">
        <f t="shared" si="1"/>
        <v>209</v>
      </c>
      <c r="B210" s="7" t="s">
        <v>120</v>
      </c>
      <c r="C210" s="53">
        <f t="shared" si="6"/>
        <v>0</v>
      </c>
      <c r="D210" s="53">
        <f t="shared" si="3"/>
        <v>0</v>
      </c>
      <c r="E210" s="57">
        <f>IFERROR(VLOOKUP(B210, Proof!A$2:$B$199,2, 0), 0)</f>
        <v>0</v>
      </c>
      <c r="F210" s="58">
        <f>IFERROR(VLOOKUP(B210, 'HMMTPUMaC Algebra'!A$2:$B$500,2, 0), 0)</f>
        <v>0</v>
      </c>
      <c r="G210" s="53">
        <f>IFERROR(VLOOKUP(B210, 'HMMTPUMaC Combo'!A$2:$B$500,2, 0), 0)</f>
        <v>0</v>
      </c>
      <c r="H210" s="66">
        <f>IFERROR(VLOOKUP(B210, 'HMMTPUMaC Algebra'!A$2:$B$198,2, 0), 0)</f>
        <v>0</v>
      </c>
      <c r="I210" s="53">
        <f>IFERROR(VLOOKUP(B210, 'HMMTPUMaC NT'!A$2:$B$500,2, 0), 0)</f>
        <v>0</v>
      </c>
      <c r="J210" s="53">
        <f>IFERROR(VLOOKUP(B210, 'HMMT 1 Real'!$A$2:B$198,2, 0), 0)</f>
        <v>0</v>
      </c>
      <c r="K210" s="66">
        <f>IFERROR(VLOOKUP(B210, 'HMMT 2 Real'!$A$2:C$198,2, 0), 0)</f>
        <v>0</v>
      </c>
    </row>
    <row r="211">
      <c r="A211" s="65">
        <f t="shared" si="1"/>
        <v>210</v>
      </c>
      <c r="B211" s="7" t="s">
        <v>255</v>
      </c>
      <c r="C211" s="53">
        <f t="shared" si="6"/>
        <v>0</v>
      </c>
      <c r="D211" s="53">
        <f t="shared" si="3"/>
        <v>0</v>
      </c>
      <c r="E211" s="57">
        <f>IFERROR(VLOOKUP(B211, Proof!A$2:$B$199,2, 0), 0)</f>
        <v>0</v>
      </c>
      <c r="F211" s="58">
        <f>IFERROR(VLOOKUP(B211, 'HMMTPUMaC Algebra'!A$2:$B$500,2, 0), 0)</f>
        <v>0</v>
      </c>
      <c r="G211" s="53">
        <f>IFERROR(VLOOKUP(B211, 'HMMTPUMaC Combo'!A$2:$B$500,2, 0), 0)</f>
        <v>0</v>
      </c>
      <c r="H211" s="66">
        <f>IFERROR(VLOOKUP(B211, 'HMMTPUMaC Algebra'!A$2:$B$198,2, 0), 0)</f>
        <v>0</v>
      </c>
      <c r="I211" s="53">
        <f>IFERROR(VLOOKUP(B211, 'HMMTPUMaC NT'!A$2:$B$500,2, 0), 0)</f>
        <v>0</v>
      </c>
      <c r="J211" s="53">
        <f>IFERROR(VLOOKUP(B211, 'HMMT 1 Real'!$A$2:B$198,2, 0), 0)</f>
        <v>0</v>
      </c>
      <c r="K211" s="66">
        <f>IFERROR(VLOOKUP(B211, 'HMMT 2 Real'!$A$2:C$198,2, 0), 0)</f>
        <v>0</v>
      </c>
    </row>
    <row r="212">
      <c r="A212" s="65">
        <f t="shared" si="1"/>
        <v>211</v>
      </c>
      <c r="B212" s="7" t="s">
        <v>256</v>
      </c>
      <c r="C212" s="53">
        <f t="shared" si="6"/>
        <v>0</v>
      </c>
      <c r="D212" s="53">
        <f t="shared" si="3"/>
        <v>0</v>
      </c>
      <c r="E212" s="57">
        <f>IFERROR(VLOOKUP(B212, Proof!A$2:$B$199,2, 0), 0)</f>
        <v>0</v>
      </c>
      <c r="F212" s="58">
        <f>IFERROR(VLOOKUP(B212, 'HMMTPUMaC Algebra'!A$2:$B$500,2, 0), 0)</f>
        <v>0</v>
      </c>
      <c r="G212" s="53">
        <f>IFERROR(VLOOKUP(B212, 'HMMTPUMaC Combo'!A$2:$B$500,2, 0), 0)</f>
        <v>0</v>
      </c>
      <c r="H212" s="66">
        <f>IFERROR(VLOOKUP(B212, 'HMMTPUMaC Algebra'!A$2:$B$198,2, 0), 0)</f>
        <v>0</v>
      </c>
      <c r="I212" s="53">
        <f>IFERROR(VLOOKUP(B212, 'HMMTPUMaC NT'!A$2:$B$500,2, 0), 0)</f>
        <v>0</v>
      </c>
      <c r="J212" s="53">
        <f>IFERROR(VLOOKUP(B212, 'HMMT 1 Real'!$A$2:B$198,2, 0), 0)</f>
        <v>0</v>
      </c>
      <c r="K212" s="66">
        <f>IFERROR(VLOOKUP(B212, 'HMMT 2 Real'!$A$2:C$198,2, 0), 0)</f>
        <v>0</v>
      </c>
    </row>
    <row r="213">
      <c r="A213" s="65">
        <f t="shared" si="1"/>
        <v>212</v>
      </c>
      <c r="B213" s="7" t="s">
        <v>191</v>
      </c>
      <c r="C213" s="53">
        <f t="shared" si="6"/>
        <v>0</v>
      </c>
      <c r="D213" s="53">
        <f t="shared" si="3"/>
        <v>0</v>
      </c>
      <c r="E213" s="57">
        <f>IFERROR(VLOOKUP(B213, Proof!A$2:$B$199,2, 0), 0)</f>
        <v>0</v>
      </c>
      <c r="F213" s="58">
        <f>IFERROR(VLOOKUP(B213, 'HMMTPUMaC Algebra'!A$2:$B$500,2, 0), 0)</f>
        <v>0</v>
      </c>
      <c r="G213" s="53">
        <f>IFERROR(VLOOKUP(B213, 'HMMTPUMaC Combo'!A$2:$B$500,2, 0), 0)</f>
        <v>0</v>
      </c>
      <c r="H213" s="66">
        <f>IFERROR(VLOOKUP(B213, 'HMMTPUMaC Algebra'!A$2:$B$198,2, 0), 0)</f>
        <v>0</v>
      </c>
      <c r="I213" s="53">
        <f>IFERROR(VLOOKUP(B213, 'HMMTPUMaC NT'!A$2:$B$500,2, 0), 0)</f>
        <v>0</v>
      </c>
      <c r="J213" s="53">
        <f>IFERROR(VLOOKUP(B213, 'HMMT 1 Real'!$A$2:B$198,2, 0), 0)</f>
        <v>0</v>
      </c>
      <c r="K213" s="66">
        <f>IFERROR(VLOOKUP(B213, 'HMMT 2 Real'!$A$2:C$198,2, 0), 0)</f>
        <v>0</v>
      </c>
    </row>
    <row r="214">
      <c r="A214" s="65">
        <f t="shared" si="1"/>
        <v>213</v>
      </c>
      <c r="B214" s="7" t="s">
        <v>486</v>
      </c>
      <c r="C214" s="53">
        <f t="shared" si="6"/>
        <v>0</v>
      </c>
      <c r="D214" s="53">
        <f t="shared" si="3"/>
        <v>0</v>
      </c>
      <c r="E214" s="57">
        <f>IFERROR(VLOOKUP(B214, Proof!A$2:$B$199,2, 0), 0)</f>
        <v>0</v>
      </c>
      <c r="F214" s="58">
        <f>IFERROR(VLOOKUP(B214, 'HMMTPUMaC Algebra'!A$2:$B$500,2, 0), 0)</f>
        <v>0</v>
      </c>
      <c r="G214" s="53">
        <f>IFERROR(VLOOKUP(B214, 'HMMTPUMaC Combo'!A$2:$B$500,2, 0), 0)</f>
        <v>0</v>
      </c>
      <c r="H214" s="66">
        <f>IFERROR(VLOOKUP(B214, 'HMMTPUMaC Algebra'!A$2:$B$198,2, 0), 0)</f>
        <v>0</v>
      </c>
      <c r="I214" s="53">
        <f>IFERROR(VLOOKUP(B214, 'HMMTPUMaC NT'!A$2:$B$500,2, 0), 0)</f>
        <v>0</v>
      </c>
      <c r="J214" s="53">
        <f>IFERROR(VLOOKUP(B214, 'HMMT 1 Real'!$A$2:B$198,2, 0), 0)</f>
        <v>0</v>
      </c>
      <c r="K214" s="66">
        <f>IFERROR(VLOOKUP(B214, 'HMMT 2 Real'!$A$2:C$198,2, 0), 0)</f>
        <v>0</v>
      </c>
    </row>
    <row r="215">
      <c r="A215" s="65">
        <f t="shared" si="1"/>
        <v>214</v>
      </c>
      <c r="B215" s="7" t="s">
        <v>462</v>
      </c>
      <c r="C215" s="53">
        <f t="shared" si="6"/>
        <v>0</v>
      </c>
      <c r="D215" s="53">
        <f t="shared" si="3"/>
        <v>0</v>
      </c>
      <c r="E215" s="57">
        <f>IFERROR(VLOOKUP(B215, Proof!A$2:$B$199,2, 0), 0)</f>
        <v>0</v>
      </c>
      <c r="F215" s="58">
        <f>IFERROR(VLOOKUP(B215, 'HMMTPUMaC Algebra'!A$2:$B$500,2, 0), 0)</f>
        <v>0</v>
      </c>
      <c r="G215" s="53">
        <f>IFERROR(VLOOKUP(B215, 'HMMTPUMaC Combo'!A$2:$B$500,2, 0), 0)</f>
        <v>0</v>
      </c>
      <c r="H215" s="66">
        <f>IFERROR(VLOOKUP(B215, 'HMMTPUMaC Algebra'!A$2:$B$198,2, 0), 0)</f>
        <v>0</v>
      </c>
      <c r="I215" s="53">
        <f>IFERROR(VLOOKUP(B215, 'HMMTPUMaC NT'!A$2:$B$500,2, 0), 0)</f>
        <v>0</v>
      </c>
      <c r="J215" s="53">
        <f>IFERROR(VLOOKUP(B215, 'HMMT 1 Real'!$A$2:B$198,2, 0), 0)</f>
        <v>0</v>
      </c>
      <c r="K215" s="66">
        <f>IFERROR(VLOOKUP(B215, 'HMMT 2 Real'!$A$2:C$198,2, 0), 0)</f>
        <v>0</v>
      </c>
    </row>
    <row r="216">
      <c r="A216" s="65">
        <f t="shared" si="1"/>
        <v>215</v>
      </c>
      <c r="B216" s="7" t="s">
        <v>161</v>
      </c>
      <c r="C216" s="53">
        <f t="shared" si="6"/>
        <v>0</v>
      </c>
      <c r="D216" s="53">
        <f t="shared" si="3"/>
        <v>0</v>
      </c>
      <c r="E216" s="57">
        <f>IFERROR(VLOOKUP(B216, Proof!A$2:$B$199,2, 0), 0)</f>
        <v>0</v>
      </c>
      <c r="F216" s="58">
        <f>IFERROR(VLOOKUP(B216, 'HMMTPUMaC Algebra'!A$2:$B$500,2, 0), 0)</f>
        <v>0</v>
      </c>
      <c r="G216" s="53">
        <f>IFERROR(VLOOKUP(B216, 'HMMTPUMaC Combo'!A$2:$B$500,2, 0), 0)</f>
        <v>0</v>
      </c>
      <c r="H216" s="66">
        <f>IFERROR(VLOOKUP(B216, 'HMMTPUMaC Algebra'!A$2:$B$198,2, 0), 0)</f>
        <v>0</v>
      </c>
      <c r="I216" s="53">
        <f>IFERROR(VLOOKUP(B216, 'HMMTPUMaC NT'!A$2:$B$500,2, 0), 0)</f>
        <v>0</v>
      </c>
      <c r="J216" s="53">
        <f>IFERROR(VLOOKUP(B216, 'HMMT 1 Real'!$A$2:B$198,2, 0), 0)</f>
        <v>0</v>
      </c>
      <c r="K216" s="66">
        <f>IFERROR(VLOOKUP(B216, 'HMMT 2 Real'!$A$2:C$198,2, 0), 0)</f>
        <v>0</v>
      </c>
    </row>
    <row r="217">
      <c r="A217" s="65">
        <f t="shared" si="1"/>
        <v>216</v>
      </c>
      <c r="B217" s="7" t="s">
        <v>123</v>
      </c>
      <c r="C217" s="53">
        <f t="shared" si="6"/>
        <v>0</v>
      </c>
      <c r="D217" s="53">
        <f t="shared" si="3"/>
        <v>0</v>
      </c>
      <c r="E217" s="57">
        <f>IFERROR(VLOOKUP(B217, Proof!A$2:$B$199,2, 0), 0)</f>
        <v>0</v>
      </c>
      <c r="F217" s="58">
        <f>IFERROR(VLOOKUP(B217, 'HMMTPUMaC Algebra'!A$2:$B$500,2, 0), 0)</f>
        <v>0</v>
      </c>
      <c r="G217" s="53">
        <f>IFERROR(VLOOKUP(B217, 'HMMTPUMaC Combo'!A$2:$B$500,2, 0), 0)</f>
        <v>0</v>
      </c>
      <c r="H217" s="66">
        <f>IFERROR(VLOOKUP(B217, 'HMMTPUMaC Algebra'!A$2:$B$198,2, 0), 0)</f>
        <v>0</v>
      </c>
      <c r="I217" s="53">
        <f>IFERROR(VLOOKUP(B217, 'HMMTPUMaC NT'!A$2:$B$500,2, 0), 0)</f>
        <v>0</v>
      </c>
      <c r="J217" s="53">
        <f>IFERROR(VLOOKUP(B217, 'HMMT 1 Real'!$A$2:B$198,2, 0), 0)</f>
        <v>0</v>
      </c>
      <c r="K217" s="66">
        <f>IFERROR(VLOOKUP(B217, 'HMMT 2 Real'!$A$2:C$198,2, 0), 0)</f>
        <v>0</v>
      </c>
    </row>
    <row r="218">
      <c r="A218" s="65">
        <f t="shared" si="1"/>
        <v>217</v>
      </c>
      <c r="B218" s="7" t="s">
        <v>135</v>
      </c>
      <c r="C218" s="53">
        <f t="shared" si="6"/>
        <v>0</v>
      </c>
      <c r="D218" s="53">
        <f t="shared" si="3"/>
        <v>0</v>
      </c>
      <c r="E218" s="57">
        <f>IFERROR(VLOOKUP(B218, Proof!A$2:$B$199,2, 0), 0)</f>
        <v>0</v>
      </c>
      <c r="F218" s="58">
        <f>IFERROR(VLOOKUP(B218, 'HMMTPUMaC Algebra'!A$2:$B$500,2, 0), 0)</f>
        <v>0</v>
      </c>
      <c r="G218" s="53">
        <f>IFERROR(VLOOKUP(B218, 'HMMTPUMaC Combo'!A$2:$B$500,2, 0), 0)</f>
        <v>0</v>
      </c>
      <c r="H218" s="66">
        <f>IFERROR(VLOOKUP(B218, 'HMMTPUMaC Algebra'!A$2:$B$198,2, 0), 0)</f>
        <v>0</v>
      </c>
      <c r="I218" s="53">
        <f>IFERROR(VLOOKUP(B218, 'HMMTPUMaC NT'!A$2:$B$500,2, 0), 0)</f>
        <v>0</v>
      </c>
      <c r="J218" s="53">
        <f>IFERROR(VLOOKUP(B218, 'HMMT 1 Real'!$A$2:B$198,2, 0), 0)</f>
        <v>0</v>
      </c>
      <c r="K218" s="66">
        <f>IFERROR(VLOOKUP(B218, 'HMMT 2 Real'!$A$2:C$198,2, 0), 0)</f>
        <v>0</v>
      </c>
    </row>
    <row r="219">
      <c r="A219" s="65">
        <f t="shared" si="1"/>
        <v>218</v>
      </c>
      <c r="B219" s="7" t="s">
        <v>464</v>
      </c>
      <c r="C219" s="53">
        <f t="shared" si="6"/>
        <v>0</v>
      </c>
      <c r="D219" s="53">
        <f t="shared" si="3"/>
        <v>0</v>
      </c>
      <c r="E219" s="57">
        <f>IFERROR(VLOOKUP(B219, Proof!A$2:$B$199,2, 0), 0)</f>
        <v>0</v>
      </c>
      <c r="F219" s="58">
        <f>IFERROR(VLOOKUP(B219, 'HMMTPUMaC Algebra'!A$2:$B$500,2, 0), 0)</f>
        <v>0</v>
      </c>
      <c r="G219" s="53">
        <f>IFERROR(VLOOKUP(B219, 'HMMTPUMaC Combo'!A$2:$B$500,2, 0), 0)</f>
        <v>0</v>
      </c>
      <c r="H219" s="66">
        <f>IFERROR(VLOOKUP(B219, 'HMMTPUMaC Algebra'!A$2:$B$198,2, 0), 0)</f>
        <v>0</v>
      </c>
      <c r="I219" s="53">
        <f>IFERROR(VLOOKUP(B219, 'HMMTPUMaC NT'!A$2:$B$500,2, 0), 0)</f>
        <v>0</v>
      </c>
      <c r="J219" s="53">
        <f>IFERROR(VLOOKUP(B219, 'HMMT 1 Real'!$A$2:B$198,2, 0), 0)</f>
        <v>0</v>
      </c>
      <c r="K219" s="66">
        <f>IFERROR(VLOOKUP(B219, 'HMMT 2 Real'!$A$2:C$198,2, 0), 0)</f>
        <v>0</v>
      </c>
    </row>
    <row r="220">
      <c r="A220" s="65">
        <f t="shared" si="1"/>
        <v>219</v>
      </c>
      <c r="B220" s="7" t="s">
        <v>491</v>
      </c>
      <c r="C220" s="53">
        <f t="shared" si="6"/>
        <v>0</v>
      </c>
      <c r="D220" s="53">
        <f t="shared" si="3"/>
        <v>0</v>
      </c>
      <c r="E220" s="57">
        <f>IFERROR(VLOOKUP(B220, Proof!A$2:$B$199,2, 0), 0)</f>
        <v>0</v>
      </c>
      <c r="F220" s="58">
        <f>IFERROR(VLOOKUP(B220, 'HMMTPUMaC Algebra'!A$2:$B$500,2, 0), 0)</f>
        <v>0</v>
      </c>
      <c r="G220" s="53">
        <f>IFERROR(VLOOKUP(B220, 'HMMTPUMaC Combo'!A$2:$B$500,2, 0), 0)</f>
        <v>0</v>
      </c>
      <c r="H220" s="66">
        <f>IFERROR(VLOOKUP(B220, 'HMMTPUMaC Algebra'!A$2:$B$198,2, 0), 0)</f>
        <v>0</v>
      </c>
      <c r="I220" s="53">
        <f>IFERROR(VLOOKUP(B220, 'HMMTPUMaC NT'!A$2:$B$500,2, 0), 0)</f>
        <v>0</v>
      </c>
      <c r="J220" s="53">
        <f>IFERROR(VLOOKUP(B220, 'HMMT 1 Real'!$A$2:B$198,2, 0), 0)</f>
        <v>0</v>
      </c>
      <c r="K220" s="66">
        <f>IFERROR(VLOOKUP(B220, 'HMMT 2 Real'!$A$2:C$198,2, 0), 0)</f>
        <v>0</v>
      </c>
    </row>
    <row r="221">
      <c r="A221" s="65">
        <f t="shared" si="1"/>
        <v>220</v>
      </c>
      <c r="B221" s="7" t="s">
        <v>451</v>
      </c>
      <c r="C221" s="53">
        <f t="shared" si="6"/>
        <v>0</v>
      </c>
      <c r="D221" s="53">
        <f t="shared" si="3"/>
        <v>0</v>
      </c>
      <c r="E221" s="57">
        <f>IFERROR(VLOOKUP(B221, Proof!A$2:$B$199,2, 0), 0)</f>
        <v>0</v>
      </c>
      <c r="F221" s="58">
        <f>IFERROR(VLOOKUP(B221, 'HMMTPUMaC Algebra'!A$2:$B$500,2, 0), 0)</f>
        <v>0</v>
      </c>
      <c r="G221" s="53">
        <f>IFERROR(VLOOKUP(B221, 'HMMTPUMaC Combo'!A$2:$B$500,2, 0), 0)</f>
        <v>0</v>
      </c>
      <c r="H221" s="66">
        <f>IFERROR(VLOOKUP(B221, 'HMMTPUMaC Algebra'!A$2:$B$198,2, 0), 0)</f>
        <v>0</v>
      </c>
      <c r="I221" s="53">
        <f>IFERROR(VLOOKUP(B221, 'HMMTPUMaC NT'!A$2:$B$500,2, 0), 0)</f>
        <v>0</v>
      </c>
      <c r="J221" s="53">
        <f>IFERROR(VLOOKUP(B221, 'HMMT 1 Real'!$A$2:B$198,2, 0), 0)</f>
        <v>0</v>
      </c>
      <c r="K221" s="66">
        <f>IFERROR(VLOOKUP(B221, 'HMMT 2 Real'!$A$2:C$198,2, 0), 0)</f>
        <v>0</v>
      </c>
    </row>
    <row r="222">
      <c r="A222" s="65">
        <f t="shared" si="1"/>
        <v>221</v>
      </c>
      <c r="B222" s="7" t="s">
        <v>456</v>
      </c>
      <c r="C222" s="53">
        <f t="shared" si="6"/>
        <v>0</v>
      </c>
      <c r="D222" s="53">
        <f t="shared" si="3"/>
        <v>0</v>
      </c>
      <c r="E222" s="57">
        <f>IFERROR(VLOOKUP(B222, Proof!A$2:$B$199,2, 0), 0)</f>
        <v>0</v>
      </c>
      <c r="F222" s="58">
        <f>IFERROR(VLOOKUP(B222, 'HMMTPUMaC Algebra'!A$2:$B$500,2, 0), 0)</f>
        <v>0</v>
      </c>
      <c r="G222" s="53">
        <f>IFERROR(VLOOKUP(B222, 'HMMTPUMaC Combo'!A$2:$B$500,2, 0), 0)</f>
        <v>0</v>
      </c>
      <c r="H222" s="66">
        <f>IFERROR(VLOOKUP(B222, 'HMMTPUMaC Algebra'!A$2:$B$198,2, 0), 0)</f>
        <v>0</v>
      </c>
      <c r="I222" s="53">
        <f>IFERROR(VLOOKUP(B222, 'HMMTPUMaC NT'!A$2:$B$500,2, 0), 0)</f>
        <v>0</v>
      </c>
      <c r="J222" s="53">
        <f>IFERROR(VLOOKUP(B222, 'HMMT 1 Real'!$A$2:B$198,2, 0), 0)</f>
        <v>0</v>
      </c>
      <c r="K222" s="66">
        <f>IFERROR(VLOOKUP(B222, 'HMMT 2 Real'!$A$2:C$198,2, 0), 0)</f>
        <v>0</v>
      </c>
    </row>
    <row r="223">
      <c r="A223" s="65">
        <f t="shared" si="1"/>
        <v>222</v>
      </c>
      <c r="B223" s="17" t="s">
        <v>118</v>
      </c>
      <c r="C223" s="53">
        <f t="shared" si="6"/>
        <v>0</v>
      </c>
      <c r="D223" s="53">
        <f t="shared" si="3"/>
        <v>0</v>
      </c>
      <c r="E223" s="57">
        <f>IFERROR(VLOOKUP(B223, Proof!A$2:$B$199,2, 0), 0)</f>
        <v>0</v>
      </c>
      <c r="F223" s="58">
        <f>IFERROR(VLOOKUP(B223, 'HMMTPUMaC Algebra'!A$2:$B$500,2, 0), 0)</f>
        <v>0</v>
      </c>
      <c r="G223" s="53">
        <f>IFERROR(VLOOKUP(B223, 'HMMTPUMaC Combo'!A$2:$B$500,2, 0), 0)</f>
        <v>0</v>
      </c>
      <c r="H223" s="66">
        <f>IFERROR(VLOOKUP(B223, 'HMMTPUMaC Algebra'!A$2:$B$198,2, 0), 0)</f>
        <v>0</v>
      </c>
      <c r="I223" s="53">
        <f>IFERROR(VLOOKUP(B223, 'HMMTPUMaC NT'!A$2:$B$500,2, 0), 0)</f>
        <v>0</v>
      </c>
      <c r="J223" s="53">
        <f>IFERROR(VLOOKUP(B223, 'HMMT 1 Real'!$A$2:B$198,2, 0), 0)</f>
        <v>0</v>
      </c>
      <c r="K223" s="66">
        <f>IFERROR(VLOOKUP(B223, 'HMMT 2 Real'!$A$2:C$198,2, 0), 0)</f>
        <v>0</v>
      </c>
    </row>
    <row r="224">
      <c r="A224" s="65">
        <f t="shared" si="1"/>
        <v>223</v>
      </c>
      <c r="B224" s="7" t="s">
        <v>483</v>
      </c>
      <c r="C224" s="53">
        <f t="shared" si="6"/>
        <v>0</v>
      </c>
      <c r="D224" s="53">
        <f t="shared" si="3"/>
        <v>0</v>
      </c>
      <c r="E224" s="57">
        <f>IFERROR(VLOOKUP(B224, Proof!A$2:$B$199,2, 0), 0)</f>
        <v>0</v>
      </c>
      <c r="F224" s="58">
        <f>IFERROR(VLOOKUP(B224, 'HMMTPUMaC Algebra'!A$2:$B$500,2, 0), 0)</f>
        <v>0</v>
      </c>
      <c r="G224" s="53">
        <f>IFERROR(VLOOKUP(B224, 'HMMTPUMaC Combo'!A$2:$B$500,2, 0), 0)</f>
        <v>0</v>
      </c>
      <c r="H224" s="66">
        <f>IFERROR(VLOOKUP(B224, 'HMMTPUMaC Algebra'!A$2:$B$198,2, 0), 0)</f>
        <v>0</v>
      </c>
      <c r="I224" s="53">
        <f>IFERROR(VLOOKUP(B224, 'HMMTPUMaC NT'!A$2:$B$500,2, 0), 0)</f>
        <v>0</v>
      </c>
      <c r="J224" s="53">
        <f>IFERROR(VLOOKUP(B224, 'HMMT 1 Real'!$A$2:B$198,2, 0), 0)</f>
        <v>0</v>
      </c>
      <c r="K224" s="66">
        <f>IFERROR(VLOOKUP(B224, 'HMMT 2 Real'!$A$2:C$198,2, 0), 0)</f>
        <v>0</v>
      </c>
    </row>
    <row r="225">
      <c r="A225" s="65">
        <f t="shared" si="1"/>
        <v>224</v>
      </c>
      <c r="B225" s="7" t="s">
        <v>488</v>
      </c>
      <c r="C225" s="53">
        <f t="shared" si="6"/>
        <v>0</v>
      </c>
      <c r="D225" s="53">
        <f t="shared" si="3"/>
        <v>0</v>
      </c>
      <c r="E225" s="57">
        <f>IFERROR(VLOOKUP(B225, Proof!A$2:$B$199,2, 0), 0)</f>
        <v>0</v>
      </c>
      <c r="F225" s="58">
        <f>IFERROR(VLOOKUP(B225, 'HMMTPUMaC Algebra'!A$2:$B$500,2, 0), 0)</f>
        <v>0</v>
      </c>
      <c r="G225" s="53">
        <f>IFERROR(VLOOKUP(B225, 'HMMTPUMaC Combo'!A$2:$B$500,2, 0), 0)</f>
        <v>0</v>
      </c>
      <c r="H225" s="66">
        <f>IFERROR(VLOOKUP(B225, 'HMMTPUMaC Algebra'!A$2:$B$198,2, 0), 0)</f>
        <v>0</v>
      </c>
      <c r="I225" s="53">
        <f>IFERROR(VLOOKUP(B225, 'HMMTPUMaC NT'!A$2:$B$500,2, 0), 0)</f>
        <v>0</v>
      </c>
      <c r="J225" s="53">
        <f>IFERROR(VLOOKUP(B225, 'HMMT 1 Real'!$A$2:B$198,2, 0), 0)</f>
        <v>0</v>
      </c>
      <c r="K225" s="66">
        <f>IFERROR(VLOOKUP(B225, 'HMMT 2 Real'!$A$2:C$198,2, 0), 0)</f>
        <v>0</v>
      </c>
    </row>
    <row r="226">
      <c r="A226" s="65">
        <f t="shared" si="1"/>
        <v>225</v>
      </c>
      <c r="B226" s="7" t="s">
        <v>437</v>
      </c>
      <c r="C226" s="53">
        <f t="shared" si="6"/>
        <v>0</v>
      </c>
      <c r="D226" s="53">
        <f t="shared" si="3"/>
        <v>0</v>
      </c>
      <c r="E226" s="57">
        <f>IFERROR(VLOOKUP(B226, Proof!A$2:$B$199,2, 0), 0)</f>
        <v>0</v>
      </c>
      <c r="F226" s="58">
        <f>IFERROR(VLOOKUP(B226, 'HMMTPUMaC Algebra'!A$2:$B$500,2, 0), 0)</f>
        <v>0</v>
      </c>
      <c r="G226" s="53">
        <f>IFERROR(VLOOKUP(B226, 'HMMTPUMaC Combo'!A$2:$B$500,2, 0), 0)</f>
        <v>0</v>
      </c>
      <c r="H226" s="66">
        <f>IFERROR(VLOOKUP(B226, 'HMMTPUMaC Algebra'!A$2:$B$198,2, 0), 0)</f>
        <v>0</v>
      </c>
      <c r="I226" s="53">
        <f>IFERROR(VLOOKUP(B226, 'HMMTPUMaC NT'!A$2:$B$500,2, 0), 0)</f>
        <v>0</v>
      </c>
      <c r="J226" s="53">
        <f>IFERROR(VLOOKUP(B226, 'HMMT 1 Real'!$A$2:B$198,2, 0), 0)</f>
        <v>0</v>
      </c>
      <c r="K226" s="66">
        <f>IFERROR(VLOOKUP(B226, 'HMMT 2 Real'!$A$2:C$198,2, 0), 0)</f>
        <v>0</v>
      </c>
    </row>
    <row r="227">
      <c r="A227" s="65">
        <f t="shared" si="1"/>
        <v>226</v>
      </c>
      <c r="B227" s="7" t="s">
        <v>137</v>
      </c>
      <c r="C227" s="53">
        <f t="shared" si="6"/>
        <v>0</v>
      </c>
      <c r="D227" s="53">
        <f t="shared" si="3"/>
        <v>0</v>
      </c>
      <c r="E227" s="57">
        <f>IFERROR(VLOOKUP(B227, Proof!A$2:$B$199,2, 0), 0)</f>
        <v>0</v>
      </c>
      <c r="F227" s="58">
        <f>IFERROR(VLOOKUP(B227, 'HMMTPUMaC Algebra'!A$2:$B$500,2, 0), 0)</f>
        <v>0</v>
      </c>
      <c r="G227" s="53">
        <f>IFERROR(VLOOKUP(B227, 'HMMTPUMaC Combo'!A$2:$B$500,2, 0), 0)</f>
        <v>0</v>
      </c>
      <c r="H227" s="66">
        <f>IFERROR(VLOOKUP(B227, 'HMMTPUMaC Algebra'!A$2:$B$198,2, 0), 0)</f>
        <v>0</v>
      </c>
      <c r="I227" s="53">
        <f>IFERROR(VLOOKUP(B227, 'HMMTPUMaC NT'!A$2:$B$500,2, 0), 0)</f>
        <v>0</v>
      </c>
      <c r="J227" s="53">
        <f>IFERROR(VLOOKUP(B227, 'HMMT 1 Real'!$A$2:B$198,2, 0), 0)</f>
        <v>0</v>
      </c>
      <c r="K227" s="66">
        <f>IFERROR(VLOOKUP(B227, 'HMMT 2 Real'!$A$2:C$198,2, 0), 0)</f>
        <v>0</v>
      </c>
    </row>
    <row r="228">
      <c r="A228" s="65">
        <f t="shared" si="1"/>
        <v>227</v>
      </c>
      <c r="B228" s="7" t="s">
        <v>101</v>
      </c>
      <c r="C228" s="53">
        <f t="shared" si="6"/>
        <v>0</v>
      </c>
      <c r="D228" s="53">
        <f t="shared" si="3"/>
        <v>0</v>
      </c>
      <c r="E228" s="57">
        <f>IFERROR(VLOOKUP(B228, Proof!A$2:$B$199,2, 0), 0)</f>
        <v>0</v>
      </c>
      <c r="F228" s="58">
        <f>IFERROR(VLOOKUP(B228, 'HMMTPUMaC Algebra'!A$2:$B$500,2, 0), 0)</f>
        <v>0</v>
      </c>
      <c r="G228" s="53">
        <f>IFERROR(VLOOKUP(B228, 'HMMTPUMaC Combo'!A$2:$B$500,2, 0), 0)</f>
        <v>0</v>
      </c>
      <c r="H228" s="66">
        <f>IFERROR(VLOOKUP(B228, 'HMMTPUMaC Algebra'!A$2:$B$198,2, 0), 0)</f>
        <v>0</v>
      </c>
      <c r="I228" s="53">
        <f>IFERROR(VLOOKUP(B228, 'HMMTPUMaC NT'!A$2:$B$500,2, 0), 0)</f>
        <v>0</v>
      </c>
      <c r="J228" s="53">
        <f>IFERROR(VLOOKUP(B228, 'HMMT 1 Real'!$A$2:B$198,2, 0), 0)</f>
        <v>0</v>
      </c>
      <c r="K228" s="66">
        <f>IFERROR(VLOOKUP(B228, 'HMMT 2 Real'!$A$2:C$198,2, 0), 0)</f>
        <v>0</v>
      </c>
    </row>
    <row r="229">
      <c r="A229" s="65">
        <f t="shared" si="1"/>
        <v>228</v>
      </c>
      <c r="B229" s="7" t="s">
        <v>108</v>
      </c>
      <c r="C229" s="53">
        <f t="shared" si="6"/>
        <v>0</v>
      </c>
      <c r="D229" s="53">
        <f t="shared" si="3"/>
        <v>0</v>
      </c>
      <c r="E229" s="57">
        <f>IFERROR(VLOOKUP(B229, Proof!A$2:$B$199,2, 0), 0)</f>
        <v>0</v>
      </c>
      <c r="F229" s="58">
        <f>IFERROR(VLOOKUP(B229, 'HMMTPUMaC Algebra'!A$2:$B$500,2, 0), 0)</f>
        <v>0</v>
      </c>
      <c r="G229" s="53">
        <f>IFERROR(VLOOKUP(B229, 'HMMTPUMaC Combo'!A$2:$B$500,2, 0), 0)</f>
        <v>0</v>
      </c>
      <c r="H229" s="66">
        <f>IFERROR(VLOOKUP(B229, 'HMMTPUMaC Algebra'!A$2:$B$198,2, 0), 0)</f>
        <v>0</v>
      </c>
      <c r="I229" s="53">
        <f>IFERROR(VLOOKUP(B229, 'HMMTPUMaC NT'!A$2:$B$500,2, 0), 0)</f>
        <v>0</v>
      </c>
      <c r="J229" s="53">
        <f>IFERROR(VLOOKUP(B229, 'HMMT 1 Real'!$A$2:B$198,2, 0), 0)</f>
        <v>0</v>
      </c>
      <c r="K229" s="66">
        <f>IFERROR(VLOOKUP(B229, 'HMMT 2 Real'!$A$2:C$198,2, 0), 0)</f>
        <v>0</v>
      </c>
    </row>
    <row r="230">
      <c r="A230" s="65">
        <f t="shared" si="1"/>
        <v>229</v>
      </c>
      <c r="B230" s="7" t="s">
        <v>470</v>
      </c>
      <c r="C230" s="53">
        <f t="shared" si="6"/>
        <v>0</v>
      </c>
      <c r="D230" s="53">
        <f t="shared" si="3"/>
        <v>0</v>
      </c>
      <c r="E230" s="57">
        <f>IFERROR(VLOOKUP(B230, Proof!A$2:$B$199,2, 0), 0)</f>
        <v>0</v>
      </c>
      <c r="F230" s="58">
        <f>IFERROR(VLOOKUP(B230, 'HMMTPUMaC Algebra'!A$2:$B$500,2, 0), 0)</f>
        <v>0</v>
      </c>
      <c r="G230" s="53">
        <f>IFERROR(VLOOKUP(B230, 'HMMTPUMaC Combo'!A$2:$B$500,2, 0), 0)</f>
        <v>0</v>
      </c>
      <c r="H230" s="66">
        <f>IFERROR(VLOOKUP(B230, 'HMMTPUMaC Algebra'!A$2:$B$198,2, 0), 0)</f>
        <v>0</v>
      </c>
      <c r="I230" s="53">
        <f>IFERROR(VLOOKUP(B230, 'HMMTPUMaC NT'!A$2:$B$500,2, 0), 0)</f>
        <v>0</v>
      </c>
      <c r="J230" s="53">
        <f>IFERROR(VLOOKUP(B230, 'HMMT 1 Real'!$A$2:B$198,2, 0), 0)</f>
        <v>0</v>
      </c>
      <c r="K230" s="66">
        <f>IFERROR(VLOOKUP(B230, 'HMMT 2 Real'!$A$2:C$198,2, 0), 0)</f>
        <v>0</v>
      </c>
    </row>
    <row r="231">
      <c r="A231" s="65">
        <f t="shared" si="1"/>
        <v>230</v>
      </c>
      <c r="B231" s="7" t="s">
        <v>105</v>
      </c>
      <c r="C231" s="53">
        <f t="shared" si="6"/>
        <v>0</v>
      </c>
      <c r="D231" s="53">
        <f t="shared" si="3"/>
        <v>0</v>
      </c>
      <c r="E231" s="57">
        <f>IFERROR(VLOOKUP(B231, Proof!A$2:$B$199,2, 0), 0)</f>
        <v>0</v>
      </c>
      <c r="F231" s="58">
        <f>IFERROR(VLOOKUP(B231, 'HMMTPUMaC Algebra'!A$2:$B$500,2, 0), 0)</f>
        <v>0</v>
      </c>
      <c r="G231" s="53">
        <f>IFERROR(VLOOKUP(B231, 'HMMTPUMaC Combo'!A$2:$B$500,2, 0), 0)</f>
        <v>0</v>
      </c>
      <c r="H231" s="66">
        <f>IFERROR(VLOOKUP(B231, 'HMMTPUMaC Algebra'!A$2:$B$198,2, 0), 0)</f>
        <v>0</v>
      </c>
      <c r="I231" s="53">
        <f>IFERROR(VLOOKUP(B231, 'HMMTPUMaC NT'!A$2:$B$500,2, 0), 0)</f>
        <v>0</v>
      </c>
      <c r="J231" s="53">
        <f>IFERROR(VLOOKUP(B231, 'HMMT 1 Real'!$A$2:B$198,2, 0), 0)</f>
        <v>0</v>
      </c>
      <c r="K231" s="66">
        <f>IFERROR(VLOOKUP(B231, 'HMMT 2 Real'!$A$2:C$198,2, 0), 0)</f>
        <v>0</v>
      </c>
    </row>
    <row r="232">
      <c r="A232" s="65">
        <f t="shared" si="1"/>
        <v>231</v>
      </c>
      <c r="B232" s="7" t="s">
        <v>210</v>
      </c>
      <c r="C232" s="53">
        <f t="shared" si="6"/>
        <v>0</v>
      </c>
      <c r="D232" s="53">
        <f t="shared" si="3"/>
        <v>0</v>
      </c>
      <c r="E232" s="57">
        <f>IFERROR(VLOOKUP(B232, Proof!A$2:$B$199,2, 0), 0)</f>
        <v>0</v>
      </c>
      <c r="F232" s="58">
        <f>IFERROR(VLOOKUP(B232, 'HMMTPUMaC Algebra'!A$2:$B$500,2, 0), 0)</f>
        <v>0</v>
      </c>
      <c r="G232" s="53">
        <f>IFERROR(VLOOKUP(B232, 'HMMTPUMaC Combo'!A$2:$B$500,2, 0), 0)</f>
        <v>0</v>
      </c>
      <c r="H232" s="66">
        <f>IFERROR(VLOOKUP(B232, 'HMMTPUMaC Algebra'!A$2:$B$198,2, 0), 0)</f>
        <v>0</v>
      </c>
      <c r="I232" s="53">
        <f>IFERROR(VLOOKUP(B232, 'HMMTPUMaC NT'!A$2:$B$500,2, 0), 0)</f>
        <v>0</v>
      </c>
      <c r="J232" s="53">
        <f>IFERROR(VLOOKUP(B232, 'HMMT 1 Real'!$A$2:B$198,2, 0), 0)</f>
        <v>0</v>
      </c>
      <c r="K232" s="66">
        <f>IFERROR(VLOOKUP(B232, 'HMMT 2 Real'!$A$2:C$198,2, 0), 0)</f>
        <v>0</v>
      </c>
    </row>
    <row r="233">
      <c r="A233" s="65">
        <f t="shared" si="1"/>
        <v>232</v>
      </c>
      <c r="B233" s="7" t="s">
        <v>119</v>
      </c>
      <c r="C233" s="53">
        <f t="shared" si="6"/>
        <v>0</v>
      </c>
      <c r="D233" s="53">
        <f t="shared" si="3"/>
        <v>0</v>
      </c>
      <c r="E233" s="57">
        <f>IFERROR(VLOOKUP(B233, Proof!A$2:$B$199,2, 0), 0)</f>
        <v>0</v>
      </c>
      <c r="F233" s="58">
        <f>IFERROR(VLOOKUP(B233, 'HMMTPUMaC Algebra'!A$2:$B$500,2, 0), 0)</f>
        <v>0</v>
      </c>
      <c r="G233" s="53">
        <f>IFERROR(VLOOKUP(B233, 'HMMTPUMaC Combo'!A$2:$B$500,2, 0), 0)</f>
        <v>0</v>
      </c>
      <c r="H233" s="66">
        <f>IFERROR(VLOOKUP(B233, 'HMMTPUMaC Algebra'!A$2:$B$198,2, 0), 0)</f>
        <v>0</v>
      </c>
      <c r="I233" s="53">
        <f>IFERROR(VLOOKUP(B233, 'HMMTPUMaC NT'!A$2:$B$500,2, 0), 0)</f>
        <v>0</v>
      </c>
      <c r="J233" s="53">
        <f>IFERROR(VLOOKUP(B233, 'HMMT 1 Real'!$A$2:B$198,2, 0), 0)</f>
        <v>0</v>
      </c>
      <c r="K233" s="66">
        <f>IFERROR(VLOOKUP(B233, 'HMMT 2 Real'!$A$2:C$198,2, 0), 0)</f>
        <v>0</v>
      </c>
    </row>
    <row r="234">
      <c r="A234" s="65">
        <f t="shared" si="1"/>
        <v>233</v>
      </c>
      <c r="B234" s="7" t="s">
        <v>230</v>
      </c>
      <c r="C234" s="53">
        <f t="shared" si="6"/>
        <v>0</v>
      </c>
      <c r="D234" s="53">
        <f t="shared" si="3"/>
        <v>0</v>
      </c>
      <c r="E234" s="57">
        <f>IFERROR(VLOOKUP(B234, Proof!A$2:$B$199,2, 0), 0)</f>
        <v>0</v>
      </c>
      <c r="F234" s="58">
        <f>IFERROR(VLOOKUP(B234, 'HMMTPUMaC Algebra'!A$2:$B$500,2, 0), 0)</f>
        <v>0</v>
      </c>
      <c r="G234" s="53">
        <f>IFERROR(VLOOKUP(B234, 'HMMTPUMaC Combo'!A$2:$B$500,2, 0), 0)</f>
        <v>0</v>
      </c>
      <c r="H234" s="66">
        <f>IFERROR(VLOOKUP(B234, 'HMMTPUMaC Algebra'!A$2:$B$198,2, 0), 0)</f>
        <v>0</v>
      </c>
      <c r="I234" s="53">
        <f>IFERROR(VLOOKUP(B234, 'HMMTPUMaC NT'!A$2:$B$500,2, 0), 0)</f>
        <v>0</v>
      </c>
      <c r="J234" s="53">
        <f>IFERROR(VLOOKUP(B234, 'HMMT 1 Real'!$A$2:B$198,2, 0), 0)</f>
        <v>0</v>
      </c>
      <c r="K234" s="66">
        <f>IFERROR(VLOOKUP(B234, 'HMMT 2 Real'!$A$2:C$198,2, 0), 0)</f>
        <v>0</v>
      </c>
    </row>
    <row r="235">
      <c r="A235" s="65">
        <f t="shared" si="1"/>
        <v>234</v>
      </c>
      <c r="B235" s="7" t="s">
        <v>233</v>
      </c>
      <c r="C235" s="53">
        <f t="shared" si="6"/>
        <v>0</v>
      </c>
      <c r="D235" s="53">
        <f t="shared" si="3"/>
        <v>0</v>
      </c>
      <c r="E235" s="57">
        <f>IFERROR(VLOOKUP(B235, Proof!A$2:$B$199,2, 0), 0)</f>
        <v>0</v>
      </c>
      <c r="F235" s="58">
        <f>IFERROR(VLOOKUP(B235, 'HMMTPUMaC Algebra'!A$2:$B$500,2, 0), 0)</f>
        <v>0</v>
      </c>
      <c r="G235" s="53">
        <f>IFERROR(VLOOKUP(B235, 'HMMTPUMaC Combo'!A$2:$B$500,2, 0), 0)</f>
        <v>0</v>
      </c>
      <c r="H235" s="66">
        <f>IFERROR(VLOOKUP(B235, 'HMMTPUMaC Algebra'!A$2:$B$198,2, 0), 0)</f>
        <v>0</v>
      </c>
      <c r="I235" s="53">
        <f>IFERROR(VLOOKUP(B235, 'HMMTPUMaC NT'!A$2:$B$500,2, 0), 0)</f>
        <v>0</v>
      </c>
      <c r="J235" s="53">
        <f>IFERROR(VLOOKUP(B235, 'HMMT 1 Real'!$A$2:B$198,2, 0), 0)</f>
        <v>0</v>
      </c>
      <c r="K235" s="66">
        <f>IFERROR(VLOOKUP(B235, 'HMMT 2 Real'!$A$2:C$198,2, 0), 0)</f>
        <v>0</v>
      </c>
    </row>
    <row r="236">
      <c r="A236" s="65">
        <f t="shared" si="1"/>
        <v>235</v>
      </c>
      <c r="B236" s="7" t="s">
        <v>259</v>
      </c>
      <c r="C236" s="53">
        <f t="shared" si="6"/>
        <v>0</v>
      </c>
      <c r="D236" s="53">
        <f t="shared" si="3"/>
        <v>0</v>
      </c>
      <c r="E236" s="57">
        <f>IFERROR(VLOOKUP(B236, Proof!A$2:$B$199,2, 0), 0)</f>
        <v>0</v>
      </c>
      <c r="F236" s="58">
        <f>IFERROR(VLOOKUP(B236, 'HMMTPUMaC Algebra'!A$2:$B$500,2, 0), 0)</f>
        <v>0</v>
      </c>
      <c r="G236" s="53">
        <f>IFERROR(VLOOKUP(B236, 'HMMTPUMaC Combo'!A$2:$B$500,2, 0), 0)</f>
        <v>0</v>
      </c>
      <c r="H236" s="66">
        <f>IFERROR(VLOOKUP(B236, 'HMMTPUMaC Algebra'!A$2:$B$198,2, 0), 0)</f>
        <v>0</v>
      </c>
      <c r="I236" s="53">
        <f>IFERROR(VLOOKUP(B236, 'HMMTPUMaC NT'!A$2:$B$500,2, 0), 0)</f>
        <v>0</v>
      </c>
      <c r="J236" s="53">
        <f>IFERROR(VLOOKUP(B236, 'HMMT 1 Real'!$A$2:B$198,2, 0), 0)</f>
        <v>0</v>
      </c>
      <c r="K236" s="66">
        <f>IFERROR(VLOOKUP(B236, 'HMMT 2 Real'!$A$2:C$198,2, 0), 0)</f>
        <v>0</v>
      </c>
    </row>
    <row r="237">
      <c r="A237" s="65">
        <f t="shared" si="1"/>
        <v>236</v>
      </c>
      <c r="B237" s="7" t="s">
        <v>236</v>
      </c>
      <c r="C237" s="53">
        <f t="shared" si="6"/>
        <v>0</v>
      </c>
      <c r="D237" s="53">
        <f t="shared" si="3"/>
        <v>0</v>
      </c>
      <c r="E237" s="57">
        <f>IFERROR(VLOOKUP(B237, Proof!A$2:$B$199,2, 0), 0)</f>
        <v>0</v>
      </c>
      <c r="F237" s="58">
        <f>IFERROR(VLOOKUP(B237, 'HMMTPUMaC Algebra'!A$2:$B$500,2, 0), 0)</f>
        <v>0</v>
      </c>
      <c r="G237" s="53">
        <f>IFERROR(VLOOKUP(B237, 'HMMTPUMaC Combo'!A$2:$B$500,2, 0), 0)</f>
        <v>0</v>
      </c>
      <c r="H237" s="66">
        <f>IFERROR(VLOOKUP(B237, 'HMMTPUMaC Algebra'!A$2:$B$198,2, 0), 0)</f>
        <v>0</v>
      </c>
      <c r="I237" s="53">
        <f>IFERROR(VLOOKUP(B237, 'HMMTPUMaC NT'!A$2:$B$500,2, 0), 0)</f>
        <v>0</v>
      </c>
      <c r="J237" s="53">
        <f>IFERROR(VLOOKUP(B237, 'HMMT 1 Real'!$A$2:B$198,2, 0), 0)</f>
        <v>0</v>
      </c>
      <c r="K237" s="66">
        <f>IFERROR(VLOOKUP(B237, 'HMMT 2 Real'!$A$2:C$198,2, 0), 0)</f>
        <v>0</v>
      </c>
    </row>
    <row r="238">
      <c r="A238" s="65">
        <f t="shared" si="1"/>
        <v>237</v>
      </c>
      <c r="B238" s="17" t="s">
        <v>476</v>
      </c>
      <c r="C238" s="53">
        <f t="shared" si="6"/>
        <v>0</v>
      </c>
      <c r="D238" s="53">
        <f t="shared" si="3"/>
        <v>0</v>
      </c>
      <c r="E238" s="57">
        <f>IFERROR(VLOOKUP(B238, Proof!A$2:$B$199,2, 0), 0)</f>
        <v>0</v>
      </c>
      <c r="F238" s="58">
        <f>IFERROR(VLOOKUP(B238, 'HMMTPUMaC Algebra'!A$2:$B$500,2, 0), 0)</f>
        <v>0</v>
      </c>
      <c r="G238" s="53">
        <f>IFERROR(VLOOKUP(B238, 'HMMTPUMaC Combo'!A$2:$B$500,2, 0), 0)</f>
        <v>0</v>
      </c>
      <c r="H238" s="66">
        <f>IFERROR(VLOOKUP(B238, 'HMMTPUMaC Algebra'!A$2:$B$198,2, 0), 0)</f>
        <v>0</v>
      </c>
      <c r="I238" s="53">
        <f>IFERROR(VLOOKUP(B238, 'HMMTPUMaC NT'!A$2:$B$500,2, 0), 0)</f>
        <v>0</v>
      </c>
      <c r="J238" s="53">
        <f>IFERROR(VLOOKUP(B238, 'HMMT 1 Real'!$A$2:B$198,2, 0), 0)</f>
        <v>0</v>
      </c>
      <c r="K238" s="66">
        <f>IFERROR(VLOOKUP(B238, 'HMMT 2 Real'!$A$2:C$198,2, 0), 0)</f>
        <v>0</v>
      </c>
    </row>
    <row r="239">
      <c r="A239" s="65">
        <f t="shared" si="1"/>
        <v>238</v>
      </c>
      <c r="B239" s="7" t="s">
        <v>453</v>
      </c>
      <c r="C239" s="53">
        <f t="shared" si="6"/>
        <v>0</v>
      </c>
      <c r="D239" s="53">
        <f t="shared" si="3"/>
        <v>0</v>
      </c>
      <c r="E239" s="57">
        <f>IFERROR(VLOOKUP(B239, Proof!A$2:$B$199,2, 0), 0)</f>
        <v>0</v>
      </c>
      <c r="F239" s="58">
        <f>IFERROR(VLOOKUP(B239, 'HMMTPUMaC Algebra'!A$2:$B$500,2, 0), 0)</f>
        <v>0</v>
      </c>
      <c r="G239" s="53">
        <f>IFERROR(VLOOKUP(B239, 'HMMTPUMaC Combo'!A$2:$B$500,2, 0), 0)</f>
        <v>0</v>
      </c>
      <c r="H239" s="66">
        <f>IFERROR(VLOOKUP(B239, 'HMMTPUMaC Algebra'!A$2:$B$198,2, 0), 0)</f>
        <v>0</v>
      </c>
      <c r="I239" s="53">
        <f>IFERROR(VLOOKUP(B239, 'HMMTPUMaC NT'!A$2:$B$500,2, 0), 0)</f>
        <v>0</v>
      </c>
      <c r="J239" s="53">
        <f>IFERROR(VLOOKUP(B239, 'HMMT 1 Real'!$A$2:B$198,2, 0), 0)</f>
        <v>0</v>
      </c>
      <c r="K239" s="66">
        <f>IFERROR(VLOOKUP(B239, 'HMMT 2 Real'!$A$2:C$198,2, 0), 0)</f>
        <v>0</v>
      </c>
    </row>
    <row r="240">
      <c r="A240" s="65">
        <f t="shared" si="1"/>
        <v>239</v>
      </c>
      <c r="B240" s="7" t="s">
        <v>471</v>
      </c>
      <c r="C240" s="53">
        <f t="shared" si="6"/>
        <v>0</v>
      </c>
      <c r="D240" s="53">
        <f t="shared" si="3"/>
        <v>0</v>
      </c>
      <c r="E240" s="57">
        <f>IFERROR(VLOOKUP(B240, Proof!A$2:$B$199,2, 0), 0)</f>
        <v>0</v>
      </c>
      <c r="F240" s="58">
        <f>IFERROR(VLOOKUP(B240, 'HMMTPUMaC Algebra'!A$2:$B$500,2, 0), 0)</f>
        <v>0</v>
      </c>
      <c r="G240" s="53">
        <f>IFERROR(VLOOKUP(B240, 'HMMTPUMaC Combo'!A$2:$B$500,2, 0), 0)</f>
        <v>0</v>
      </c>
      <c r="H240" s="66">
        <f>IFERROR(VLOOKUP(B240, 'HMMTPUMaC Algebra'!A$2:$B$198,2, 0), 0)</f>
        <v>0</v>
      </c>
      <c r="I240" s="53">
        <f>IFERROR(VLOOKUP(B240, 'HMMTPUMaC NT'!A$2:$B$500,2, 0), 0)</f>
        <v>0</v>
      </c>
      <c r="J240" s="53">
        <f>IFERROR(VLOOKUP(B240, 'HMMT 1 Real'!$A$2:B$198,2, 0), 0)</f>
        <v>0</v>
      </c>
      <c r="K240" s="66">
        <f>IFERROR(VLOOKUP(B240, 'HMMT 2 Real'!$A$2:C$198,2, 0), 0)</f>
        <v>0</v>
      </c>
    </row>
    <row r="241">
      <c r="A241" s="65">
        <f t="shared" si="1"/>
        <v>240</v>
      </c>
      <c r="B241" s="7" t="s">
        <v>449</v>
      </c>
      <c r="C241" s="53">
        <f t="shared" si="6"/>
        <v>0</v>
      </c>
      <c r="D241" s="53">
        <f t="shared" si="3"/>
        <v>0</v>
      </c>
      <c r="E241" s="57">
        <f>IFERROR(VLOOKUP(B241, Proof!A$2:$B$199,2, 0), 0)</f>
        <v>0</v>
      </c>
      <c r="F241" s="58">
        <f>IFERROR(VLOOKUP(B241, 'HMMTPUMaC Algebra'!A$2:$B$500,2, 0), 0)</f>
        <v>0</v>
      </c>
      <c r="G241" s="53">
        <f>IFERROR(VLOOKUP(B241, 'HMMTPUMaC Combo'!A$2:$B$500,2, 0), 0)</f>
        <v>0</v>
      </c>
      <c r="H241" s="66">
        <f>IFERROR(VLOOKUP(B241, 'HMMTPUMaC Algebra'!A$2:$B$198,2, 0), 0)</f>
        <v>0</v>
      </c>
      <c r="I241" s="53">
        <f>IFERROR(VLOOKUP(B241, 'HMMTPUMaC NT'!A$2:$B$500,2, 0), 0)</f>
        <v>0</v>
      </c>
      <c r="J241" s="53">
        <f>IFERROR(VLOOKUP(B241, 'HMMT 1 Real'!$A$2:B$198,2, 0), 0)</f>
        <v>0</v>
      </c>
      <c r="K241" s="66">
        <f>IFERROR(VLOOKUP(B241, 'HMMT 2 Real'!$A$2:C$198,2, 0), 0)</f>
        <v>0</v>
      </c>
    </row>
    <row r="242">
      <c r="A242" s="65">
        <f t="shared" si="1"/>
        <v>241</v>
      </c>
      <c r="B242" s="7" t="s">
        <v>467</v>
      </c>
      <c r="C242" s="53">
        <f t="shared" si="6"/>
        <v>0</v>
      </c>
      <c r="D242" s="53">
        <f t="shared" si="3"/>
        <v>0</v>
      </c>
      <c r="E242" s="57">
        <f>IFERROR(VLOOKUP(B242, Proof!A$2:$B$199,2, 0), 0)</f>
        <v>0</v>
      </c>
      <c r="F242" s="58">
        <f>IFERROR(VLOOKUP(B242, 'HMMTPUMaC Algebra'!A$2:$B$500,2, 0), 0)</f>
        <v>0</v>
      </c>
      <c r="G242" s="53">
        <f>IFERROR(VLOOKUP(B242, 'HMMTPUMaC Combo'!A$2:$B$500,2, 0), 0)</f>
        <v>0</v>
      </c>
      <c r="H242" s="66">
        <f>IFERROR(VLOOKUP(B242, 'HMMTPUMaC Algebra'!A$2:$B$198,2, 0), 0)</f>
        <v>0</v>
      </c>
      <c r="I242" s="53">
        <f>IFERROR(VLOOKUP(B242, 'HMMTPUMaC NT'!A$2:$B$500,2, 0), 0)</f>
        <v>0</v>
      </c>
      <c r="J242" s="53">
        <f>IFERROR(VLOOKUP(B242, 'HMMT 1 Real'!$A$2:B$198,2, 0), 0)</f>
        <v>0</v>
      </c>
      <c r="K242" s="66">
        <f>IFERROR(VLOOKUP(B242, 'HMMT 2 Real'!$A$2:C$198,2, 0), 0)</f>
        <v>0</v>
      </c>
    </row>
    <row r="243">
      <c r="A243" s="65">
        <f t="shared" si="1"/>
        <v>242</v>
      </c>
      <c r="B243" s="7" t="s">
        <v>188</v>
      </c>
      <c r="C243" s="53">
        <f t="shared" si="6"/>
        <v>0</v>
      </c>
      <c r="D243" s="53">
        <f t="shared" si="3"/>
        <v>0</v>
      </c>
      <c r="E243" s="57">
        <f>IFERROR(VLOOKUP(B243, Proof!A$2:$B$199,2, 0), 0)</f>
        <v>0</v>
      </c>
      <c r="F243" s="58">
        <f>IFERROR(VLOOKUP(B243, 'HMMTPUMaC Algebra'!A$2:$B$500,2, 0), 0)</f>
        <v>0</v>
      </c>
      <c r="G243" s="53">
        <f>IFERROR(VLOOKUP(B243, 'HMMTPUMaC Combo'!A$2:$B$500,2, 0), 0)</f>
        <v>0</v>
      </c>
      <c r="H243" s="66">
        <f>IFERROR(VLOOKUP(B243, 'HMMTPUMaC Algebra'!A$2:$B$198,2, 0), 0)</f>
        <v>0</v>
      </c>
      <c r="I243" s="53">
        <f>IFERROR(VLOOKUP(B243, 'HMMTPUMaC NT'!A$2:$B$500,2, 0), 0)</f>
        <v>0</v>
      </c>
      <c r="J243" s="53">
        <f>IFERROR(VLOOKUP(B243, 'HMMT 1 Real'!$A$2:B$198,2, 0), 0)</f>
        <v>0</v>
      </c>
      <c r="K243" s="66">
        <f>IFERROR(VLOOKUP(B243, 'HMMT 2 Real'!$A$2:C$198,2, 0), 0)</f>
        <v>0</v>
      </c>
    </row>
    <row r="244">
      <c r="A244" s="65">
        <f t="shared" si="1"/>
        <v>243</v>
      </c>
      <c r="B244" s="7" t="s">
        <v>235</v>
      </c>
      <c r="C244" s="53">
        <f t="shared" si="6"/>
        <v>0</v>
      </c>
      <c r="D244" s="53">
        <f t="shared" si="3"/>
        <v>0</v>
      </c>
      <c r="E244" s="57">
        <f>IFERROR(VLOOKUP(B244, Proof!A$2:$B$199,2, 0), 0)</f>
        <v>0</v>
      </c>
      <c r="F244" s="58">
        <f>IFERROR(VLOOKUP(B244, 'HMMTPUMaC Algebra'!A$2:$B$500,2, 0), 0)</f>
        <v>0</v>
      </c>
      <c r="G244" s="53">
        <f>IFERROR(VLOOKUP(B244, 'HMMTPUMaC Combo'!A$2:$B$500,2, 0), 0)</f>
        <v>0</v>
      </c>
      <c r="H244" s="66">
        <f>IFERROR(VLOOKUP(B244, 'HMMTPUMaC Algebra'!A$2:$B$198,2, 0), 0)</f>
        <v>0</v>
      </c>
      <c r="I244" s="53">
        <f>IFERROR(VLOOKUP(B244, 'HMMTPUMaC NT'!A$2:$B$500,2, 0), 0)</f>
        <v>0</v>
      </c>
      <c r="J244" s="53">
        <f>IFERROR(VLOOKUP(B244, 'HMMT 1 Real'!$A$2:B$198,2, 0), 0)</f>
        <v>0</v>
      </c>
      <c r="K244" s="66">
        <f>IFERROR(VLOOKUP(B244, 'HMMT 2 Real'!$A$2:C$198,2, 0), 0)</f>
        <v>0</v>
      </c>
    </row>
    <row r="245">
      <c r="A245" s="65">
        <f t="shared" si="1"/>
        <v>244</v>
      </c>
      <c r="B245" s="7" t="s">
        <v>214</v>
      </c>
      <c r="C245" s="53">
        <f t="shared" si="6"/>
        <v>0</v>
      </c>
      <c r="D245" s="53">
        <f t="shared" si="3"/>
        <v>0</v>
      </c>
      <c r="E245" s="57">
        <f>IFERROR(VLOOKUP(B245, Proof!A$2:$B$199,2, 0), 0)</f>
        <v>0</v>
      </c>
      <c r="F245" s="58">
        <f>IFERROR(VLOOKUP(B245, 'HMMTPUMaC Algebra'!A$2:$B$500,2, 0), 0)</f>
        <v>0</v>
      </c>
      <c r="G245" s="53">
        <f>IFERROR(VLOOKUP(B245, 'HMMTPUMaC Combo'!A$2:$B$500,2, 0), 0)</f>
        <v>0</v>
      </c>
      <c r="H245" s="66">
        <f>IFERROR(VLOOKUP(B245, 'HMMTPUMaC Algebra'!A$2:$B$198,2, 0), 0)</f>
        <v>0</v>
      </c>
      <c r="I245" s="53">
        <f>IFERROR(VLOOKUP(B245, 'HMMTPUMaC NT'!A$2:$B$500,2, 0), 0)</f>
        <v>0</v>
      </c>
      <c r="J245" s="53">
        <f>IFERROR(VLOOKUP(B245, 'HMMT 1 Real'!$A$2:B$198,2, 0), 0)</f>
        <v>0</v>
      </c>
      <c r="K245" s="66">
        <f>IFERROR(VLOOKUP(B245, 'HMMT 2 Real'!$A$2:C$198,2, 0), 0)</f>
        <v>0</v>
      </c>
    </row>
    <row r="246">
      <c r="A246" s="65">
        <f t="shared" si="1"/>
        <v>245</v>
      </c>
      <c r="B246" s="7" t="s">
        <v>460</v>
      </c>
      <c r="C246" s="53">
        <f t="shared" si="6"/>
        <v>0</v>
      </c>
      <c r="D246" s="53">
        <f t="shared" si="3"/>
        <v>0</v>
      </c>
      <c r="E246" s="57">
        <f>IFERROR(VLOOKUP(B246, Proof!A$2:$B$199,2, 0), 0)</f>
        <v>0</v>
      </c>
      <c r="F246" s="58">
        <f>IFERROR(VLOOKUP(B246, 'HMMTPUMaC Algebra'!A$2:$B$500,2, 0), 0)</f>
        <v>0</v>
      </c>
      <c r="G246" s="53">
        <f>IFERROR(VLOOKUP(B246, 'HMMTPUMaC Combo'!A$2:$B$500,2, 0), 0)</f>
        <v>0</v>
      </c>
      <c r="H246" s="66">
        <f>IFERROR(VLOOKUP(B246, 'HMMTPUMaC Algebra'!A$2:$B$198,2, 0), 0)</f>
        <v>0</v>
      </c>
      <c r="I246" s="53">
        <f>IFERROR(VLOOKUP(B246, 'HMMTPUMaC NT'!A$2:$B$500,2, 0), 0)</f>
        <v>0</v>
      </c>
      <c r="J246" s="53">
        <f>IFERROR(VLOOKUP(B246, 'HMMT 1 Real'!$A$2:B$198,2, 0), 0)</f>
        <v>0</v>
      </c>
      <c r="K246" s="66">
        <f>IFERROR(VLOOKUP(B246, 'HMMT 2 Real'!$A$2:C$198,2, 0), 0)</f>
        <v>0</v>
      </c>
    </row>
    <row r="247">
      <c r="A247" s="65">
        <f t="shared" si="1"/>
        <v>246</v>
      </c>
      <c r="B247" s="7" t="s">
        <v>111</v>
      </c>
      <c r="C247" s="53">
        <f t="shared" si="6"/>
        <v>0</v>
      </c>
      <c r="D247" s="53">
        <f t="shared" si="3"/>
        <v>0</v>
      </c>
      <c r="E247" s="57">
        <f>IFERROR(VLOOKUP(B247, Proof!A$2:$B$199,2, 0), 0)</f>
        <v>0</v>
      </c>
      <c r="F247" s="58">
        <f>IFERROR(VLOOKUP(B247, 'HMMTPUMaC Algebra'!A$2:$B$500,2, 0), 0)</f>
        <v>0</v>
      </c>
      <c r="G247" s="53">
        <f>IFERROR(VLOOKUP(B247, 'HMMTPUMaC Combo'!A$2:$B$500,2, 0), 0)</f>
        <v>0</v>
      </c>
      <c r="H247" s="66">
        <f>IFERROR(VLOOKUP(B247, 'HMMTPUMaC Algebra'!A$2:$B$198,2, 0), 0)</f>
        <v>0</v>
      </c>
      <c r="I247" s="53">
        <f>IFERROR(VLOOKUP(B247, 'HMMTPUMaC NT'!A$2:$B$500,2, 0), 0)</f>
        <v>0</v>
      </c>
      <c r="J247" s="53">
        <f>IFERROR(VLOOKUP(B247, 'HMMT 1 Real'!$A$2:B$198,2, 0), 0)</f>
        <v>0</v>
      </c>
      <c r="K247" s="66">
        <f>IFERROR(VLOOKUP(B247, 'HMMT 2 Real'!$A$2:C$198,2, 0), 0)</f>
        <v>0</v>
      </c>
    </row>
    <row r="248">
      <c r="A248" s="65">
        <f t="shared" si="1"/>
        <v>247</v>
      </c>
      <c r="B248" s="7" t="s">
        <v>165</v>
      </c>
      <c r="C248" s="53">
        <f t="shared" si="6"/>
        <v>0</v>
      </c>
      <c r="D248" s="53">
        <f t="shared" si="3"/>
        <v>0</v>
      </c>
      <c r="E248" s="57">
        <f>IFERROR(VLOOKUP(B248, Proof!A$2:$B$199,2, 0), 0)</f>
        <v>0</v>
      </c>
      <c r="F248" s="58">
        <f>IFERROR(VLOOKUP(B248, 'HMMTPUMaC Algebra'!A$2:$B$500,2, 0), 0)</f>
        <v>0</v>
      </c>
      <c r="G248" s="53">
        <f>IFERROR(VLOOKUP(B248, 'HMMTPUMaC Combo'!A$2:$B$500,2, 0), 0)</f>
        <v>0</v>
      </c>
      <c r="H248" s="66">
        <f>IFERROR(VLOOKUP(B248, 'HMMTPUMaC Algebra'!A$2:$B$198,2, 0), 0)</f>
        <v>0</v>
      </c>
      <c r="I248" s="53">
        <f>IFERROR(VLOOKUP(B248, 'HMMTPUMaC NT'!A$2:$B$500,2, 0), 0)</f>
        <v>0</v>
      </c>
      <c r="J248" s="53">
        <f>IFERROR(VLOOKUP(B248, 'HMMT 1 Real'!$A$2:B$198,2, 0), 0)</f>
        <v>0</v>
      </c>
      <c r="K248" s="66">
        <f>IFERROR(VLOOKUP(B248, 'HMMT 2 Real'!$A$2:C$198,2, 0), 0)</f>
        <v>0</v>
      </c>
    </row>
    <row r="249">
      <c r="A249" s="65">
        <f t="shared" si="1"/>
        <v>248</v>
      </c>
      <c r="B249" s="7" t="s">
        <v>110</v>
      </c>
      <c r="C249" s="53">
        <f t="shared" si="6"/>
        <v>0</v>
      </c>
      <c r="D249" s="53">
        <f t="shared" si="3"/>
        <v>0</v>
      </c>
      <c r="E249" s="57">
        <f>IFERROR(VLOOKUP(B249, Proof!A$2:$B$199,2, 0), 0)</f>
        <v>0</v>
      </c>
      <c r="F249" s="58">
        <f>IFERROR(VLOOKUP(B249, 'HMMTPUMaC Algebra'!A$2:$B$500,2, 0), 0)</f>
        <v>0</v>
      </c>
      <c r="G249" s="53">
        <f>IFERROR(VLOOKUP(B249, 'HMMTPUMaC Combo'!A$2:$B$500,2, 0), 0)</f>
        <v>0</v>
      </c>
      <c r="H249" s="66">
        <f>IFERROR(VLOOKUP(B249, 'HMMTPUMaC Algebra'!A$2:$B$198,2, 0), 0)</f>
        <v>0</v>
      </c>
      <c r="I249" s="53">
        <f>IFERROR(VLOOKUP(B249, 'HMMTPUMaC NT'!A$2:$B$500,2, 0), 0)</f>
        <v>0</v>
      </c>
      <c r="J249" s="53">
        <f>IFERROR(VLOOKUP(B249, 'HMMT 1 Real'!$A$2:B$198,2, 0), 0)</f>
        <v>0</v>
      </c>
      <c r="K249" s="66">
        <f>IFERROR(VLOOKUP(B249, 'HMMT 2 Real'!$A$2:C$198,2, 0), 0)</f>
        <v>0</v>
      </c>
    </row>
    <row r="250">
      <c r="A250" s="65">
        <f t="shared" si="1"/>
        <v>249</v>
      </c>
      <c r="B250" s="7" t="s">
        <v>443</v>
      </c>
      <c r="C250" s="53">
        <f t="shared" si="6"/>
        <v>0</v>
      </c>
      <c r="D250" s="53">
        <f t="shared" si="3"/>
        <v>0</v>
      </c>
      <c r="E250" s="57">
        <f>IFERROR(VLOOKUP(B250, Proof!A$2:$B$199,2, 0), 0)</f>
        <v>0</v>
      </c>
      <c r="F250" s="58">
        <f>IFERROR(VLOOKUP(B250, 'HMMTPUMaC Algebra'!A$2:$B$500,2, 0), 0)</f>
        <v>0</v>
      </c>
      <c r="G250" s="53">
        <f>IFERROR(VLOOKUP(B250, 'HMMTPUMaC Combo'!A$2:$B$500,2, 0), 0)</f>
        <v>0</v>
      </c>
      <c r="H250" s="66">
        <f>IFERROR(VLOOKUP(B250, 'HMMTPUMaC Algebra'!A$2:$B$198,2, 0), 0)</f>
        <v>0</v>
      </c>
      <c r="I250" s="53">
        <f>IFERROR(VLOOKUP(B250, 'HMMTPUMaC NT'!A$2:$B$500,2, 0), 0)</f>
        <v>0</v>
      </c>
      <c r="J250" s="53">
        <f>IFERROR(VLOOKUP(B250, 'HMMT 1 Real'!$A$2:B$198,2, 0), 0)</f>
        <v>0</v>
      </c>
      <c r="K250" s="66">
        <f>IFERROR(VLOOKUP(B250, 'HMMT 2 Real'!$A$2:C$198,2, 0), 0)</f>
        <v>0</v>
      </c>
    </row>
    <row r="251">
      <c r="A251" s="65">
        <f t="shared" si="1"/>
        <v>250</v>
      </c>
      <c r="B251" s="7" t="s">
        <v>473</v>
      </c>
      <c r="C251" s="53">
        <f t="shared" si="6"/>
        <v>0</v>
      </c>
      <c r="D251" s="53">
        <f t="shared" si="3"/>
        <v>0</v>
      </c>
      <c r="E251" s="57">
        <f>IFERROR(VLOOKUP(B251, Proof!A$2:$B$199,2, 0), 0)</f>
        <v>0</v>
      </c>
      <c r="F251" s="58">
        <f>IFERROR(VLOOKUP(B251, 'HMMTPUMaC Algebra'!A$2:$B$500,2, 0), 0)</f>
        <v>0</v>
      </c>
      <c r="G251" s="53">
        <f>IFERROR(VLOOKUP(B251, 'HMMTPUMaC Combo'!A$2:$B$500,2, 0), 0)</f>
        <v>0</v>
      </c>
      <c r="H251" s="66">
        <f>IFERROR(VLOOKUP(B251, 'HMMTPUMaC Algebra'!A$2:$B$198,2, 0), 0)</f>
        <v>0</v>
      </c>
      <c r="I251" s="53">
        <f>IFERROR(VLOOKUP(B251, 'HMMTPUMaC NT'!A$2:$B$500,2, 0), 0)</f>
        <v>0</v>
      </c>
      <c r="J251" s="53">
        <f>IFERROR(VLOOKUP(B251, 'HMMT 1 Real'!$A$2:B$198,2, 0), 0)</f>
        <v>0</v>
      </c>
      <c r="K251" s="66">
        <f>IFERROR(VLOOKUP(B251, 'HMMT 2 Real'!$A$2:C$198,2, 0), 0)</f>
        <v>0</v>
      </c>
    </row>
    <row r="252">
      <c r="A252" s="65">
        <f t="shared" si="1"/>
        <v>251</v>
      </c>
      <c r="B252" s="7" t="s">
        <v>238</v>
      </c>
      <c r="C252" s="53">
        <f t="shared" si="6"/>
        <v>0</v>
      </c>
      <c r="D252" s="53">
        <f t="shared" si="3"/>
        <v>0</v>
      </c>
      <c r="E252" s="57">
        <f>IFERROR(VLOOKUP(B252, Proof!A$2:$B$199,2, 0), 0)</f>
        <v>0</v>
      </c>
      <c r="F252" s="58">
        <f>IFERROR(VLOOKUP(B252, 'HMMTPUMaC Algebra'!A$2:$B$500,2, 0), 0)</f>
        <v>0</v>
      </c>
      <c r="G252" s="53">
        <f>IFERROR(VLOOKUP(B252, 'HMMTPUMaC Combo'!A$2:$B$500,2, 0), 0)</f>
        <v>0</v>
      </c>
      <c r="H252" s="66">
        <f>IFERROR(VLOOKUP(B252, 'HMMTPUMaC Algebra'!A$2:$B$198,2, 0), 0)</f>
        <v>0</v>
      </c>
      <c r="I252" s="53">
        <f>IFERROR(VLOOKUP(B252, 'HMMTPUMaC NT'!A$2:$B$500,2, 0), 0)</f>
        <v>0</v>
      </c>
      <c r="J252" s="53">
        <f>IFERROR(VLOOKUP(B252, 'HMMT 1 Real'!$A$2:B$198,2, 0), 0)</f>
        <v>0</v>
      </c>
      <c r="K252" s="66">
        <f>IFERROR(VLOOKUP(B252, 'HMMT 2 Real'!$A$2:C$198,2, 0), 0)</f>
        <v>0</v>
      </c>
    </row>
    <row r="253">
      <c r="A253" s="65">
        <f t="shared" si="1"/>
        <v>252</v>
      </c>
      <c r="B253" s="7" t="s">
        <v>182</v>
      </c>
      <c r="C253" s="53">
        <f t="shared" si="6"/>
        <v>0</v>
      </c>
      <c r="D253" s="53">
        <f t="shared" si="3"/>
        <v>0</v>
      </c>
      <c r="E253" s="57">
        <f>IFERROR(VLOOKUP(B253, Proof!A$2:$B$199,2, 0), 0)</f>
        <v>0</v>
      </c>
      <c r="F253" s="58">
        <f>IFERROR(VLOOKUP(B253, 'HMMTPUMaC Algebra'!A$2:$B$500,2, 0), 0)</f>
        <v>0</v>
      </c>
      <c r="G253" s="53">
        <f>IFERROR(VLOOKUP(B253, 'HMMTPUMaC Combo'!A$2:$B$500,2, 0), 0)</f>
        <v>0</v>
      </c>
      <c r="H253" s="66">
        <f>IFERROR(VLOOKUP(B253, 'HMMTPUMaC Algebra'!A$2:$B$198,2, 0), 0)</f>
        <v>0</v>
      </c>
      <c r="I253" s="53">
        <f>IFERROR(VLOOKUP(B253, 'HMMTPUMaC NT'!A$2:$B$500,2, 0), 0)</f>
        <v>0</v>
      </c>
      <c r="J253" s="53">
        <f>IFERROR(VLOOKUP(B253, 'HMMT 1 Real'!$A$2:B$198,2, 0), 0)</f>
        <v>0</v>
      </c>
      <c r="K253" s="66">
        <f>IFERROR(VLOOKUP(B253, 'HMMT 2 Real'!$A$2:C$198,2, 0), 0)</f>
        <v>0</v>
      </c>
    </row>
    <row r="254">
      <c r="A254" s="65">
        <f t="shared" si="1"/>
        <v>253</v>
      </c>
      <c r="B254" s="7" t="s">
        <v>354</v>
      </c>
      <c r="C254" s="53">
        <f t="shared" si="6"/>
        <v>0</v>
      </c>
      <c r="D254" s="53">
        <f t="shared" si="3"/>
        <v>0</v>
      </c>
      <c r="E254" s="57">
        <f>IFERROR(VLOOKUP(B254, Proof!A$2:$B$199,2, 0), 0)</f>
        <v>0</v>
      </c>
      <c r="F254" s="58">
        <f>IFERROR(VLOOKUP(B254, 'HMMTPUMaC Algebra'!A$2:$B$500,2, 0), 0)</f>
        <v>0</v>
      </c>
      <c r="G254" s="53">
        <f>IFERROR(VLOOKUP(B254, 'HMMTPUMaC Combo'!A$2:$B$500,2, 0), 0)</f>
        <v>0</v>
      </c>
      <c r="H254" s="66">
        <f>IFERROR(VLOOKUP(B254, 'HMMTPUMaC Algebra'!A$2:$B$198,2, 0), 0)</f>
        <v>0</v>
      </c>
      <c r="I254" s="53">
        <f>IFERROR(VLOOKUP(B254, 'HMMTPUMaC NT'!A$2:$B$500,2, 0), 0)</f>
        <v>0</v>
      </c>
      <c r="J254" s="53">
        <f>IFERROR(VLOOKUP(B254, 'HMMT 1 Real'!$A$2:B$198,2, 0), 0)</f>
        <v>0</v>
      </c>
      <c r="K254" s="66">
        <f>IFERROR(VLOOKUP(B254, 'HMMT 2 Real'!$A$2:C$198,2, 0), 0)</f>
        <v>0</v>
      </c>
    </row>
    <row r="255">
      <c r="A255" s="65">
        <f t="shared" si="1"/>
        <v>254</v>
      </c>
      <c r="B255" s="7" t="s">
        <v>465</v>
      </c>
      <c r="C255" s="53">
        <f t="shared" si="6"/>
        <v>0</v>
      </c>
      <c r="D255" s="53">
        <f t="shared" si="3"/>
        <v>0</v>
      </c>
      <c r="E255" s="57">
        <f>IFERROR(VLOOKUP(B255, Proof!A$2:$B$199,2, 0), 0)</f>
        <v>0</v>
      </c>
      <c r="F255" s="58">
        <f>IFERROR(VLOOKUP(B255, 'HMMTPUMaC Algebra'!A$2:$B$500,2, 0), 0)</f>
        <v>0</v>
      </c>
      <c r="G255" s="53">
        <f>IFERROR(VLOOKUP(B255, 'HMMTPUMaC Combo'!A$2:$B$500,2, 0), 0)</f>
        <v>0</v>
      </c>
      <c r="H255" s="66">
        <f>IFERROR(VLOOKUP(B255, 'HMMTPUMaC Algebra'!A$2:$B$198,2, 0), 0)</f>
        <v>0</v>
      </c>
      <c r="I255" s="53">
        <f>IFERROR(VLOOKUP(B255, 'HMMTPUMaC NT'!A$2:$B$500,2, 0), 0)</f>
        <v>0</v>
      </c>
      <c r="J255" s="53">
        <f>IFERROR(VLOOKUP(B255, 'HMMT 1 Real'!$A$2:B$198,2, 0), 0)</f>
        <v>0</v>
      </c>
      <c r="K255" s="66">
        <f>IFERROR(VLOOKUP(B255, 'HMMT 2 Real'!$A$2:C$198,2, 0), 0)</f>
        <v>0</v>
      </c>
    </row>
    <row r="256">
      <c r="A256" s="65">
        <f t="shared" si="1"/>
        <v>255</v>
      </c>
      <c r="B256" s="7" t="s">
        <v>490</v>
      </c>
      <c r="C256" s="53">
        <f t="shared" si="6"/>
        <v>0</v>
      </c>
      <c r="D256" s="53">
        <f t="shared" si="3"/>
        <v>0</v>
      </c>
      <c r="E256" s="57">
        <f>IFERROR(VLOOKUP(B256, Proof!A$2:$B$199,2, 0), 0)</f>
        <v>0</v>
      </c>
      <c r="F256" s="58">
        <f>IFERROR(VLOOKUP(B256, 'HMMTPUMaC Algebra'!A$2:$B$500,2, 0), 0)</f>
        <v>0</v>
      </c>
      <c r="G256" s="53">
        <f>IFERROR(VLOOKUP(B256, 'HMMTPUMaC Combo'!A$2:$B$500,2, 0), 0)</f>
        <v>0</v>
      </c>
      <c r="H256" s="66">
        <f>IFERROR(VLOOKUP(B256, 'HMMTPUMaC Algebra'!A$2:$B$198,2, 0), 0)</f>
        <v>0</v>
      </c>
      <c r="I256" s="53">
        <f>IFERROR(VLOOKUP(B256, 'HMMTPUMaC NT'!A$2:$B$500,2, 0), 0)</f>
        <v>0</v>
      </c>
      <c r="J256" s="53">
        <f>IFERROR(VLOOKUP(B256, 'HMMT 1 Real'!$A$2:B$198,2, 0), 0)</f>
        <v>0</v>
      </c>
      <c r="K256" s="66">
        <f>IFERROR(VLOOKUP(B256, 'HMMT 2 Real'!$A$2:C$198,2, 0), 0)</f>
        <v>0</v>
      </c>
    </row>
    <row r="257">
      <c r="A257" s="65">
        <f t="shared" si="1"/>
        <v>256</v>
      </c>
      <c r="B257" s="7" t="s">
        <v>263</v>
      </c>
      <c r="C257" s="53">
        <f t="shared" si="6"/>
        <v>0</v>
      </c>
      <c r="D257" s="53">
        <f t="shared" si="3"/>
        <v>0</v>
      </c>
      <c r="E257" s="57">
        <f>IFERROR(VLOOKUP(B257, Proof!A$2:$B$199,2, 0), 0)</f>
        <v>0</v>
      </c>
      <c r="F257" s="58">
        <f>IFERROR(VLOOKUP(B257, 'HMMTPUMaC Algebra'!A$2:$B$500,2, 0), 0)</f>
        <v>0</v>
      </c>
      <c r="G257" s="53">
        <f>IFERROR(VLOOKUP(B257, 'HMMTPUMaC Combo'!A$2:$B$500,2, 0), 0)</f>
        <v>0</v>
      </c>
      <c r="H257" s="66">
        <f>IFERROR(VLOOKUP(B257, 'HMMTPUMaC Algebra'!A$2:$B$198,2, 0), 0)</f>
        <v>0</v>
      </c>
      <c r="I257" s="53">
        <f>IFERROR(VLOOKUP(B257, 'HMMTPUMaC NT'!A$2:$B$500,2, 0), 0)</f>
        <v>0</v>
      </c>
      <c r="J257" s="53">
        <f>IFERROR(VLOOKUP(B257, 'HMMT 1 Real'!$A$2:B$198,2, 0), 0)</f>
        <v>0</v>
      </c>
      <c r="K257" s="66">
        <f>IFERROR(VLOOKUP(B257, 'HMMT 2 Real'!$A$2:C$198,2, 0), 0)</f>
        <v>0</v>
      </c>
    </row>
    <row r="258">
      <c r="A258" s="65">
        <f t="shared" si="1"/>
        <v>257</v>
      </c>
      <c r="B258" s="7" t="s">
        <v>151</v>
      </c>
      <c r="C258" s="53">
        <f t="shared" si="6"/>
        <v>0</v>
      </c>
      <c r="D258" s="53">
        <f t="shared" si="3"/>
        <v>0</v>
      </c>
      <c r="E258" s="57">
        <f>IFERROR(VLOOKUP(B258, Proof!A$2:$B$199,2, 0), 0)</f>
        <v>0</v>
      </c>
      <c r="F258" s="58">
        <f>IFERROR(VLOOKUP(B258, 'HMMTPUMaC Algebra'!A$2:$B$500,2, 0), 0)</f>
        <v>0</v>
      </c>
      <c r="G258" s="53">
        <f>IFERROR(VLOOKUP(B258, 'HMMTPUMaC Combo'!A$2:$B$500,2, 0), 0)</f>
        <v>0</v>
      </c>
      <c r="H258" s="66">
        <f>IFERROR(VLOOKUP(B258, 'HMMTPUMaC Algebra'!A$2:$B$198,2, 0), 0)</f>
        <v>0</v>
      </c>
      <c r="I258" s="53">
        <f>IFERROR(VLOOKUP(B258, 'HMMTPUMaC NT'!A$2:$B$500,2, 0), 0)</f>
        <v>0</v>
      </c>
      <c r="J258" s="53">
        <f>IFERROR(VLOOKUP(B258, 'HMMT 1 Real'!$A$2:B$198,2, 0), 0)</f>
        <v>0</v>
      </c>
      <c r="K258" s="66">
        <f>IFERROR(VLOOKUP(B258, 'HMMT 2 Real'!$A$2:C$198,2, 0), 0)</f>
        <v>0</v>
      </c>
    </row>
    <row r="259">
      <c r="A259" s="65">
        <f t="shared" si="1"/>
        <v>258</v>
      </c>
      <c r="B259" s="7" t="s">
        <v>493</v>
      </c>
      <c r="C259" s="53">
        <f t="shared" si="6"/>
        <v>0</v>
      </c>
      <c r="D259" s="53">
        <f t="shared" si="3"/>
        <v>0</v>
      </c>
      <c r="E259" s="57">
        <f>IFERROR(VLOOKUP(B259, Proof!A$2:$B$199,2, 0), 0)</f>
        <v>0</v>
      </c>
      <c r="F259" s="58">
        <f>IFERROR(VLOOKUP(B259, 'HMMTPUMaC Algebra'!A$2:$B$500,2, 0), 0)</f>
        <v>0</v>
      </c>
      <c r="G259" s="53">
        <f>IFERROR(VLOOKUP(B259, 'HMMTPUMaC Combo'!A$2:$B$500,2, 0), 0)</f>
        <v>0</v>
      </c>
      <c r="H259" s="66">
        <f>IFERROR(VLOOKUP(B259, 'HMMTPUMaC Algebra'!A$2:$B$198,2, 0), 0)</f>
        <v>0</v>
      </c>
      <c r="I259" s="53">
        <f>IFERROR(VLOOKUP(B259, 'HMMTPUMaC NT'!A$2:$B$500,2, 0), 0)</f>
        <v>0</v>
      </c>
      <c r="J259" s="53">
        <f>IFERROR(VLOOKUP(B259, 'HMMT 1 Real'!$A$2:B$198,2, 0), 0)</f>
        <v>0</v>
      </c>
      <c r="K259" s="66">
        <f>IFERROR(VLOOKUP(B259, 'HMMT 2 Real'!$A$2:C$198,2, 0), 0)</f>
        <v>0</v>
      </c>
    </row>
    <row r="260">
      <c r="A260" s="65">
        <f t="shared" si="1"/>
        <v>259</v>
      </c>
      <c r="B260" s="7" t="s">
        <v>147</v>
      </c>
      <c r="C260" s="53">
        <f t="shared" si="6"/>
        <v>0</v>
      </c>
      <c r="D260" s="53">
        <f t="shared" si="3"/>
        <v>0</v>
      </c>
      <c r="E260" s="57">
        <f>IFERROR(VLOOKUP(B260, Proof!A$2:$B$199,2, 0), 0)</f>
        <v>0</v>
      </c>
      <c r="F260" s="58">
        <f>IFERROR(VLOOKUP(B260, 'HMMTPUMaC Algebra'!A$2:$B$500,2, 0), 0)</f>
        <v>0</v>
      </c>
      <c r="G260" s="53">
        <f>IFERROR(VLOOKUP(B260, 'HMMTPUMaC Combo'!A$2:$B$500,2, 0), 0)</f>
        <v>0</v>
      </c>
      <c r="H260" s="66">
        <f>IFERROR(VLOOKUP(B260, 'HMMTPUMaC Algebra'!A$2:$B$198,2, 0), 0)</f>
        <v>0</v>
      </c>
      <c r="I260" s="53">
        <f>IFERROR(VLOOKUP(B260, 'HMMTPUMaC NT'!A$2:$B$500,2, 0), 0)</f>
        <v>0</v>
      </c>
      <c r="J260" s="53">
        <f>IFERROR(VLOOKUP(B260, 'HMMT 1 Real'!$A$2:B$198,2, 0), 0)</f>
        <v>0</v>
      </c>
      <c r="K260" s="66">
        <f>IFERROR(VLOOKUP(B260, 'HMMT 2 Real'!$A$2:C$198,2, 0), 0)</f>
        <v>0</v>
      </c>
    </row>
    <row r="261">
      <c r="A261" s="65">
        <f t="shared" si="1"/>
        <v>260</v>
      </c>
      <c r="B261" s="7" t="s">
        <v>485</v>
      </c>
      <c r="C261" s="53">
        <f t="shared" si="6"/>
        <v>0</v>
      </c>
      <c r="D261" s="53">
        <f t="shared" si="3"/>
        <v>0</v>
      </c>
      <c r="E261" s="57">
        <f>IFERROR(VLOOKUP(B261, Proof!A$2:$B$199,2, 0), 0)</f>
        <v>0</v>
      </c>
      <c r="F261" s="58">
        <f>IFERROR(VLOOKUP(B261, 'HMMTPUMaC Algebra'!A$2:$B$500,2, 0), 0)</f>
        <v>0</v>
      </c>
      <c r="G261" s="53">
        <f>IFERROR(VLOOKUP(B261, 'HMMTPUMaC Combo'!A$2:$B$500,2, 0), 0)</f>
        <v>0</v>
      </c>
      <c r="H261" s="66">
        <f>IFERROR(VLOOKUP(B261, 'HMMTPUMaC Algebra'!A$2:$B$198,2, 0), 0)</f>
        <v>0</v>
      </c>
      <c r="I261" s="53">
        <f>IFERROR(VLOOKUP(B261, 'HMMTPUMaC NT'!A$2:$B$500,2, 0), 0)</f>
        <v>0</v>
      </c>
      <c r="J261" s="53">
        <f>IFERROR(VLOOKUP(B261, 'HMMT 1 Real'!$A$2:B$198,2, 0), 0)</f>
        <v>0</v>
      </c>
      <c r="K261" s="66">
        <f>IFERROR(VLOOKUP(B261, 'HMMT 2 Real'!$A$2:C$198,2, 0), 0)</f>
        <v>0</v>
      </c>
    </row>
    <row r="262">
      <c r="A262" s="65">
        <f t="shared" si="1"/>
        <v>261</v>
      </c>
      <c r="B262" s="7" t="s">
        <v>454</v>
      </c>
      <c r="C262" s="53">
        <f t="shared" si="6"/>
        <v>0</v>
      </c>
      <c r="D262" s="53">
        <f t="shared" si="3"/>
        <v>0</v>
      </c>
      <c r="E262" s="57">
        <f>IFERROR(VLOOKUP(B262, Proof!A$2:$B$199,2, 0), 0)</f>
        <v>0</v>
      </c>
      <c r="F262" s="58">
        <f>IFERROR(VLOOKUP(B262, 'HMMTPUMaC Algebra'!A$2:$B$500,2, 0), 0)</f>
        <v>0</v>
      </c>
      <c r="G262" s="53">
        <f>IFERROR(VLOOKUP(B262, 'HMMTPUMaC Combo'!A$2:$B$500,2, 0), 0)</f>
        <v>0</v>
      </c>
      <c r="H262" s="66">
        <f>IFERROR(VLOOKUP(B262, 'HMMTPUMaC Algebra'!A$2:$B$198,2, 0), 0)</f>
        <v>0</v>
      </c>
      <c r="I262" s="53">
        <f>IFERROR(VLOOKUP(B262, 'HMMTPUMaC NT'!A$2:$B$500,2, 0), 0)</f>
        <v>0</v>
      </c>
      <c r="J262" s="53">
        <f>IFERROR(VLOOKUP(B262, 'HMMT 1 Real'!$A$2:B$198,2, 0), 0)</f>
        <v>0</v>
      </c>
      <c r="K262" s="66">
        <f>IFERROR(VLOOKUP(B262, 'HMMT 2 Real'!$A$2:C$198,2, 0), 0)</f>
        <v>0</v>
      </c>
    </row>
    <row r="263">
      <c r="A263" s="65">
        <f t="shared" si="1"/>
        <v>262</v>
      </c>
      <c r="B263" s="7" t="s">
        <v>463</v>
      </c>
      <c r="C263" s="53">
        <f t="shared" si="6"/>
        <v>0</v>
      </c>
      <c r="D263" s="53">
        <f t="shared" si="3"/>
        <v>0</v>
      </c>
      <c r="E263" s="57">
        <f>IFERROR(VLOOKUP(B263, Proof!A$2:$B$199,2, 0), 0)</f>
        <v>0</v>
      </c>
      <c r="F263" s="58">
        <f>IFERROR(VLOOKUP(B263, 'HMMTPUMaC Algebra'!A$2:$B$500,2, 0), 0)</f>
        <v>0</v>
      </c>
      <c r="G263" s="53">
        <f>IFERROR(VLOOKUP(B263, 'HMMTPUMaC Combo'!A$2:$B$500,2, 0), 0)</f>
        <v>0</v>
      </c>
      <c r="H263" s="66">
        <f>IFERROR(VLOOKUP(B263, 'HMMTPUMaC Algebra'!A$2:$B$198,2, 0), 0)</f>
        <v>0</v>
      </c>
      <c r="I263" s="53">
        <f>IFERROR(VLOOKUP(B263, 'HMMTPUMaC NT'!A$2:$B$500,2, 0), 0)</f>
        <v>0</v>
      </c>
      <c r="J263" s="53">
        <f>IFERROR(VLOOKUP(B263, 'HMMT 1 Real'!$A$2:B$198,2, 0), 0)</f>
        <v>0</v>
      </c>
      <c r="K263" s="66">
        <f>IFERROR(VLOOKUP(B263, 'HMMT 2 Real'!$A$2:C$198,2, 0), 0)</f>
        <v>0</v>
      </c>
    </row>
    <row r="264">
      <c r="A264" s="65">
        <f t="shared" si="1"/>
        <v>263</v>
      </c>
      <c r="B264" s="7" t="s">
        <v>482</v>
      </c>
      <c r="C264" s="53">
        <f t="shared" si="6"/>
        <v>0</v>
      </c>
      <c r="D264" s="53">
        <f t="shared" si="3"/>
        <v>0</v>
      </c>
      <c r="E264" s="57">
        <f>IFERROR(VLOOKUP(B264, Proof!A$2:$B$199,2, 0), 0)</f>
        <v>0</v>
      </c>
      <c r="F264" s="58">
        <f>IFERROR(VLOOKUP(B264, 'HMMTPUMaC Algebra'!A$2:$B$500,2, 0), 0)</f>
        <v>0</v>
      </c>
      <c r="G264" s="53">
        <f>IFERROR(VLOOKUP(B264, 'HMMTPUMaC Combo'!A$2:$B$500,2, 0), 0)</f>
        <v>0</v>
      </c>
      <c r="H264" s="66">
        <f>IFERROR(VLOOKUP(B264, 'HMMTPUMaC Algebra'!A$2:$B$198,2, 0), 0)</f>
        <v>0</v>
      </c>
      <c r="I264" s="53">
        <f>IFERROR(VLOOKUP(B264, 'HMMTPUMaC NT'!A$2:$B$500,2, 0), 0)</f>
        <v>0</v>
      </c>
      <c r="J264" s="53">
        <f>IFERROR(VLOOKUP(B264, 'HMMT 1 Real'!$A$2:B$198,2, 0), 0)</f>
        <v>0</v>
      </c>
      <c r="K264" s="66">
        <f>IFERROR(VLOOKUP(B264, 'HMMT 2 Real'!$A$2:C$198,2, 0), 0)</f>
        <v>0</v>
      </c>
    </row>
    <row r="265">
      <c r="A265" s="65">
        <f t="shared" si="1"/>
        <v>264</v>
      </c>
      <c r="B265" s="7" t="s">
        <v>457</v>
      </c>
      <c r="C265" s="53">
        <f t="shared" si="6"/>
        <v>0</v>
      </c>
      <c r="D265" s="53">
        <f t="shared" si="3"/>
        <v>0</v>
      </c>
      <c r="E265" s="57">
        <f>IFERROR(VLOOKUP(B265, Proof!A$2:$B$199,2, 0), 0)</f>
        <v>0</v>
      </c>
      <c r="F265" s="58">
        <f>IFERROR(VLOOKUP(B265, 'HMMTPUMaC Algebra'!A$2:$B$500,2, 0), 0)</f>
        <v>0</v>
      </c>
      <c r="G265" s="53">
        <f>IFERROR(VLOOKUP(B265, 'HMMTPUMaC Combo'!A$2:$B$500,2, 0), 0)</f>
        <v>0</v>
      </c>
      <c r="H265" s="66">
        <f>IFERROR(VLOOKUP(B265, 'HMMTPUMaC Algebra'!A$2:$B$198,2, 0), 0)</f>
        <v>0</v>
      </c>
      <c r="I265" s="53">
        <f>IFERROR(VLOOKUP(B265, 'HMMTPUMaC NT'!A$2:$B$500,2, 0), 0)</f>
        <v>0</v>
      </c>
      <c r="J265" s="53">
        <f>IFERROR(VLOOKUP(B265, 'HMMT 1 Real'!$A$2:B$198,2, 0), 0)</f>
        <v>0</v>
      </c>
      <c r="K265" s="66">
        <f>IFERROR(VLOOKUP(B265, 'HMMT 2 Real'!$A$2:C$198,2, 0), 0)</f>
        <v>0</v>
      </c>
    </row>
    <row r="266">
      <c r="A266" s="65">
        <f t="shared" si="1"/>
        <v>265</v>
      </c>
      <c r="B266" s="7" t="s">
        <v>104</v>
      </c>
      <c r="C266" s="53">
        <f t="shared" si="6"/>
        <v>0</v>
      </c>
      <c r="D266" s="53">
        <f t="shared" si="3"/>
        <v>0</v>
      </c>
      <c r="E266" s="57">
        <f>IFERROR(VLOOKUP(B266, Proof!A$2:$B$199,2, 0), 0)</f>
        <v>0</v>
      </c>
      <c r="F266" s="58">
        <f>IFERROR(VLOOKUP(B266, 'HMMTPUMaC Algebra'!A$2:$B$500,2, 0), 0)</f>
        <v>0</v>
      </c>
      <c r="G266" s="53">
        <f>IFERROR(VLOOKUP(B266, 'HMMTPUMaC Combo'!A$2:$B$500,2, 0), 0)</f>
        <v>0</v>
      </c>
      <c r="H266" s="66">
        <f>IFERROR(VLOOKUP(B266, 'HMMTPUMaC Algebra'!A$2:$B$198,2, 0), 0)</f>
        <v>0</v>
      </c>
      <c r="I266" s="53">
        <f>IFERROR(VLOOKUP(B266, 'HMMTPUMaC NT'!A$2:$B$500,2, 0), 0)</f>
        <v>0</v>
      </c>
      <c r="J266" s="53">
        <f>IFERROR(VLOOKUP(B266, 'HMMT 1 Real'!$A$2:B$198,2, 0), 0)</f>
        <v>0</v>
      </c>
      <c r="K266" s="66">
        <f>IFERROR(VLOOKUP(B266, 'HMMT 2 Real'!$A$2:C$198,2, 0), 0)</f>
        <v>0</v>
      </c>
    </row>
    <row r="267">
      <c r="A267" s="65">
        <f t="shared" si="1"/>
        <v>266</v>
      </c>
      <c r="B267" s="7" t="s">
        <v>133</v>
      </c>
      <c r="C267" s="53">
        <f t="shared" si="6"/>
        <v>0</v>
      </c>
      <c r="D267" s="53">
        <f t="shared" si="3"/>
        <v>0</v>
      </c>
      <c r="E267" s="57">
        <f>IFERROR(VLOOKUP(B267, Proof!A$2:$B$199,2, 0), 0)</f>
        <v>0</v>
      </c>
      <c r="F267" s="58">
        <f>IFERROR(VLOOKUP(B267, 'HMMTPUMaC Algebra'!A$2:$B$500,2, 0), 0)</f>
        <v>0</v>
      </c>
      <c r="G267" s="53">
        <f>IFERROR(VLOOKUP(B267, 'HMMTPUMaC Combo'!A$2:$B$500,2, 0), 0)</f>
        <v>0</v>
      </c>
      <c r="H267" s="66">
        <f>IFERROR(VLOOKUP(B267, 'HMMTPUMaC Algebra'!A$2:$B$198,2, 0), 0)</f>
        <v>0</v>
      </c>
      <c r="I267" s="53">
        <f>IFERROR(VLOOKUP(B267, 'HMMTPUMaC NT'!A$2:$B$500,2, 0), 0)</f>
        <v>0</v>
      </c>
      <c r="J267" s="53">
        <f>IFERROR(VLOOKUP(B267, 'HMMT 1 Real'!$A$2:B$198,2, 0), 0)</f>
        <v>0</v>
      </c>
      <c r="K267" s="66">
        <f>IFERROR(VLOOKUP(B267, 'HMMT 2 Real'!$A$2:C$198,2, 0), 0)</f>
        <v>0</v>
      </c>
    </row>
    <row r="268">
      <c r="A268" s="65">
        <f t="shared" si="1"/>
        <v>267</v>
      </c>
      <c r="B268" s="7" t="s">
        <v>458</v>
      </c>
      <c r="C268" s="53">
        <f t="shared" si="6"/>
        <v>0</v>
      </c>
      <c r="D268" s="53">
        <f t="shared" si="3"/>
        <v>0</v>
      </c>
      <c r="E268" s="57">
        <f>IFERROR(VLOOKUP(B268, Proof!A$2:$B$199,2, 0), 0)</f>
        <v>0</v>
      </c>
      <c r="F268" s="58">
        <f>IFERROR(VLOOKUP(B268, 'HMMTPUMaC Algebra'!A$2:$B$500,2, 0), 0)</f>
        <v>0</v>
      </c>
      <c r="G268" s="53">
        <f>IFERROR(VLOOKUP(B268, 'HMMTPUMaC Combo'!A$2:$B$500,2, 0), 0)</f>
        <v>0</v>
      </c>
      <c r="H268" s="66">
        <f>IFERROR(VLOOKUP(B268, 'HMMTPUMaC Algebra'!A$2:$B$198,2, 0), 0)</f>
        <v>0</v>
      </c>
      <c r="I268" s="53">
        <f>IFERROR(VLOOKUP(B268, 'HMMTPUMaC NT'!A$2:$B$500,2, 0), 0)</f>
        <v>0</v>
      </c>
      <c r="J268" s="53">
        <f>IFERROR(VLOOKUP(B268, 'HMMT 1 Real'!$A$2:B$198,2, 0), 0)</f>
        <v>0</v>
      </c>
      <c r="K268" s="66">
        <f>IFERROR(VLOOKUP(B268, 'HMMT 2 Real'!$A$2:C$198,2, 0), 0)</f>
        <v>0</v>
      </c>
    </row>
    <row r="269">
      <c r="A269" s="65">
        <f t="shared" si="1"/>
        <v>268</v>
      </c>
      <c r="B269" s="7" t="s">
        <v>241</v>
      </c>
      <c r="C269" s="53">
        <f t="shared" si="6"/>
        <v>0</v>
      </c>
      <c r="D269" s="53">
        <f t="shared" si="3"/>
        <v>0</v>
      </c>
      <c r="E269" s="57">
        <f>IFERROR(VLOOKUP(B269, Proof!A$2:$B$199,2, 0), 0)</f>
        <v>0</v>
      </c>
      <c r="F269" s="58">
        <f>IFERROR(VLOOKUP(B269, 'HMMTPUMaC Algebra'!A$2:$B$500,2, 0), 0)</f>
        <v>0</v>
      </c>
      <c r="G269" s="53">
        <f>IFERROR(VLOOKUP(B269, 'HMMTPUMaC Combo'!A$2:$B$500,2, 0), 0)</f>
        <v>0</v>
      </c>
      <c r="H269" s="66">
        <f>IFERROR(VLOOKUP(B269, 'HMMTPUMaC Algebra'!A$2:$B$198,2, 0), 0)</f>
        <v>0</v>
      </c>
      <c r="I269" s="53">
        <f>IFERROR(VLOOKUP(B269, 'HMMTPUMaC NT'!A$2:$B$500,2, 0), 0)</f>
        <v>0</v>
      </c>
      <c r="J269" s="53">
        <f>IFERROR(VLOOKUP(B269, 'HMMT 1 Real'!$A$2:B$198,2, 0), 0)</f>
        <v>0</v>
      </c>
      <c r="K269" s="66">
        <f>IFERROR(VLOOKUP(B269, 'HMMT 2 Real'!$A$2:C$198,2, 0), 0)</f>
        <v>0</v>
      </c>
    </row>
    <row r="270">
      <c r="A270" s="65">
        <f t="shared" si="1"/>
        <v>269</v>
      </c>
      <c r="B270" s="7" t="s">
        <v>478</v>
      </c>
      <c r="C270" s="53">
        <f t="shared" si="6"/>
        <v>0</v>
      </c>
      <c r="D270" s="53">
        <f t="shared" si="3"/>
        <v>0</v>
      </c>
      <c r="E270" s="57">
        <f>IFERROR(VLOOKUP(B270, Proof!A$2:$B$199,2, 0), 0)</f>
        <v>0</v>
      </c>
      <c r="F270" s="58">
        <f>IFERROR(VLOOKUP(B270, 'HMMTPUMaC Algebra'!A$2:$B$500,2, 0), 0)</f>
        <v>0</v>
      </c>
      <c r="G270" s="53">
        <f>IFERROR(VLOOKUP(B270, 'HMMTPUMaC Combo'!A$2:$B$500,2, 0), 0)</f>
        <v>0</v>
      </c>
      <c r="H270" s="66">
        <f>IFERROR(VLOOKUP(B270, 'HMMTPUMaC Algebra'!A$2:$B$198,2, 0), 0)</f>
        <v>0</v>
      </c>
      <c r="I270" s="53">
        <f>IFERROR(VLOOKUP(B270, 'HMMTPUMaC NT'!A$2:$B$500,2, 0), 0)</f>
        <v>0</v>
      </c>
      <c r="J270" s="53">
        <f>IFERROR(VLOOKUP(B270, 'HMMT 1 Real'!$A$2:B$198,2, 0), 0)</f>
        <v>0</v>
      </c>
      <c r="K270" s="66">
        <f>IFERROR(VLOOKUP(B270, 'HMMT 2 Real'!$A$2:C$198,2, 0), 0)</f>
        <v>0</v>
      </c>
    </row>
    <row r="271">
      <c r="A271" s="65">
        <f t="shared" si="1"/>
        <v>270</v>
      </c>
      <c r="B271" s="7" t="s">
        <v>112</v>
      </c>
      <c r="C271" s="53">
        <f t="shared" si="6"/>
        <v>0</v>
      </c>
      <c r="D271" s="53">
        <f t="shared" si="3"/>
        <v>0</v>
      </c>
      <c r="E271" s="57">
        <f>IFERROR(VLOOKUP(B271, Proof!A$2:$B$199,2, 0), 0)</f>
        <v>0</v>
      </c>
      <c r="F271" s="58">
        <f>IFERROR(VLOOKUP(B271, 'HMMTPUMaC Algebra'!A$2:$B$500,2, 0), 0)</f>
        <v>0</v>
      </c>
      <c r="G271" s="53">
        <f>IFERROR(VLOOKUP(B271, 'HMMTPUMaC Combo'!A$2:$B$500,2, 0), 0)</f>
        <v>0</v>
      </c>
      <c r="H271" s="66">
        <f>IFERROR(VLOOKUP(B271, 'HMMTPUMaC Algebra'!A$2:$B$198,2, 0), 0)</f>
        <v>0</v>
      </c>
      <c r="I271" s="53">
        <f>IFERROR(VLOOKUP(B271, 'HMMTPUMaC NT'!A$2:$B$500,2, 0), 0)</f>
        <v>0</v>
      </c>
      <c r="J271" s="53">
        <f>IFERROR(VLOOKUP(B271, 'HMMT 1 Real'!$A$2:B$198,2, 0), 0)</f>
        <v>0</v>
      </c>
      <c r="K271" s="66">
        <f>IFERROR(VLOOKUP(B271, 'HMMT 2 Real'!$A$2:C$198,2, 0), 0)</f>
        <v>0</v>
      </c>
    </row>
    <row r="272">
      <c r="A272" s="65">
        <f t="shared" si="1"/>
        <v>271</v>
      </c>
      <c r="B272" s="7" t="s">
        <v>113</v>
      </c>
      <c r="C272" s="53">
        <f t="shared" si="6"/>
        <v>0</v>
      </c>
      <c r="D272" s="53">
        <f t="shared" si="3"/>
        <v>0</v>
      </c>
      <c r="E272" s="57">
        <f>IFERROR(VLOOKUP(B272, Proof!A$2:$B$199,2, 0), 0)</f>
        <v>0</v>
      </c>
      <c r="F272" s="58">
        <f>IFERROR(VLOOKUP(B272, 'HMMTPUMaC Algebra'!A$2:$B$500,2, 0), 0)</f>
        <v>0</v>
      </c>
      <c r="G272" s="53">
        <f>IFERROR(VLOOKUP(B272, 'HMMTPUMaC Combo'!A$2:$B$500,2, 0), 0)</f>
        <v>0</v>
      </c>
      <c r="H272" s="66">
        <f>IFERROR(VLOOKUP(B272, 'HMMTPUMaC Algebra'!A$2:$B$198,2, 0), 0)</f>
        <v>0</v>
      </c>
      <c r="I272" s="53">
        <f>IFERROR(VLOOKUP(B272, 'HMMTPUMaC NT'!A$2:$B$500,2, 0), 0)</f>
        <v>0</v>
      </c>
      <c r="J272" s="53">
        <f>IFERROR(VLOOKUP(B272, 'HMMT 1 Real'!$A$2:B$198,2, 0), 0)</f>
        <v>0</v>
      </c>
      <c r="K272" s="66">
        <f>IFERROR(VLOOKUP(B272, 'HMMT 2 Real'!$A$2:C$198,2, 0), 0)</f>
        <v>0</v>
      </c>
    </row>
    <row r="273">
      <c r="A273" s="65">
        <f t="shared" si="1"/>
        <v>272</v>
      </c>
      <c r="B273" s="7" t="s">
        <v>484</v>
      </c>
      <c r="C273" s="53">
        <f t="shared" si="6"/>
        <v>0</v>
      </c>
      <c r="D273" s="53">
        <f t="shared" si="3"/>
        <v>0</v>
      </c>
      <c r="E273" s="57">
        <f>IFERROR(VLOOKUP(B273, Proof!A$2:$B$199,2, 0), 0)</f>
        <v>0</v>
      </c>
      <c r="F273" s="58">
        <f>IFERROR(VLOOKUP(B273, 'HMMTPUMaC Algebra'!A$2:$B$500,2, 0), 0)</f>
        <v>0</v>
      </c>
      <c r="G273" s="53">
        <f>IFERROR(VLOOKUP(B273, 'HMMTPUMaC Combo'!A$2:$B$500,2, 0), 0)</f>
        <v>0</v>
      </c>
      <c r="H273" s="66">
        <f>IFERROR(VLOOKUP(B273, 'HMMTPUMaC Algebra'!A$2:$B$198,2, 0), 0)</f>
        <v>0</v>
      </c>
      <c r="I273" s="53">
        <f>IFERROR(VLOOKUP(B273, 'HMMTPUMaC NT'!A$2:$B$500,2, 0), 0)</f>
        <v>0</v>
      </c>
      <c r="J273" s="53">
        <f>IFERROR(VLOOKUP(B273, 'HMMT 1 Real'!$A$2:B$198,2, 0), 0)</f>
        <v>0</v>
      </c>
      <c r="K273" s="66">
        <f>IFERROR(VLOOKUP(B273, 'HMMT 2 Real'!$A$2:C$198,2, 0), 0)</f>
        <v>0</v>
      </c>
    </row>
    <row r="274">
      <c r="A274" s="65">
        <f t="shared" si="1"/>
        <v>273</v>
      </c>
      <c r="B274" s="7" t="s">
        <v>126</v>
      </c>
      <c r="C274" s="53">
        <f t="shared" si="6"/>
        <v>0</v>
      </c>
      <c r="D274" s="53">
        <f t="shared" si="3"/>
        <v>0</v>
      </c>
      <c r="E274" s="57">
        <f>IFERROR(VLOOKUP(B274, Proof!A$2:$B$199,2, 0), 0)</f>
        <v>0</v>
      </c>
      <c r="F274" s="58">
        <f>IFERROR(VLOOKUP(B274, 'HMMTPUMaC Algebra'!A$2:$B$500,2, 0), 0)</f>
        <v>0</v>
      </c>
      <c r="G274" s="53">
        <f>IFERROR(VLOOKUP(B274, 'HMMTPUMaC Combo'!A$2:$B$500,2, 0), 0)</f>
        <v>0</v>
      </c>
      <c r="H274" s="66">
        <f>IFERROR(VLOOKUP(B274, 'HMMTPUMaC Algebra'!A$2:$B$198,2, 0), 0)</f>
        <v>0</v>
      </c>
      <c r="I274" s="53">
        <f>IFERROR(VLOOKUP(B274, 'HMMTPUMaC NT'!A$2:$B$500,2, 0), 0)</f>
        <v>0</v>
      </c>
      <c r="J274" s="53">
        <f>IFERROR(VLOOKUP(B274, 'HMMT 1 Real'!$A$2:B$198,2, 0), 0)</f>
        <v>0</v>
      </c>
      <c r="K274" s="66">
        <f>IFERROR(VLOOKUP(B274, 'HMMT 2 Real'!$A$2:C$198,2, 0), 0)</f>
        <v>0</v>
      </c>
    </row>
    <row r="275">
      <c r="A275" s="65">
        <f t="shared" si="1"/>
        <v>274</v>
      </c>
      <c r="B275" s="7" t="s">
        <v>244</v>
      </c>
      <c r="C275" s="53">
        <f t="shared" si="6"/>
        <v>0</v>
      </c>
      <c r="D275" s="53">
        <f t="shared" si="3"/>
        <v>0</v>
      </c>
      <c r="E275" s="57">
        <f>IFERROR(VLOOKUP(B275, Proof!A$2:$B$199,2, 0), 0)</f>
        <v>0</v>
      </c>
      <c r="F275" s="58">
        <f>IFERROR(VLOOKUP(B275, 'HMMTPUMaC Algebra'!A$2:$B$500,2, 0), 0)</f>
        <v>0</v>
      </c>
      <c r="G275" s="53">
        <f>IFERROR(VLOOKUP(B275, 'HMMTPUMaC Combo'!A$2:$B$500,2, 0), 0)</f>
        <v>0</v>
      </c>
      <c r="H275" s="66">
        <f>IFERROR(VLOOKUP(B275, 'HMMTPUMaC Algebra'!A$2:$B$198,2, 0), 0)</f>
        <v>0</v>
      </c>
      <c r="I275" s="53">
        <f>IFERROR(VLOOKUP(B275, 'HMMTPUMaC NT'!A$2:$B$500,2, 0), 0)</f>
        <v>0</v>
      </c>
      <c r="J275" s="53">
        <f>IFERROR(VLOOKUP(B275, 'HMMT 1 Real'!$A$2:B$198,2, 0), 0)</f>
        <v>0</v>
      </c>
      <c r="K275" s="66">
        <f>IFERROR(VLOOKUP(B275, 'HMMT 2 Real'!$A$2:C$198,2, 0), 0)</f>
        <v>0</v>
      </c>
    </row>
    <row r="276">
      <c r="A276" s="65">
        <f t="shared" si="1"/>
        <v>275</v>
      </c>
      <c r="B276" s="7" t="s">
        <v>459</v>
      </c>
      <c r="C276" s="53">
        <f t="shared" si="6"/>
        <v>0</v>
      </c>
      <c r="D276" s="53">
        <f t="shared" si="3"/>
        <v>0</v>
      </c>
      <c r="E276" s="57">
        <f>IFERROR(VLOOKUP(B276, Proof!A$2:$B$199,2, 0), 0)</f>
        <v>0</v>
      </c>
      <c r="F276" s="58">
        <f>IFERROR(VLOOKUP(B276, 'HMMTPUMaC Algebra'!A$2:$B$500,2, 0), 0)</f>
        <v>0</v>
      </c>
      <c r="G276" s="53">
        <f>IFERROR(VLOOKUP(B276, 'HMMTPUMaC Combo'!A$2:$B$500,2, 0), 0)</f>
        <v>0</v>
      </c>
      <c r="H276" s="66">
        <f>IFERROR(VLOOKUP(B276, 'HMMTPUMaC Algebra'!A$2:$B$198,2, 0), 0)</f>
        <v>0</v>
      </c>
      <c r="I276" s="53">
        <f>IFERROR(VLOOKUP(B276, 'HMMTPUMaC NT'!A$2:$B$500,2, 0), 0)</f>
        <v>0</v>
      </c>
      <c r="J276" s="53">
        <f>IFERROR(VLOOKUP(B276, 'HMMT 1 Real'!$A$2:B$198,2, 0), 0)</f>
        <v>0</v>
      </c>
      <c r="K276" s="66">
        <f>IFERROR(VLOOKUP(B276, 'HMMT 2 Real'!$A$2:C$198,2, 0), 0)</f>
        <v>0</v>
      </c>
    </row>
    <row r="277">
      <c r="A277" s="65">
        <f t="shared" si="1"/>
        <v>276</v>
      </c>
      <c r="B277" s="7" t="s">
        <v>109</v>
      </c>
      <c r="C277" s="53">
        <f t="shared" si="6"/>
        <v>0</v>
      </c>
      <c r="D277" s="53">
        <f t="shared" si="3"/>
        <v>0</v>
      </c>
      <c r="E277" s="57">
        <f>IFERROR(VLOOKUP(B277, Proof!A$2:$B$199,2, 0), 0)</f>
        <v>0</v>
      </c>
      <c r="F277" s="58">
        <f>IFERROR(VLOOKUP(B277, 'HMMTPUMaC Algebra'!A$2:$B$500,2, 0), 0)</f>
        <v>0</v>
      </c>
      <c r="G277" s="53">
        <f>IFERROR(VLOOKUP(B277, 'HMMTPUMaC Combo'!A$2:$B$500,2, 0), 0)</f>
        <v>0</v>
      </c>
      <c r="H277" s="66">
        <f>IFERROR(VLOOKUP(B277, 'HMMTPUMaC Algebra'!A$2:$B$198,2, 0), 0)</f>
        <v>0</v>
      </c>
      <c r="I277" s="53">
        <f>IFERROR(VLOOKUP(B277, 'HMMTPUMaC NT'!A$2:$B$500,2, 0), 0)</f>
        <v>0</v>
      </c>
      <c r="J277" s="53">
        <f>IFERROR(VLOOKUP(B277, 'HMMT 1 Real'!$A$2:B$198,2, 0), 0)</f>
        <v>0</v>
      </c>
      <c r="K277" s="66">
        <f>IFERROR(VLOOKUP(B277, 'HMMT 2 Real'!$A$2:C$198,2, 0), 0)</f>
        <v>0</v>
      </c>
    </row>
    <row r="278">
      <c r="A278" s="65">
        <f t="shared" si="1"/>
        <v>277</v>
      </c>
      <c r="B278" s="7" t="s">
        <v>461</v>
      </c>
      <c r="C278" s="53">
        <f t="shared" si="6"/>
        <v>0</v>
      </c>
      <c r="D278" s="53">
        <f t="shared" si="3"/>
        <v>0</v>
      </c>
      <c r="E278" s="57">
        <f>IFERROR(VLOOKUP(B278, Proof!A$2:$B$199,2, 0), 0)</f>
        <v>0</v>
      </c>
      <c r="F278" s="58">
        <f>IFERROR(VLOOKUP(B278, 'HMMTPUMaC Algebra'!A$2:$B$500,2, 0), 0)</f>
        <v>0</v>
      </c>
      <c r="G278" s="53">
        <f>IFERROR(VLOOKUP(B278, 'HMMTPUMaC Combo'!A$2:$B$500,2, 0), 0)</f>
        <v>0</v>
      </c>
      <c r="H278" s="66">
        <f>IFERROR(VLOOKUP(B278, 'HMMTPUMaC Algebra'!A$2:$B$198,2, 0), 0)</f>
        <v>0</v>
      </c>
      <c r="I278" s="53">
        <f>IFERROR(VLOOKUP(B278, 'HMMTPUMaC NT'!A$2:$B$500,2, 0), 0)</f>
        <v>0</v>
      </c>
      <c r="J278" s="53">
        <f>IFERROR(VLOOKUP(B278, 'HMMT 1 Real'!$A$2:B$198,2, 0), 0)</f>
        <v>0</v>
      </c>
      <c r="K278" s="66">
        <f>IFERROR(VLOOKUP(B278, 'HMMT 2 Real'!$A$2:C$198,2, 0), 0)</f>
        <v>0</v>
      </c>
    </row>
    <row r="279">
      <c r="A279" s="65">
        <f t="shared" si="1"/>
        <v>278</v>
      </c>
      <c r="B279" s="7" t="s">
        <v>489</v>
      </c>
      <c r="C279" s="53">
        <f t="shared" si="6"/>
        <v>0</v>
      </c>
      <c r="D279" s="53">
        <f t="shared" si="3"/>
        <v>0</v>
      </c>
      <c r="E279" s="57">
        <f>IFERROR(VLOOKUP(B279, Proof!A$2:$B$199,2, 0), 0)</f>
        <v>0</v>
      </c>
      <c r="F279" s="58">
        <f>IFERROR(VLOOKUP(B279, 'HMMTPUMaC Algebra'!A$2:$B$500,2, 0), 0)</f>
        <v>0</v>
      </c>
      <c r="G279" s="53">
        <f>IFERROR(VLOOKUP(B279, 'HMMTPUMaC Combo'!A$2:$B$500,2, 0), 0)</f>
        <v>0</v>
      </c>
      <c r="H279" s="66">
        <f>IFERROR(VLOOKUP(B279, 'HMMTPUMaC Algebra'!A$2:$B$198,2, 0), 0)</f>
        <v>0</v>
      </c>
      <c r="I279" s="53">
        <f>IFERROR(VLOOKUP(B279, 'HMMTPUMaC NT'!A$2:$B$500,2, 0), 0)</f>
        <v>0</v>
      </c>
      <c r="J279" s="53">
        <f>IFERROR(VLOOKUP(B279, 'HMMT 1 Real'!$A$2:B$198,2, 0), 0)</f>
        <v>0</v>
      </c>
      <c r="K279" s="66">
        <f>IFERROR(VLOOKUP(B279, 'HMMT 2 Real'!$A$2:C$198,2, 0), 0)</f>
        <v>0</v>
      </c>
    </row>
    <row r="280">
      <c r="A280" s="65">
        <f t="shared" si="1"/>
        <v>279</v>
      </c>
      <c r="B280" s="7" t="s">
        <v>124</v>
      </c>
      <c r="C280" s="53">
        <f t="shared" si="6"/>
        <v>0</v>
      </c>
      <c r="D280" s="53">
        <f t="shared" si="3"/>
        <v>0</v>
      </c>
      <c r="E280" s="57">
        <f>IFERROR(VLOOKUP(B280, Proof!A$2:$B$199,2, 0), 0)</f>
        <v>0</v>
      </c>
      <c r="F280" s="58">
        <f>IFERROR(VLOOKUP(B280, 'HMMTPUMaC Algebra'!A$2:$B$500,2, 0), 0)</f>
        <v>0</v>
      </c>
      <c r="G280" s="53">
        <f>IFERROR(VLOOKUP(B280, 'HMMTPUMaC Combo'!A$2:$B$500,2, 0), 0)</f>
        <v>0</v>
      </c>
      <c r="H280" s="66">
        <f>IFERROR(VLOOKUP(B280, 'HMMTPUMaC Algebra'!A$2:$B$198,2, 0), 0)</f>
        <v>0</v>
      </c>
      <c r="I280" s="53">
        <f>IFERROR(VLOOKUP(B280, 'HMMTPUMaC NT'!A$2:$B$500,2, 0), 0)</f>
        <v>0</v>
      </c>
      <c r="J280" s="53">
        <f>IFERROR(VLOOKUP(B280, 'HMMT 1 Real'!$A$2:B$198,2, 0), 0)</f>
        <v>0</v>
      </c>
      <c r="K280" s="66">
        <f>IFERROR(VLOOKUP(B280, 'HMMT 2 Real'!$A$2:C$198,2, 0), 0)</f>
        <v>0</v>
      </c>
    </row>
    <row r="281">
      <c r="A281" s="65">
        <f t="shared" si="1"/>
        <v>280</v>
      </c>
      <c r="B281" s="7" t="s">
        <v>446</v>
      </c>
      <c r="C281" s="53">
        <f t="shared" si="6"/>
        <v>0</v>
      </c>
      <c r="D281" s="53">
        <f t="shared" si="3"/>
        <v>0</v>
      </c>
      <c r="E281" s="57">
        <f>IFERROR(VLOOKUP(B281, Proof!A$2:$B$199,2, 0), 0)</f>
        <v>0</v>
      </c>
      <c r="F281" s="58">
        <f>IFERROR(VLOOKUP(B281, 'HMMTPUMaC Algebra'!A$2:$B$500,2, 0), 0)</f>
        <v>0</v>
      </c>
      <c r="G281" s="53">
        <f>IFERROR(VLOOKUP(B281, 'HMMTPUMaC Combo'!A$2:$B$500,2, 0), 0)</f>
        <v>0</v>
      </c>
      <c r="H281" s="66">
        <f>IFERROR(VLOOKUP(B281, 'HMMTPUMaC Algebra'!A$2:$B$198,2, 0), 0)</f>
        <v>0</v>
      </c>
      <c r="I281" s="53">
        <f>IFERROR(VLOOKUP(B281, 'HMMTPUMaC NT'!A$2:$B$500,2, 0), 0)</f>
        <v>0</v>
      </c>
      <c r="J281" s="53">
        <f>IFERROR(VLOOKUP(B281, 'HMMT 1 Real'!$A$2:B$198,2, 0), 0)</f>
        <v>0</v>
      </c>
      <c r="K281" s="66">
        <f>IFERROR(VLOOKUP(B281, 'HMMT 2 Real'!$A$2:C$198,2, 0), 0)</f>
        <v>0</v>
      </c>
    </row>
    <row r="282">
      <c r="A282" s="65">
        <f t="shared" si="1"/>
        <v>281</v>
      </c>
      <c r="B282" s="7" t="s">
        <v>258</v>
      </c>
      <c r="C282" s="53">
        <f t="shared" si="6"/>
        <v>0</v>
      </c>
      <c r="D282" s="53">
        <f t="shared" si="3"/>
        <v>0</v>
      </c>
      <c r="E282" s="57">
        <f>IFERROR(VLOOKUP(B282, Proof!A$2:$B$199,2, 0), 0)</f>
        <v>0</v>
      </c>
      <c r="F282" s="58">
        <f>IFERROR(VLOOKUP(B282, 'HMMTPUMaC Algebra'!A$2:$B$500,2, 0), 0)</f>
        <v>0</v>
      </c>
      <c r="G282" s="53">
        <f>IFERROR(VLOOKUP(B282, 'HMMTPUMaC Combo'!A$2:$B$500,2, 0), 0)</f>
        <v>0</v>
      </c>
      <c r="H282" s="66">
        <f>IFERROR(VLOOKUP(B282, 'HMMTPUMaC Algebra'!A$2:$B$198,2, 0), 0)</f>
        <v>0</v>
      </c>
      <c r="I282" s="53">
        <f>IFERROR(VLOOKUP(B282, 'HMMTPUMaC NT'!A$2:$B$500,2, 0), 0)</f>
        <v>0</v>
      </c>
      <c r="J282" s="53">
        <f>IFERROR(VLOOKUP(B282, 'HMMT 1 Real'!$A$2:B$198,2, 0), 0)</f>
        <v>0</v>
      </c>
      <c r="K282" s="66">
        <f>IFERROR(VLOOKUP(B282, 'HMMT 2 Real'!$A$2:C$198,2, 0), 0)</f>
        <v>0</v>
      </c>
    </row>
    <row r="283">
      <c r="A283" s="65">
        <f t="shared" si="1"/>
        <v>282</v>
      </c>
      <c r="B283" s="7" t="s">
        <v>475</v>
      </c>
      <c r="C283" s="53">
        <f t="shared" si="6"/>
        <v>0</v>
      </c>
      <c r="D283" s="53">
        <f t="shared" si="3"/>
        <v>0</v>
      </c>
      <c r="E283" s="57">
        <f>IFERROR(VLOOKUP(B283, Proof!A$2:$B$199,2, 0), 0)</f>
        <v>0</v>
      </c>
      <c r="F283" s="58">
        <f>IFERROR(VLOOKUP(B283, 'HMMTPUMaC Algebra'!A$2:$B$500,2, 0), 0)</f>
        <v>0</v>
      </c>
      <c r="G283" s="53">
        <f>IFERROR(VLOOKUP(B283, 'HMMTPUMaC Combo'!A$2:$B$500,2, 0), 0)</f>
        <v>0</v>
      </c>
      <c r="H283" s="66">
        <f>IFERROR(VLOOKUP(B283, 'HMMTPUMaC Algebra'!A$2:$B$198,2, 0), 0)</f>
        <v>0</v>
      </c>
      <c r="I283" s="53">
        <f>IFERROR(VLOOKUP(B283, 'HMMTPUMaC NT'!A$2:$B$500,2, 0), 0)</f>
        <v>0</v>
      </c>
      <c r="J283" s="53">
        <f>IFERROR(VLOOKUP(B283, 'HMMT 1 Real'!$A$2:B$198,2, 0), 0)</f>
        <v>0</v>
      </c>
      <c r="K283" s="66">
        <f>IFERROR(VLOOKUP(B283, 'HMMT 2 Real'!$A$2:C$198,2, 0), 0)</f>
        <v>0</v>
      </c>
    </row>
    <row r="284">
      <c r="A284" s="65">
        <f t="shared" si="1"/>
        <v>283</v>
      </c>
      <c r="B284" s="7" t="s">
        <v>257</v>
      </c>
      <c r="C284" s="53">
        <f t="shared" si="6"/>
        <v>0</v>
      </c>
      <c r="D284" s="53">
        <f t="shared" si="3"/>
        <v>0</v>
      </c>
      <c r="E284" s="57">
        <f>IFERROR(VLOOKUP(B284, Proof!A$2:$B$199,2, 0), 0)</f>
        <v>0</v>
      </c>
      <c r="F284" s="58">
        <f>IFERROR(VLOOKUP(B284, 'HMMTPUMaC Algebra'!A$2:$B$500,2, 0), 0)</f>
        <v>0</v>
      </c>
      <c r="G284" s="53">
        <f>IFERROR(VLOOKUP(B284, 'HMMTPUMaC Combo'!A$2:$B$500,2, 0), 0)</f>
        <v>0</v>
      </c>
      <c r="H284" s="66">
        <f>IFERROR(VLOOKUP(B284, 'HMMTPUMaC Algebra'!A$2:$B$198,2, 0), 0)</f>
        <v>0</v>
      </c>
      <c r="I284" s="53">
        <f>IFERROR(VLOOKUP(B284, 'HMMTPUMaC NT'!A$2:$B$500,2, 0), 0)</f>
        <v>0</v>
      </c>
      <c r="J284" s="53">
        <f>IFERROR(VLOOKUP(B284, 'HMMT 1 Real'!$A$2:B$198,2, 0), 0)</f>
        <v>0</v>
      </c>
      <c r="K284" s="66">
        <f>IFERROR(VLOOKUP(B284, 'HMMT 2 Real'!$A$2:C$198,2, 0), 0)</f>
        <v>0</v>
      </c>
    </row>
    <row r="285">
      <c r="A285" s="65">
        <f t="shared" si="1"/>
        <v>284</v>
      </c>
      <c r="B285" s="7" t="s">
        <v>252</v>
      </c>
      <c r="C285" s="53">
        <f t="shared" si="6"/>
        <v>0</v>
      </c>
      <c r="D285" s="53">
        <f t="shared" si="3"/>
        <v>0</v>
      </c>
      <c r="E285" s="57">
        <f>IFERROR(VLOOKUP(B285, Proof!A$2:$B$199,2, 0), 0)</f>
        <v>0</v>
      </c>
      <c r="F285" s="58">
        <f>IFERROR(VLOOKUP(B285, 'HMMTPUMaC Algebra'!A$2:$B$500,2, 0), 0)</f>
        <v>0</v>
      </c>
      <c r="G285" s="53">
        <f>IFERROR(VLOOKUP(B285, 'HMMTPUMaC Combo'!A$2:$B$500,2, 0), 0)</f>
        <v>0</v>
      </c>
      <c r="H285" s="66">
        <f>IFERROR(VLOOKUP(B285, 'HMMTPUMaC Algebra'!A$2:$B$198,2, 0), 0)</f>
        <v>0</v>
      </c>
      <c r="I285" s="53">
        <f>IFERROR(VLOOKUP(B285, 'HMMTPUMaC NT'!A$2:$B$500,2, 0), 0)</f>
        <v>0</v>
      </c>
      <c r="J285" s="53">
        <f>IFERROR(VLOOKUP(B285, 'HMMT 1 Real'!$A$2:B$198,2, 0), 0)</f>
        <v>0</v>
      </c>
      <c r="K285" s="66">
        <f>IFERROR(VLOOKUP(B285, 'HMMT 2 Real'!$A$2:C$198,2, 0), 0)</f>
        <v>0</v>
      </c>
    </row>
    <row r="286">
      <c r="A286" s="65">
        <f t="shared" si="1"/>
        <v>285</v>
      </c>
      <c r="B286" s="7" t="s">
        <v>155</v>
      </c>
      <c r="C286" s="53">
        <f t="shared" si="6"/>
        <v>0</v>
      </c>
      <c r="D286" s="53">
        <f t="shared" si="3"/>
        <v>0</v>
      </c>
      <c r="E286" s="57">
        <f>IFERROR(VLOOKUP(B286, Proof!A$2:$B$199,2, 0), 0)</f>
        <v>0</v>
      </c>
      <c r="F286" s="58">
        <f>IFERROR(VLOOKUP(B286, 'HMMTPUMaC Algebra'!A$2:$B$500,2, 0), 0)</f>
        <v>0</v>
      </c>
      <c r="G286" s="53">
        <f>IFERROR(VLOOKUP(B286, 'HMMTPUMaC Combo'!A$2:$B$500,2, 0), 0)</f>
        <v>0</v>
      </c>
      <c r="H286" s="66">
        <f>IFERROR(VLOOKUP(B286, 'HMMTPUMaC Algebra'!A$2:$B$198,2, 0), 0)</f>
        <v>0</v>
      </c>
      <c r="I286" s="53">
        <f>IFERROR(VLOOKUP(B286, 'HMMTPUMaC NT'!A$2:$B$500,2, 0), 0)</f>
        <v>0</v>
      </c>
      <c r="J286" s="53">
        <f>IFERROR(VLOOKUP(B286, 'HMMT 1 Real'!$A$2:B$198,2, 0), 0)</f>
        <v>0</v>
      </c>
      <c r="K286" s="66">
        <f>IFERROR(VLOOKUP(B286, 'HMMT 2 Real'!$A$2:C$198,2, 0), 0)</f>
        <v>0</v>
      </c>
    </row>
    <row r="287">
      <c r="A287" s="65">
        <f t="shared" si="1"/>
        <v>286</v>
      </c>
      <c r="B287" s="7" t="s">
        <v>492</v>
      </c>
      <c r="C287" s="53">
        <f t="shared" si="6"/>
        <v>0</v>
      </c>
      <c r="D287" s="53">
        <f t="shared" si="3"/>
        <v>0</v>
      </c>
      <c r="E287" s="57">
        <f>IFERROR(VLOOKUP(B287, Proof!A$2:$B$199,2, 0), 0)</f>
        <v>0</v>
      </c>
      <c r="F287" s="58">
        <f>IFERROR(VLOOKUP(B287, 'HMMTPUMaC Algebra'!A$2:$B$500,2, 0), 0)</f>
        <v>0</v>
      </c>
      <c r="G287" s="53">
        <f>IFERROR(VLOOKUP(B287, 'HMMTPUMaC Combo'!A$2:$B$500,2, 0), 0)</f>
        <v>0</v>
      </c>
      <c r="H287" s="66">
        <f>IFERROR(VLOOKUP(B287, 'HMMTPUMaC Algebra'!A$2:$B$198,2, 0), 0)</f>
        <v>0</v>
      </c>
      <c r="I287" s="53">
        <f>IFERROR(VLOOKUP(B287, 'HMMTPUMaC NT'!A$2:$B$500,2, 0), 0)</f>
        <v>0</v>
      </c>
      <c r="J287" s="53">
        <f>IFERROR(VLOOKUP(B287, 'HMMT 1 Real'!$A$2:B$198,2, 0), 0)</f>
        <v>0</v>
      </c>
      <c r="K287" s="66">
        <f>IFERROR(VLOOKUP(B287, 'HMMT 2 Real'!$A$2:C$198,2, 0), 0)</f>
        <v>0</v>
      </c>
    </row>
    <row r="288">
      <c r="A288" s="65">
        <f t="shared" si="1"/>
        <v>287</v>
      </c>
      <c r="B288" s="7" t="s">
        <v>448</v>
      </c>
      <c r="C288" s="53">
        <f t="shared" si="6"/>
        <v>0</v>
      </c>
      <c r="D288" s="53">
        <f t="shared" si="3"/>
        <v>0</v>
      </c>
      <c r="E288" s="57">
        <f>IFERROR(VLOOKUP(B288, Proof!A$2:$B$199,2, 0), 0)</f>
        <v>0</v>
      </c>
      <c r="F288" s="58">
        <f>IFERROR(VLOOKUP(B288, 'HMMTPUMaC Algebra'!A$2:$B$500,2, 0), 0)</f>
        <v>0</v>
      </c>
      <c r="G288" s="53">
        <f>IFERROR(VLOOKUP(B288, 'HMMTPUMaC Combo'!A$2:$B$500,2, 0), 0)</f>
        <v>0</v>
      </c>
      <c r="H288" s="66">
        <f>IFERROR(VLOOKUP(B288, 'HMMTPUMaC Algebra'!A$2:$B$198,2, 0), 0)</f>
        <v>0</v>
      </c>
      <c r="I288" s="53">
        <f>IFERROR(VLOOKUP(B288, 'HMMTPUMaC NT'!A$2:$B$500,2, 0), 0)</f>
        <v>0</v>
      </c>
      <c r="J288" s="53">
        <f>IFERROR(VLOOKUP(B288, 'HMMT 1 Real'!$A$2:B$198,2, 0), 0)</f>
        <v>0</v>
      </c>
      <c r="K288" s="66">
        <f>IFERROR(VLOOKUP(B288, 'HMMT 2 Real'!$A$2:C$198,2, 0), 0)</f>
        <v>0</v>
      </c>
    </row>
    <row r="289">
      <c r="A289" s="65">
        <f t="shared" si="1"/>
        <v>288</v>
      </c>
      <c r="B289" s="7" t="s">
        <v>122</v>
      </c>
      <c r="C289" s="53">
        <f t="shared" si="6"/>
        <v>0</v>
      </c>
      <c r="D289" s="53">
        <f t="shared" si="3"/>
        <v>0</v>
      </c>
      <c r="E289" s="57">
        <f>IFERROR(VLOOKUP(B289, Proof!A$2:$B$199,2, 0), 0)</f>
        <v>0</v>
      </c>
      <c r="F289" s="58">
        <f>IFERROR(VLOOKUP(B289, 'HMMTPUMaC Algebra'!A$2:$B$500,2, 0), 0)</f>
        <v>0</v>
      </c>
      <c r="G289" s="53">
        <f>IFERROR(VLOOKUP(B289, 'HMMTPUMaC Combo'!A$2:$B$500,2, 0), 0)</f>
        <v>0</v>
      </c>
      <c r="H289" s="66">
        <f>IFERROR(VLOOKUP(B289, 'HMMTPUMaC Algebra'!A$2:$B$198,2, 0), 0)</f>
        <v>0</v>
      </c>
      <c r="I289" s="53">
        <f>IFERROR(VLOOKUP(B289, 'HMMTPUMaC NT'!A$2:$B$500,2, 0), 0)</f>
        <v>0</v>
      </c>
      <c r="J289" s="53">
        <f>IFERROR(VLOOKUP(B289, 'HMMT 1 Real'!$A$2:B$198,2, 0), 0)</f>
        <v>0</v>
      </c>
      <c r="K289" s="66">
        <f>IFERROR(VLOOKUP(B289, 'HMMT 2 Real'!$A$2:C$198,2, 0), 0)</f>
        <v>0</v>
      </c>
    </row>
    <row r="290">
      <c r="A290" s="65">
        <f t="shared" si="1"/>
        <v>289</v>
      </c>
      <c r="B290" s="7" t="s">
        <v>216</v>
      </c>
      <c r="C290" s="53">
        <f t="shared" si="6"/>
        <v>0</v>
      </c>
      <c r="D290" s="53">
        <f t="shared" si="3"/>
        <v>0</v>
      </c>
      <c r="E290" s="57">
        <f>IFERROR(VLOOKUP(B290, Proof!A$2:$B$199,2, 0), 0)</f>
        <v>0</v>
      </c>
      <c r="F290" s="58">
        <f>IFERROR(VLOOKUP(B290, 'HMMTPUMaC Algebra'!A$2:$B$500,2, 0), 0)</f>
        <v>0</v>
      </c>
      <c r="G290" s="53">
        <f>IFERROR(VLOOKUP(B290, 'HMMTPUMaC Combo'!A$2:$B$500,2, 0), 0)</f>
        <v>0</v>
      </c>
      <c r="H290" s="66">
        <f>IFERROR(VLOOKUP(B290, 'HMMTPUMaC Algebra'!A$2:$B$198,2, 0), 0)</f>
        <v>0</v>
      </c>
      <c r="I290" s="53">
        <f>IFERROR(VLOOKUP(B290, 'HMMTPUMaC NT'!A$2:$B$500,2, 0), 0)</f>
        <v>0</v>
      </c>
      <c r="J290" s="53">
        <f>IFERROR(VLOOKUP(B290, 'HMMT 1 Real'!$A$2:B$198,2, 0), 0)</f>
        <v>0</v>
      </c>
      <c r="K290" s="66">
        <f>IFERROR(VLOOKUP(B290, 'HMMT 2 Real'!$A$2:C$198,2, 0), 0)</f>
        <v>0</v>
      </c>
    </row>
    <row r="291">
      <c r="A291" s="65">
        <f t="shared" si="1"/>
        <v>290</v>
      </c>
      <c r="B291" s="7" t="s">
        <v>217</v>
      </c>
      <c r="C291" s="53">
        <f t="shared" si="6"/>
        <v>0</v>
      </c>
      <c r="D291" s="53">
        <f t="shared" si="3"/>
        <v>0</v>
      </c>
      <c r="E291" s="57">
        <f>IFERROR(VLOOKUP(B291, Proof!A$2:$B$199,2, 0), 0)</f>
        <v>0</v>
      </c>
      <c r="F291" s="58">
        <f>IFERROR(VLOOKUP(B291, 'HMMTPUMaC Algebra'!A$2:$B$500,2, 0), 0)</f>
        <v>0</v>
      </c>
      <c r="G291" s="53">
        <f>IFERROR(VLOOKUP(B291, 'HMMTPUMaC Combo'!A$2:$B$500,2, 0), 0)</f>
        <v>0</v>
      </c>
      <c r="H291" s="66">
        <f>IFERROR(VLOOKUP(B291, 'HMMTPUMaC Algebra'!A$2:$B$198,2, 0), 0)</f>
        <v>0</v>
      </c>
      <c r="I291" s="53">
        <f>IFERROR(VLOOKUP(B291, 'HMMTPUMaC NT'!A$2:$B$500,2, 0), 0)</f>
        <v>0</v>
      </c>
      <c r="J291" s="53">
        <f>IFERROR(VLOOKUP(B291, 'HMMT 1 Real'!$A$2:B$198,2, 0), 0)</f>
        <v>0</v>
      </c>
      <c r="K291" s="66">
        <f>IFERROR(VLOOKUP(B291, 'HMMT 2 Real'!$A$2:C$198,2, 0), 0)</f>
        <v>0</v>
      </c>
    </row>
    <row r="292">
      <c r="A292" s="65">
        <f t="shared" si="1"/>
        <v>291</v>
      </c>
      <c r="B292" s="7" t="s">
        <v>176</v>
      </c>
      <c r="C292" s="53">
        <f t="shared" si="6"/>
        <v>0</v>
      </c>
      <c r="D292" s="53">
        <f t="shared" si="3"/>
        <v>0</v>
      </c>
      <c r="E292" s="57">
        <f>IFERROR(VLOOKUP(B292, Proof!A$2:$B$199,2, 0), 0)</f>
        <v>0</v>
      </c>
      <c r="F292" s="58">
        <f>IFERROR(VLOOKUP(B292, 'HMMTPUMaC Algebra'!A$2:$B$500,2, 0), 0)</f>
        <v>0</v>
      </c>
      <c r="G292" s="53">
        <f>IFERROR(VLOOKUP(B292, 'HMMTPUMaC Combo'!A$2:$B$500,2, 0), 0)</f>
        <v>0</v>
      </c>
      <c r="H292" s="66">
        <f>IFERROR(VLOOKUP(B292, 'HMMTPUMaC Algebra'!A$2:$B$198,2, 0), 0)</f>
        <v>0</v>
      </c>
      <c r="I292" s="53">
        <f>IFERROR(VLOOKUP(B292, 'HMMTPUMaC NT'!A$2:$B$500,2, 0), 0)</f>
        <v>0</v>
      </c>
      <c r="J292" s="53">
        <f>IFERROR(VLOOKUP(B292, 'HMMT 1 Real'!$A$2:B$198,2, 0), 0)</f>
        <v>0</v>
      </c>
      <c r="K292" s="66">
        <f>IFERROR(VLOOKUP(B292, 'HMMT 2 Real'!$A$2:C$198,2, 0), 0)</f>
        <v>0</v>
      </c>
    </row>
    <row r="293">
      <c r="A293" s="65">
        <f t="shared" si="1"/>
        <v>292</v>
      </c>
      <c r="B293" s="7" t="s">
        <v>337</v>
      </c>
      <c r="C293" s="53">
        <f t="shared" si="6"/>
        <v>0</v>
      </c>
      <c r="D293" s="53">
        <f t="shared" si="3"/>
        <v>0</v>
      </c>
      <c r="E293" s="57">
        <f>IFERROR(VLOOKUP(B293, Proof!A$2:$B$199,2, 0), 0)</f>
        <v>0</v>
      </c>
      <c r="F293" s="58">
        <f>IFERROR(VLOOKUP(B293, 'HMMTPUMaC Algebra'!A$2:$B$500,2, 0), 0)</f>
        <v>0</v>
      </c>
      <c r="G293" s="53">
        <f>IFERROR(VLOOKUP(B293, 'HMMTPUMaC Combo'!A$2:$B$500,2, 0), 0)</f>
        <v>0</v>
      </c>
      <c r="H293" s="66">
        <f>IFERROR(VLOOKUP(B293, 'HMMTPUMaC Algebra'!A$2:$B$198,2, 0), 0)</f>
        <v>0</v>
      </c>
      <c r="I293" s="53">
        <f>IFERROR(VLOOKUP(B293, 'HMMTPUMaC NT'!A$2:$B$500,2, 0), 0)</f>
        <v>0</v>
      </c>
      <c r="J293" s="53">
        <f>IFERROR(VLOOKUP(B293, 'HMMT 1 Real'!$A$2:B$198,2, 0), 0)</f>
        <v>0</v>
      </c>
      <c r="K293" s="66">
        <f>IFERROR(VLOOKUP(B293, 'HMMT 2 Real'!$A$2:C$198,2, 0), 0)</f>
        <v>0</v>
      </c>
    </row>
    <row r="294">
      <c r="A294" s="65">
        <f t="shared" si="1"/>
        <v>293</v>
      </c>
      <c r="B294" s="7" t="s">
        <v>205</v>
      </c>
      <c r="C294" s="53">
        <f t="shared" si="6"/>
        <v>0</v>
      </c>
      <c r="D294" s="53">
        <f t="shared" si="3"/>
        <v>0</v>
      </c>
      <c r="E294" s="57">
        <f>IFERROR(VLOOKUP(B294, Proof!A$2:$B$199,2, 0), 0)</f>
        <v>0</v>
      </c>
      <c r="F294" s="58">
        <f>IFERROR(VLOOKUP(B294, 'HMMTPUMaC Algebra'!A$2:$B$500,2, 0), 0)</f>
        <v>0</v>
      </c>
      <c r="G294" s="53">
        <f>IFERROR(VLOOKUP(B294, 'HMMTPUMaC Combo'!A$2:$B$500,2, 0), 0)</f>
        <v>0</v>
      </c>
      <c r="H294" s="66">
        <f>IFERROR(VLOOKUP(B294, 'HMMTPUMaC Algebra'!A$2:$B$198,2, 0), 0)</f>
        <v>0</v>
      </c>
      <c r="I294" s="53">
        <f>IFERROR(VLOOKUP(B294, 'HMMTPUMaC NT'!A$2:$B$500,2, 0), 0)</f>
        <v>0</v>
      </c>
      <c r="J294" s="53">
        <f>IFERROR(VLOOKUP(B294, 'HMMT 1 Real'!$A$2:B$198,2, 0), 0)</f>
        <v>0</v>
      </c>
      <c r="K294" s="66">
        <f>IFERROR(VLOOKUP(B294, 'HMMT 2 Real'!$A$2:C$198,2, 0), 0)</f>
        <v>0</v>
      </c>
    </row>
    <row r="295">
      <c r="A295" s="65">
        <f t="shared" si="1"/>
        <v>294</v>
      </c>
      <c r="B295" s="7" t="s">
        <v>138</v>
      </c>
      <c r="C295" s="53">
        <f t="shared" si="6"/>
        <v>0</v>
      </c>
      <c r="D295" s="53">
        <f t="shared" si="3"/>
        <v>0</v>
      </c>
      <c r="E295" s="57">
        <f>IFERROR(VLOOKUP(B295, Proof!A$2:$B$199,2, 0), 0)</f>
        <v>0</v>
      </c>
      <c r="F295" s="58">
        <f>IFERROR(VLOOKUP(B295, 'HMMTPUMaC Algebra'!A$2:$B$500,2, 0), 0)</f>
        <v>0</v>
      </c>
      <c r="G295" s="53">
        <f>IFERROR(VLOOKUP(B295, 'HMMTPUMaC Combo'!A$2:$B$500,2, 0), 0)</f>
        <v>0</v>
      </c>
      <c r="H295" s="66">
        <f>IFERROR(VLOOKUP(B295, 'HMMTPUMaC Algebra'!A$2:$B$198,2, 0), 0)</f>
        <v>0</v>
      </c>
      <c r="I295" s="53">
        <f>IFERROR(VLOOKUP(B295, 'HMMTPUMaC NT'!A$2:$B$500,2, 0), 0)</f>
        <v>0</v>
      </c>
      <c r="J295" s="53">
        <f>IFERROR(VLOOKUP(B295, 'HMMT 1 Real'!$A$2:B$198,2, 0), 0)</f>
        <v>0</v>
      </c>
      <c r="K295" s="66">
        <f>IFERROR(VLOOKUP(B295, 'HMMT 2 Real'!$A$2:C$198,2, 0), 0)</f>
        <v>0</v>
      </c>
    </row>
    <row r="296">
      <c r="A296" s="65">
        <f t="shared" si="1"/>
        <v>295</v>
      </c>
      <c r="B296" s="7" t="s">
        <v>164</v>
      </c>
      <c r="C296" s="53">
        <f t="shared" si="6"/>
        <v>0</v>
      </c>
      <c r="D296" s="53">
        <f t="shared" si="3"/>
        <v>0</v>
      </c>
      <c r="E296" s="57">
        <f>IFERROR(VLOOKUP(B296, Proof!A$2:$B$199,2, 0), 0)</f>
        <v>0</v>
      </c>
      <c r="F296" s="58">
        <f>IFERROR(VLOOKUP(B296, 'HMMTPUMaC Algebra'!A$2:$B$500,2, 0), 0)</f>
        <v>0</v>
      </c>
      <c r="G296" s="53">
        <f>IFERROR(VLOOKUP(B296, 'HMMTPUMaC Combo'!A$2:$B$500,2, 0), 0)</f>
        <v>0</v>
      </c>
      <c r="H296" s="66">
        <f>IFERROR(VLOOKUP(B296, 'HMMTPUMaC Algebra'!A$2:$B$198,2, 0), 0)</f>
        <v>0</v>
      </c>
      <c r="I296" s="53">
        <f>IFERROR(VLOOKUP(B296, 'HMMTPUMaC NT'!A$2:$B$500,2, 0), 0)</f>
        <v>0</v>
      </c>
      <c r="J296" s="53">
        <f>IFERROR(VLOOKUP(B296, 'HMMT 1 Real'!$A$2:B$198,2, 0), 0)</f>
        <v>0</v>
      </c>
      <c r="K296" s="66">
        <f>IFERROR(VLOOKUP(B296, 'HMMT 2 Real'!$A$2:C$198,2, 0), 0)</f>
        <v>0</v>
      </c>
    </row>
    <row r="297">
      <c r="A297" s="65">
        <f t="shared" si="1"/>
        <v>296</v>
      </c>
      <c r="B297" s="7" t="s">
        <v>218</v>
      </c>
      <c r="C297" s="53">
        <f t="shared" si="6"/>
        <v>0</v>
      </c>
      <c r="D297" s="53">
        <f t="shared" si="3"/>
        <v>0</v>
      </c>
      <c r="E297" s="57">
        <f>IFERROR(VLOOKUP(B297, Proof!A$2:$B$199,2, 0), 0)</f>
        <v>0</v>
      </c>
      <c r="F297" s="58">
        <f>IFERROR(VLOOKUP(B297, 'HMMTPUMaC Algebra'!A$2:$B$500,2, 0), 0)</f>
        <v>0</v>
      </c>
      <c r="G297" s="53">
        <f>IFERROR(VLOOKUP(B297, 'HMMTPUMaC Combo'!A$2:$B$500,2, 0), 0)</f>
        <v>0</v>
      </c>
      <c r="H297" s="66">
        <f>IFERROR(VLOOKUP(B297, 'HMMTPUMaC Algebra'!A$2:$B$198,2, 0), 0)</f>
        <v>0</v>
      </c>
      <c r="I297" s="53">
        <f>IFERROR(VLOOKUP(B297, 'HMMTPUMaC NT'!A$2:$B$500,2, 0), 0)</f>
        <v>0</v>
      </c>
      <c r="J297" s="53">
        <f>IFERROR(VLOOKUP(B297, 'HMMT 1 Real'!$A$2:B$198,2, 0), 0)</f>
        <v>0</v>
      </c>
      <c r="K297" s="66">
        <f>IFERROR(VLOOKUP(B297, 'HMMT 2 Real'!$A$2:C$198,2, 0), 0)</f>
        <v>0</v>
      </c>
    </row>
    <row r="298">
      <c r="A298" s="65">
        <f t="shared" si="1"/>
        <v>297</v>
      </c>
      <c r="B298" s="7" t="s">
        <v>166</v>
      </c>
      <c r="C298" s="53">
        <f t="shared" si="6"/>
        <v>0</v>
      </c>
      <c r="D298" s="53">
        <f t="shared" si="3"/>
        <v>0</v>
      </c>
      <c r="E298" s="57">
        <f>IFERROR(VLOOKUP(B298, Proof!A$2:$B$199,2, 0), 0)</f>
        <v>0</v>
      </c>
      <c r="F298" s="58">
        <f>IFERROR(VLOOKUP(B298, 'HMMTPUMaC Algebra'!A$2:$B$500,2, 0), 0)</f>
        <v>0</v>
      </c>
      <c r="G298" s="53">
        <f>IFERROR(VLOOKUP(B298, 'HMMTPUMaC Combo'!A$2:$B$500,2, 0), 0)</f>
        <v>0</v>
      </c>
      <c r="H298" s="66">
        <f>IFERROR(VLOOKUP(B298, 'HMMTPUMaC Algebra'!A$2:$B$198,2, 0), 0)</f>
        <v>0</v>
      </c>
      <c r="I298" s="53">
        <f>IFERROR(VLOOKUP(B298, 'HMMTPUMaC NT'!A$2:$B$500,2, 0), 0)</f>
        <v>0</v>
      </c>
      <c r="J298" s="53">
        <f>IFERROR(VLOOKUP(B298, 'HMMT 1 Real'!$A$2:B$198,2, 0), 0)</f>
        <v>0</v>
      </c>
      <c r="K298" s="66">
        <f>IFERROR(VLOOKUP(B298, 'HMMT 2 Real'!$A$2:C$198,2, 0), 0)</f>
        <v>0</v>
      </c>
    </row>
    <row r="299">
      <c r="A299" s="65">
        <f t="shared" si="1"/>
        <v>298</v>
      </c>
      <c r="B299" s="7" t="s">
        <v>178</v>
      </c>
      <c r="C299" s="53">
        <f t="shared" si="6"/>
        <v>0</v>
      </c>
      <c r="D299" s="53">
        <f t="shared" si="3"/>
        <v>0</v>
      </c>
      <c r="E299" s="57">
        <f>IFERROR(VLOOKUP(B299, Proof!A$2:$B$199,2, 0), 0)</f>
        <v>0</v>
      </c>
      <c r="F299" s="58">
        <f>IFERROR(VLOOKUP(B299, 'HMMTPUMaC Algebra'!A$2:$B$500,2, 0), 0)</f>
        <v>0</v>
      </c>
      <c r="G299" s="53">
        <f>IFERROR(VLOOKUP(B299, 'HMMTPUMaC Combo'!A$2:$B$500,2, 0), 0)</f>
        <v>0</v>
      </c>
      <c r="H299" s="66">
        <f>IFERROR(VLOOKUP(B299, 'HMMTPUMaC Algebra'!A$2:$B$198,2, 0), 0)</f>
        <v>0</v>
      </c>
      <c r="I299" s="53">
        <f>IFERROR(VLOOKUP(B299, 'HMMTPUMaC NT'!A$2:$B$500,2, 0), 0)</f>
        <v>0</v>
      </c>
      <c r="J299" s="53">
        <f>IFERROR(VLOOKUP(B299, 'HMMT 1 Real'!$A$2:B$198,2, 0), 0)</f>
        <v>0</v>
      </c>
      <c r="K299" s="66">
        <f>IFERROR(VLOOKUP(B299, 'HMMT 2 Real'!$A$2:C$198,2, 0), 0)</f>
        <v>0</v>
      </c>
    </row>
    <row r="300">
      <c r="A300" s="65">
        <f t="shared" si="1"/>
        <v>299</v>
      </c>
      <c r="B300" s="7" t="s">
        <v>240</v>
      </c>
      <c r="C300" s="53">
        <f t="shared" si="6"/>
        <v>0</v>
      </c>
      <c r="D300" s="53">
        <f t="shared" si="3"/>
        <v>0</v>
      </c>
      <c r="E300" s="57">
        <f>IFERROR(VLOOKUP(B300, Proof!A$2:$B$199,2, 0), 0)</f>
        <v>0</v>
      </c>
      <c r="F300" s="58">
        <f>IFERROR(VLOOKUP(B300, 'HMMTPUMaC Algebra'!A$2:$B$500,2, 0), 0)</f>
        <v>0</v>
      </c>
      <c r="G300" s="53">
        <f>IFERROR(VLOOKUP(B300, 'HMMTPUMaC Combo'!A$2:$B$500,2, 0), 0)</f>
        <v>0</v>
      </c>
      <c r="H300" s="66">
        <f>IFERROR(VLOOKUP(B300, 'HMMTPUMaC Algebra'!A$2:$B$198,2, 0), 0)</f>
        <v>0</v>
      </c>
      <c r="I300" s="53">
        <f>IFERROR(VLOOKUP(B300, 'HMMTPUMaC NT'!A$2:$B$500,2, 0), 0)</f>
        <v>0</v>
      </c>
      <c r="J300" s="53">
        <f>IFERROR(VLOOKUP(B300, 'HMMT 1 Real'!$A$2:B$198,2, 0), 0)</f>
        <v>0</v>
      </c>
      <c r="K300" s="66">
        <f>IFERROR(VLOOKUP(B300, 'HMMT 2 Real'!$A$2:C$198,2, 0), 0)</f>
        <v>0</v>
      </c>
    </row>
    <row r="301">
      <c r="A301" s="65">
        <f t="shared" si="1"/>
        <v>300</v>
      </c>
      <c r="B301" s="7" t="s">
        <v>227</v>
      </c>
      <c r="C301" s="53">
        <f t="shared" si="6"/>
        <v>0</v>
      </c>
      <c r="D301" s="53">
        <f t="shared" si="3"/>
        <v>0</v>
      </c>
      <c r="E301" s="57">
        <f>IFERROR(VLOOKUP(B301, Proof!A$2:$B$199,2, 0), 0)</f>
        <v>0</v>
      </c>
      <c r="F301" s="58">
        <f>IFERROR(VLOOKUP(B301, 'HMMTPUMaC Algebra'!A$2:$B$500,2, 0), 0)</f>
        <v>0</v>
      </c>
      <c r="G301" s="53">
        <f>IFERROR(VLOOKUP(B301, 'HMMTPUMaC Combo'!A$2:$B$500,2, 0), 0)</f>
        <v>0</v>
      </c>
      <c r="H301" s="66">
        <f>IFERROR(VLOOKUP(B301, 'HMMTPUMaC Algebra'!A$2:$B$198,2, 0), 0)</f>
        <v>0</v>
      </c>
      <c r="I301" s="53">
        <f>IFERROR(VLOOKUP(B301, 'HMMTPUMaC NT'!A$2:$B$500,2, 0), 0)</f>
        <v>0</v>
      </c>
      <c r="J301" s="53">
        <f>IFERROR(VLOOKUP(B301, 'HMMT 1 Real'!$A$2:B$198,2, 0), 0)</f>
        <v>0</v>
      </c>
      <c r="K301" s="66">
        <f>IFERROR(VLOOKUP(B301, 'HMMT 2 Real'!$A$2:C$198,2, 0), 0)</f>
        <v>0</v>
      </c>
    </row>
    <row r="302">
      <c r="A302" s="65">
        <f t="shared" si="1"/>
        <v>301</v>
      </c>
      <c r="B302" s="7" t="s">
        <v>162</v>
      </c>
      <c r="C302" s="53">
        <f t="shared" si="6"/>
        <v>0</v>
      </c>
      <c r="D302" s="53">
        <f t="shared" si="3"/>
        <v>0</v>
      </c>
      <c r="E302" s="57">
        <f>IFERROR(VLOOKUP(B302, Proof!A$2:$B$199,2, 0), 0)</f>
        <v>0</v>
      </c>
      <c r="F302" s="58">
        <f>IFERROR(VLOOKUP(B302, 'HMMTPUMaC Algebra'!A$2:$B$500,2, 0), 0)</f>
        <v>0</v>
      </c>
      <c r="G302" s="53">
        <f>IFERROR(VLOOKUP(B302, 'HMMTPUMaC Combo'!A$2:$B$500,2, 0), 0)</f>
        <v>0</v>
      </c>
      <c r="H302" s="66">
        <f>IFERROR(VLOOKUP(B302, 'HMMTPUMaC Algebra'!A$2:$B$198,2, 0), 0)</f>
        <v>0</v>
      </c>
      <c r="I302" s="53">
        <f>IFERROR(VLOOKUP(B302, 'HMMTPUMaC NT'!A$2:$B$500,2, 0), 0)</f>
        <v>0</v>
      </c>
      <c r="J302" s="53">
        <f>IFERROR(VLOOKUP(B302, 'HMMT 1 Real'!$A$2:B$198,2, 0), 0)</f>
        <v>0</v>
      </c>
      <c r="K302" s="66">
        <f>IFERROR(VLOOKUP(B302, 'HMMT 2 Real'!$A$2:C$198,2, 0), 0)</f>
        <v>0</v>
      </c>
    </row>
    <row r="303">
      <c r="A303" s="65">
        <f t="shared" si="1"/>
        <v>302</v>
      </c>
      <c r="B303" s="7" t="s">
        <v>185</v>
      </c>
      <c r="C303" s="53">
        <f t="shared" si="6"/>
        <v>0</v>
      </c>
      <c r="D303" s="53">
        <f t="shared" si="3"/>
        <v>0</v>
      </c>
      <c r="E303" s="57">
        <f>IFERROR(VLOOKUP(B303, Proof!A$2:$B$199,2, 0), 0)</f>
        <v>0</v>
      </c>
      <c r="F303" s="58">
        <f>IFERROR(VLOOKUP(B303, 'HMMTPUMaC Algebra'!A$2:$B$500,2, 0), 0)</f>
        <v>0</v>
      </c>
      <c r="G303" s="53">
        <f>IFERROR(VLOOKUP(B303, 'HMMTPUMaC Combo'!A$2:$B$500,2, 0), 0)</f>
        <v>0</v>
      </c>
      <c r="H303" s="66">
        <f>IFERROR(VLOOKUP(B303, 'HMMTPUMaC Algebra'!A$2:$B$198,2, 0), 0)</f>
        <v>0</v>
      </c>
      <c r="I303" s="53">
        <f>IFERROR(VLOOKUP(B303, 'HMMTPUMaC NT'!A$2:$B$500,2, 0), 0)</f>
        <v>0</v>
      </c>
      <c r="J303" s="53">
        <f>IFERROR(VLOOKUP(B303, 'HMMT 1 Real'!$A$2:B$198,2, 0), 0)</f>
        <v>0</v>
      </c>
      <c r="K303" s="66">
        <f>IFERROR(VLOOKUP(B303, 'HMMT 2 Real'!$A$2:C$198,2, 0), 0)</f>
        <v>0</v>
      </c>
    </row>
    <row r="304">
      <c r="A304" s="65">
        <f t="shared" si="1"/>
        <v>303</v>
      </c>
      <c r="B304" s="7" t="s">
        <v>186</v>
      </c>
      <c r="C304" s="53">
        <f t="shared" si="6"/>
        <v>0</v>
      </c>
      <c r="D304" s="53">
        <f t="shared" si="3"/>
        <v>0</v>
      </c>
      <c r="E304" s="57">
        <f>IFERROR(VLOOKUP(B304, Proof!A$2:$B$199,2, 0), 0)</f>
        <v>0</v>
      </c>
      <c r="F304" s="58">
        <f>IFERROR(VLOOKUP(B304, 'HMMTPUMaC Algebra'!A$2:$B$500,2, 0), 0)</f>
        <v>0</v>
      </c>
      <c r="G304" s="53">
        <f>IFERROR(VLOOKUP(B304, 'HMMTPUMaC Combo'!A$2:$B$500,2, 0), 0)</f>
        <v>0</v>
      </c>
      <c r="H304" s="66">
        <f>IFERROR(VLOOKUP(B304, 'HMMTPUMaC Algebra'!A$2:$B$198,2, 0), 0)</f>
        <v>0</v>
      </c>
      <c r="I304" s="53">
        <f>IFERROR(VLOOKUP(B304, 'HMMTPUMaC NT'!A$2:$B$500,2, 0), 0)</f>
        <v>0</v>
      </c>
      <c r="J304" s="53">
        <f>IFERROR(VLOOKUP(B304, 'HMMT 1 Real'!$A$2:B$198,2, 0), 0)</f>
        <v>0</v>
      </c>
      <c r="K304" s="66">
        <f>IFERROR(VLOOKUP(B304, 'HMMT 2 Real'!$A$2:C$198,2, 0), 0)</f>
        <v>0</v>
      </c>
    </row>
    <row r="305">
      <c r="A305" s="65">
        <f t="shared" si="1"/>
        <v>304</v>
      </c>
      <c r="B305" s="7" t="s">
        <v>203</v>
      </c>
      <c r="C305" s="53">
        <f t="shared" si="6"/>
        <v>0</v>
      </c>
      <c r="D305" s="53">
        <f t="shared" si="3"/>
        <v>0</v>
      </c>
      <c r="E305" s="57">
        <f>IFERROR(VLOOKUP(B305, Proof!A$2:$B$199,2, 0), 0)</f>
        <v>0</v>
      </c>
      <c r="F305" s="58">
        <f>IFERROR(VLOOKUP(B305, 'HMMTPUMaC Algebra'!A$2:$B$500,2, 0), 0)</f>
        <v>0</v>
      </c>
      <c r="G305" s="53">
        <f>IFERROR(VLOOKUP(B305, 'HMMTPUMaC Combo'!A$2:$B$500,2, 0), 0)</f>
        <v>0</v>
      </c>
      <c r="H305" s="66">
        <f>IFERROR(VLOOKUP(B305, 'HMMTPUMaC Algebra'!A$2:$B$198,2, 0), 0)</f>
        <v>0</v>
      </c>
      <c r="I305" s="53">
        <f>IFERROR(VLOOKUP(B305, 'HMMTPUMaC NT'!A$2:$B$500,2, 0), 0)</f>
        <v>0</v>
      </c>
      <c r="J305" s="53">
        <f>IFERROR(VLOOKUP(B305, 'HMMT 1 Real'!$A$2:B$198,2, 0), 0)</f>
        <v>0</v>
      </c>
      <c r="K305" s="66">
        <f>IFERROR(VLOOKUP(B305, 'HMMT 2 Real'!$A$2:C$198,2, 0), 0)</f>
        <v>0</v>
      </c>
    </row>
    <row r="306">
      <c r="A306" s="65">
        <f t="shared" si="1"/>
        <v>305</v>
      </c>
      <c r="B306" s="7" t="s">
        <v>223</v>
      </c>
      <c r="C306" s="53">
        <f t="shared" si="6"/>
        <v>0</v>
      </c>
      <c r="D306" s="53">
        <f t="shared" si="3"/>
        <v>0</v>
      </c>
      <c r="E306" s="57">
        <f>IFERROR(VLOOKUP(B306, Proof!A$2:$B$199,2, 0), 0)</f>
        <v>0</v>
      </c>
      <c r="F306" s="58">
        <f>IFERROR(VLOOKUP(B306, 'HMMTPUMaC Algebra'!A$2:$B$500,2, 0), 0)</f>
        <v>0</v>
      </c>
      <c r="G306" s="53">
        <f>IFERROR(VLOOKUP(B306, 'HMMTPUMaC Combo'!A$2:$B$500,2, 0), 0)</f>
        <v>0</v>
      </c>
      <c r="H306" s="66">
        <f>IFERROR(VLOOKUP(B306, 'HMMTPUMaC Algebra'!A$2:$B$198,2, 0), 0)</f>
        <v>0</v>
      </c>
      <c r="I306" s="53">
        <f>IFERROR(VLOOKUP(B306, 'HMMTPUMaC NT'!A$2:$B$500,2, 0), 0)</f>
        <v>0</v>
      </c>
      <c r="J306" s="53">
        <f>IFERROR(VLOOKUP(B306, 'HMMT 1 Real'!$A$2:B$198,2, 0), 0)</f>
        <v>0</v>
      </c>
      <c r="K306" s="66">
        <f>IFERROR(VLOOKUP(B306, 'HMMT 2 Real'!$A$2:C$198,2, 0), 0)</f>
        <v>0</v>
      </c>
    </row>
    <row r="307">
      <c r="A307" s="65">
        <f t="shared" si="1"/>
        <v>306</v>
      </c>
      <c r="B307" s="7" t="s">
        <v>200</v>
      </c>
      <c r="C307" s="53">
        <f t="shared" si="6"/>
        <v>0</v>
      </c>
      <c r="D307" s="53">
        <f t="shared" si="3"/>
        <v>0</v>
      </c>
      <c r="E307" s="57">
        <f>IFERROR(VLOOKUP(B307, Proof!A$2:$B$199,2, 0), 0)</f>
        <v>0</v>
      </c>
      <c r="F307" s="58">
        <f>IFERROR(VLOOKUP(B307, 'HMMTPUMaC Algebra'!A$2:$B$500,2, 0), 0)</f>
        <v>0</v>
      </c>
      <c r="G307" s="53">
        <f>IFERROR(VLOOKUP(B307, 'HMMTPUMaC Combo'!A$2:$B$500,2, 0), 0)</f>
        <v>0</v>
      </c>
      <c r="H307" s="66">
        <f>IFERROR(VLOOKUP(B307, 'HMMTPUMaC Algebra'!A$2:$B$198,2, 0), 0)</f>
        <v>0</v>
      </c>
      <c r="I307" s="53">
        <f>IFERROR(VLOOKUP(B307, 'HMMTPUMaC NT'!A$2:$B$500,2, 0), 0)</f>
        <v>0</v>
      </c>
      <c r="J307" s="53">
        <f>IFERROR(VLOOKUP(B307, 'HMMT 1 Real'!$A$2:B$198,2, 0), 0)</f>
        <v>0</v>
      </c>
      <c r="K307" s="66">
        <f>IFERROR(VLOOKUP(B307, 'HMMT 2 Real'!$A$2:C$198,2, 0), 0)</f>
        <v>0</v>
      </c>
    </row>
    <row r="308">
      <c r="A308" s="65">
        <f t="shared" si="1"/>
        <v>307</v>
      </c>
      <c r="B308" s="7" t="s">
        <v>248</v>
      </c>
      <c r="C308" s="53">
        <f t="shared" si="6"/>
        <v>0</v>
      </c>
      <c r="D308" s="53">
        <f t="shared" si="3"/>
        <v>0</v>
      </c>
      <c r="E308" s="57">
        <f>IFERROR(VLOOKUP(B308, Proof!A$2:$B$199,2, 0), 0)</f>
        <v>0</v>
      </c>
      <c r="F308" s="58">
        <f>IFERROR(VLOOKUP(B308, 'HMMTPUMaC Algebra'!A$2:$B$500,2, 0), 0)</f>
        <v>0</v>
      </c>
      <c r="G308" s="53">
        <f>IFERROR(VLOOKUP(B308, 'HMMTPUMaC Combo'!A$2:$B$500,2, 0), 0)</f>
        <v>0</v>
      </c>
      <c r="H308" s="66">
        <f>IFERROR(VLOOKUP(B308, 'HMMTPUMaC Algebra'!A$2:$B$198,2, 0), 0)</f>
        <v>0</v>
      </c>
      <c r="I308" s="53">
        <f>IFERROR(VLOOKUP(B308, 'HMMTPUMaC NT'!A$2:$B$500,2, 0), 0)</f>
        <v>0</v>
      </c>
      <c r="J308" s="53">
        <f>IFERROR(VLOOKUP(B308, 'HMMT 1 Real'!$A$2:B$198,2, 0), 0)</f>
        <v>0</v>
      </c>
      <c r="K308" s="66">
        <f>IFERROR(VLOOKUP(B308, 'HMMT 2 Real'!$A$2:C$198,2, 0), 0)</f>
        <v>0</v>
      </c>
    </row>
    <row r="309">
      <c r="A309" s="65">
        <f t="shared" si="1"/>
        <v>308</v>
      </c>
      <c r="B309" s="7" t="s">
        <v>237</v>
      </c>
      <c r="C309" s="53">
        <f t="shared" si="6"/>
        <v>0</v>
      </c>
      <c r="D309" s="53">
        <f t="shared" si="3"/>
        <v>0</v>
      </c>
      <c r="E309" s="57">
        <f>IFERROR(VLOOKUP(B309, Proof!A$2:$B$199,2, 0), 0)</f>
        <v>0</v>
      </c>
      <c r="F309" s="58">
        <f>IFERROR(VLOOKUP(B309, 'HMMTPUMaC Algebra'!A$2:$B$500,2, 0), 0)</f>
        <v>0</v>
      </c>
      <c r="G309" s="53">
        <f>IFERROR(VLOOKUP(B309, 'HMMTPUMaC Combo'!A$2:$B$500,2, 0), 0)</f>
        <v>0</v>
      </c>
      <c r="H309" s="66">
        <f>IFERROR(VLOOKUP(B309, 'HMMTPUMaC Algebra'!A$2:$B$198,2, 0), 0)</f>
        <v>0</v>
      </c>
      <c r="I309" s="53">
        <f>IFERROR(VLOOKUP(B309, 'HMMTPUMaC NT'!A$2:$B$500,2, 0), 0)</f>
        <v>0</v>
      </c>
      <c r="J309" s="53">
        <f>IFERROR(VLOOKUP(B309, 'HMMT 1 Real'!$A$2:B$198,2, 0), 0)</f>
        <v>0</v>
      </c>
      <c r="K309" s="66">
        <f>IFERROR(VLOOKUP(B309, 'HMMT 2 Real'!$A$2:C$198,2, 0), 0)</f>
        <v>0</v>
      </c>
    </row>
    <row r="310">
      <c r="A310" s="65">
        <f t="shared" si="1"/>
        <v>309</v>
      </c>
      <c r="B310" s="7" t="s">
        <v>260</v>
      </c>
      <c r="C310" s="53">
        <f t="shared" si="6"/>
        <v>0</v>
      </c>
      <c r="D310" s="53">
        <f t="shared" si="3"/>
        <v>0</v>
      </c>
      <c r="E310" s="57">
        <f>IFERROR(VLOOKUP(B310, Proof!A$2:$B$199,2, 0), 0)</f>
        <v>0</v>
      </c>
      <c r="F310" s="58">
        <f>IFERROR(VLOOKUP(B310, 'HMMTPUMaC Algebra'!A$2:$B$500,2, 0), 0)</f>
        <v>0</v>
      </c>
      <c r="G310" s="53">
        <f>IFERROR(VLOOKUP(B310, 'HMMTPUMaC Combo'!A$2:$B$500,2, 0), 0)</f>
        <v>0</v>
      </c>
      <c r="H310" s="66">
        <f>IFERROR(VLOOKUP(B310, 'HMMTPUMaC Algebra'!A$2:$B$198,2, 0), 0)</f>
        <v>0</v>
      </c>
      <c r="I310" s="53">
        <f>IFERROR(VLOOKUP(B310, 'HMMTPUMaC NT'!A$2:$B$500,2, 0), 0)</f>
        <v>0</v>
      </c>
      <c r="J310" s="53">
        <f>IFERROR(VLOOKUP(B310, 'HMMT 1 Real'!$A$2:B$198,2, 0), 0)</f>
        <v>0</v>
      </c>
      <c r="K310" s="66">
        <f>IFERROR(VLOOKUP(B310, 'HMMT 2 Real'!$A$2:C$198,2, 0), 0)</f>
        <v>0</v>
      </c>
    </row>
    <row r="311">
      <c r="A311" s="65">
        <f t="shared" si="1"/>
        <v>310</v>
      </c>
      <c r="B311" s="7" t="s">
        <v>167</v>
      </c>
      <c r="C311" s="53">
        <f t="shared" si="6"/>
        <v>0</v>
      </c>
      <c r="D311" s="53">
        <f t="shared" si="3"/>
        <v>0</v>
      </c>
      <c r="E311" s="57">
        <f>IFERROR(VLOOKUP(B311, Proof!A$2:$B$199,2, 0), 0)</f>
        <v>0</v>
      </c>
      <c r="F311" s="58">
        <f>IFERROR(VLOOKUP(B311, 'HMMTPUMaC Algebra'!A$2:$B$500,2, 0), 0)</f>
        <v>0</v>
      </c>
      <c r="G311" s="53">
        <f>IFERROR(VLOOKUP(B311, 'HMMTPUMaC Combo'!A$2:$B$500,2, 0), 0)</f>
        <v>0</v>
      </c>
      <c r="H311" s="66">
        <f>IFERROR(VLOOKUP(B311, 'HMMTPUMaC Algebra'!A$2:$B$198,2, 0), 0)</f>
        <v>0</v>
      </c>
      <c r="I311" s="53">
        <f>IFERROR(VLOOKUP(B311, 'HMMTPUMaC NT'!A$2:$B$500,2, 0), 0)</f>
        <v>0</v>
      </c>
      <c r="J311" s="53">
        <f>IFERROR(VLOOKUP(B311, 'HMMT 1 Real'!$A$2:B$198,2, 0), 0)</f>
        <v>0</v>
      </c>
      <c r="K311" s="66">
        <f>IFERROR(VLOOKUP(B311, 'HMMT 2 Real'!$A$2:C$198,2, 0), 0)</f>
        <v>0</v>
      </c>
    </row>
    <row r="312">
      <c r="A312" s="65">
        <f t="shared" si="1"/>
        <v>311</v>
      </c>
      <c r="B312" s="7" t="s">
        <v>177</v>
      </c>
      <c r="C312" s="53">
        <f t="shared" si="6"/>
        <v>0</v>
      </c>
      <c r="D312" s="53">
        <f t="shared" si="3"/>
        <v>0</v>
      </c>
      <c r="E312" s="57">
        <f>IFERROR(VLOOKUP(B312, Proof!A$2:$B$199,2, 0), 0)</f>
        <v>0</v>
      </c>
      <c r="F312" s="58">
        <f>IFERROR(VLOOKUP(B312, 'HMMTPUMaC Algebra'!A$2:$B$500,2, 0), 0)</f>
        <v>0</v>
      </c>
      <c r="G312" s="53">
        <f>IFERROR(VLOOKUP(B312, 'HMMTPUMaC Combo'!A$2:$B$500,2, 0), 0)</f>
        <v>0</v>
      </c>
      <c r="H312" s="66">
        <f>IFERROR(VLOOKUP(B312, 'HMMTPUMaC Algebra'!A$2:$B$198,2, 0), 0)</f>
        <v>0</v>
      </c>
      <c r="I312" s="53">
        <f>IFERROR(VLOOKUP(B312, 'HMMTPUMaC NT'!A$2:$B$500,2, 0), 0)</f>
        <v>0</v>
      </c>
      <c r="J312" s="53">
        <f>IFERROR(VLOOKUP(B312, 'HMMT 1 Real'!$A$2:B$198,2, 0), 0)</f>
        <v>0</v>
      </c>
      <c r="K312" s="66">
        <f>IFERROR(VLOOKUP(B312, 'HMMT 2 Real'!$A$2:C$198,2, 0), 0)</f>
        <v>0</v>
      </c>
    </row>
    <row r="313">
      <c r="A313" s="65">
        <f t="shared" si="1"/>
        <v>312</v>
      </c>
      <c r="B313" s="7" t="s">
        <v>273</v>
      </c>
      <c r="C313" s="53">
        <f t="shared" si="6"/>
        <v>0</v>
      </c>
      <c r="D313" s="53">
        <f t="shared" si="3"/>
        <v>0</v>
      </c>
      <c r="E313" s="57">
        <f>IFERROR(VLOOKUP(B313, Proof!A$2:$B$199,2, 0), 0)</f>
        <v>0</v>
      </c>
      <c r="F313" s="58">
        <f>IFERROR(VLOOKUP(B313, 'HMMTPUMaC Algebra'!A$2:$B$500,2, 0), 0)</f>
        <v>0</v>
      </c>
      <c r="G313" s="53">
        <f>IFERROR(VLOOKUP(B313, 'HMMTPUMaC Combo'!A$2:$B$500,2, 0), 0)</f>
        <v>0</v>
      </c>
      <c r="H313" s="66">
        <f>IFERROR(VLOOKUP(B313, 'HMMTPUMaC Algebra'!A$2:$B$198,2, 0), 0)</f>
        <v>0</v>
      </c>
      <c r="I313" s="53">
        <f>IFERROR(VLOOKUP(B313, 'HMMTPUMaC NT'!A$2:$B$500,2, 0), 0)</f>
        <v>0</v>
      </c>
      <c r="J313" s="53">
        <f>IFERROR(VLOOKUP(B313, 'HMMT 1 Real'!$A$2:B$198,2, 0), 0)</f>
        <v>0</v>
      </c>
      <c r="K313" s="66">
        <f>IFERROR(VLOOKUP(B313, 'HMMT 2 Real'!$A$2:C$198,2, 0), 0)</f>
        <v>0</v>
      </c>
    </row>
    <row r="314">
      <c r="A314" s="65">
        <f t="shared" si="1"/>
        <v>313</v>
      </c>
      <c r="B314" s="7" t="s">
        <v>286</v>
      </c>
      <c r="C314" s="53">
        <f t="shared" si="6"/>
        <v>0</v>
      </c>
      <c r="D314" s="53">
        <f t="shared" si="3"/>
        <v>0</v>
      </c>
      <c r="E314" s="57">
        <f>IFERROR(VLOOKUP(B314, Proof!A$2:$B$199,2, 0), 0)</f>
        <v>0</v>
      </c>
      <c r="F314" s="58">
        <f>IFERROR(VLOOKUP(B314, 'HMMTPUMaC Algebra'!A$2:$B$500,2, 0), 0)</f>
        <v>0</v>
      </c>
      <c r="G314" s="53">
        <f>IFERROR(VLOOKUP(B314, 'HMMTPUMaC Combo'!A$2:$B$500,2, 0), 0)</f>
        <v>0</v>
      </c>
      <c r="H314" s="66">
        <f>IFERROR(VLOOKUP(B314, 'HMMTPUMaC Algebra'!A$2:$B$198,2, 0), 0)</f>
        <v>0</v>
      </c>
      <c r="I314" s="53">
        <f>IFERROR(VLOOKUP(B314, 'HMMTPUMaC NT'!A$2:$B$500,2, 0), 0)</f>
        <v>0</v>
      </c>
      <c r="J314" s="53">
        <f>IFERROR(VLOOKUP(B314, 'HMMT 1 Real'!$A$2:B$198,2, 0), 0)</f>
        <v>0</v>
      </c>
      <c r="K314" s="66">
        <f>IFERROR(VLOOKUP(B314, 'HMMT 2 Real'!$A$2:C$198,2, 0), 0)</f>
        <v>0</v>
      </c>
    </row>
    <row r="315">
      <c r="A315" s="65">
        <f t="shared" si="1"/>
        <v>314</v>
      </c>
      <c r="B315" s="7" t="s">
        <v>280</v>
      </c>
      <c r="C315" s="53">
        <f t="shared" si="6"/>
        <v>0</v>
      </c>
      <c r="D315" s="53">
        <f t="shared" si="3"/>
        <v>0</v>
      </c>
      <c r="E315" s="57">
        <f>IFERROR(VLOOKUP(B315, Proof!A$2:$B$199,2, 0), 0)</f>
        <v>0</v>
      </c>
      <c r="F315" s="58">
        <f>IFERROR(VLOOKUP(B315, 'HMMTPUMaC Algebra'!A$2:$B$500,2, 0), 0)</f>
        <v>0</v>
      </c>
      <c r="G315" s="53">
        <f>IFERROR(VLOOKUP(B315, 'HMMTPUMaC Combo'!A$2:$B$500,2, 0), 0)</f>
        <v>0</v>
      </c>
      <c r="H315" s="66">
        <f>IFERROR(VLOOKUP(B315, 'HMMTPUMaC Algebra'!A$2:$B$198,2, 0), 0)</f>
        <v>0</v>
      </c>
      <c r="I315" s="53">
        <f>IFERROR(VLOOKUP(B315, 'HMMTPUMaC NT'!A$2:$B$500,2, 0), 0)</f>
        <v>0</v>
      </c>
      <c r="J315" s="53">
        <f>IFERROR(VLOOKUP(B315, 'HMMT 1 Real'!$A$2:B$198,2, 0), 0)</f>
        <v>0</v>
      </c>
      <c r="K315" s="66">
        <f>IFERROR(VLOOKUP(B315, 'HMMT 2 Real'!$A$2:C$198,2, 0), 0)</f>
        <v>0</v>
      </c>
    </row>
    <row r="316">
      <c r="A316" s="65">
        <f t="shared" si="1"/>
        <v>315</v>
      </c>
      <c r="B316" s="7" t="s">
        <v>212</v>
      </c>
      <c r="C316" s="53">
        <f t="shared" si="6"/>
        <v>0</v>
      </c>
      <c r="D316" s="53">
        <f t="shared" si="3"/>
        <v>0</v>
      </c>
      <c r="E316" s="57">
        <f>IFERROR(VLOOKUP(B316, Proof!A$2:$B$199,2, 0), 0)</f>
        <v>0</v>
      </c>
      <c r="F316" s="58">
        <f>IFERROR(VLOOKUP(B316, 'HMMTPUMaC Algebra'!A$2:$B$500,2, 0), 0)</f>
        <v>0</v>
      </c>
      <c r="G316" s="53">
        <f>IFERROR(VLOOKUP(B316, 'HMMTPUMaC Combo'!A$2:$B$500,2, 0), 0)</f>
        <v>0</v>
      </c>
      <c r="H316" s="66">
        <f>IFERROR(VLOOKUP(B316, 'HMMTPUMaC Algebra'!A$2:$B$198,2, 0), 0)</f>
        <v>0</v>
      </c>
      <c r="I316" s="53">
        <f>IFERROR(VLOOKUP(B316, 'HMMTPUMaC NT'!A$2:$B$500,2, 0), 0)</f>
        <v>0</v>
      </c>
      <c r="J316" s="53">
        <f>IFERROR(VLOOKUP(B316, 'HMMT 1 Real'!$A$2:B$198,2, 0), 0)</f>
        <v>0</v>
      </c>
      <c r="K316" s="66">
        <f>IFERROR(VLOOKUP(B316, 'HMMT 2 Real'!$A$2:C$198,2, 0), 0)</f>
        <v>0</v>
      </c>
    </row>
    <row r="317">
      <c r="A317" s="65">
        <f t="shared" si="1"/>
        <v>316</v>
      </c>
      <c r="B317" s="7" t="s">
        <v>168</v>
      </c>
      <c r="C317" s="53">
        <f t="shared" si="6"/>
        <v>0</v>
      </c>
      <c r="D317" s="53">
        <f t="shared" si="3"/>
        <v>0</v>
      </c>
      <c r="E317" s="57">
        <f>IFERROR(VLOOKUP(B317, Proof!A$2:$B$199,2, 0), 0)</f>
        <v>0</v>
      </c>
      <c r="F317" s="58">
        <f>IFERROR(VLOOKUP(B317, 'HMMTPUMaC Algebra'!A$2:$B$500,2, 0), 0)</f>
        <v>0</v>
      </c>
      <c r="G317" s="53">
        <f>IFERROR(VLOOKUP(B317, 'HMMTPUMaC Combo'!A$2:$B$500,2, 0), 0)</f>
        <v>0</v>
      </c>
      <c r="H317" s="66">
        <f>IFERROR(VLOOKUP(B317, 'HMMTPUMaC Algebra'!A$2:$B$198,2, 0), 0)</f>
        <v>0</v>
      </c>
      <c r="I317" s="53">
        <f>IFERROR(VLOOKUP(B317, 'HMMTPUMaC NT'!A$2:$B$500,2, 0), 0)</f>
        <v>0</v>
      </c>
      <c r="J317" s="53">
        <f>IFERROR(VLOOKUP(B317, 'HMMT 1 Real'!$A$2:B$198,2, 0), 0)</f>
        <v>0</v>
      </c>
      <c r="K317" s="66">
        <f>IFERROR(VLOOKUP(B317, 'HMMT 2 Real'!$A$2:C$198,2, 0), 0)</f>
        <v>0</v>
      </c>
    </row>
    <row r="318">
      <c r="A318" s="65">
        <f t="shared" si="1"/>
        <v>317</v>
      </c>
      <c r="B318" s="7" t="s">
        <v>163</v>
      </c>
      <c r="C318" s="53">
        <f t="shared" si="6"/>
        <v>0</v>
      </c>
      <c r="D318" s="53">
        <f t="shared" si="3"/>
        <v>0</v>
      </c>
      <c r="E318" s="57">
        <f>IFERROR(VLOOKUP(B318, Proof!A$2:$B$199,2, 0), 0)</f>
        <v>0</v>
      </c>
      <c r="F318" s="58">
        <f>IFERROR(VLOOKUP(B318, 'HMMTPUMaC Algebra'!A$2:$B$500,2, 0), 0)</f>
        <v>0</v>
      </c>
      <c r="G318" s="53">
        <f>IFERROR(VLOOKUP(B318, 'HMMTPUMaC Combo'!A$2:$B$500,2, 0), 0)</f>
        <v>0</v>
      </c>
      <c r="H318" s="66">
        <f>IFERROR(VLOOKUP(B318, 'HMMTPUMaC Algebra'!A$2:$B$198,2, 0), 0)</f>
        <v>0</v>
      </c>
      <c r="I318" s="53">
        <f>IFERROR(VLOOKUP(B318, 'HMMTPUMaC NT'!A$2:$B$500,2, 0), 0)</f>
        <v>0</v>
      </c>
      <c r="J318" s="53">
        <f>IFERROR(VLOOKUP(B318, 'HMMT 1 Real'!$A$2:B$198,2, 0), 0)</f>
        <v>0</v>
      </c>
      <c r="K318" s="66">
        <f>IFERROR(VLOOKUP(B318, 'HMMT 2 Real'!$A$2:C$198,2, 0), 0)</f>
        <v>0</v>
      </c>
    </row>
    <row r="319">
      <c r="A319" s="65">
        <f t="shared" si="1"/>
        <v>318</v>
      </c>
      <c r="B319" s="7" t="s">
        <v>225</v>
      </c>
      <c r="C319" s="53">
        <f t="shared" si="6"/>
        <v>0</v>
      </c>
      <c r="D319" s="53">
        <f t="shared" si="3"/>
        <v>0</v>
      </c>
      <c r="E319" s="57">
        <f>IFERROR(VLOOKUP(B319, Proof!A$2:$B$199,2, 0), 0)</f>
        <v>0</v>
      </c>
      <c r="F319" s="58">
        <f>IFERROR(VLOOKUP(B319, 'HMMTPUMaC Algebra'!A$2:$B$500,2, 0), 0)</f>
        <v>0</v>
      </c>
      <c r="G319" s="53">
        <f>IFERROR(VLOOKUP(B319, 'HMMTPUMaC Combo'!A$2:$B$500,2, 0), 0)</f>
        <v>0</v>
      </c>
      <c r="H319" s="66">
        <f>IFERROR(VLOOKUP(B319, 'HMMTPUMaC Algebra'!A$2:$B$198,2, 0), 0)</f>
        <v>0</v>
      </c>
      <c r="I319" s="53">
        <f>IFERROR(VLOOKUP(B319, 'HMMTPUMaC NT'!A$2:$B$500,2, 0), 0)</f>
        <v>0</v>
      </c>
      <c r="J319" s="53">
        <f>IFERROR(VLOOKUP(B319, 'HMMT 1 Real'!$A$2:B$198,2, 0), 0)</f>
        <v>0</v>
      </c>
      <c r="K319" s="66">
        <f>IFERROR(VLOOKUP(B319, 'HMMT 2 Real'!$A$2:C$198,2, 0), 0)</f>
        <v>0</v>
      </c>
    </row>
    <row r="320">
      <c r="A320" s="65">
        <f t="shared" si="1"/>
        <v>319</v>
      </c>
      <c r="B320" s="7" t="s">
        <v>228</v>
      </c>
      <c r="C320" s="53">
        <f t="shared" si="6"/>
        <v>0</v>
      </c>
      <c r="D320" s="53">
        <f t="shared" si="3"/>
        <v>0</v>
      </c>
      <c r="E320" s="57">
        <f>IFERROR(VLOOKUP(B320, Proof!A$2:$B$199,2, 0), 0)</f>
        <v>0</v>
      </c>
      <c r="F320" s="58">
        <f>IFERROR(VLOOKUP(B320, 'HMMTPUMaC Algebra'!A$2:$B$500,2, 0), 0)</f>
        <v>0</v>
      </c>
      <c r="G320" s="53">
        <f>IFERROR(VLOOKUP(B320, 'HMMTPUMaC Combo'!A$2:$B$500,2, 0), 0)</f>
        <v>0</v>
      </c>
      <c r="H320" s="66">
        <f>IFERROR(VLOOKUP(B320, 'HMMTPUMaC Algebra'!A$2:$B$198,2, 0), 0)</f>
        <v>0</v>
      </c>
      <c r="I320" s="53">
        <f>IFERROR(VLOOKUP(B320, 'HMMTPUMaC NT'!A$2:$B$500,2, 0), 0)</f>
        <v>0</v>
      </c>
      <c r="J320" s="53">
        <f>IFERROR(VLOOKUP(B320, 'HMMT 1 Real'!$A$2:B$198,2, 0), 0)</f>
        <v>0</v>
      </c>
      <c r="K320" s="66">
        <f>IFERROR(VLOOKUP(B320, 'HMMT 2 Real'!$A$2:C$198,2, 0), 0)</f>
        <v>0</v>
      </c>
    </row>
    <row r="321">
      <c r="A321" s="65">
        <f t="shared" si="1"/>
        <v>320</v>
      </c>
      <c r="B321" s="7" t="s">
        <v>192</v>
      </c>
      <c r="C321" s="53">
        <f t="shared" si="6"/>
        <v>0</v>
      </c>
      <c r="D321" s="53">
        <f t="shared" si="3"/>
        <v>0</v>
      </c>
      <c r="E321" s="57">
        <f>IFERROR(VLOOKUP(B321, Proof!A$2:$B$199,2, 0), 0)</f>
        <v>0</v>
      </c>
      <c r="F321" s="58">
        <f>IFERROR(VLOOKUP(B321, 'HMMTPUMaC Algebra'!A$2:$B$500,2, 0), 0)</f>
        <v>0</v>
      </c>
      <c r="G321" s="53">
        <f>IFERROR(VLOOKUP(B321, 'HMMTPUMaC Combo'!A$2:$B$500,2, 0), 0)</f>
        <v>0</v>
      </c>
      <c r="H321" s="66">
        <f>IFERROR(VLOOKUP(B321, 'HMMTPUMaC Algebra'!A$2:$B$198,2, 0), 0)</f>
        <v>0</v>
      </c>
      <c r="I321" s="53">
        <f>IFERROR(VLOOKUP(B321, 'HMMTPUMaC NT'!A$2:$B$500,2, 0), 0)</f>
        <v>0</v>
      </c>
      <c r="J321" s="53">
        <f>IFERROR(VLOOKUP(B321, 'HMMT 1 Real'!$A$2:B$198,2, 0), 0)</f>
        <v>0</v>
      </c>
      <c r="K321" s="66">
        <f>IFERROR(VLOOKUP(B321, 'HMMT 2 Real'!$A$2:C$198,2, 0), 0)</f>
        <v>0</v>
      </c>
    </row>
    <row r="322">
      <c r="A322" s="65">
        <f t="shared" si="1"/>
        <v>321</v>
      </c>
      <c r="B322" s="7" t="s">
        <v>195</v>
      </c>
      <c r="C322" s="53">
        <f t="shared" si="6"/>
        <v>0</v>
      </c>
      <c r="D322" s="53">
        <f t="shared" si="3"/>
        <v>0</v>
      </c>
      <c r="E322" s="57">
        <f>IFERROR(VLOOKUP(B322, Proof!A$2:$B$199,2, 0), 0)</f>
        <v>0</v>
      </c>
      <c r="F322" s="58">
        <f>IFERROR(VLOOKUP(B322, 'HMMTPUMaC Algebra'!A$2:$B$500,2, 0), 0)</f>
        <v>0</v>
      </c>
      <c r="G322" s="53">
        <f>IFERROR(VLOOKUP(B322, 'HMMTPUMaC Combo'!A$2:$B$500,2, 0), 0)</f>
        <v>0</v>
      </c>
      <c r="H322" s="66">
        <f>IFERROR(VLOOKUP(B322, 'HMMTPUMaC Algebra'!A$2:$B$198,2, 0), 0)</f>
        <v>0</v>
      </c>
      <c r="I322" s="53">
        <f>IFERROR(VLOOKUP(B322, 'HMMTPUMaC NT'!A$2:$B$500,2, 0), 0)</f>
        <v>0</v>
      </c>
      <c r="J322" s="53">
        <f>IFERROR(VLOOKUP(B322, 'HMMT 1 Real'!$A$2:B$198,2, 0), 0)</f>
        <v>0</v>
      </c>
      <c r="K322" s="66">
        <f>IFERROR(VLOOKUP(B322, 'HMMT 2 Real'!$A$2:C$198,2, 0), 0)</f>
        <v>0</v>
      </c>
    </row>
    <row r="323">
      <c r="A323" s="65">
        <f t="shared" si="1"/>
        <v>322</v>
      </c>
      <c r="B323" s="7" t="s">
        <v>275</v>
      </c>
      <c r="C323" s="53">
        <f t="shared" si="6"/>
        <v>0</v>
      </c>
      <c r="D323" s="53">
        <f t="shared" si="3"/>
        <v>0</v>
      </c>
      <c r="E323" s="57">
        <f>IFERROR(VLOOKUP(B323, Proof!A$2:$B$199,2, 0), 0)</f>
        <v>0</v>
      </c>
      <c r="F323" s="58">
        <f>IFERROR(VLOOKUP(B323, 'HMMTPUMaC Algebra'!A$2:$B$500,2, 0), 0)</f>
        <v>0</v>
      </c>
      <c r="G323" s="53">
        <f>IFERROR(VLOOKUP(B323, 'HMMTPUMaC Combo'!A$2:$B$500,2, 0), 0)</f>
        <v>0</v>
      </c>
      <c r="H323" s="66">
        <f>IFERROR(VLOOKUP(B323, 'HMMTPUMaC Algebra'!A$2:$B$198,2, 0), 0)</f>
        <v>0</v>
      </c>
      <c r="I323" s="53">
        <f>IFERROR(VLOOKUP(B323, 'HMMTPUMaC NT'!A$2:$B$500,2, 0), 0)</f>
        <v>0</v>
      </c>
      <c r="J323" s="53">
        <f>IFERROR(VLOOKUP(B323, 'HMMT 1 Real'!$A$2:B$198,2, 0), 0)</f>
        <v>0</v>
      </c>
      <c r="K323" s="66">
        <f>IFERROR(VLOOKUP(B323, 'HMMT 2 Real'!$A$2:C$198,2, 0), 0)</f>
        <v>0</v>
      </c>
    </row>
    <row r="324">
      <c r="A324" s="65">
        <f t="shared" si="1"/>
        <v>323</v>
      </c>
      <c r="B324" s="7" t="s">
        <v>171</v>
      </c>
      <c r="C324" s="53">
        <f t="shared" si="6"/>
        <v>0</v>
      </c>
      <c r="D324" s="53">
        <f t="shared" si="3"/>
        <v>0</v>
      </c>
      <c r="E324" s="57">
        <f>IFERROR(VLOOKUP(B324, Proof!A$2:$B$199,2, 0), 0)</f>
        <v>0</v>
      </c>
      <c r="F324" s="58">
        <f>IFERROR(VLOOKUP(B324, 'HMMTPUMaC Algebra'!A$2:$B$500,2, 0), 0)</f>
        <v>0</v>
      </c>
      <c r="G324" s="53">
        <f>IFERROR(VLOOKUP(B324, 'HMMTPUMaC Combo'!A$2:$B$500,2, 0), 0)</f>
        <v>0</v>
      </c>
      <c r="H324" s="66">
        <f>IFERROR(VLOOKUP(B324, 'HMMTPUMaC Algebra'!A$2:$B$198,2, 0), 0)</f>
        <v>0</v>
      </c>
      <c r="I324" s="53">
        <f>IFERROR(VLOOKUP(B324, 'HMMTPUMaC NT'!A$2:$B$500,2, 0), 0)</f>
        <v>0</v>
      </c>
      <c r="J324" s="53">
        <f>IFERROR(VLOOKUP(B324, 'HMMT 1 Real'!$A$2:B$198,2, 0), 0)</f>
        <v>0</v>
      </c>
      <c r="K324" s="66">
        <f>IFERROR(VLOOKUP(B324, 'HMMT 2 Real'!$A$2:C$198,2, 0), 0)</f>
        <v>0</v>
      </c>
    </row>
    <row r="325">
      <c r="A325" s="65">
        <f t="shared" si="1"/>
        <v>324</v>
      </c>
      <c r="B325" s="7" t="s">
        <v>266</v>
      </c>
      <c r="C325" s="53">
        <f t="shared" si="6"/>
        <v>0</v>
      </c>
      <c r="D325" s="53">
        <f t="shared" si="3"/>
        <v>0</v>
      </c>
      <c r="E325" s="57">
        <f>IFERROR(VLOOKUP(B325, Proof!A$2:$B$199,2, 0), 0)</f>
        <v>0</v>
      </c>
      <c r="F325" s="58">
        <f>IFERROR(VLOOKUP(B325, 'HMMTPUMaC Algebra'!A$2:$B$500,2, 0), 0)</f>
        <v>0</v>
      </c>
      <c r="G325" s="53">
        <f>IFERROR(VLOOKUP(B325, 'HMMTPUMaC Combo'!A$2:$B$500,2, 0), 0)</f>
        <v>0</v>
      </c>
      <c r="H325" s="66">
        <f>IFERROR(VLOOKUP(B325, 'HMMTPUMaC Algebra'!A$2:$B$198,2, 0), 0)</f>
        <v>0</v>
      </c>
      <c r="I325" s="53">
        <f>IFERROR(VLOOKUP(B325, 'HMMTPUMaC NT'!A$2:$B$500,2, 0), 0)</f>
        <v>0</v>
      </c>
      <c r="J325" s="53">
        <f>IFERROR(VLOOKUP(B325, 'HMMT 1 Real'!$A$2:B$198,2, 0), 0)</f>
        <v>0</v>
      </c>
      <c r="K325" s="66">
        <f>IFERROR(VLOOKUP(B325, 'HMMT 2 Real'!$A$2:C$198,2, 0), 0)</f>
        <v>0</v>
      </c>
    </row>
    <row r="326">
      <c r="A326" s="65">
        <f t="shared" si="1"/>
        <v>325</v>
      </c>
      <c r="B326" s="7" t="s">
        <v>232</v>
      </c>
      <c r="C326" s="53">
        <f t="shared" si="6"/>
        <v>0</v>
      </c>
      <c r="D326" s="53">
        <f t="shared" si="3"/>
        <v>0</v>
      </c>
      <c r="E326" s="57">
        <f>IFERROR(VLOOKUP(B326, Proof!A$2:$B$199,2, 0), 0)</f>
        <v>0</v>
      </c>
      <c r="F326" s="58">
        <f>IFERROR(VLOOKUP(B326, 'HMMTPUMaC Algebra'!A$2:$B$500,2, 0), 0)</f>
        <v>0</v>
      </c>
      <c r="G326" s="53">
        <f>IFERROR(VLOOKUP(B326, 'HMMTPUMaC Combo'!A$2:$B$500,2, 0), 0)</f>
        <v>0</v>
      </c>
      <c r="H326" s="66">
        <f>IFERROR(VLOOKUP(B326, 'HMMTPUMaC Algebra'!A$2:$B$198,2, 0), 0)</f>
        <v>0</v>
      </c>
      <c r="I326" s="53">
        <f>IFERROR(VLOOKUP(B326, 'HMMTPUMaC NT'!A$2:$B$500,2, 0), 0)</f>
        <v>0</v>
      </c>
      <c r="J326" s="53">
        <f>IFERROR(VLOOKUP(B326, 'HMMT 1 Real'!$A$2:B$198,2, 0), 0)</f>
        <v>0</v>
      </c>
      <c r="K326" s="66">
        <f>IFERROR(VLOOKUP(B326, 'HMMT 2 Real'!$A$2:C$198,2, 0), 0)</f>
        <v>0</v>
      </c>
    </row>
    <row r="327">
      <c r="A327" s="65">
        <f t="shared" si="1"/>
        <v>326</v>
      </c>
      <c r="B327" s="7" t="s">
        <v>307</v>
      </c>
      <c r="C327" s="53">
        <f t="shared" si="6"/>
        <v>0</v>
      </c>
      <c r="D327" s="53">
        <f t="shared" si="3"/>
        <v>0</v>
      </c>
      <c r="E327" s="57">
        <f>IFERROR(VLOOKUP(B327, Proof!A$2:$B$199,2, 0), 0)</f>
        <v>0</v>
      </c>
      <c r="F327" s="58">
        <f>IFERROR(VLOOKUP(B327, 'HMMTPUMaC Algebra'!A$2:$B$500,2, 0), 0)</f>
        <v>0</v>
      </c>
      <c r="G327" s="53">
        <f>IFERROR(VLOOKUP(B327, 'HMMTPUMaC Combo'!A$2:$B$500,2, 0), 0)</f>
        <v>0</v>
      </c>
      <c r="H327" s="66">
        <f>IFERROR(VLOOKUP(B327, 'HMMTPUMaC Algebra'!A$2:$B$198,2, 0), 0)</f>
        <v>0</v>
      </c>
      <c r="I327" s="53">
        <f>IFERROR(VLOOKUP(B327, 'HMMTPUMaC NT'!A$2:$B$500,2, 0), 0)</f>
        <v>0</v>
      </c>
      <c r="J327" s="53">
        <f>IFERROR(VLOOKUP(B327, 'HMMT 1 Real'!$A$2:B$198,2, 0), 0)</f>
        <v>0</v>
      </c>
      <c r="K327" s="66">
        <f>IFERROR(VLOOKUP(B327, 'HMMT 2 Real'!$A$2:C$198,2, 0), 0)</f>
        <v>0</v>
      </c>
    </row>
    <row r="328">
      <c r="A328" s="65">
        <f t="shared" si="1"/>
        <v>327</v>
      </c>
      <c r="B328" s="7" t="s">
        <v>172</v>
      </c>
      <c r="C328" s="53">
        <f t="shared" si="6"/>
        <v>0</v>
      </c>
      <c r="D328" s="53">
        <f t="shared" si="3"/>
        <v>0</v>
      </c>
      <c r="E328" s="57">
        <f>IFERROR(VLOOKUP(B328, Proof!A$2:$B$199,2, 0), 0)</f>
        <v>0</v>
      </c>
      <c r="F328" s="58">
        <f>IFERROR(VLOOKUP(B328, 'HMMTPUMaC Algebra'!A$2:$B$500,2, 0), 0)</f>
        <v>0</v>
      </c>
      <c r="G328" s="53">
        <f>IFERROR(VLOOKUP(B328, 'HMMTPUMaC Combo'!A$2:$B$500,2, 0), 0)</f>
        <v>0</v>
      </c>
      <c r="H328" s="66">
        <f>IFERROR(VLOOKUP(B328, 'HMMTPUMaC Algebra'!A$2:$B$198,2, 0), 0)</f>
        <v>0</v>
      </c>
      <c r="I328" s="53">
        <f>IFERROR(VLOOKUP(B328, 'HMMTPUMaC NT'!A$2:$B$500,2, 0), 0)</f>
        <v>0</v>
      </c>
      <c r="J328" s="53">
        <f>IFERROR(VLOOKUP(B328, 'HMMT 1 Real'!$A$2:B$198,2, 0), 0)</f>
        <v>0</v>
      </c>
      <c r="K328" s="66">
        <f>IFERROR(VLOOKUP(B328, 'HMMT 2 Real'!$A$2:C$198,2, 0), 0)</f>
        <v>0</v>
      </c>
    </row>
    <row r="329">
      <c r="A329" s="65">
        <f t="shared" si="1"/>
        <v>328</v>
      </c>
      <c r="B329" s="7" t="s">
        <v>243</v>
      </c>
      <c r="C329" s="53">
        <f t="shared" si="6"/>
        <v>0</v>
      </c>
      <c r="D329" s="53">
        <f t="shared" si="3"/>
        <v>0</v>
      </c>
      <c r="E329" s="57">
        <f>IFERROR(VLOOKUP(B329, Proof!A$2:$B$199,2, 0), 0)</f>
        <v>0</v>
      </c>
      <c r="F329" s="58">
        <f>IFERROR(VLOOKUP(B329, 'HMMTPUMaC Algebra'!A$2:$B$500,2, 0), 0)</f>
        <v>0</v>
      </c>
      <c r="G329" s="53">
        <f>IFERROR(VLOOKUP(B329, 'HMMTPUMaC Combo'!A$2:$B$500,2, 0), 0)</f>
        <v>0</v>
      </c>
      <c r="H329" s="66">
        <f>IFERROR(VLOOKUP(B329, 'HMMTPUMaC Algebra'!A$2:$B$198,2, 0), 0)</f>
        <v>0</v>
      </c>
      <c r="I329" s="53">
        <f>IFERROR(VLOOKUP(B329, 'HMMTPUMaC NT'!A$2:$B$500,2, 0), 0)</f>
        <v>0</v>
      </c>
      <c r="J329" s="53">
        <f>IFERROR(VLOOKUP(B329, 'HMMT 1 Real'!$A$2:B$198,2, 0), 0)</f>
        <v>0</v>
      </c>
      <c r="K329" s="66">
        <f>IFERROR(VLOOKUP(B329, 'HMMT 2 Real'!$A$2:C$198,2, 0), 0)</f>
        <v>0</v>
      </c>
    </row>
    <row r="330">
      <c r="A330" s="65">
        <f t="shared" si="1"/>
        <v>329</v>
      </c>
      <c r="B330" s="7" t="s">
        <v>239</v>
      </c>
      <c r="C330" s="53">
        <f t="shared" si="6"/>
        <v>0</v>
      </c>
      <c r="D330" s="53">
        <f t="shared" si="3"/>
        <v>0</v>
      </c>
      <c r="E330" s="57">
        <f>IFERROR(VLOOKUP(B330, Proof!A$2:$B$199,2, 0), 0)</f>
        <v>0</v>
      </c>
      <c r="F330" s="58">
        <f>IFERROR(VLOOKUP(B330, 'HMMTPUMaC Algebra'!A$2:$B$500,2, 0), 0)</f>
        <v>0</v>
      </c>
      <c r="G330" s="53">
        <f>IFERROR(VLOOKUP(B330, 'HMMTPUMaC Combo'!A$2:$B$500,2, 0), 0)</f>
        <v>0</v>
      </c>
      <c r="H330" s="66">
        <f>IFERROR(VLOOKUP(B330, 'HMMTPUMaC Algebra'!A$2:$B$198,2, 0), 0)</f>
        <v>0</v>
      </c>
      <c r="I330" s="53">
        <f>IFERROR(VLOOKUP(B330, 'HMMTPUMaC NT'!A$2:$B$500,2, 0), 0)</f>
        <v>0</v>
      </c>
      <c r="J330" s="53">
        <f>IFERROR(VLOOKUP(B330, 'HMMT 1 Real'!$A$2:B$198,2, 0), 0)</f>
        <v>0</v>
      </c>
      <c r="K330" s="66">
        <f>IFERROR(VLOOKUP(B330, 'HMMT 2 Real'!$A$2:C$198,2, 0), 0)</f>
        <v>0</v>
      </c>
    </row>
    <row r="331">
      <c r="A331" s="65">
        <f t="shared" si="1"/>
        <v>330</v>
      </c>
      <c r="B331" s="7" t="s">
        <v>271</v>
      </c>
      <c r="C331" s="53">
        <f t="shared" si="6"/>
        <v>0</v>
      </c>
      <c r="D331" s="53">
        <f t="shared" si="3"/>
        <v>0</v>
      </c>
      <c r="E331" s="57">
        <f>IFERROR(VLOOKUP(B331, Proof!A$2:$B$199,2, 0), 0)</f>
        <v>0</v>
      </c>
      <c r="F331" s="58">
        <f>IFERROR(VLOOKUP(B331, 'HMMTPUMaC Algebra'!A$2:$B$500,2, 0), 0)</f>
        <v>0</v>
      </c>
      <c r="G331" s="53">
        <f>IFERROR(VLOOKUP(B331, 'HMMTPUMaC Combo'!A$2:$B$500,2, 0), 0)</f>
        <v>0</v>
      </c>
      <c r="H331" s="66">
        <f>IFERROR(VLOOKUP(B331, 'HMMTPUMaC Algebra'!A$2:$B$198,2, 0), 0)</f>
        <v>0</v>
      </c>
      <c r="I331" s="53">
        <f>IFERROR(VLOOKUP(B331, 'HMMTPUMaC NT'!A$2:$B$500,2, 0), 0)</f>
        <v>0</v>
      </c>
      <c r="J331" s="53">
        <f>IFERROR(VLOOKUP(B331, 'HMMT 1 Real'!$A$2:B$198,2, 0), 0)</f>
        <v>0</v>
      </c>
      <c r="K331" s="66">
        <f>IFERROR(VLOOKUP(B331, 'HMMT 2 Real'!$A$2:C$198,2, 0), 0)</f>
        <v>0</v>
      </c>
    </row>
    <row r="332">
      <c r="A332" s="65">
        <f t="shared" si="1"/>
        <v>331</v>
      </c>
      <c r="B332" s="7" t="s">
        <v>170</v>
      </c>
      <c r="C332" s="53">
        <f t="shared" si="6"/>
        <v>0</v>
      </c>
      <c r="D332" s="53">
        <f t="shared" si="3"/>
        <v>0</v>
      </c>
      <c r="E332" s="57">
        <f>IFERROR(VLOOKUP(B332, Proof!A$2:$B$199,2, 0), 0)</f>
        <v>0</v>
      </c>
      <c r="F332" s="58">
        <f>IFERROR(VLOOKUP(B332, 'HMMTPUMaC Algebra'!A$2:$B$500,2, 0), 0)</f>
        <v>0</v>
      </c>
      <c r="G332" s="53">
        <f>IFERROR(VLOOKUP(B332, 'HMMTPUMaC Combo'!A$2:$B$500,2, 0), 0)</f>
        <v>0</v>
      </c>
      <c r="H332" s="66">
        <f>IFERROR(VLOOKUP(B332, 'HMMTPUMaC Algebra'!A$2:$B$198,2, 0), 0)</f>
        <v>0</v>
      </c>
      <c r="I332" s="53">
        <f>IFERROR(VLOOKUP(B332, 'HMMTPUMaC NT'!A$2:$B$500,2, 0), 0)</f>
        <v>0</v>
      </c>
      <c r="J332" s="53">
        <f>IFERROR(VLOOKUP(B332, 'HMMT 1 Real'!$A$2:B$198,2, 0), 0)</f>
        <v>0</v>
      </c>
      <c r="K332" s="66">
        <f>IFERROR(VLOOKUP(B332, 'HMMT 2 Real'!$A$2:C$198,2, 0), 0)</f>
        <v>0</v>
      </c>
    </row>
    <row r="333">
      <c r="A333" s="65">
        <f t="shared" si="1"/>
        <v>332</v>
      </c>
      <c r="B333" s="7" t="s">
        <v>224</v>
      </c>
      <c r="C333" s="53">
        <f t="shared" si="6"/>
        <v>0</v>
      </c>
      <c r="D333" s="53">
        <f t="shared" si="3"/>
        <v>0</v>
      </c>
      <c r="E333" s="57">
        <f>IFERROR(VLOOKUP(B333, Proof!A$2:$B$199,2, 0), 0)</f>
        <v>0</v>
      </c>
      <c r="F333" s="58">
        <f>IFERROR(VLOOKUP(B333, 'HMMTPUMaC Algebra'!A$2:$B$500,2, 0), 0)</f>
        <v>0</v>
      </c>
      <c r="G333" s="53">
        <f>IFERROR(VLOOKUP(B333, 'HMMTPUMaC Combo'!A$2:$B$500,2, 0), 0)</f>
        <v>0</v>
      </c>
      <c r="H333" s="66">
        <f>IFERROR(VLOOKUP(B333, 'HMMTPUMaC Algebra'!A$2:$B$198,2, 0), 0)</f>
        <v>0</v>
      </c>
      <c r="I333" s="53">
        <f>IFERROR(VLOOKUP(B333, 'HMMTPUMaC NT'!A$2:$B$500,2, 0), 0)</f>
        <v>0</v>
      </c>
      <c r="J333" s="53">
        <f>IFERROR(VLOOKUP(B333, 'HMMT 1 Real'!$A$2:B$198,2, 0), 0)</f>
        <v>0</v>
      </c>
      <c r="K333" s="66">
        <f>IFERROR(VLOOKUP(B333, 'HMMT 2 Real'!$A$2:C$198,2, 0), 0)</f>
        <v>0</v>
      </c>
    </row>
    <row r="334">
      <c r="A334" s="65">
        <f t="shared" si="1"/>
        <v>333</v>
      </c>
      <c r="B334" s="7" t="s">
        <v>149</v>
      </c>
      <c r="C334" s="53">
        <f t="shared" si="6"/>
        <v>0</v>
      </c>
      <c r="D334" s="53">
        <f t="shared" si="3"/>
        <v>0</v>
      </c>
      <c r="E334" s="57">
        <f>IFERROR(VLOOKUP(B334, Proof!A$2:$B$199,2, 0), 0)</f>
        <v>0</v>
      </c>
      <c r="F334" s="58">
        <f>IFERROR(VLOOKUP(B334, 'HMMTPUMaC Algebra'!A$2:$B$500,2, 0), 0)</f>
        <v>0</v>
      </c>
      <c r="G334" s="53">
        <f>IFERROR(VLOOKUP(B334, 'HMMTPUMaC Combo'!A$2:$B$500,2, 0), 0)</f>
        <v>0</v>
      </c>
      <c r="H334" s="66">
        <f>IFERROR(VLOOKUP(B334, 'HMMTPUMaC Algebra'!A$2:$B$198,2, 0), 0)</f>
        <v>0</v>
      </c>
      <c r="I334" s="53">
        <f>IFERROR(VLOOKUP(B334, 'HMMTPUMaC NT'!A$2:$B$500,2, 0), 0)</f>
        <v>0</v>
      </c>
      <c r="J334" s="53">
        <f>IFERROR(VLOOKUP(B334, 'HMMT 1 Real'!$A$2:B$198,2, 0), 0)</f>
        <v>0</v>
      </c>
      <c r="K334" s="66">
        <f>IFERROR(VLOOKUP(B334, 'HMMT 2 Real'!$A$2:C$198,2, 0), 0)</f>
        <v>0</v>
      </c>
    </row>
    <row r="335">
      <c r="A335" s="65">
        <f t="shared" si="1"/>
        <v>334</v>
      </c>
      <c r="B335" s="7" t="s">
        <v>38</v>
      </c>
      <c r="C335" s="53">
        <f t="shared" si="6"/>
        <v>0</v>
      </c>
      <c r="D335" s="53">
        <f t="shared" si="3"/>
        <v>0</v>
      </c>
      <c r="E335" s="57">
        <f>IFERROR(VLOOKUP(B335, Proof!A$2:$B$199,2, 0), 0)</f>
        <v>0</v>
      </c>
      <c r="F335" s="58">
        <f>IFERROR(VLOOKUP(B335, 'HMMTPUMaC Algebra'!A$2:$B$500,2, 0), 0)</f>
        <v>0</v>
      </c>
      <c r="G335" s="53">
        <f>IFERROR(VLOOKUP(B335, 'HMMTPUMaC Combo'!A$2:$B$500,2, 0), 0)</f>
        <v>0</v>
      </c>
      <c r="H335" s="66">
        <f>IFERROR(VLOOKUP(B335, 'HMMTPUMaC Algebra'!A$2:$B$198,2, 0), 0)</f>
        <v>0</v>
      </c>
      <c r="I335" s="53">
        <f>IFERROR(VLOOKUP(B335, 'HMMTPUMaC NT'!A$2:$B$500,2, 0), 0)</f>
        <v>0</v>
      </c>
      <c r="J335" s="53">
        <f>IFERROR(VLOOKUP(B335, 'HMMT 1 Real'!$A$2:B$198,2, 0), 0)</f>
        <v>0</v>
      </c>
      <c r="K335" s="66">
        <f>IFERROR(VLOOKUP(B335, 'HMMT 2 Real'!$A$2:C$198,2, 0), 0)</f>
        <v>0</v>
      </c>
    </row>
    <row r="336">
      <c r="A336" s="65">
        <f t="shared" si="1"/>
        <v>335</v>
      </c>
      <c r="B336" s="7" t="s">
        <v>154</v>
      </c>
      <c r="C336" s="53">
        <f t="shared" si="6"/>
        <v>0</v>
      </c>
      <c r="D336" s="53">
        <f t="shared" si="3"/>
        <v>0</v>
      </c>
      <c r="E336" s="57">
        <f>IFERROR(VLOOKUP(B336, Proof!A$2:$B$199,2, 0), 0)</f>
        <v>0</v>
      </c>
      <c r="F336" s="58">
        <f>IFERROR(VLOOKUP(B336, 'HMMTPUMaC Algebra'!A$2:$B$500,2, 0), 0)</f>
        <v>0</v>
      </c>
      <c r="G336" s="53">
        <f>IFERROR(VLOOKUP(B336, 'HMMTPUMaC Combo'!A$2:$B$500,2, 0), 0)</f>
        <v>0</v>
      </c>
      <c r="H336" s="66">
        <f>IFERROR(VLOOKUP(B336, 'HMMTPUMaC Algebra'!A$2:$B$198,2, 0), 0)</f>
        <v>0</v>
      </c>
      <c r="I336" s="53">
        <f>IFERROR(VLOOKUP(B336, 'HMMTPUMaC NT'!A$2:$B$500,2, 0), 0)</f>
        <v>0</v>
      </c>
      <c r="J336" s="53">
        <f>IFERROR(VLOOKUP(B336, 'HMMT 1 Real'!$A$2:B$198,2, 0), 0)</f>
        <v>0</v>
      </c>
      <c r="K336" s="66">
        <f>IFERROR(VLOOKUP(B336, 'HMMT 2 Real'!$A$2:C$198,2, 0), 0)</f>
        <v>0</v>
      </c>
    </row>
    <row r="337">
      <c r="A337" s="65">
        <f t="shared" si="1"/>
        <v>336</v>
      </c>
      <c r="B337" s="7" t="s">
        <v>187</v>
      </c>
      <c r="C337" s="53">
        <f t="shared" si="6"/>
        <v>0</v>
      </c>
      <c r="D337" s="53">
        <f t="shared" si="3"/>
        <v>0</v>
      </c>
      <c r="E337" s="57">
        <f>IFERROR(VLOOKUP(B337, Proof!A$2:$B$199,2, 0), 0)</f>
        <v>0</v>
      </c>
      <c r="F337" s="58">
        <f>IFERROR(VLOOKUP(B337, 'HMMTPUMaC Algebra'!A$2:$B$500,2, 0), 0)</f>
        <v>0</v>
      </c>
      <c r="G337" s="53">
        <f>IFERROR(VLOOKUP(B337, 'HMMTPUMaC Combo'!A$2:$B$500,2, 0), 0)</f>
        <v>0</v>
      </c>
      <c r="H337" s="66">
        <f>IFERROR(VLOOKUP(B337, 'HMMTPUMaC Algebra'!A$2:$B$198,2, 0), 0)</f>
        <v>0</v>
      </c>
      <c r="I337" s="53">
        <f>IFERROR(VLOOKUP(B337, 'HMMTPUMaC NT'!A$2:$B$500,2, 0), 0)</f>
        <v>0</v>
      </c>
      <c r="J337" s="53">
        <f>IFERROR(VLOOKUP(B337, 'HMMT 1 Real'!$A$2:B$198,2, 0), 0)</f>
        <v>0</v>
      </c>
      <c r="K337" s="66">
        <f>IFERROR(VLOOKUP(B337, 'HMMT 2 Real'!$A$2:C$198,2, 0), 0)</f>
        <v>0</v>
      </c>
    </row>
    <row r="338">
      <c r="A338" s="65">
        <f t="shared" si="1"/>
        <v>337</v>
      </c>
      <c r="B338" s="7" t="s">
        <v>274</v>
      </c>
      <c r="C338" s="53">
        <f t="shared" si="6"/>
        <v>0</v>
      </c>
      <c r="D338" s="53">
        <f t="shared" si="3"/>
        <v>0</v>
      </c>
      <c r="E338" s="57">
        <f>IFERROR(VLOOKUP(B338, Proof!A$2:$B$199,2, 0), 0)</f>
        <v>0</v>
      </c>
      <c r="F338" s="58">
        <f>IFERROR(VLOOKUP(B338, 'HMMTPUMaC Algebra'!A$2:$B$500,2, 0), 0)</f>
        <v>0</v>
      </c>
      <c r="G338" s="53">
        <f>IFERROR(VLOOKUP(B338, 'HMMTPUMaC Combo'!A$2:$B$500,2, 0), 0)</f>
        <v>0</v>
      </c>
      <c r="H338" s="66">
        <f>IFERROR(VLOOKUP(B338, 'HMMTPUMaC Algebra'!A$2:$B$198,2, 0), 0)</f>
        <v>0</v>
      </c>
      <c r="I338" s="53">
        <f>IFERROR(VLOOKUP(B338, 'HMMTPUMaC NT'!A$2:$B$500,2, 0), 0)</f>
        <v>0</v>
      </c>
      <c r="J338" s="53">
        <f>IFERROR(VLOOKUP(B338, 'HMMT 1 Real'!$A$2:B$198,2, 0), 0)</f>
        <v>0</v>
      </c>
      <c r="K338" s="66">
        <f>IFERROR(VLOOKUP(B338, 'HMMT 2 Real'!$A$2:C$198,2, 0), 0)</f>
        <v>0</v>
      </c>
    </row>
    <row r="339">
      <c r="A339" s="65">
        <f t="shared" si="1"/>
        <v>338</v>
      </c>
      <c r="B339" s="7" t="s">
        <v>211</v>
      </c>
      <c r="C339" s="53">
        <f t="shared" si="6"/>
        <v>0</v>
      </c>
      <c r="D339" s="53">
        <f t="shared" si="3"/>
        <v>0</v>
      </c>
      <c r="E339" s="57">
        <f>IFERROR(VLOOKUP(B339, Proof!A$2:$B$199,2, 0), 0)</f>
        <v>0</v>
      </c>
      <c r="F339" s="58">
        <f>IFERROR(VLOOKUP(B339, 'HMMTPUMaC Algebra'!A$2:$B$500,2, 0), 0)</f>
        <v>0</v>
      </c>
      <c r="G339" s="53">
        <f>IFERROR(VLOOKUP(B339, 'HMMTPUMaC Combo'!A$2:$B$500,2, 0), 0)</f>
        <v>0</v>
      </c>
      <c r="H339" s="66">
        <f>IFERROR(VLOOKUP(B339, 'HMMTPUMaC Algebra'!A$2:$B$198,2, 0), 0)</f>
        <v>0</v>
      </c>
      <c r="I339" s="53">
        <f>IFERROR(VLOOKUP(B339, 'HMMTPUMaC NT'!A$2:$B$500,2, 0), 0)</f>
        <v>0</v>
      </c>
      <c r="J339" s="53">
        <f>IFERROR(VLOOKUP(B339, 'HMMT 1 Real'!$A$2:B$198,2, 0), 0)</f>
        <v>0</v>
      </c>
      <c r="K339" s="66">
        <f>IFERROR(VLOOKUP(B339, 'HMMT 2 Real'!$A$2:C$198,2, 0), 0)</f>
        <v>0</v>
      </c>
    </row>
    <row r="340">
      <c r="A340" s="65">
        <f t="shared" si="1"/>
        <v>339</v>
      </c>
      <c r="B340" s="7" t="s">
        <v>142</v>
      </c>
      <c r="C340" s="53">
        <f t="shared" si="6"/>
        <v>0</v>
      </c>
      <c r="D340" s="53">
        <f t="shared" si="3"/>
        <v>0</v>
      </c>
      <c r="E340" s="57">
        <f>IFERROR(VLOOKUP(B340, Proof!A$2:$B$199,2, 0), 0)</f>
        <v>0</v>
      </c>
      <c r="F340" s="58">
        <f>IFERROR(VLOOKUP(B340, 'HMMTPUMaC Algebra'!A$2:$B$500,2, 0), 0)</f>
        <v>0</v>
      </c>
      <c r="G340" s="53">
        <f>IFERROR(VLOOKUP(B340, 'HMMTPUMaC Combo'!A$2:$B$500,2, 0), 0)</f>
        <v>0</v>
      </c>
      <c r="H340" s="66">
        <f>IFERROR(VLOOKUP(B340, 'HMMTPUMaC Algebra'!A$2:$B$198,2, 0), 0)</f>
        <v>0</v>
      </c>
      <c r="I340" s="53">
        <f>IFERROR(VLOOKUP(B340, 'HMMTPUMaC NT'!A$2:$B$500,2, 0), 0)</f>
        <v>0</v>
      </c>
      <c r="J340" s="53">
        <f>IFERROR(VLOOKUP(B340, 'HMMT 1 Real'!$A$2:B$198,2, 0), 0)</f>
        <v>0</v>
      </c>
      <c r="K340" s="66">
        <f>IFERROR(VLOOKUP(B340, 'HMMT 2 Real'!$A$2:C$198,2, 0), 0)</f>
        <v>0</v>
      </c>
    </row>
    <row r="341">
      <c r="A341" s="65">
        <f t="shared" si="1"/>
        <v>340</v>
      </c>
      <c r="B341" s="7" t="s">
        <v>270</v>
      </c>
      <c r="C341" s="53">
        <f t="shared" si="6"/>
        <v>0</v>
      </c>
      <c r="D341" s="53">
        <f t="shared" si="3"/>
        <v>0</v>
      </c>
      <c r="E341" s="57">
        <f>IFERROR(VLOOKUP(B341, Proof!A$2:$B$199,2, 0), 0)</f>
        <v>0</v>
      </c>
      <c r="F341" s="58">
        <f>IFERROR(VLOOKUP(B341, 'HMMTPUMaC Algebra'!A$2:$B$500,2, 0), 0)</f>
        <v>0</v>
      </c>
      <c r="G341" s="53">
        <f>IFERROR(VLOOKUP(B341, 'HMMTPUMaC Combo'!A$2:$B$500,2, 0), 0)</f>
        <v>0</v>
      </c>
      <c r="H341" s="66">
        <f>IFERROR(VLOOKUP(B341, 'HMMTPUMaC Algebra'!A$2:$B$198,2, 0), 0)</f>
        <v>0</v>
      </c>
      <c r="I341" s="53">
        <f>IFERROR(VLOOKUP(B341, 'HMMTPUMaC NT'!A$2:$B$500,2, 0), 0)</f>
        <v>0</v>
      </c>
      <c r="J341" s="53">
        <f>IFERROR(VLOOKUP(B341, 'HMMT 1 Real'!$A$2:B$198,2, 0), 0)</f>
        <v>0</v>
      </c>
      <c r="K341" s="66">
        <f>IFERROR(VLOOKUP(B341, 'HMMT 2 Real'!$A$2:C$198,2, 0), 0)</f>
        <v>0</v>
      </c>
    </row>
    <row r="342">
      <c r="A342" s="65">
        <f t="shared" si="1"/>
        <v>341</v>
      </c>
      <c r="B342" s="7" t="s">
        <v>208</v>
      </c>
      <c r="C342" s="53">
        <f t="shared" si="6"/>
        <v>0</v>
      </c>
      <c r="D342" s="53">
        <f t="shared" si="3"/>
        <v>0</v>
      </c>
      <c r="E342" s="57">
        <f>IFERROR(VLOOKUP(B342, Proof!A$2:$B$199,2, 0), 0)</f>
        <v>0</v>
      </c>
      <c r="F342" s="58">
        <f>IFERROR(VLOOKUP(B342, 'HMMTPUMaC Algebra'!A$2:$B$500,2, 0), 0)</f>
        <v>0</v>
      </c>
      <c r="G342" s="53">
        <f>IFERROR(VLOOKUP(B342, 'HMMTPUMaC Combo'!A$2:$B$500,2, 0), 0)</f>
        <v>0</v>
      </c>
      <c r="H342" s="66">
        <f>IFERROR(VLOOKUP(B342, 'HMMTPUMaC Algebra'!A$2:$B$198,2, 0), 0)</f>
        <v>0</v>
      </c>
      <c r="I342" s="53">
        <f>IFERROR(VLOOKUP(B342, 'HMMTPUMaC NT'!A$2:$B$500,2, 0), 0)</f>
        <v>0</v>
      </c>
      <c r="J342" s="53">
        <f>IFERROR(VLOOKUP(B342, 'HMMT 1 Real'!$A$2:B$198,2, 0), 0)</f>
        <v>0</v>
      </c>
      <c r="K342" s="66">
        <f>IFERROR(VLOOKUP(B342, 'HMMT 2 Real'!$A$2:C$198,2, 0), 0)</f>
        <v>0</v>
      </c>
    </row>
    <row r="343">
      <c r="A343" s="65">
        <f t="shared" si="1"/>
        <v>342</v>
      </c>
      <c r="B343" s="7" t="s">
        <v>339</v>
      </c>
      <c r="C343" s="53">
        <f t="shared" si="6"/>
        <v>0</v>
      </c>
      <c r="D343" s="53">
        <f t="shared" si="3"/>
        <v>0</v>
      </c>
      <c r="E343" s="57">
        <f>IFERROR(VLOOKUP(B343, Proof!A$2:$B$199,2, 0), 0)</f>
        <v>0</v>
      </c>
      <c r="F343" s="58">
        <f>IFERROR(VLOOKUP(B343, 'HMMTPUMaC Algebra'!A$2:$B$500,2, 0), 0)</f>
        <v>0</v>
      </c>
      <c r="G343" s="53">
        <f>IFERROR(VLOOKUP(B343, 'HMMTPUMaC Combo'!A$2:$B$500,2, 0), 0)</f>
        <v>0</v>
      </c>
      <c r="H343" s="66">
        <f>IFERROR(VLOOKUP(B343, 'HMMTPUMaC Algebra'!A$2:$B$198,2, 0), 0)</f>
        <v>0</v>
      </c>
      <c r="I343" s="53">
        <f>IFERROR(VLOOKUP(B343, 'HMMTPUMaC NT'!A$2:$B$500,2, 0), 0)</f>
        <v>0</v>
      </c>
      <c r="J343" s="53">
        <f>IFERROR(VLOOKUP(B343, 'HMMT 1 Real'!$A$2:B$198,2, 0), 0)</f>
        <v>0</v>
      </c>
      <c r="K343" s="66">
        <f>IFERROR(VLOOKUP(B343, 'HMMT 2 Real'!$A$2:C$198,2, 0), 0)</f>
        <v>0</v>
      </c>
    </row>
    <row r="344">
      <c r="A344" s="65">
        <f t="shared" si="1"/>
        <v>343</v>
      </c>
      <c r="B344" s="7" t="s">
        <v>145</v>
      </c>
      <c r="C344" s="53">
        <f t="shared" si="6"/>
        <v>0</v>
      </c>
      <c r="D344" s="53">
        <f t="shared" si="3"/>
        <v>0</v>
      </c>
      <c r="E344" s="57">
        <f>IFERROR(VLOOKUP(B344, Proof!A$2:$B$199,2, 0), 0)</f>
        <v>0</v>
      </c>
      <c r="F344" s="58">
        <f>IFERROR(VLOOKUP(B344, 'HMMTPUMaC Algebra'!A$2:$B$500,2, 0), 0)</f>
        <v>0</v>
      </c>
      <c r="G344" s="53">
        <f>IFERROR(VLOOKUP(B344, 'HMMTPUMaC Combo'!A$2:$B$500,2, 0), 0)</f>
        <v>0</v>
      </c>
      <c r="H344" s="66">
        <f>IFERROR(VLOOKUP(B344, 'HMMTPUMaC Algebra'!A$2:$B$198,2, 0), 0)</f>
        <v>0</v>
      </c>
      <c r="I344" s="53">
        <f>IFERROR(VLOOKUP(B344, 'HMMTPUMaC NT'!A$2:$B$500,2, 0), 0)</f>
        <v>0</v>
      </c>
      <c r="J344" s="53">
        <f>IFERROR(VLOOKUP(B344, 'HMMT 1 Real'!$A$2:B$198,2, 0), 0)</f>
        <v>0</v>
      </c>
      <c r="K344" s="66">
        <f>IFERROR(VLOOKUP(B344, 'HMMT 2 Real'!$A$2:C$198,2, 0), 0)</f>
        <v>0</v>
      </c>
    </row>
    <row r="345">
      <c r="A345" s="65">
        <f t="shared" si="1"/>
        <v>344</v>
      </c>
      <c r="B345" s="7" t="s">
        <v>209</v>
      </c>
      <c r="C345" s="53">
        <f t="shared" si="6"/>
        <v>0</v>
      </c>
      <c r="D345" s="53">
        <f t="shared" si="3"/>
        <v>0</v>
      </c>
      <c r="E345" s="57">
        <f>IFERROR(VLOOKUP(B345, Proof!A$2:$B$199,2, 0), 0)</f>
        <v>0</v>
      </c>
      <c r="F345" s="58">
        <f>IFERROR(VLOOKUP(B345, 'HMMTPUMaC Algebra'!A$2:$B$500,2, 0), 0)</f>
        <v>0</v>
      </c>
      <c r="G345" s="53">
        <f>IFERROR(VLOOKUP(B345, 'HMMTPUMaC Combo'!A$2:$B$500,2, 0), 0)</f>
        <v>0</v>
      </c>
      <c r="H345" s="66">
        <f>IFERROR(VLOOKUP(B345, 'HMMTPUMaC Algebra'!A$2:$B$198,2, 0), 0)</f>
        <v>0</v>
      </c>
      <c r="I345" s="53">
        <f>IFERROR(VLOOKUP(B345, 'HMMTPUMaC NT'!A$2:$B$500,2, 0), 0)</f>
        <v>0</v>
      </c>
      <c r="J345" s="53">
        <f>IFERROR(VLOOKUP(B345, 'HMMT 1 Real'!$A$2:B$198,2, 0), 0)</f>
        <v>0</v>
      </c>
      <c r="K345" s="66">
        <f>IFERROR(VLOOKUP(B345, 'HMMT 2 Real'!$A$2:C$198,2, 0), 0)</f>
        <v>0</v>
      </c>
    </row>
    <row r="346">
      <c r="A346" s="65">
        <f t="shared" si="1"/>
        <v>345</v>
      </c>
      <c r="B346" s="7" t="s">
        <v>213</v>
      </c>
      <c r="C346" s="53">
        <f t="shared" si="6"/>
        <v>0</v>
      </c>
      <c r="D346" s="53">
        <f t="shared" si="3"/>
        <v>0</v>
      </c>
      <c r="E346" s="57">
        <f>IFERROR(VLOOKUP(B346, Proof!A$2:$B$199,2, 0), 0)</f>
        <v>0</v>
      </c>
      <c r="F346" s="58">
        <f>IFERROR(VLOOKUP(B346, 'HMMTPUMaC Algebra'!A$2:$B$500,2, 0), 0)</f>
        <v>0</v>
      </c>
      <c r="G346" s="53">
        <f>IFERROR(VLOOKUP(B346, 'HMMTPUMaC Combo'!A$2:$B$500,2, 0), 0)</f>
        <v>0</v>
      </c>
      <c r="H346" s="66">
        <f>IFERROR(VLOOKUP(B346, 'HMMTPUMaC Algebra'!A$2:$B$198,2, 0), 0)</f>
        <v>0</v>
      </c>
      <c r="I346" s="53">
        <f>IFERROR(VLOOKUP(B346, 'HMMTPUMaC NT'!A$2:$B$500,2, 0), 0)</f>
        <v>0</v>
      </c>
      <c r="J346" s="53">
        <f>IFERROR(VLOOKUP(B346, 'HMMT 1 Real'!$A$2:B$198,2, 0), 0)</f>
        <v>0</v>
      </c>
      <c r="K346" s="66">
        <f>IFERROR(VLOOKUP(B346, 'HMMT 2 Real'!$A$2:C$198,2, 0), 0)</f>
        <v>0</v>
      </c>
    </row>
    <row r="347">
      <c r="A347" s="65">
        <f t="shared" si="1"/>
        <v>346</v>
      </c>
      <c r="B347" s="7" t="s">
        <v>197</v>
      </c>
      <c r="C347" s="53">
        <f t="shared" si="6"/>
        <v>0</v>
      </c>
      <c r="D347" s="53">
        <f t="shared" si="3"/>
        <v>0</v>
      </c>
      <c r="E347" s="57">
        <f>IFERROR(VLOOKUP(B347, Proof!A$2:$B$199,2, 0), 0)</f>
        <v>0</v>
      </c>
      <c r="F347" s="58">
        <f>IFERROR(VLOOKUP(B347, 'HMMTPUMaC Algebra'!A$2:$B$500,2, 0), 0)</f>
        <v>0</v>
      </c>
      <c r="G347" s="53">
        <f>IFERROR(VLOOKUP(B347, 'HMMTPUMaC Combo'!A$2:$B$500,2, 0), 0)</f>
        <v>0</v>
      </c>
      <c r="H347" s="66">
        <f>IFERROR(VLOOKUP(B347, 'HMMTPUMaC Algebra'!A$2:$B$198,2, 0), 0)</f>
        <v>0</v>
      </c>
      <c r="I347" s="53">
        <f>IFERROR(VLOOKUP(B347, 'HMMTPUMaC NT'!A$2:$B$500,2, 0), 0)</f>
        <v>0</v>
      </c>
      <c r="J347" s="53">
        <f>IFERROR(VLOOKUP(B347, 'HMMT 1 Real'!$A$2:B$198,2, 0), 0)</f>
        <v>0</v>
      </c>
      <c r="K347" s="66">
        <f>IFERROR(VLOOKUP(B347, 'HMMT 2 Real'!$A$2:C$198,2, 0), 0)</f>
        <v>0</v>
      </c>
    </row>
    <row r="348">
      <c r="A348" s="65">
        <f t="shared" si="1"/>
        <v>347</v>
      </c>
      <c r="B348" s="7" t="s">
        <v>284</v>
      </c>
      <c r="C348" s="53">
        <f t="shared" si="6"/>
        <v>0</v>
      </c>
      <c r="D348" s="53">
        <f t="shared" si="3"/>
        <v>0</v>
      </c>
      <c r="E348" s="57">
        <f>IFERROR(VLOOKUP(B348, Proof!A$2:$B$199,2, 0), 0)</f>
        <v>0</v>
      </c>
      <c r="F348" s="58">
        <f>IFERROR(VLOOKUP(B348, 'HMMTPUMaC Algebra'!A$2:$B$500,2, 0), 0)</f>
        <v>0</v>
      </c>
      <c r="G348" s="53">
        <f>IFERROR(VLOOKUP(B348, 'HMMTPUMaC Combo'!A$2:$B$500,2, 0), 0)</f>
        <v>0</v>
      </c>
      <c r="H348" s="66">
        <f>IFERROR(VLOOKUP(B348, 'HMMTPUMaC Algebra'!A$2:$B$198,2, 0), 0)</f>
        <v>0</v>
      </c>
      <c r="I348" s="53">
        <f>IFERROR(VLOOKUP(B348, 'HMMTPUMaC NT'!A$2:$B$500,2, 0), 0)</f>
        <v>0</v>
      </c>
      <c r="J348" s="53">
        <f>IFERROR(VLOOKUP(B348, 'HMMT 1 Real'!$A$2:B$198,2, 0), 0)</f>
        <v>0</v>
      </c>
      <c r="K348" s="66">
        <f>IFERROR(VLOOKUP(B348, 'HMMT 2 Real'!$A$2:C$198,2, 0), 0)</f>
        <v>0</v>
      </c>
    </row>
    <row r="349">
      <c r="A349" s="65">
        <f t="shared" si="1"/>
        <v>348</v>
      </c>
      <c r="B349" s="7" t="s">
        <v>199</v>
      </c>
      <c r="C349" s="53">
        <f t="shared" si="6"/>
        <v>0</v>
      </c>
      <c r="D349" s="53">
        <f t="shared" si="3"/>
        <v>0</v>
      </c>
      <c r="E349" s="57">
        <f>IFERROR(VLOOKUP(B349, Proof!A$2:$B$199,2, 0), 0)</f>
        <v>0</v>
      </c>
      <c r="F349" s="58">
        <f>IFERROR(VLOOKUP(B349, 'HMMTPUMaC Algebra'!A$2:$B$500,2, 0), 0)</f>
        <v>0</v>
      </c>
      <c r="G349" s="53">
        <f>IFERROR(VLOOKUP(B349, 'HMMTPUMaC Combo'!A$2:$B$500,2, 0), 0)</f>
        <v>0</v>
      </c>
      <c r="H349" s="66">
        <f>IFERROR(VLOOKUP(B349, 'HMMTPUMaC Algebra'!A$2:$B$198,2, 0), 0)</f>
        <v>0</v>
      </c>
      <c r="I349" s="53">
        <f>IFERROR(VLOOKUP(B349, 'HMMTPUMaC NT'!A$2:$B$500,2, 0), 0)</f>
        <v>0</v>
      </c>
      <c r="J349" s="53">
        <f>IFERROR(VLOOKUP(B349, 'HMMT 1 Real'!$A$2:B$198,2, 0), 0)</f>
        <v>0</v>
      </c>
      <c r="K349" s="66">
        <f>IFERROR(VLOOKUP(B349, 'HMMT 2 Real'!$A$2:C$198,2, 0), 0)</f>
        <v>0</v>
      </c>
    </row>
    <row r="350">
      <c r="A350" s="65">
        <f t="shared" si="1"/>
        <v>349</v>
      </c>
      <c r="B350" s="7" t="s">
        <v>250</v>
      </c>
      <c r="C350" s="53">
        <f t="shared" si="6"/>
        <v>0</v>
      </c>
      <c r="D350" s="53">
        <f t="shared" si="3"/>
        <v>0</v>
      </c>
      <c r="E350" s="57">
        <f>IFERROR(VLOOKUP(B350, Proof!A$2:$B$199,2, 0), 0)</f>
        <v>0</v>
      </c>
      <c r="F350" s="58">
        <f>IFERROR(VLOOKUP(B350, 'HMMTPUMaC Algebra'!A$2:$B$500,2, 0), 0)</f>
        <v>0</v>
      </c>
      <c r="G350" s="53">
        <f>IFERROR(VLOOKUP(B350, 'HMMTPUMaC Combo'!A$2:$B$500,2, 0), 0)</f>
        <v>0</v>
      </c>
      <c r="H350" s="66">
        <f>IFERROR(VLOOKUP(B350, 'HMMTPUMaC Algebra'!A$2:$B$198,2, 0), 0)</f>
        <v>0</v>
      </c>
      <c r="I350" s="53">
        <f>IFERROR(VLOOKUP(B350, 'HMMTPUMaC NT'!A$2:$B$500,2, 0), 0)</f>
        <v>0</v>
      </c>
      <c r="J350" s="53">
        <f>IFERROR(VLOOKUP(B350, 'HMMT 1 Real'!$A$2:B$198,2, 0), 0)</f>
        <v>0</v>
      </c>
      <c r="K350" s="66">
        <f>IFERROR(VLOOKUP(B350, 'HMMT 2 Real'!$A$2:C$198,2, 0), 0)</f>
        <v>0</v>
      </c>
    </row>
    <row r="351">
      <c r="A351" s="65">
        <f t="shared" si="1"/>
        <v>350</v>
      </c>
      <c r="B351" s="7" t="s">
        <v>265</v>
      </c>
      <c r="C351" s="53">
        <f t="shared" si="6"/>
        <v>0</v>
      </c>
      <c r="D351" s="53">
        <f t="shared" si="3"/>
        <v>0</v>
      </c>
      <c r="E351" s="57">
        <f>IFERROR(VLOOKUP(B351, Proof!A$2:$B$199,2, 0), 0)</f>
        <v>0</v>
      </c>
      <c r="F351" s="58">
        <f>IFERROR(VLOOKUP(B351, 'HMMTPUMaC Algebra'!A$2:$B$500,2, 0), 0)</f>
        <v>0</v>
      </c>
      <c r="G351" s="53">
        <f>IFERROR(VLOOKUP(B351, 'HMMTPUMaC Combo'!A$2:$B$500,2, 0), 0)</f>
        <v>0</v>
      </c>
      <c r="H351" s="66">
        <f>IFERROR(VLOOKUP(B351, 'HMMTPUMaC Algebra'!A$2:$B$198,2, 0), 0)</f>
        <v>0</v>
      </c>
      <c r="I351" s="53">
        <f>IFERROR(VLOOKUP(B351, 'HMMTPUMaC NT'!A$2:$B$500,2, 0), 0)</f>
        <v>0</v>
      </c>
      <c r="J351" s="53">
        <f>IFERROR(VLOOKUP(B351, 'HMMT 1 Real'!$A$2:B$198,2, 0), 0)</f>
        <v>0</v>
      </c>
      <c r="K351" s="66">
        <f>IFERROR(VLOOKUP(B351, 'HMMT 2 Real'!$A$2:C$198,2, 0), 0)</f>
        <v>0</v>
      </c>
    </row>
    <row r="352">
      <c r="A352" s="65">
        <f t="shared" si="1"/>
        <v>351</v>
      </c>
      <c r="B352" s="7" t="s">
        <v>268</v>
      </c>
      <c r="C352" s="53">
        <f t="shared" si="6"/>
        <v>0</v>
      </c>
      <c r="D352" s="53">
        <f t="shared" si="3"/>
        <v>0</v>
      </c>
      <c r="E352" s="57">
        <f>IFERROR(VLOOKUP(B352, Proof!A$2:$B$199,2, 0), 0)</f>
        <v>0</v>
      </c>
      <c r="F352" s="58">
        <f>IFERROR(VLOOKUP(B352, 'HMMTPUMaC Algebra'!A$2:$B$500,2, 0), 0)</f>
        <v>0</v>
      </c>
      <c r="G352" s="53">
        <f>IFERROR(VLOOKUP(B352, 'HMMTPUMaC Combo'!A$2:$B$500,2, 0), 0)</f>
        <v>0</v>
      </c>
      <c r="H352" s="66">
        <f>IFERROR(VLOOKUP(B352, 'HMMTPUMaC Algebra'!A$2:$B$198,2, 0), 0)</f>
        <v>0</v>
      </c>
      <c r="I352" s="53">
        <f>IFERROR(VLOOKUP(B352, 'HMMTPUMaC NT'!A$2:$B$500,2, 0), 0)</f>
        <v>0</v>
      </c>
      <c r="J352" s="53">
        <f>IFERROR(VLOOKUP(B352, 'HMMT 1 Real'!$A$2:B$198,2, 0), 0)</f>
        <v>0</v>
      </c>
      <c r="K352" s="66">
        <f>IFERROR(VLOOKUP(B352, 'HMMT 2 Real'!$A$2:C$198,2, 0), 0)</f>
        <v>0</v>
      </c>
    </row>
    <row r="353">
      <c r="A353" s="65">
        <f t="shared" si="1"/>
        <v>352</v>
      </c>
      <c r="B353" s="7" t="s">
        <v>249</v>
      </c>
      <c r="C353" s="53">
        <f t="shared" si="6"/>
        <v>0</v>
      </c>
      <c r="D353" s="53">
        <f t="shared" si="3"/>
        <v>0</v>
      </c>
      <c r="E353" s="57">
        <f>IFERROR(VLOOKUP(B353, Proof!A$2:$B$199,2, 0), 0)</f>
        <v>0</v>
      </c>
      <c r="F353" s="58">
        <f>IFERROR(VLOOKUP(B353, 'HMMTPUMaC Algebra'!A$2:$B$500,2, 0), 0)</f>
        <v>0</v>
      </c>
      <c r="G353" s="53">
        <f>IFERROR(VLOOKUP(B353, 'HMMTPUMaC Combo'!A$2:$B$500,2, 0), 0)</f>
        <v>0</v>
      </c>
      <c r="H353" s="66">
        <f>IFERROR(VLOOKUP(B353, 'HMMTPUMaC Algebra'!A$2:$B$198,2, 0), 0)</f>
        <v>0</v>
      </c>
      <c r="I353" s="53">
        <f>IFERROR(VLOOKUP(B353, 'HMMTPUMaC NT'!A$2:$B$500,2, 0), 0)</f>
        <v>0</v>
      </c>
      <c r="J353" s="53">
        <f>IFERROR(VLOOKUP(B353, 'HMMT 1 Real'!$A$2:B$198,2, 0), 0)</f>
        <v>0</v>
      </c>
      <c r="K353" s="66">
        <f>IFERROR(VLOOKUP(B353, 'HMMT 2 Real'!$A$2:C$198,2, 0), 0)</f>
        <v>0</v>
      </c>
    </row>
    <row r="354">
      <c r="A354" s="65">
        <f t="shared" si="1"/>
        <v>353</v>
      </c>
      <c r="B354" s="7" t="s">
        <v>193</v>
      </c>
      <c r="C354" s="53">
        <f t="shared" si="6"/>
        <v>0</v>
      </c>
      <c r="D354" s="53">
        <f t="shared" si="3"/>
        <v>0</v>
      </c>
      <c r="E354" s="57">
        <f>IFERROR(VLOOKUP(B354, Proof!A$2:$B$199,2, 0), 0)</f>
        <v>0</v>
      </c>
      <c r="F354" s="58">
        <f>IFERROR(VLOOKUP(B354, 'HMMTPUMaC Algebra'!A$2:$B$500,2, 0), 0)</f>
        <v>0</v>
      </c>
      <c r="G354" s="53">
        <f>IFERROR(VLOOKUP(B354, 'HMMTPUMaC Combo'!A$2:$B$500,2, 0), 0)</f>
        <v>0</v>
      </c>
      <c r="H354" s="66">
        <f>IFERROR(VLOOKUP(B354, 'HMMTPUMaC Algebra'!A$2:$B$198,2, 0), 0)</f>
        <v>0</v>
      </c>
      <c r="I354" s="53">
        <f>IFERROR(VLOOKUP(B354, 'HMMTPUMaC NT'!A$2:$B$500,2, 0), 0)</f>
        <v>0</v>
      </c>
      <c r="J354" s="53">
        <f>IFERROR(VLOOKUP(B354, 'HMMT 1 Real'!$A$2:B$198,2, 0), 0)</f>
        <v>0</v>
      </c>
      <c r="K354" s="66">
        <f>IFERROR(VLOOKUP(B354, 'HMMT 2 Real'!$A$2:C$198,2, 0), 0)</f>
        <v>0</v>
      </c>
    </row>
    <row r="355">
      <c r="A355" s="65">
        <f t="shared" si="1"/>
        <v>354</v>
      </c>
      <c r="B355" s="7" t="s">
        <v>160</v>
      </c>
      <c r="C355" s="53">
        <f t="shared" si="6"/>
        <v>0</v>
      </c>
      <c r="D355" s="53">
        <f t="shared" si="3"/>
        <v>0</v>
      </c>
      <c r="E355" s="57">
        <f>IFERROR(VLOOKUP(B355, Proof!A$2:$B$199,2, 0), 0)</f>
        <v>0</v>
      </c>
      <c r="F355" s="58">
        <f>IFERROR(VLOOKUP(B355, 'HMMTPUMaC Algebra'!A$2:$B$500,2, 0), 0)</f>
        <v>0</v>
      </c>
      <c r="G355" s="53">
        <f>IFERROR(VLOOKUP(B355, 'HMMTPUMaC Combo'!A$2:$B$500,2, 0), 0)</f>
        <v>0</v>
      </c>
      <c r="H355" s="66">
        <f>IFERROR(VLOOKUP(B355, 'HMMTPUMaC Algebra'!A$2:$B$198,2, 0), 0)</f>
        <v>0</v>
      </c>
      <c r="I355" s="53">
        <f>IFERROR(VLOOKUP(B355, 'HMMTPUMaC NT'!A$2:$B$500,2, 0), 0)</f>
        <v>0</v>
      </c>
      <c r="J355" s="53">
        <f>IFERROR(VLOOKUP(B355, 'HMMT 1 Real'!$A$2:B$198,2, 0), 0)</f>
        <v>0</v>
      </c>
      <c r="K355" s="66">
        <f>IFERROR(VLOOKUP(B355, 'HMMT 2 Real'!$A$2:C$198,2, 0), 0)</f>
        <v>0</v>
      </c>
    </row>
    <row r="356">
      <c r="A356" s="65">
        <f t="shared" si="1"/>
        <v>355</v>
      </c>
      <c r="B356" s="7" t="s">
        <v>251</v>
      </c>
      <c r="C356" s="53">
        <f t="shared" si="6"/>
        <v>0</v>
      </c>
      <c r="D356" s="53">
        <f t="shared" si="3"/>
        <v>0</v>
      </c>
      <c r="E356" s="57">
        <f>IFERROR(VLOOKUP(B356, Proof!A$2:$B$199,2, 0), 0)</f>
        <v>0</v>
      </c>
      <c r="F356" s="58">
        <f>IFERROR(VLOOKUP(B356, 'HMMTPUMaC Algebra'!A$2:$B$500,2, 0), 0)</f>
        <v>0</v>
      </c>
      <c r="G356" s="53">
        <f>IFERROR(VLOOKUP(B356, 'HMMTPUMaC Combo'!A$2:$B$500,2, 0), 0)</f>
        <v>0</v>
      </c>
      <c r="H356" s="66">
        <f>IFERROR(VLOOKUP(B356, 'HMMTPUMaC Algebra'!A$2:$B$198,2, 0), 0)</f>
        <v>0</v>
      </c>
      <c r="I356" s="53">
        <f>IFERROR(VLOOKUP(B356, 'HMMTPUMaC NT'!A$2:$B$500,2, 0), 0)</f>
        <v>0</v>
      </c>
      <c r="J356" s="53">
        <f>IFERROR(VLOOKUP(B356, 'HMMT 1 Real'!$A$2:B$198,2, 0), 0)</f>
        <v>0</v>
      </c>
      <c r="K356" s="66">
        <f>IFERROR(VLOOKUP(B356, 'HMMT 2 Real'!$A$2:C$198,2, 0), 0)</f>
        <v>0</v>
      </c>
    </row>
    <row r="357">
      <c r="A357" s="65">
        <f t="shared" si="1"/>
        <v>356</v>
      </c>
      <c r="B357" s="7" t="s">
        <v>221</v>
      </c>
      <c r="C357" s="53">
        <f t="shared" si="6"/>
        <v>0</v>
      </c>
      <c r="D357" s="53">
        <f t="shared" si="3"/>
        <v>0</v>
      </c>
      <c r="E357" s="57">
        <f>IFERROR(VLOOKUP(B357, Proof!A$2:$B$199,2, 0), 0)</f>
        <v>0</v>
      </c>
      <c r="F357" s="58">
        <f>IFERROR(VLOOKUP(B357, 'HMMTPUMaC Algebra'!A$2:$B$500,2, 0), 0)</f>
        <v>0</v>
      </c>
      <c r="G357" s="53">
        <f>IFERROR(VLOOKUP(B357, 'HMMTPUMaC Combo'!A$2:$B$500,2, 0), 0)</f>
        <v>0</v>
      </c>
      <c r="H357" s="66">
        <f>IFERROR(VLOOKUP(B357, 'HMMTPUMaC Algebra'!A$2:$B$198,2, 0), 0)</f>
        <v>0</v>
      </c>
      <c r="I357" s="53">
        <f>IFERROR(VLOOKUP(B357, 'HMMTPUMaC NT'!A$2:$B$500,2, 0), 0)</f>
        <v>0</v>
      </c>
      <c r="J357" s="53">
        <f>IFERROR(VLOOKUP(B357, 'HMMT 1 Real'!$A$2:B$198,2, 0), 0)</f>
        <v>0</v>
      </c>
      <c r="K357" s="66">
        <f>IFERROR(VLOOKUP(B357, 'HMMT 2 Real'!$A$2:C$198,2, 0), 0)</f>
        <v>0</v>
      </c>
    </row>
    <row r="358">
      <c r="A358" s="65">
        <f t="shared" si="1"/>
        <v>357</v>
      </c>
      <c r="B358" s="7" t="s">
        <v>242</v>
      </c>
      <c r="C358" s="53">
        <f t="shared" si="6"/>
        <v>0</v>
      </c>
      <c r="D358" s="53">
        <f t="shared" si="3"/>
        <v>0</v>
      </c>
      <c r="E358" s="57">
        <f>IFERROR(VLOOKUP(B358, Proof!A$2:$B$199,2, 0), 0)</f>
        <v>0</v>
      </c>
      <c r="F358" s="58">
        <f>IFERROR(VLOOKUP(B358, 'HMMTPUMaC Algebra'!A$2:$B$500,2, 0), 0)</f>
        <v>0</v>
      </c>
      <c r="G358" s="53">
        <f>IFERROR(VLOOKUP(B358, 'HMMTPUMaC Combo'!A$2:$B$500,2, 0), 0)</f>
        <v>0</v>
      </c>
      <c r="H358" s="66">
        <f>IFERROR(VLOOKUP(B358, 'HMMTPUMaC Algebra'!A$2:$B$198,2, 0), 0)</f>
        <v>0</v>
      </c>
      <c r="I358" s="53">
        <f>IFERROR(VLOOKUP(B358, 'HMMTPUMaC NT'!A$2:$B$500,2, 0), 0)</f>
        <v>0</v>
      </c>
      <c r="J358" s="53">
        <f>IFERROR(VLOOKUP(B358, 'HMMT 1 Real'!$A$2:B$198,2, 0), 0)</f>
        <v>0</v>
      </c>
      <c r="K358" s="66">
        <f>IFERROR(VLOOKUP(B358, 'HMMT 2 Real'!$A$2:C$198,2, 0), 0)</f>
        <v>0</v>
      </c>
    </row>
    <row r="359">
      <c r="A359" s="65">
        <f t="shared" si="1"/>
        <v>358</v>
      </c>
      <c r="B359" s="7" t="s">
        <v>144</v>
      </c>
      <c r="C359" s="53">
        <f t="shared" si="6"/>
        <v>0</v>
      </c>
      <c r="D359" s="53">
        <f t="shared" si="3"/>
        <v>0</v>
      </c>
      <c r="E359" s="57">
        <f>IFERROR(VLOOKUP(B359, Proof!A$2:$B$199,2, 0), 0)</f>
        <v>0</v>
      </c>
      <c r="F359" s="58">
        <f>IFERROR(VLOOKUP(B359, 'HMMTPUMaC Algebra'!A$2:$B$500,2, 0), 0)</f>
        <v>0</v>
      </c>
      <c r="G359" s="53">
        <f>IFERROR(VLOOKUP(B359, 'HMMTPUMaC Combo'!A$2:$B$500,2, 0), 0)</f>
        <v>0</v>
      </c>
      <c r="H359" s="66">
        <f>IFERROR(VLOOKUP(B359, 'HMMTPUMaC Algebra'!A$2:$B$198,2, 0), 0)</f>
        <v>0</v>
      </c>
      <c r="I359" s="53">
        <f>IFERROR(VLOOKUP(B359, 'HMMTPUMaC NT'!A$2:$B$500,2, 0), 0)</f>
        <v>0</v>
      </c>
      <c r="J359" s="53">
        <f>IFERROR(VLOOKUP(B359, 'HMMT 1 Real'!$A$2:B$198,2, 0), 0)</f>
        <v>0</v>
      </c>
      <c r="K359" s="66">
        <f>IFERROR(VLOOKUP(B359, 'HMMT 2 Real'!$A$2:C$198,2, 0), 0)</f>
        <v>0</v>
      </c>
    </row>
    <row r="360">
      <c r="A360" s="65">
        <f t="shared" si="1"/>
        <v>359</v>
      </c>
      <c r="B360" s="7" t="s">
        <v>262</v>
      </c>
      <c r="C360" s="53">
        <f t="shared" si="6"/>
        <v>0</v>
      </c>
      <c r="D360" s="53">
        <f t="shared" si="3"/>
        <v>0</v>
      </c>
      <c r="E360" s="57">
        <f>IFERROR(VLOOKUP(B360, Proof!A$2:$B$199,2, 0), 0)</f>
        <v>0</v>
      </c>
      <c r="F360" s="58">
        <f>IFERROR(VLOOKUP(B360, 'HMMTPUMaC Algebra'!A$2:$B$500,2, 0), 0)</f>
        <v>0</v>
      </c>
      <c r="G360" s="53">
        <f>IFERROR(VLOOKUP(B360, 'HMMTPUMaC Combo'!A$2:$B$500,2, 0), 0)</f>
        <v>0</v>
      </c>
      <c r="H360" s="66">
        <f>IFERROR(VLOOKUP(B360, 'HMMTPUMaC Algebra'!A$2:$B$198,2, 0), 0)</f>
        <v>0</v>
      </c>
      <c r="I360" s="53">
        <f>IFERROR(VLOOKUP(B360, 'HMMTPUMaC NT'!A$2:$B$500,2, 0), 0)</f>
        <v>0</v>
      </c>
      <c r="J360" s="53">
        <f>IFERROR(VLOOKUP(B360, 'HMMT 1 Real'!$A$2:B$198,2, 0), 0)</f>
        <v>0</v>
      </c>
      <c r="K360" s="66">
        <f>IFERROR(VLOOKUP(B360, 'HMMT 2 Real'!$A$2:C$198,2, 0), 0)</f>
        <v>0</v>
      </c>
    </row>
    <row r="361">
      <c r="A361" s="65">
        <f t="shared" si="1"/>
        <v>360</v>
      </c>
      <c r="B361" s="7" t="s">
        <v>311</v>
      </c>
      <c r="C361" s="53">
        <f t="shared" si="6"/>
        <v>0</v>
      </c>
      <c r="D361" s="53">
        <f t="shared" si="3"/>
        <v>0</v>
      </c>
      <c r="E361" s="57">
        <f>IFERROR(VLOOKUP(B361, Proof!A$2:$B$199,2, 0), 0)</f>
        <v>0</v>
      </c>
      <c r="F361" s="58">
        <f>IFERROR(VLOOKUP(B361, 'HMMTPUMaC Algebra'!A$2:$B$500,2, 0), 0)</f>
        <v>0</v>
      </c>
      <c r="G361" s="53">
        <f>IFERROR(VLOOKUP(B361, 'HMMTPUMaC Combo'!A$2:$B$500,2, 0), 0)</f>
        <v>0</v>
      </c>
      <c r="H361" s="66">
        <f>IFERROR(VLOOKUP(B361, 'HMMTPUMaC Algebra'!A$2:$B$198,2, 0), 0)</f>
        <v>0</v>
      </c>
      <c r="I361" s="53">
        <f>IFERROR(VLOOKUP(B361, 'HMMTPUMaC NT'!A$2:$B$500,2, 0), 0)</f>
        <v>0</v>
      </c>
      <c r="J361" s="53">
        <f>IFERROR(VLOOKUP(B361, 'HMMT 1 Real'!$A$2:B$198,2, 0), 0)</f>
        <v>0</v>
      </c>
      <c r="K361" s="66">
        <f>IFERROR(VLOOKUP(B361, 'HMMT 2 Real'!$A$2:C$198,2, 0), 0)</f>
        <v>0</v>
      </c>
    </row>
    <row r="362">
      <c r="A362" s="65">
        <f t="shared" si="1"/>
        <v>361</v>
      </c>
      <c r="B362" s="7" t="s">
        <v>136</v>
      </c>
      <c r="C362" s="53">
        <f t="shared" si="6"/>
        <v>0</v>
      </c>
      <c r="D362" s="53">
        <f t="shared" si="3"/>
        <v>0</v>
      </c>
      <c r="E362" s="57">
        <f>IFERROR(VLOOKUP(B362, Proof!A$2:$B$199,2, 0), 0)</f>
        <v>0</v>
      </c>
      <c r="F362" s="58">
        <f>IFERROR(VLOOKUP(B362, 'HMMTPUMaC Algebra'!A$2:$B$500,2, 0), 0)</f>
        <v>0</v>
      </c>
      <c r="G362" s="53">
        <f>IFERROR(VLOOKUP(B362, 'HMMTPUMaC Combo'!A$2:$B$500,2, 0), 0)</f>
        <v>0</v>
      </c>
      <c r="H362" s="66">
        <f>IFERROR(VLOOKUP(B362, 'HMMTPUMaC Algebra'!A$2:$B$198,2, 0), 0)</f>
        <v>0</v>
      </c>
      <c r="I362" s="53">
        <f>IFERROR(VLOOKUP(B362, 'HMMTPUMaC NT'!A$2:$B$500,2, 0), 0)</f>
        <v>0</v>
      </c>
      <c r="J362" s="53">
        <f>IFERROR(VLOOKUP(B362, 'HMMT 1 Real'!$A$2:B$198,2, 0), 0)</f>
        <v>0</v>
      </c>
      <c r="K362" s="66">
        <f>IFERROR(VLOOKUP(B362, 'HMMT 2 Real'!$A$2:C$198,2, 0), 0)</f>
        <v>0</v>
      </c>
    </row>
    <row r="363">
      <c r="A363" s="65">
        <f t="shared" si="1"/>
        <v>362</v>
      </c>
      <c r="B363" s="7" t="s">
        <v>194</v>
      </c>
      <c r="C363" s="53">
        <f t="shared" si="6"/>
        <v>0</v>
      </c>
      <c r="D363" s="53">
        <f t="shared" si="3"/>
        <v>0</v>
      </c>
      <c r="E363" s="57">
        <f>IFERROR(VLOOKUP(B363, Proof!A$2:$B$199,2, 0), 0)</f>
        <v>0</v>
      </c>
      <c r="F363" s="58">
        <f>IFERROR(VLOOKUP(B363, 'HMMTPUMaC Algebra'!A$2:$B$500,2, 0), 0)</f>
        <v>0</v>
      </c>
      <c r="G363" s="53">
        <f>IFERROR(VLOOKUP(B363, 'HMMTPUMaC Combo'!A$2:$B$500,2, 0), 0)</f>
        <v>0</v>
      </c>
      <c r="H363" s="66">
        <f>IFERROR(VLOOKUP(B363, 'HMMTPUMaC Algebra'!A$2:$B$198,2, 0), 0)</f>
        <v>0</v>
      </c>
      <c r="I363" s="53">
        <f>IFERROR(VLOOKUP(B363, 'HMMTPUMaC NT'!A$2:$B$500,2, 0), 0)</f>
        <v>0</v>
      </c>
      <c r="J363" s="53">
        <f>IFERROR(VLOOKUP(B363, 'HMMT 1 Real'!$A$2:B$198,2, 0), 0)</f>
        <v>0</v>
      </c>
      <c r="K363" s="66">
        <f>IFERROR(VLOOKUP(B363, 'HMMT 2 Real'!$A$2:C$198,2, 0), 0)</f>
        <v>0</v>
      </c>
    </row>
    <row r="364">
      <c r="A364" s="65">
        <f t="shared" si="1"/>
        <v>363</v>
      </c>
      <c r="B364" s="7" t="s">
        <v>226</v>
      </c>
      <c r="C364" s="53">
        <f t="shared" si="6"/>
        <v>0</v>
      </c>
      <c r="D364" s="53">
        <f t="shared" si="3"/>
        <v>0</v>
      </c>
      <c r="E364" s="57">
        <f>IFERROR(VLOOKUP(B364, Proof!A$2:$B$199,2, 0), 0)</f>
        <v>0</v>
      </c>
      <c r="F364" s="58">
        <f>IFERROR(VLOOKUP(B364, 'HMMTPUMaC Algebra'!A$2:$B$500,2, 0), 0)</f>
        <v>0</v>
      </c>
      <c r="G364" s="53">
        <f>IFERROR(VLOOKUP(B364, 'HMMTPUMaC Combo'!A$2:$B$500,2, 0), 0)</f>
        <v>0</v>
      </c>
      <c r="H364" s="66">
        <f>IFERROR(VLOOKUP(B364, 'HMMTPUMaC Algebra'!A$2:$B$198,2, 0), 0)</f>
        <v>0</v>
      </c>
      <c r="I364" s="53">
        <f>IFERROR(VLOOKUP(B364, 'HMMTPUMaC NT'!A$2:$B$500,2, 0), 0)</f>
        <v>0</v>
      </c>
      <c r="J364" s="53">
        <f>IFERROR(VLOOKUP(B364, 'HMMT 1 Real'!$A$2:B$198,2, 0), 0)</f>
        <v>0</v>
      </c>
      <c r="K364" s="66">
        <f>IFERROR(VLOOKUP(B364, 'HMMT 2 Real'!$A$2:C$198,2, 0), 0)</f>
        <v>0</v>
      </c>
    </row>
    <row r="365">
      <c r="A365" s="65">
        <f t="shared" si="1"/>
        <v>364</v>
      </c>
      <c r="B365" s="7" t="s">
        <v>202</v>
      </c>
      <c r="C365" s="53">
        <f t="shared" si="6"/>
        <v>0</v>
      </c>
      <c r="D365" s="53">
        <f t="shared" si="3"/>
        <v>0</v>
      </c>
      <c r="E365" s="57">
        <f>IFERROR(VLOOKUP(B365, Proof!A$2:$B$199,2, 0), 0)</f>
        <v>0</v>
      </c>
      <c r="F365" s="58">
        <f>IFERROR(VLOOKUP(B365, 'HMMTPUMaC Algebra'!A$2:$B$500,2, 0), 0)</f>
        <v>0</v>
      </c>
      <c r="G365" s="53">
        <f>IFERROR(VLOOKUP(B365, 'HMMTPUMaC Combo'!A$2:$B$500,2, 0), 0)</f>
        <v>0</v>
      </c>
      <c r="H365" s="66">
        <f>IFERROR(VLOOKUP(B365, 'HMMTPUMaC Algebra'!A$2:$B$198,2, 0), 0)</f>
        <v>0</v>
      </c>
      <c r="I365" s="53">
        <f>IFERROR(VLOOKUP(B365, 'HMMTPUMaC NT'!A$2:$B$500,2, 0), 0)</f>
        <v>0</v>
      </c>
      <c r="J365" s="53">
        <f>IFERROR(VLOOKUP(B365, 'HMMT 1 Real'!$A$2:B$198,2, 0), 0)</f>
        <v>0</v>
      </c>
      <c r="K365" s="66">
        <f>IFERROR(VLOOKUP(B365, 'HMMT 2 Real'!$A$2:C$198,2, 0), 0)</f>
        <v>0</v>
      </c>
    </row>
    <row r="366">
      <c r="A366" s="65">
        <f t="shared" si="1"/>
        <v>365</v>
      </c>
      <c r="B366" s="7" t="s">
        <v>150</v>
      </c>
      <c r="C366" s="53">
        <f t="shared" si="6"/>
        <v>0</v>
      </c>
      <c r="D366" s="53">
        <f t="shared" si="3"/>
        <v>0</v>
      </c>
      <c r="E366" s="57">
        <f>IFERROR(VLOOKUP(B366, Proof!A$2:$B$199,2, 0), 0)</f>
        <v>0</v>
      </c>
      <c r="F366" s="58">
        <f>IFERROR(VLOOKUP(B366, 'HMMTPUMaC Algebra'!A$2:$B$500,2, 0), 0)</f>
        <v>0</v>
      </c>
      <c r="G366" s="53">
        <f>IFERROR(VLOOKUP(B366, 'HMMTPUMaC Combo'!A$2:$B$500,2, 0), 0)</f>
        <v>0</v>
      </c>
      <c r="H366" s="66">
        <f>IFERROR(VLOOKUP(B366, 'HMMTPUMaC Algebra'!A$2:$B$198,2, 0), 0)</f>
        <v>0</v>
      </c>
      <c r="I366" s="53">
        <f>IFERROR(VLOOKUP(B366, 'HMMTPUMaC NT'!A$2:$B$500,2, 0), 0)</f>
        <v>0</v>
      </c>
      <c r="J366" s="53">
        <f>IFERROR(VLOOKUP(B366, 'HMMT 1 Real'!$A$2:B$198,2, 0), 0)</f>
        <v>0</v>
      </c>
      <c r="K366" s="66">
        <f>IFERROR(VLOOKUP(B366, 'HMMT 2 Real'!$A$2:C$198,2, 0), 0)</f>
        <v>0</v>
      </c>
    </row>
    <row r="367">
      <c r="A367" s="65">
        <f t="shared" si="1"/>
        <v>366</v>
      </c>
      <c r="B367" s="7" t="s">
        <v>314</v>
      </c>
      <c r="C367" s="53">
        <f t="shared" si="6"/>
        <v>0</v>
      </c>
      <c r="D367" s="53">
        <f t="shared" si="3"/>
        <v>0</v>
      </c>
      <c r="E367" s="57">
        <f>IFERROR(VLOOKUP(B367, Proof!A$2:$B$199,2, 0), 0)</f>
        <v>0</v>
      </c>
      <c r="F367" s="58">
        <f>IFERROR(VLOOKUP(B367, 'HMMTPUMaC Algebra'!A$2:$B$500,2, 0), 0)</f>
        <v>0</v>
      </c>
      <c r="G367" s="53">
        <f>IFERROR(VLOOKUP(B367, 'HMMTPUMaC Combo'!A$2:$B$500,2, 0), 0)</f>
        <v>0</v>
      </c>
      <c r="H367" s="66">
        <f>IFERROR(VLOOKUP(B367, 'HMMTPUMaC Algebra'!A$2:$B$198,2, 0), 0)</f>
        <v>0</v>
      </c>
      <c r="I367" s="53">
        <f>IFERROR(VLOOKUP(B367, 'HMMTPUMaC NT'!A$2:$B$500,2, 0), 0)</f>
        <v>0</v>
      </c>
      <c r="J367" s="53">
        <f>IFERROR(VLOOKUP(B367, 'HMMT 1 Real'!$A$2:B$198,2, 0), 0)</f>
        <v>0</v>
      </c>
      <c r="K367" s="66">
        <f>IFERROR(VLOOKUP(B367, 'HMMT 2 Real'!$A$2:C$198,2, 0), 0)</f>
        <v>0</v>
      </c>
    </row>
    <row r="368">
      <c r="A368" s="65">
        <f t="shared" si="1"/>
        <v>367</v>
      </c>
      <c r="B368" s="7" t="s">
        <v>196</v>
      </c>
      <c r="C368" s="53">
        <f t="shared" si="6"/>
        <v>0</v>
      </c>
      <c r="D368" s="53">
        <f t="shared" si="3"/>
        <v>0</v>
      </c>
      <c r="E368" s="57">
        <f>IFERROR(VLOOKUP(B368, Proof!A$2:$B$199,2, 0), 0)</f>
        <v>0</v>
      </c>
      <c r="F368" s="58">
        <f>IFERROR(VLOOKUP(B368, 'HMMTPUMaC Algebra'!A$2:$B$500,2, 0), 0)</f>
        <v>0</v>
      </c>
      <c r="G368" s="53">
        <f>IFERROR(VLOOKUP(B368, 'HMMTPUMaC Combo'!A$2:$B$500,2, 0), 0)</f>
        <v>0</v>
      </c>
      <c r="H368" s="66">
        <f>IFERROR(VLOOKUP(B368, 'HMMTPUMaC Algebra'!A$2:$B$198,2, 0), 0)</f>
        <v>0</v>
      </c>
      <c r="I368" s="53">
        <f>IFERROR(VLOOKUP(B368, 'HMMTPUMaC NT'!A$2:$B$500,2, 0), 0)</f>
        <v>0</v>
      </c>
      <c r="J368" s="53">
        <f>IFERROR(VLOOKUP(B368, 'HMMT 1 Real'!$A$2:B$198,2, 0), 0)</f>
        <v>0</v>
      </c>
      <c r="K368" s="66">
        <f>IFERROR(VLOOKUP(B368, 'HMMT 2 Real'!$A$2:C$198,2, 0), 0)</f>
        <v>0</v>
      </c>
    </row>
    <row r="369">
      <c r="A369" s="65">
        <f t="shared" si="1"/>
        <v>368</v>
      </c>
      <c r="B369" s="7" t="s">
        <v>175</v>
      </c>
      <c r="C369" s="53">
        <f t="shared" si="6"/>
        <v>0</v>
      </c>
      <c r="D369" s="53">
        <f t="shared" si="3"/>
        <v>0</v>
      </c>
      <c r="E369" s="57">
        <f>IFERROR(VLOOKUP(B369, Proof!A$2:$B$199,2, 0), 0)</f>
        <v>0</v>
      </c>
      <c r="F369" s="58">
        <f>IFERROR(VLOOKUP(B369, 'HMMTPUMaC Algebra'!A$2:$B$500,2, 0), 0)</f>
        <v>0</v>
      </c>
      <c r="G369" s="53">
        <f>IFERROR(VLOOKUP(B369, 'HMMTPUMaC Combo'!A$2:$B$500,2, 0), 0)</f>
        <v>0</v>
      </c>
      <c r="H369" s="66">
        <f>IFERROR(VLOOKUP(B369, 'HMMTPUMaC Algebra'!A$2:$B$198,2, 0), 0)</f>
        <v>0</v>
      </c>
      <c r="I369" s="53">
        <f>IFERROR(VLOOKUP(B369, 'HMMTPUMaC NT'!A$2:$B$500,2, 0), 0)</f>
        <v>0</v>
      </c>
      <c r="J369" s="53">
        <f>IFERROR(VLOOKUP(B369, 'HMMT 1 Real'!$A$2:B$198,2, 0), 0)</f>
        <v>0</v>
      </c>
      <c r="K369" s="66">
        <f>IFERROR(VLOOKUP(B369, 'HMMT 2 Real'!$A$2:C$198,2, 0), 0)</f>
        <v>0</v>
      </c>
    </row>
    <row r="370">
      <c r="A370" s="65">
        <f t="shared" si="1"/>
        <v>369</v>
      </c>
      <c r="B370" s="7" t="s">
        <v>141</v>
      </c>
      <c r="C370" s="53">
        <f t="shared" si="6"/>
        <v>0</v>
      </c>
      <c r="D370" s="53">
        <f t="shared" si="3"/>
        <v>0</v>
      </c>
      <c r="E370" s="57">
        <f>IFERROR(VLOOKUP(B370, Proof!A$2:$B$199,2, 0), 0)</f>
        <v>0</v>
      </c>
      <c r="F370" s="58">
        <f>IFERROR(VLOOKUP(B370, 'HMMTPUMaC Algebra'!A$2:$B$500,2, 0), 0)</f>
        <v>0</v>
      </c>
      <c r="G370" s="53">
        <f>IFERROR(VLOOKUP(B370, 'HMMTPUMaC Combo'!A$2:$B$500,2, 0), 0)</f>
        <v>0</v>
      </c>
      <c r="H370" s="66">
        <f>IFERROR(VLOOKUP(B370, 'HMMTPUMaC Algebra'!A$2:$B$198,2, 0), 0)</f>
        <v>0</v>
      </c>
      <c r="I370" s="53">
        <f>IFERROR(VLOOKUP(B370, 'HMMTPUMaC NT'!A$2:$B$500,2, 0), 0)</f>
        <v>0</v>
      </c>
      <c r="J370" s="53">
        <f>IFERROR(VLOOKUP(B370, 'HMMT 1 Real'!$A$2:B$198,2, 0), 0)</f>
        <v>0</v>
      </c>
      <c r="K370" s="66">
        <f>IFERROR(VLOOKUP(B370, 'HMMT 2 Real'!$A$2:C$198,2, 0), 0)</f>
        <v>0</v>
      </c>
    </row>
    <row r="371">
      <c r="A371" s="65">
        <f t="shared" si="1"/>
        <v>370</v>
      </c>
      <c r="B371" s="7" t="s">
        <v>353</v>
      </c>
      <c r="C371" s="53">
        <f t="shared" si="6"/>
        <v>0</v>
      </c>
      <c r="D371" s="53">
        <f t="shared" si="3"/>
        <v>0</v>
      </c>
      <c r="E371" s="57">
        <f>IFERROR(VLOOKUP(B371, Proof!A$2:$B$199,2, 0), 0)</f>
        <v>0</v>
      </c>
      <c r="F371" s="58">
        <f>IFERROR(VLOOKUP(B371, 'HMMTPUMaC Algebra'!A$2:$B$500,2, 0), 0)</f>
        <v>0</v>
      </c>
      <c r="G371" s="53">
        <f>IFERROR(VLOOKUP(B371, 'HMMTPUMaC Combo'!A$2:$B$500,2, 0), 0)</f>
        <v>0</v>
      </c>
      <c r="H371" s="66">
        <f>IFERROR(VLOOKUP(B371, 'HMMTPUMaC Algebra'!A$2:$B$198,2, 0), 0)</f>
        <v>0</v>
      </c>
      <c r="I371" s="53">
        <f>IFERROR(VLOOKUP(B371, 'HMMTPUMaC NT'!A$2:$B$500,2, 0), 0)</f>
        <v>0</v>
      </c>
      <c r="J371" s="53">
        <f>IFERROR(VLOOKUP(B371, 'HMMT 1 Real'!$A$2:B$198,2, 0), 0)</f>
        <v>0</v>
      </c>
      <c r="K371" s="66">
        <f>IFERROR(VLOOKUP(B371, 'HMMT 2 Real'!$A$2:C$198,2, 0), 0)</f>
        <v>0</v>
      </c>
    </row>
    <row r="372">
      <c r="A372" s="65">
        <f t="shared" si="1"/>
        <v>371</v>
      </c>
      <c r="B372" s="7" t="s">
        <v>215</v>
      </c>
      <c r="C372" s="53">
        <f t="shared" si="6"/>
        <v>0</v>
      </c>
      <c r="D372" s="53">
        <f t="shared" si="3"/>
        <v>0</v>
      </c>
      <c r="E372" s="57">
        <f>IFERROR(VLOOKUP(B372, Proof!A$2:$B$199,2, 0), 0)</f>
        <v>0</v>
      </c>
      <c r="F372" s="58">
        <f>IFERROR(VLOOKUP(B372, 'HMMTPUMaC Algebra'!A$2:$B$500,2, 0), 0)</f>
        <v>0</v>
      </c>
      <c r="G372" s="53">
        <f>IFERROR(VLOOKUP(B372, 'HMMTPUMaC Combo'!A$2:$B$500,2, 0), 0)</f>
        <v>0</v>
      </c>
      <c r="H372" s="66">
        <f>IFERROR(VLOOKUP(B372, 'HMMTPUMaC Algebra'!A$2:$B$198,2, 0), 0)</f>
        <v>0</v>
      </c>
      <c r="I372" s="53">
        <f>IFERROR(VLOOKUP(B372, 'HMMTPUMaC NT'!A$2:$B$500,2, 0), 0)</f>
        <v>0</v>
      </c>
      <c r="J372" s="53">
        <f>IFERROR(VLOOKUP(B372, 'HMMT 1 Real'!$A$2:B$198,2, 0), 0)</f>
        <v>0</v>
      </c>
      <c r="K372" s="66">
        <f>IFERROR(VLOOKUP(B372, 'HMMT 2 Real'!$A$2:C$198,2, 0), 0)</f>
        <v>0</v>
      </c>
    </row>
    <row r="373">
      <c r="A373" s="65">
        <f t="shared" si="1"/>
        <v>372</v>
      </c>
      <c r="B373" s="7" t="s">
        <v>358</v>
      </c>
      <c r="C373" s="53">
        <f t="shared" si="6"/>
        <v>0</v>
      </c>
      <c r="D373" s="53">
        <f t="shared" si="3"/>
        <v>0</v>
      </c>
      <c r="E373" s="57">
        <f>IFERROR(VLOOKUP(B373, Proof!A$2:$B$199,2, 0), 0)</f>
        <v>0</v>
      </c>
      <c r="F373" s="58">
        <f>IFERROR(VLOOKUP(B373, 'HMMTPUMaC Algebra'!A$2:$B$500,2, 0), 0)</f>
        <v>0</v>
      </c>
      <c r="G373" s="53">
        <f>IFERROR(VLOOKUP(B373, 'HMMTPUMaC Combo'!A$2:$B$500,2, 0), 0)</f>
        <v>0</v>
      </c>
      <c r="H373" s="66">
        <f>IFERROR(VLOOKUP(B373, 'HMMTPUMaC Algebra'!A$2:$B$198,2, 0), 0)</f>
        <v>0</v>
      </c>
      <c r="I373" s="53">
        <f>IFERROR(VLOOKUP(B373, 'HMMTPUMaC NT'!A$2:$B$500,2, 0), 0)</f>
        <v>0</v>
      </c>
      <c r="J373" s="53">
        <f>IFERROR(VLOOKUP(B373, 'HMMT 1 Real'!$A$2:B$198,2, 0), 0)</f>
        <v>0</v>
      </c>
      <c r="K373" s="66">
        <f>IFERROR(VLOOKUP(B373, 'HMMT 2 Real'!$A$2:C$198,2, 0), 0)</f>
        <v>0</v>
      </c>
    </row>
    <row r="374">
      <c r="A374" s="65">
        <f t="shared" si="1"/>
        <v>373</v>
      </c>
      <c r="B374" s="7" t="s">
        <v>190</v>
      </c>
      <c r="C374" s="53">
        <f t="shared" si="6"/>
        <v>0</v>
      </c>
      <c r="D374" s="53">
        <f t="shared" si="3"/>
        <v>0</v>
      </c>
      <c r="E374" s="57">
        <f>IFERROR(VLOOKUP(B374, Proof!A$2:$B$199,2, 0), 0)</f>
        <v>0</v>
      </c>
      <c r="F374" s="58">
        <f>IFERROR(VLOOKUP(B374, 'HMMTPUMaC Algebra'!A$2:$B$500,2, 0), 0)</f>
        <v>0</v>
      </c>
      <c r="G374" s="53">
        <f>IFERROR(VLOOKUP(B374, 'HMMTPUMaC Combo'!A$2:$B$500,2, 0), 0)</f>
        <v>0</v>
      </c>
      <c r="H374" s="66">
        <f>IFERROR(VLOOKUP(B374, 'HMMTPUMaC Algebra'!A$2:$B$198,2, 0), 0)</f>
        <v>0</v>
      </c>
      <c r="I374" s="53">
        <f>IFERROR(VLOOKUP(B374, 'HMMTPUMaC NT'!A$2:$B$500,2, 0), 0)</f>
        <v>0</v>
      </c>
      <c r="J374" s="53">
        <f>IFERROR(VLOOKUP(B374, 'HMMT 1 Real'!$A$2:B$198,2, 0), 0)</f>
        <v>0</v>
      </c>
      <c r="K374" s="66">
        <f>IFERROR(VLOOKUP(B374, 'HMMT 2 Real'!$A$2:C$198,2, 0), 0)</f>
        <v>0</v>
      </c>
    </row>
    <row r="375">
      <c r="A375" s="65">
        <f t="shared" si="1"/>
        <v>374</v>
      </c>
      <c r="B375" s="7" t="s">
        <v>222</v>
      </c>
      <c r="C375" s="53">
        <f t="shared" si="6"/>
        <v>0</v>
      </c>
      <c r="D375" s="53">
        <f t="shared" si="3"/>
        <v>0</v>
      </c>
      <c r="E375" s="57">
        <f>IFERROR(VLOOKUP(B375, Proof!A$2:$B$199,2, 0), 0)</f>
        <v>0</v>
      </c>
      <c r="F375" s="58">
        <f>IFERROR(VLOOKUP(B375, 'HMMTPUMaC Algebra'!A$2:$B$500,2, 0), 0)</f>
        <v>0</v>
      </c>
      <c r="G375" s="53">
        <f>IFERROR(VLOOKUP(B375, 'HMMTPUMaC Combo'!A$2:$B$500,2, 0), 0)</f>
        <v>0</v>
      </c>
      <c r="H375" s="66">
        <f>IFERROR(VLOOKUP(B375, 'HMMTPUMaC Algebra'!A$2:$B$198,2, 0), 0)</f>
        <v>0</v>
      </c>
      <c r="I375" s="53">
        <f>IFERROR(VLOOKUP(B375, 'HMMTPUMaC NT'!A$2:$B$500,2, 0), 0)</f>
        <v>0</v>
      </c>
      <c r="J375" s="53">
        <f>IFERROR(VLOOKUP(B375, 'HMMT 1 Real'!$A$2:B$198,2, 0), 0)</f>
        <v>0</v>
      </c>
      <c r="K375" s="66">
        <f>IFERROR(VLOOKUP(B375, 'HMMT 2 Real'!$A$2:C$198,2, 0), 0)</f>
        <v>0</v>
      </c>
    </row>
    <row r="376">
      <c r="A376" s="65">
        <f t="shared" si="1"/>
        <v>375</v>
      </c>
      <c r="B376" s="7" t="s">
        <v>131</v>
      </c>
      <c r="C376" s="53">
        <f t="shared" si="6"/>
        <v>0</v>
      </c>
      <c r="D376" s="53">
        <f t="shared" si="3"/>
        <v>0</v>
      </c>
      <c r="E376" s="57">
        <f>IFERROR(VLOOKUP(B376, Proof!A$2:$B$199,2, 0), 0)</f>
        <v>0</v>
      </c>
      <c r="F376" s="58">
        <f>IFERROR(VLOOKUP(B376, 'HMMTPUMaC Algebra'!A$2:$B$500,2, 0), 0)</f>
        <v>0</v>
      </c>
      <c r="G376" s="53">
        <f>IFERROR(VLOOKUP(B376, 'HMMTPUMaC Combo'!A$2:$B$500,2, 0), 0)</f>
        <v>0</v>
      </c>
      <c r="H376" s="66">
        <f>IFERROR(VLOOKUP(B376, 'HMMTPUMaC Algebra'!A$2:$B$198,2, 0), 0)</f>
        <v>0</v>
      </c>
      <c r="I376" s="53">
        <f>IFERROR(VLOOKUP(B376, 'HMMTPUMaC NT'!A$2:$B$500,2, 0), 0)</f>
        <v>0</v>
      </c>
      <c r="J376" s="53">
        <f>IFERROR(VLOOKUP(B376, 'HMMT 1 Real'!$A$2:B$198,2, 0), 0)</f>
        <v>0</v>
      </c>
      <c r="K376" s="66">
        <f>IFERROR(VLOOKUP(B376, 'HMMT 2 Real'!$A$2:C$198,2, 0), 0)</f>
        <v>0</v>
      </c>
    </row>
    <row r="377">
      <c r="A377" s="65">
        <f t="shared" si="1"/>
        <v>376</v>
      </c>
      <c r="B377" s="7" t="s">
        <v>174</v>
      </c>
      <c r="C377" s="53">
        <f t="shared" si="6"/>
        <v>0</v>
      </c>
      <c r="D377" s="53">
        <f t="shared" si="3"/>
        <v>0</v>
      </c>
      <c r="E377" s="57">
        <f>IFERROR(VLOOKUP(B377, Proof!A$2:$B$199,2, 0), 0)</f>
        <v>0</v>
      </c>
      <c r="F377" s="58">
        <f>IFERROR(VLOOKUP(B377, 'HMMTPUMaC Algebra'!A$2:$B$500,2, 0), 0)</f>
        <v>0</v>
      </c>
      <c r="G377" s="53">
        <f>IFERROR(VLOOKUP(B377, 'HMMTPUMaC Combo'!A$2:$B$500,2, 0), 0)</f>
        <v>0</v>
      </c>
      <c r="H377" s="66">
        <f>IFERROR(VLOOKUP(B377, 'HMMTPUMaC Algebra'!A$2:$B$198,2, 0), 0)</f>
        <v>0</v>
      </c>
      <c r="I377" s="53">
        <f>IFERROR(VLOOKUP(B377, 'HMMTPUMaC NT'!A$2:$B$500,2, 0), 0)</f>
        <v>0</v>
      </c>
      <c r="J377" s="53">
        <f>IFERROR(VLOOKUP(B377, 'HMMT 1 Real'!$A$2:B$198,2, 0), 0)</f>
        <v>0</v>
      </c>
      <c r="K377" s="66">
        <f>IFERROR(VLOOKUP(B377, 'HMMT 2 Real'!$A$2:C$198,2, 0), 0)</f>
        <v>0</v>
      </c>
    </row>
    <row r="378">
      <c r="A378" s="65">
        <f t="shared" si="1"/>
        <v>377</v>
      </c>
      <c r="B378" s="7" t="s">
        <v>207</v>
      </c>
      <c r="C378" s="53">
        <f t="shared" si="6"/>
        <v>0</v>
      </c>
      <c r="D378" s="53">
        <f t="shared" si="3"/>
        <v>0</v>
      </c>
      <c r="E378" s="57">
        <f>IFERROR(VLOOKUP(B378, Proof!A$2:$B$199,2, 0), 0)</f>
        <v>0</v>
      </c>
      <c r="F378" s="58">
        <f>IFERROR(VLOOKUP(B378, 'HMMTPUMaC Algebra'!A$2:$B$500,2, 0), 0)</f>
        <v>0</v>
      </c>
      <c r="G378" s="53">
        <f>IFERROR(VLOOKUP(B378, 'HMMTPUMaC Combo'!A$2:$B$500,2, 0), 0)</f>
        <v>0</v>
      </c>
      <c r="H378" s="66">
        <f>IFERROR(VLOOKUP(B378, 'HMMTPUMaC Algebra'!A$2:$B$198,2, 0), 0)</f>
        <v>0</v>
      </c>
      <c r="I378" s="53">
        <f>IFERROR(VLOOKUP(B378, 'HMMTPUMaC NT'!A$2:$B$500,2, 0), 0)</f>
        <v>0</v>
      </c>
      <c r="J378" s="53">
        <f>IFERROR(VLOOKUP(B378, 'HMMT 1 Real'!$A$2:B$198,2, 0), 0)</f>
        <v>0</v>
      </c>
      <c r="K378" s="66">
        <f>IFERROR(VLOOKUP(B378, 'HMMT 2 Real'!$A$2:C$198,2, 0), 0)</f>
        <v>0</v>
      </c>
    </row>
    <row r="379">
      <c r="A379" s="65">
        <f t="shared" si="1"/>
        <v>378</v>
      </c>
      <c r="B379" s="7" t="s">
        <v>245</v>
      </c>
      <c r="C379" s="53">
        <f t="shared" si="6"/>
        <v>0</v>
      </c>
      <c r="D379" s="53">
        <f t="shared" si="3"/>
        <v>0</v>
      </c>
      <c r="E379" s="57">
        <f>IFERROR(VLOOKUP(B379, Proof!A$2:$B$199,2, 0), 0)</f>
        <v>0</v>
      </c>
      <c r="F379" s="58">
        <f>IFERROR(VLOOKUP(B379, 'HMMTPUMaC Algebra'!A$2:$B$500,2, 0), 0)</f>
        <v>0</v>
      </c>
      <c r="G379" s="53">
        <f>IFERROR(VLOOKUP(B379, 'HMMTPUMaC Combo'!A$2:$B$500,2, 0), 0)</f>
        <v>0</v>
      </c>
      <c r="H379" s="66">
        <f>IFERROR(VLOOKUP(B379, 'HMMTPUMaC Algebra'!A$2:$B$198,2, 0), 0)</f>
        <v>0</v>
      </c>
      <c r="I379" s="53">
        <f>IFERROR(VLOOKUP(B379, 'HMMTPUMaC NT'!A$2:$B$500,2, 0), 0)</f>
        <v>0</v>
      </c>
      <c r="J379" s="53">
        <f>IFERROR(VLOOKUP(B379, 'HMMT 1 Real'!$A$2:B$198,2, 0), 0)</f>
        <v>0</v>
      </c>
      <c r="K379" s="66">
        <f>IFERROR(VLOOKUP(B379, 'HMMT 2 Real'!$A$2:C$198,2, 0), 0)</f>
        <v>0</v>
      </c>
    </row>
    <row r="380">
      <c r="A380" s="65">
        <f t="shared" si="1"/>
        <v>379</v>
      </c>
      <c r="B380" s="7" t="s">
        <v>148</v>
      </c>
      <c r="C380" s="53">
        <f t="shared" si="6"/>
        <v>0</v>
      </c>
      <c r="D380" s="53">
        <f t="shared" si="3"/>
        <v>0</v>
      </c>
      <c r="E380" s="57">
        <f>IFERROR(VLOOKUP(B380, Proof!A$2:$B$199,2, 0), 0)</f>
        <v>0</v>
      </c>
      <c r="F380" s="58">
        <f>IFERROR(VLOOKUP(B380, 'HMMTPUMaC Algebra'!A$2:$B$500,2, 0), 0)</f>
        <v>0</v>
      </c>
      <c r="G380" s="53">
        <f>IFERROR(VLOOKUP(B380, 'HMMTPUMaC Combo'!A$2:$B$500,2, 0), 0)</f>
        <v>0</v>
      </c>
      <c r="H380" s="66">
        <f>IFERROR(VLOOKUP(B380, 'HMMTPUMaC Algebra'!A$2:$B$198,2, 0), 0)</f>
        <v>0</v>
      </c>
      <c r="I380" s="53">
        <f>IFERROR(VLOOKUP(B380, 'HMMTPUMaC NT'!A$2:$B$500,2, 0), 0)</f>
        <v>0</v>
      </c>
      <c r="J380" s="53">
        <f>IFERROR(VLOOKUP(B380, 'HMMT 1 Real'!$A$2:B$198,2, 0), 0)</f>
        <v>0</v>
      </c>
      <c r="K380" s="66">
        <f>IFERROR(VLOOKUP(B380, 'HMMT 2 Real'!$A$2:C$198,2, 0), 0)</f>
        <v>0</v>
      </c>
    </row>
    <row r="381">
      <c r="A381" s="65">
        <f t="shared" si="1"/>
        <v>380</v>
      </c>
      <c r="B381" s="7" t="s">
        <v>261</v>
      </c>
      <c r="C381" s="53">
        <f t="shared" si="6"/>
        <v>0</v>
      </c>
      <c r="D381" s="53">
        <f t="shared" si="3"/>
        <v>0</v>
      </c>
      <c r="E381" s="57">
        <f>IFERROR(VLOOKUP(B381, Proof!A$2:$B$199,2, 0), 0)</f>
        <v>0</v>
      </c>
      <c r="F381" s="58">
        <f>IFERROR(VLOOKUP(B381, 'HMMTPUMaC Algebra'!A$2:$B$500,2, 0), 0)</f>
        <v>0</v>
      </c>
      <c r="G381" s="53">
        <f>IFERROR(VLOOKUP(B381, 'HMMTPUMaC Combo'!A$2:$B$500,2, 0), 0)</f>
        <v>0</v>
      </c>
      <c r="H381" s="66">
        <f>IFERROR(VLOOKUP(B381, 'HMMTPUMaC Algebra'!A$2:$B$198,2, 0), 0)</f>
        <v>0</v>
      </c>
      <c r="I381" s="53">
        <f>IFERROR(VLOOKUP(B381, 'HMMTPUMaC NT'!A$2:$B$500,2, 0), 0)</f>
        <v>0</v>
      </c>
      <c r="J381" s="53">
        <f>IFERROR(VLOOKUP(B381, 'HMMT 1 Real'!$A$2:B$198,2, 0), 0)</f>
        <v>0</v>
      </c>
      <c r="K381" s="66">
        <f>IFERROR(VLOOKUP(B381, 'HMMT 2 Real'!$A$2:C$198,2, 0), 0)</f>
        <v>0</v>
      </c>
    </row>
    <row r="382">
      <c r="A382" s="65">
        <f t="shared" si="1"/>
        <v>381</v>
      </c>
      <c r="B382" s="7" t="s">
        <v>316</v>
      </c>
      <c r="C382" s="53">
        <f t="shared" si="6"/>
        <v>0</v>
      </c>
      <c r="D382" s="53">
        <f t="shared" si="3"/>
        <v>0</v>
      </c>
      <c r="E382" s="57">
        <f>IFERROR(VLOOKUP(B382, Proof!A$2:$B$199,2, 0), 0)</f>
        <v>0</v>
      </c>
      <c r="F382" s="58">
        <f>IFERROR(VLOOKUP(B382, 'HMMTPUMaC Algebra'!A$2:$B$500,2, 0), 0)</f>
        <v>0</v>
      </c>
      <c r="G382" s="53">
        <f>IFERROR(VLOOKUP(B382, 'HMMTPUMaC Combo'!A$2:$B$500,2, 0), 0)</f>
        <v>0</v>
      </c>
      <c r="H382" s="66">
        <f>IFERROR(VLOOKUP(B382, 'HMMTPUMaC Algebra'!A$2:$B$198,2, 0), 0)</f>
        <v>0</v>
      </c>
      <c r="I382" s="53">
        <f>IFERROR(VLOOKUP(B382, 'HMMTPUMaC NT'!A$2:$B$500,2, 0), 0)</f>
        <v>0</v>
      </c>
      <c r="J382" s="53">
        <f>IFERROR(VLOOKUP(B382, 'HMMT 1 Real'!$A$2:B$198,2, 0), 0)</f>
        <v>0</v>
      </c>
      <c r="K382" s="66">
        <f>IFERROR(VLOOKUP(B382, 'HMMT 2 Real'!$A$2:C$198,2, 0), 0)</f>
        <v>0</v>
      </c>
    </row>
    <row r="383">
      <c r="A383" s="65">
        <f t="shared" si="1"/>
        <v>382</v>
      </c>
      <c r="B383" s="7" t="s">
        <v>269</v>
      </c>
      <c r="C383" s="53">
        <f t="shared" si="6"/>
        <v>0</v>
      </c>
      <c r="D383" s="53">
        <f t="shared" si="3"/>
        <v>0</v>
      </c>
      <c r="E383" s="57">
        <f>IFERROR(VLOOKUP(B383, Proof!A$2:$B$199,2, 0), 0)</f>
        <v>0</v>
      </c>
      <c r="F383" s="58">
        <f>IFERROR(VLOOKUP(B383, 'HMMTPUMaC Algebra'!A$2:$B$500,2, 0), 0)</f>
        <v>0</v>
      </c>
      <c r="G383" s="53">
        <f>IFERROR(VLOOKUP(B383, 'HMMTPUMaC Combo'!A$2:$B$500,2, 0), 0)</f>
        <v>0</v>
      </c>
      <c r="H383" s="66">
        <f>IFERROR(VLOOKUP(B383, 'HMMTPUMaC Algebra'!A$2:$B$198,2, 0), 0)</f>
        <v>0</v>
      </c>
      <c r="I383" s="53">
        <f>IFERROR(VLOOKUP(B383, 'HMMTPUMaC NT'!A$2:$B$500,2, 0), 0)</f>
        <v>0</v>
      </c>
      <c r="J383" s="53">
        <f>IFERROR(VLOOKUP(B383, 'HMMT 1 Real'!$A$2:B$198,2, 0), 0)</f>
        <v>0</v>
      </c>
      <c r="K383" s="66">
        <f>IFERROR(VLOOKUP(B383, 'HMMT 2 Real'!$A$2:C$198,2, 0), 0)</f>
        <v>0</v>
      </c>
    </row>
    <row r="384">
      <c r="A384" s="65">
        <f t="shared" si="1"/>
        <v>383</v>
      </c>
      <c r="B384" s="7" t="s">
        <v>299</v>
      </c>
      <c r="C384" s="53">
        <f t="shared" si="6"/>
        <v>0</v>
      </c>
      <c r="D384" s="53">
        <f t="shared" si="3"/>
        <v>0</v>
      </c>
      <c r="E384" s="57">
        <f>IFERROR(VLOOKUP(B384, Proof!A$2:$B$199,2, 0), 0)</f>
        <v>0</v>
      </c>
      <c r="F384" s="58">
        <f>IFERROR(VLOOKUP(B384, 'HMMTPUMaC Algebra'!A$2:$B$500,2, 0), 0)</f>
        <v>0</v>
      </c>
      <c r="G384" s="53">
        <f>IFERROR(VLOOKUP(B384, 'HMMTPUMaC Combo'!A$2:$B$500,2, 0), 0)</f>
        <v>0</v>
      </c>
      <c r="H384" s="66">
        <f>IFERROR(VLOOKUP(B384, 'HMMTPUMaC Algebra'!A$2:$B$198,2, 0), 0)</f>
        <v>0</v>
      </c>
      <c r="I384" s="53">
        <f>IFERROR(VLOOKUP(B384, 'HMMTPUMaC NT'!A$2:$B$500,2, 0), 0)</f>
        <v>0</v>
      </c>
      <c r="J384" s="53">
        <f>IFERROR(VLOOKUP(B384, 'HMMT 1 Real'!$A$2:B$198,2, 0), 0)</f>
        <v>0</v>
      </c>
      <c r="K384" s="66">
        <f>IFERROR(VLOOKUP(B384, 'HMMT 2 Real'!$A$2:C$198,2, 0), 0)</f>
        <v>0</v>
      </c>
    </row>
    <row r="385">
      <c r="A385" s="65">
        <f t="shared" si="1"/>
        <v>384</v>
      </c>
      <c r="B385" s="7" t="s">
        <v>283</v>
      </c>
      <c r="C385" s="53">
        <f t="shared" si="6"/>
        <v>0</v>
      </c>
      <c r="D385" s="53">
        <f t="shared" si="3"/>
        <v>0</v>
      </c>
      <c r="E385" s="57">
        <f>IFERROR(VLOOKUP(B385, Proof!A$2:$B$199,2, 0), 0)</f>
        <v>0</v>
      </c>
      <c r="F385" s="58">
        <f>IFERROR(VLOOKUP(B385, 'HMMTPUMaC Algebra'!A$2:$B$500,2, 0), 0)</f>
        <v>0</v>
      </c>
      <c r="G385" s="53">
        <f>IFERROR(VLOOKUP(B385, 'HMMTPUMaC Combo'!A$2:$B$500,2, 0), 0)</f>
        <v>0</v>
      </c>
      <c r="H385" s="66">
        <f>IFERROR(VLOOKUP(B385, 'HMMTPUMaC Algebra'!A$2:$B$198,2, 0), 0)</f>
        <v>0</v>
      </c>
      <c r="I385" s="53">
        <f>IFERROR(VLOOKUP(B385, 'HMMTPUMaC NT'!A$2:$B$500,2, 0), 0)</f>
        <v>0</v>
      </c>
      <c r="J385" s="53">
        <f>IFERROR(VLOOKUP(B385, 'HMMT 1 Real'!$A$2:B$198,2, 0), 0)</f>
        <v>0</v>
      </c>
      <c r="K385" s="66">
        <f>IFERROR(VLOOKUP(B385, 'HMMT 2 Real'!$A$2:C$198,2, 0), 0)</f>
        <v>0</v>
      </c>
    </row>
    <row r="386">
      <c r="A386" s="65">
        <f t="shared" si="1"/>
        <v>385</v>
      </c>
      <c r="B386" s="7" t="s">
        <v>169</v>
      </c>
      <c r="C386" s="53">
        <f t="shared" si="6"/>
        <v>0</v>
      </c>
      <c r="D386" s="53">
        <f t="shared" si="3"/>
        <v>0</v>
      </c>
      <c r="E386" s="57">
        <f>IFERROR(VLOOKUP(B386, Proof!A$2:$B$199,2, 0), 0)</f>
        <v>0</v>
      </c>
      <c r="F386" s="58">
        <f>IFERROR(VLOOKUP(B386, 'HMMTPUMaC Algebra'!A$2:$B$500,2, 0), 0)</f>
        <v>0</v>
      </c>
      <c r="G386" s="53">
        <f>IFERROR(VLOOKUP(B386, 'HMMTPUMaC Combo'!A$2:$B$500,2, 0), 0)</f>
        <v>0</v>
      </c>
      <c r="H386" s="66">
        <f>IFERROR(VLOOKUP(B386, 'HMMTPUMaC Algebra'!A$2:$B$198,2, 0), 0)</f>
        <v>0</v>
      </c>
      <c r="I386" s="53">
        <f>IFERROR(VLOOKUP(B386, 'HMMTPUMaC NT'!A$2:$B$500,2, 0), 0)</f>
        <v>0</v>
      </c>
      <c r="J386" s="53">
        <f>IFERROR(VLOOKUP(B386, 'HMMT 1 Real'!$A$2:B$198,2, 0), 0)</f>
        <v>0</v>
      </c>
      <c r="K386" s="66">
        <f>IFERROR(VLOOKUP(B386, 'HMMT 2 Real'!$A$2:C$198,2, 0), 0)</f>
        <v>0</v>
      </c>
    </row>
    <row r="387">
      <c r="A387" s="65">
        <f t="shared" si="1"/>
        <v>386</v>
      </c>
      <c r="B387" s="7" t="s">
        <v>184</v>
      </c>
      <c r="C387" s="53">
        <f t="shared" si="6"/>
        <v>0</v>
      </c>
      <c r="D387" s="53">
        <f t="shared" si="3"/>
        <v>0</v>
      </c>
      <c r="E387" s="57">
        <f>IFERROR(VLOOKUP(B387, Proof!A$2:$B$199,2, 0), 0)</f>
        <v>0</v>
      </c>
      <c r="F387" s="58">
        <f>IFERROR(VLOOKUP(B387, 'HMMTPUMaC Algebra'!A$2:$B$500,2, 0), 0)</f>
        <v>0</v>
      </c>
      <c r="G387" s="53">
        <f>IFERROR(VLOOKUP(B387, 'HMMTPUMaC Combo'!A$2:$B$500,2, 0), 0)</f>
        <v>0</v>
      </c>
      <c r="H387" s="66">
        <f>IFERROR(VLOOKUP(B387, 'HMMTPUMaC Algebra'!A$2:$B$198,2, 0), 0)</f>
        <v>0</v>
      </c>
      <c r="I387" s="53">
        <f>IFERROR(VLOOKUP(B387, 'HMMTPUMaC NT'!A$2:$B$500,2, 0), 0)</f>
        <v>0</v>
      </c>
      <c r="J387" s="53">
        <f>IFERROR(VLOOKUP(B387, 'HMMT 1 Real'!$A$2:B$198,2, 0), 0)</f>
        <v>0</v>
      </c>
      <c r="K387" s="66">
        <f>IFERROR(VLOOKUP(B387, 'HMMT 2 Real'!$A$2:C$198,2, 0), 0)</f>
        <v>0</v>
      </c>
    </row>
    <row r="388">
      <c r="A388" s="65">
        <f t="shared" si="1"/>
        <v>387</v>
      </c>
      <c r="B388" s="7" t="s">
        <v>189</v>
      </c>
      <c r="C388" s="53">
        <f t="shared" si="6"/>
        <v>0</v>
      </c>
      <c r="D388" s="53">
        <f t="shared" si="3"/>
        <v>0</v>
      </c>
      <c r="E388" s="57">
        <f>IFERROR(VLOOKUP(B388, Proof!A$2:$B$199,2, 0), 0)</f>
        <v>0</v>
      </c>
      <c r="F388" s="58">
        <f>IFERROR(VLOOKUP(B388, 'HMMTPUMaC Algebra'!A$2:$B$500,2, 0), 0)</f>
        <v>0</v>
      </c>
      <c r="G388" s="53">
        <f>IFERROR(VLOOKUP(B388, 'HMMTPUMaC Combo'!A$2:$B$500,2, 0), 0)</f>
        <v>0</v>
      </c>
      <c r="H388" s="66">
        <f>IFERROR(VLOOKUP(B388, 'HMMTPUMaC Algebra'!A$2:$B$198,2, 0), 0)</f>
        <v>0</v>
      </c>
      <c r="I388" s="53">
        <f>IFERROR(VLOOKUP(B388, 'HMMTPUMaC NT'!A$2:$B$500,2, 0), 0)</f>
        <v>0</v>
      </c>
      <c r="J388" s="53">
        <f>IFERROR(VLOOKUP(B388, 'HMMT 1 Real'!$A$2:B$198,2, 0), 0)</f>
        <v>0</v>
      </c>
      <c r="K388" s="66">
        <f>IFERROR(VLOOKUP(B388, 'HMMT 2 Real'!$A$2:C$198,2, 0), 0)</f>
        <v>0</v>
      </c>
    </row>
    <row r="389">
      <c r="A389" s="65">
        <f t="shared" si="1"/>
        <v>388</v>
      </c>
      <c r="B389" s="7" t="s">
        <v>12</v>
      </c>
      <c r="C389" s="53">
        <f t="shared" si="6"/>
        <v>0</v>
      </c>
      <c r="D389" s="53">
        <f t="shared" si="3"/>
        <v>0</v>
      </c>
      <c r="E389" s="57">
        <f>IFERROR(VLOOKUP(B389, Proof!A$2:$B$199,2, 0), 0)</f>
        <v>0</v>
      </c>
      <c r="F389" s="58">
        <f>IFERROR(VLOOKUP(B389, 'HMMTPUMaC Algebra'!A$2:$B$500,2, 0), 0)</f>
        <v>0</v>
      </c>
      <c r="G389" s="53">
        <f>IFERROR(VLOOKUP(B389, 'HMMTPUMaC Combo'!A$2:$B$500,2, 0), 0)</f>
        <v>0</v>
      </c>
      <c r="H389" s="66">
        <f>IFERROR(VLOOKUP(B389, 'HMMTPUMaC Algebra'!A$2:$B$198,2, 0), 0)</f>
        <v>0</v>
      </c>
      <c r="I389" s="53">
        <f>IFERROR(VLOOKUP(B389, 'HMMTPUMaC NT'!A$2:$B$500,2, 0), 0)</f>
        <v>0</v>
      </c>
      <c r="J389" s="53">
        <f>IFERROR(VLOOKUP(B389, 'HMMT 1 Real'!$A$2:B$198,2, 0), 0)</f>
        <v>0</v>
      </c>
      <c r="K389" s="66">
        <f>IFERROR(VLOOKUP(B389, 'HMMT 2 Real'!$A$2:C$198,2, 0), 0)</f>
        <v>0</v>
      </c>
    </row>
    <row r="390">
      <c r="A390" s="65">
        <f t="shared" si="1"/>
        <v>389</v>
      </c>
      <c r="B390" s="7" t="s">
        <v>247</v>
      </c>
      <c r="C390" s="53">
        <f t="shared" si="6"/>
        <v>0</v>
      </c>
      <c r="D390" s="53">
        <f t="shared" si="3"/>
        <v>0</v>
      </c>
      <c r="E390" s="57">
        <f>IFERROR(VLOOKUP(B390, Proof!A$2:$B$199,2, 0), 0)</f>
        <v>0</v>
      </c>
      <c r="F390" s="58">
        <f>IFERROR(VLOOKUP(B390, 'HMMTPUMaC Algebra'!A$2:$B$500,2, 0), 0)</f>
        <v>0</v>
      </c>
      <c r="G390" s="53">
        <f>IFERROR(VLOOKUP(B390, 'HMMTPUMaC Combo'!A$2:$B$500,2, 0), 0)</f>
        <v>0</v>
      </c>
      <c r="H390" s="66">
        <f>IFERROR(VLOOKUP(B390, 'HMMTPUMaC Algebra'!A$2:$B$198,2, 0), 0)</f>
        <v>0</v>
      </c>
      <c r="I390" s="53">
        <f>IFERROR(VLOOKUP(B390, 'HMMTPUMaC NT'!A$2:$B$500,2, 0), 0)</f>
        <v>0</v>
      </c>
      <c r="J390" s="53">
        <f>IFERROR(VLOOKUP(B390, 'HMMT 1 Real'!$A$2:B$198,2, 0), 0)</f>
        <v>0</v>
      </c>
      <c r="K390" s="66">
        <f>IFERROR(VLOOKUP(B390, 'HMMT 2 Real'!$A$2:C$198,2, 0), 0)</f>
        <v>0</v>
      </c>
    </row>
    <row r="391">
      <c r="A391" s="65">
        <f t="shared" si="1"/>
        <v>390</v>
      </c>
      <c r="B391" s="7" t="s">
        <v>364</v>
      </c>
      <c r="C391" s="53">
        <f t="shared" si="6"/>
        <v>0</v>
      </c>
      <c r="D391" s="53">
        <f t="shared" si="3"/>
        <v>0</v>
      </c>
      <c r="E391" s="57">
        <f>IFERROR(VLOOKUP(B391, Proof!A$2:$B$199,2, 0), 0)</f>
        <v>0</v>
      </c>
      <c r="F391" s="58">
        <f>IFERROR(VLOOKUP(B391, 'HMMTPUMaC Algebra'!A$2:$B$500,2, 0), 0)</f>
        <v>0</v>
      </c>
      <c r="G391" s="53">
        <f>IFERROR(VLOOKUP(B391, 'HMMTPUMaC Combo'!A$2:$B$500,2, 0), 0)</f>
        <v>0</v>
      </c>
      <c r="H391" s="66">
        <f>IFERROR(VLOOKUP(B391, 'HMMTPUMaC Algebra'!A$2:$B$198,2, 0), 0)</f>
        <v>0</v>
      </c>
      <c r="I391" s="53">
        <f>IFERROR(VLOOKUP(B391, 'HMMTPUMaC NT'!A$2:$B$500,2, 0), 0)</f>
        <v>0</v>
      </c>
      <c r="J391" s="53">
        <f>IFERROR(VLOOKUP(B391, 'HMMT 1 Real'!$A$2:B$198,2, 0), 0)</f>
        <v>0</v>
      </c>
      <c r="K391" s="66">
        <f>IFERROR(VLOOKUP(B391, 'HMMT 2 Real'!$A$2:C$198,2, 0), 0)</f>
        <v>0</v>
      </c>
    </row>
    <row r="392">
      <c r="A392" s="65">
        <f t="shared" si="1"/>
        <v>391</v>
      </c>
      <c r="B392" s="7" t="s">
        <v>157</v>
      </c>
      <c r="C392" s="53">
        <f t="shared" si="6"/>
        <v>0</v>
      </c>
      <c r="D392" s="53">
        <f t="shared" si="3"/>
        <v>0</v>
      </c>
      <c r="E392" s="57">
        <f>IFERROR(VLOOKUP(B392, Proof!A$2:$B$199,2, 0), 0)</f>
        <v>0</v>
      </c>
      <c r="F392" s="58">
        <f>IFERROR(VLOOKUP(B392, 'HMMTPUMaC Algebra'!A$2:$B$500,2, 0), 0)</f>
        <v>0</v>
      </c>
      <c r="G392" s="53">
        <f>IFERROR(VLOOKUP(B392, 'HMMTPUMaC Combo'!A$2:$B$500,2, 0), 0)</f>
        <v>0</v>
      </c>
      <c r="H392" s="66">
        <f>IFERROR(VLOOKUP(B392, 'HMMTPUMaC Algebra'!A$2:$B$198,2, 0), 0)</f>
        <v>0</v>
      </c>
      <c r="I392" s="53">
        <f>IFERROR(VLOOKUP(B392, 'HMMTPUMaC NT'!A$2:$B$500,2, 0), 0)</f>
        <v>0</v>
      </c>
      <c r="J392" s="53">
        <f>IFERROR(VLOOKUP(B392, 'HMMT 1 Real'!$A$2:B$198,2, 0), 0)</f>
        <v>0</v>
      </c>
      <c r="K392" s="66">
        <f>IFERROR(VLOOKUP(B392, 'HMMT 2 Real'!$A$2:C$198,2, 0), 0)</f>
        <v>0</v>
      </c>
    </row>
    <row r="393">
      <c r="A393" s="65">
        <f t="shared" si="1"/>
        <v>392</v>
      </c>
      <c r="B393" s="7" t="s">
        <v>159</v>
      </c>
      <c r="C393" s="53">
        <f t="shared" si="6"/>
        <v>0</v>
      </c>
      <c r="D393" s="53">
        <f t="shared" si="3"/>
        <v>0</v>
      </c>
      <c r="E393" s="57">
        <f>IFERROR(VLOOKUP(B393, Proof!A$2:$B$199,2, 0), 0)</f>
        <v>0</v>
      </c>
      <c r="F393" s="58">
        <f>IFERROR(VLOOKUP(B393, 'HMMTPUMaC Algebra'!A$2:$B$500,2, 0), 0)</f>
        <v>0</v>
      </c>
      <c r="G393" s="53">
        <f>IFERROR(VLOOKUP(B393, 'HMMTPUMaC Combo'!A$2:$B$500,2, 0), 0)</f>
        <v>0</v>
      </c>
      <c r="H393" s="66">
        <f>IFERROR(VLOOKUP(B393, 'HMMTPUMaC Algebra'!A$2:$B$198,2, 0), 0)</f>
        <v>0</v>
      </c>
      <c r="I393" s="53">
        <f>IFERROR(VLOOKUP(B393, 'HMMTPUMaC NT'!A$2:$B$500,2, 0), 0)</f>
        <v>0</v>
      </c>
      <c r="J393" s="53">
        <f>IFERROR(VLOOKUP(B393, 'HMMT 1 Real'!$A$2:B$198,2, 0), 0)</f>
        <v>0</v>
      </c>
      <c r="K393" s="66">
        <f>IFERROR(VLOOKUP(B393, 'HMMT 2 Real'!$A$2:C$198,2, 0), 0)</f>
        <v>0</v>
      </c>
    </row>
    <row r="394">
      <c r="A394" s="65">
        <f t="shared" si="1"/>
        <v>393</v>
      </c>
      <c r="B394" s="7" t="s">
        <v>132</v>
      </c>
      <c r="C394" s="53">
        <f t="shared" si="6"/>
        <v>0</v>
      </c>
      <c r="D394" s="53">
        <f t="shared" si="3"/>
        <v>0</v>
      </c>
      <c r="E394" s="57">
        <f>IFERROR(VLOOKUP(B394, Proof!A$2:$B$199,2, 0), 0)</f>
        <v>0</v>
      </c>
      <c r="F394" s="58">
        <f>IFERROR(VLOOKUP(B394, 'HMMTPUMaC Algebra'!A$2:$B$500,2, 0), 0)</f>
        <v>0</v>
      </c>
      <c r="G394" s="53">
        <f>IFERROR(VLOOKUP(B394, 'HMMTPUMaC Combo'!A$2:$B$500,2, 0), 0)</f>
        <v>0</v>
      </c>
      <c r="H394" s="66">
        <f>IFERROR(VLOOKUP(B394, 'HMMTPUMaC Algebra'!A$2:$B$198,2, 0), 0)</f>
        <v>0</v>
      </c>
      <c r="I394" s="53">
        <f>IFERROR(VLOOKUP(B394, 'HMMTPUMaC NT'!A$2:$B$500,2, 0), 0)</f>
        <v>0</v>
      </c>
      <c r="J394" s="53">
        <f>IFERROR(VLOOKUP(B394, 'HMMT 1 Real'!$A$2:B$198,2, 0), 0)</f>
        <v>0</v>
      </c>
      <c r="K394" s="66">
        <f>IFERROR(VLOOKUP(B394, 'HMMT 2 Real'!$A$2:C$198,2, 0), 0)</f>
        <v>0</v>
      </c>
    </row>
    <row r="395">
      <c r="A395" s="65">
        <f t="shared" si="1"/>
        <v>394</v>
      </c>
      <c r="B395" s="7" t="s">
        <v>204</v>
      </c>
      <c r="C395" s="53">
        <f t="shared" si="6"/>
        <v>0</v>
      </c>
      <c r="D395" s="53">
        <f t="shared" si="3"/>
        <v>0</v>
      </c>
      <c r="E395" s="57">
        <f>IFERROR(VLOOKUP(B395, Proof!A$2:$B$199,2, 0), 0)</f>
        <v>0</v>
      </c>
      <c r="F395" s="58">
        <f>IFERROR(VLOOKUP(B395, 'HMMTPUMaC Algebra'!A$2:$B$500,2, 0), 0)</f>
        <v>0</v>
      </c>
      <c r="G395" s="53">
        <f>IFERROR(VLOOKUP(B395, 'HMMTPUMaC Combo'!A$2:$B$500,2, 0), 0)</f>
        <v>0</v>
      </c>
      <c r="H395" s="66">
        <f>IFERROR(VLOOKUP(B395, 'HMMTPUMaC Algebra'!A$2:$B$198,2, 0), 0)</f>
        <v>0</v>
      </c>
      <c r="I395" s="53">
        <f>IFERROR(VLOOKUP(B395, 'HMMTPUMaC NT'!A$2:$B$500,2, 0), 0)</f>
        <v>0</v>
      </c>
      <c r="J395" s="53">
        <f>IFERROR(VLOOKUP(B395, 'HMMT 1 Real'!$A$2:B$198,2, 0), 0)</f>
        <v>0</v>
      </c>
      <c r="K395" s="66">
        <f>IFERROR(VLOOKUP(B395, 'HMMT 2 Real'!$A$2:C$198,2, 0), 0)</f>
        <v>0</v>
      </c>
    </row>
    <row r="396">
      <c r="A396" s="65">
        <f t="shared" si="1"/>
        <v>395</v>
      </c>
      <c r="B396" s="7" t="s">
        <v>181</v>
      </c>
      <c r="C396" s="53">
        <f t="shared" si="6"/>
        <v>0</v>
      </c>
      <c r="D396" s="53">
        <f t="shared" si="3"/>
        <v>0</v>
      </c>
      <c r="E396" s="57">
        <f>IFERROR(VLOOKUP(B396, Proof!A$2:$B$199,2, 0), 0)</f>
        <v>0</v>
      </c>
      <c r="F396" s="58">
        <f>IFERROR(VLOOKUP(B396, 'HMMTPUMaC Algebra'!A$2:$B$500,2, 0), 0)</f>
        <v>0</v>
      </c>
      <c r="G396" s="53">
        <f>IFERROR(VLOOKUP(B396, 'HMMTPUMaC Combo'!A$2:$B$500,2, 0), 0)</f>
        <v>0</v>
      </c>
      <c r="H396" s="66">
        <f>IFERROR(VLOOKUP(B396, 'HMMTPUMaC Algebra'!A$2:$B$198,2, 0), 0)</f>
        <v>0</v>
      </c>
      <c r="I396" s="53">
        <f>IFERROR(VLOOKUP(B396, 'HMMTPUMaC NT'!A$2:$B$500,2, 0), 0)</f>
        <v>0</v>
      </c>
      <c r="J396" s="53">
        <f>IFERROR(VLOOKUP(B396, 'HMMT 1 Real'!$A$2:B$198,2, 0), 0)</f>
        <v>0</v>
      </c>
      <c r="K396" s="66">
        <f>IFERROR(VLOOKUP(B396, 'HMMT 2 Real'!$A$2:C$198,2, 0), 0)</f>
        <v>0</v>
      </c>
    </row>
    <row r="397">
      <c r="A397" s="65">
        <f t="shared" si="1"/>
        <v>396</v>
      </c>
      <c r="B397" s="7" t="s">
        <v>201</v>
      </c>
      <c r="C397" s="53">
        <f t="shared" si="6"/>
        <v>0</v>
      </c>
      <c r="D397" s="53">
        <f t="shared" si="3"/>
        <v>0</v>
      </c>
      <c r="E397" s="57">
        <f>IFERROR(VLOOKUP(B397, Proof!A$2:$B$199,2, 0), 0)</f>
        <v>0</v>
      </c>
      <c r="F397" s="58">
        <f>IFERROR(VLOOKUP(B397, 'HMMTPUMaC Algebra'!A$2:$B$500,2, 0), 0)</f>
        <v>0</v>
      </c>
      <c r="G397" s="53">
        <f>IFERROR(VLOOKUP(B397, 'HMMTPUMaC Combo'!A$2:$B$500,2, 0), 0)</f>
        <v>0</v>
      </c>
      <c r="H397" s="66">
        <f>IFERROR(VLOOKUP(B397, 'HMMTPUMaC Algebra'!A$2:$B$198,2, 0), 0)</f>
        <v>0</v>
      </c>
      <c r="I397" s="53">
        <f>IFERROR(VLOOKUP(B397, 'HMMTPUMaC NT'!A$2:$B$500,2, 0), 0)</f>
        <v>0</v>
      </c>
      <c r="J397" s="53">
        <f>IFERROR(VLOOKUP(B397, 'HMMT 1 Real'!$A$2:B$198,2, 0), 0)</f>
        <v>0</v>
      </c>
      <c r="K397" s="66">
        <f>IFERROR(VLOOKUP(B397, 'HMMT 2 Real'!$A$2:C$198,2, 0), 0)</f>
        <v>0</v>
      </c>
    </row>
    <row r="398">
      <c r="A398" s="65">
        <f t="shared" si="1"/>
        <v>397</v>
      </c>
      <c r="B398" s="7" t="s">
        <v>153</v>
      </c>
      <c r="C398" s="53">
        <f t="shared" si="6"/>
        <v>0</v>
      </c>
      <c r="D398" s="53">
        <f t="shared" si="3"/>
        <v>0</v>
      </c>
      <c r="E398" s="57">
        <f>IFERROR(VLOOKUP(B398, Proof!A$2:$B$199,2, 0), 0)</f>
        <v>0</v>
      </c>
      <c r="F398" s="58">
        <f>IFERROR(VLOOKUP(B398, 'HMMTPUMaC Algebra'!A$2:$B$500,2, 0), 0)</f>
        <v>0</v>
      </c>
      <c r="G398" s="53">
        <f>IFERROR(VLOOKUP(B398, 'HMMTPUMaC Combo'!A$2:$B$500,2, 0), 0)</f>
        <v>0</v>
      </c>
      <c r="H398" s="66">
        <f>IFERROR(VLOOKUP(B398, 'HMMTPUMaC Algebra'!A$2:$B$198,2, 0), 0)</f>
        <v>0</v>
      </c>
      <c r="I398" s="53">
        <f>IFERROR(VLOOKUP(B398, 'HMMTPUMaC NT'!A$2:$B$500,2, 0), 0)</f>
        <v>0</v>
      </c>
      <c r="J398" s="53">
        <f>IFERROR(VLOOKUP(B398, 'HMMT 1 Real'!$A$2:B$198,2, 0), 0)</f>
        <v>0</v>
      </c>
      <c r="K398" s="66">
        <f>IFERROR(VLOOKUP(B398, 'HMMT 2 Real'!$A$2:C$198,2, 0), 0)</f>
        <v>0</v>
      </c>
    </row>
    <row r="399">
      <c r="A399" s="65">
        <f t="shared" si="1"/>
        <v>398</v>
      </c>
      <c r="B399" s="7" t="s">
        <v>143</v>
      </c>
      <c r="C399" s="53">
        <f t="shared" si="6"/>
        <v>0</v>
      </c>
      <c r="D399" s="53">
        <f t="shared" si="3"/>
        <v>0</v>
      </c>
      <c r="E399" s="57">
        <f>IFERROR(VLOOKUP(B399, Proof!A$2:$B$199,2, 0), 0)</f>
        <v>0</v>
      </c>
      <c r="F399" s="58">
        <f>IFERROR(VLOOKUP(B399, 'HMMTPUMaC Algebra'!A$2:$B$500,2, 0), 0)</f>
        <v>0</v>
      </c>
      <c r="G399" s="53">
        <f>IFERROR(VLOOKUP(B399, 'HMMTPUMaC Combo'!A$2:$B$500,2, 0), 0)</f>
        <v>0</v>
      </c>
      <c r="H399" s="66">
        <f>IFERROR(VLOOKUP(B399, 'HMMTPUMaC Algebra'!A$2:$B$198,2, 0), 0)</f>
        <v>0</v>
      </c>
      <c r="I399" s="53">
        <f>IFERROR(VLOOKUP(B399, 'HMMTPUMaC NT'!A$2:$B$500,2, 0), 0)</f>
        <v>0</v>
      </c>
      <c r="J399" s="53">
        <f>IFERROR(VLOOKUP(B399, 'HMMT 1 Real'!$A$2:B$198,2, 0), 0)</f>
        <v>0</v>
      </c>
      <c r="K399" s="66">
        <f>IFERROR(VLOOKUP(B399, 'HMMT 2 Real'!$A$2:C$198,2, 0), 0)</f>
        <v>0</v>
      </c>
    </row>
    <row r="400">
      <c r="A400" s="65">
        <f t="shared" si="1"/>
        <v>399</v>
      </c>
      <c r="B400" s="7" t="s">
        <v>267</v>
      </c>
      <c r="C400" s="53">
        <f t="shared" si="6"/>
        <v>0</v>
      </c>
      <c r="D400" s="53">
        <f t="shared" si="3"/>
        <v>0</v>
      </c>
      <c r="E400" s="57">
        <f>IFERROR(VLOOKUP(B400, Proof!A$2:$B$199,2, 0), 0)</f>
        <v>0</v>
      </c>
      <c r="F400" s="58">
        <f>IFERROR(VLOOKUP(B400, 'HMMTPUMaC Algebra'!A$2:$B$500,2, 0), 0)</f>
        <v>0</v>
      </c>
      <c r="G400" s="53">
        <f>IFERROR(VLOOKUP(B400, 'HMMTPUMaC Combo'!A$2:$B$500,2, 0), 0)</f>
        <v>0</v>
      </c>
      <c r="H400" s="66">
        <f>IFERROR(VLOOKUP(B400, 'HMMTPUMaC Algebra'!A$2:$B$198,2, 0), 0)</f>
        <v>0</v>
      </c>
      <c r="I400" s="53">
        <f>IFERROR(VLOOKUP(B400, 'HMMTPUMaC NT'!A$2:$B$500,2, 0), 0)</f>
        <v>0</v>
      </c>
      <c r="J400" s="53">
        <f>IFERROR(VLOOKUP(B400, 'HMMT 1 Real'!$A$2:B$198,2, 0), 0)</f>
        <v>0</v>
      </c>
      <c r="K400" s="66">
        <f>IFERROR(VLOOKUP(B400, 'HMMT 2 Real'!$A$2:C$198,2, 0), 0)</f>
        <v>0</v>
      </c>
    </row>
    <row r="401">
      <c r="A401" s="65">
        <f t="shared" si="1"/>
        <v>400</v>
      </c>
      <c r="B401" s="7" t="s">
        <v>317</v>
      </c>
      <c r="C401" s="53">
        <f t="shared" si="6"/>
        <v>0</v>
      </c>
      <c r="D401" s="53">
        <f t="shared" si="3"/>
        <v>0</v>
      </c>
      <c r="E401" s="57">
        <f>IFERROR(VLOOKUP(B401, Proof!A$2:$B$199,2, 0), 0)</f>
        <v>0</v>
      </c>
      <c r="F401" s="58">
        <f>IFERROR(VLOOKUP(B401, 'HMMTPUMaC Algebra'!A$2:$B$500,2, 0), 0)</f>
        <v>0</v>
      </c>
      <c r="G401" s="53">
        <f>IFERROR(VLOOKUP(B401, 'HMMTPUMaC Combo'!A$2:$B$500,2, 0), 0)</f>
        <v>0</v>
      </c>
      <c r="H401" s="66">
        <f>IFERROR(VLOOKUP(B401, 'HMMTPUMaC Algebra'!A$2:$B$198,2, 0), 0)</f>
        <v>0</v>
      </c>
      <c r="I401" s="53">
        <f>IFERROR(VLOOKUP(B401, 'HMMTPUMaC NT'!A$2:$B$500,2, 0), 0)</f>
        <v>0</v>
      </c>
      <c r="J401" s="53">
        <f>IFERROR(VLOOKUP(B401, 'HMMT 1 Real'!$A$2:B$198,2, 0), 0)</f>
        <v>0</v>
      </c>
      <c r="K401" s="66">
        <f>IFERROR(VLOOKUP(B401, 'HMMT 2 Real'!$A$2:C$198,2, 0), 0)</f>
        <v>0</v>
      </c>
    </row>
    <row r="402">
      <c r="A402" s="65">
        <f t="shared" si="1"/>
        <v>401</v>
      </c>
      <c r="B402" s="7" t="s">
        <v>264</v>
      </c>
      <c r="C402" s="53">
        <f t="shared" si="6"/>
        <v>0</v>
      </c>
      <c r="D402" s="53">
        <f t="shared" si="3"/>
        <v>0</v>
      </c>
      <c r="E402" s="57">
        <f>IFERROR(VLOOKUP(B402, Proof!A$2:$B$199,2, 0), 0)</f>
        <v>0</v>
      </c>
      <c r="F402" s="58">
        <f>IFERROR(VLOOKUP(B402, 'HMMTPUMaC Algebra'!A$2:$B$500,2, 0), 0)</f>
        <v>0</v>
      </c>
      <c r="G402" s="53">
        <f>IFERROR(VLOOKUP(B402, 'HMMTPUMaC Combo'!A$2:$B$500,2, 0), 0)</f>
        <v>0</v>
      </c>
      <c r="H402" s="66">
        <f>IFERROR(VLOOKUP(B402, 'HMMTPUMaC Algebra'!A$2:$B$198,2, 0), 0)</f>
        <v>0</v>
      </c>
      <c r="I402" s="53">
        <f>IFERROR(VLOOKUP(B402, 'HMMTPUMaC NT'!A$2:$B$500,2, 0), 0)</f>
        <v>0</v>
      </c>
      <c r="J402" s="53">
        <f>IFERROR(VLOOKUP(B402, 'HMMT 1 Real'!$A$2:B$198,2, 0), 0)</f>
        <v>0</v>
      </c>
      <c r="K402" s="66">
        <f>IFERROR(VLOOKUP(B402, 'HMMT 2 Real'!$A$2:C$198,2, 0), 0)</f>
        <v>0</v>
      </c>
    </row>
    <row r="403">
      <c r="A403" s="65">
        <f t="shared" si="1"/>
        <v>402</v>
      </c>
      <c r="B403" s="7" t="s">
        <v>254</v>
      </c>
      <c r="C403" s="53">
        <f t="shared" si="6"/>
        <v>0</v>
      </c>
      <c r="D403" s="53">
        <f t="shared" si="3"/>
        <v>0</v>
      </c>
      <c r="E403" s="57">
        <f>IFERROR(VLOOKUP(B403, Proof!A$2:$B$199,2, 0), 0)</f>
        <v>0</v>
      </c>
      <c r="F403" s="58">
        <f>IFERROR(VLOOKUP(B403, 'HMMTPUMaC Algebra'!A$2:$B$500,2, 0), 0)</f>
        <v>0</v>
      </c>
      <c r="G403" s="53">
        <f>IFERROR(VLOOKUP(B403, 'HMMTPUMaC Combo'!A$2:$B$500,2, 0), 0)</f>
        <v>0</v>
      </c>
      <c r="H403" s="66">
        <f>IFERROR(VLOOKUP(B403, 'HMMTPUMaC Algebra'!A$2:$B$198,2, 0), 0)</f>
        <v>0</v>
      </c>
      <c r="I403" s="53">
        <f>IFERROR(VLOOKUP(B403, 'HMMTPUMaC NT'!A$2:$B$500,2, 0), 0)</f>
        <v>0</v>
      </c>
      <c r="J403" s="53">
        <f>IFERROR(VLOOKUP(B403, 'HMMT 1 Real'!$A$2:B$198,2, 0), 0)</f>
        <v>0</v>
      </c>
      <c r="K403" s="66">
        <f>IFERROR(VLOOKUP(B403, 'HMMT 2 Real'!$A$2:C$198,2, 0), 0)</f>
        <v>0</v>
      </c>
    </row>
    <row r="404">
      <c r="A404" s="65">
        <f t="shared" si="1"/>
        <v>403</v>
      </c>
      <c r="B404" s="7" t="s">
        <v>127</v>
      </c>
      <c r="C404" s="53">
        <f t="shared" si="6"/>
        <v>0</v>
      </c>
      <c r="D404" s="53">
        <f t="shared" si="3"/>
        <v>0</v>
      </c>
      <c r="E404" s="57">
        <f>IFERROR(VLOOKUP(B404, Proof!A$2:$B$199,2, 0), 0)</f>
        <v>0</v>
      </c>
      <c r="F404" s="58">
        <f>IFERROR(VLOOKUP(B404, 'HMMTPUMaC Algebra'!A$2:$B$500,2, 0), 0)</f>
        <v>0</v>
      </c>
      <c r="G404" s="53">
        <f>IFERROR(VLOOKUP(B404, 'HMMTPUMaC Combo'!A$2:$B$500,2, 0), 0)</f>
        <v>0</v>
      </c>
      <c r="H404" s="66">
        <f>IFERROR(VLOOKUP(B404, 'HMMTPUMaC Algebra'!A$2:$B$198,2, 0), 0)</f>
        <v>0</v>
      </c>
      <c r="I404" s="53">
        <f>IFERROR(VLOOKUP(B404, 'HMMTPUMaC NT'!A$2:$B$500,2, 0), 0)</f>
        <v>0</v>
      </c>
      <c r="J404" s="53">
        <f>IFERROR(VLOOKUP(B404, 'HMMT 1 Real'!$A$2:B$198,2, 0), 0)</f>
        <v>0</v>
      </c>
      <c r="K404" s="66">
        <f>IFERROR(VLOOKUP(B404, 'HMMT 2 Real'!$A$2:C$198,2, 0), 0)</f>
        <v>0</v>
      </c>
    </row>
    <row r="405">
      <c r="A405" s="65">
        <f t="shared" si="1"/>
        <v>404</v>
      </c>
      <c r="B405" s="7" t="s">
        <v>134</v>
      </c>
      <c r="C405" s="53">
        <f t="shared" si="6"/>
        <v>0</v>
      </c>
      <c r="D405" s="53">
        <f t="shared" si="3"/>
        <v>0</v>
      </c>
      <c r="E405" s="57">
        <f>IFERROR(VLOOKUP(B405, Proof!A$2:$B$199,2, 0), 0)</f>
        <v>0</v>
      </c>
      <c r="F405" s="58">
        <f>IFERROR(VLOOKUP(B405, 'HMMTPUMaC Algebra'!A$2:$B$500,2, 0), 0)</f>
        <v>0</v>
      </c>
      <c r="G405" s="53">
        <f>IFERROR(VLOOKUP(B405, 'HMMTPUMaC Combo'!A$2:$B$500,2, 0), 0)</f>
        <v>0</v>
      </c>
      <c r="H405" s="66">
        <f>IFERROR(VLOOKUP(B405, 'HMMTPUMaC Algebra'!A$2:$B$198,2, 0), 0)</f>
        <v>0</v>
      </c>
      <c r="I405" s="53">
        <f>IFERROR(VLOOKUP(B405, 'HMMTPUMaC NT'!A$2:$B$500,2, 0), 0)</f>
        <v>0</v>
      </c>
      <c r="J405" s="53">
        <f>IFERROR(VLOOKUP(B405, 'HMMT 1 Real'!$A$2:B$198,2, 0), 0)</f>
        <v>0</v>
      </c>
      <c r="K405" s="66">
        <f>IFERROR(VLOOKUP(B405, 'HMMT 2 Real'!$A$2:C$198,2, 0), 0)</f>
        <v>0</v>
      </c>
    </row>
    <row r="406">
      <c r="A406" s="65">
        <f t="shared" si="1"/>
        <v>405</v>
      </c>
      <c r="B406" s="7" t="s">
        <v>129</v>
      </c>
      <c r="C406" s="53">
        <f t="shared" si="6"/>
        <v>0</v>
      </c>
      <c r="D406" s="53">
        <f t="shared" si="3"/>
        <v>0</v>
      </c>
      <c r="E406" s="57">
        <f>IFERROR(VLOOKUP(B406, Proof!A$2:$B$199,2, 0), 0)</f>
        <v>0</v>
      </c>
      <c r="F406" s="58">
        <f>IFERROR(VLOOKUP(B406, 'HMMTPUMaC Algebra'!A$2:$B$500,2, 0), 0)</f>
        <v>0</v>
      </c>
      <c r="G406" s="53">
        <f>IFERROR(VLOOKUP(B406, 'HMMTPUMaC Combo'!A$2:$B$500,2, 0), 0)</f>
        <v>0</v>
      </c>
      <c r="H406" s="66">
        <f>IFERROR(VLOOKUP(B406, 'HMMTPUMaC Algebra'!A$2:$B$198,2, 0), 0)</f>
        <v>0</v>
      </c>
      <c r="I406" s="53">
        <f>IFERROR(VLOOKUP(B406, 'HMMTPUMaC NT'!A$2:$B$500,2, 0), 0)</f>
        <v>0</v>
      </c>
      <c r="J406" s="53">
        <f>IFERROR(VLOOKUP(B406, 'HMMT 1 Real'!$A$2:B$198,2, 0), 0)</f>
        <v>0</v>
      </c>
      <c r="K406" s="66">
        <f>IFERROR(VLOOKUP(B406, 'HMMT 2 Real'!$A$2:C$198,2, 0), 0)</f>
        <v>0</v>
      </c>
    </row>
    <row r="407">
      <c r="A407" s="65">
        <f t="shared" si="1"/>
        <v>406</v>
      </c>
      <c r="B407" s="7" t="s">
        <v>180</v>
      </c>
      <c r="C407" s="53">
        <f t="shared" si="6"/>
        <v>0</v>
      </c>
      <c r="D407" s="53">
        <f t="shared" si="3"/>
        <v>0</v>
      </c>
      <c r="E407" s="57">
        <f>IFERROR(VLOOKUP(B407, Proof!A$2:$B$199,2, 0), 0)</f>
        <v>0</v>
      </c>
      <c r="F407" s="58">
        <f>IFERROR(VLOOKUP(B407, 'HMMTPUMaC Algebra'!A$2:$B$500,2, 0), 0)</f>
        <v>0</v>
      </c>
      <c r="G407" s="53">
        <f>IFERROR(VLOOKUP(B407, 'HMMTPUMaC Combo'!A$2:$B$500,2, 0), 0)</f>
        <v>0</v>
      </c>
      <c r="H407" s="66">
        <f>IFERROR(VLOOKUP(B407, 'HMMTPUMaC Algebra'!A$2:$B$198,2, 0), 0)</f>
        <v>0</v>
      </c>
      <c r="I407" s="53">
        <f>IFERROR(VLOOKUP(B407, 'HMMTPUMaC NT'!A$2:$B$500,2, 0), 0)</f>
        <v>0</v>
      </c>
      <c r="J407" s="53">
        <f>IFERROR(VLOOKUP(B407, 'HMMT 1 Real'!$A$2:B$198,2, 0), 0)</f>
        <v>0</v>
      </c>
      <c r="K407" s="66">
        <f>IFERROR(VLOOKUP(B407, 'HMMT 2 Real'!$A$2:C$198,2, 0), 0)</f>
        <v>0</v>
      </c>
    </row>
    <row r="408">
      <c r="A408" s="65">
        <f t="shared" si="1"/>
        <v>407</v>
      </c>
      <c r="B408" s="7" t="s">
        <v>343</v>
      </c>
      <c r="C408" s="53">
        <f t="shared" si="6"/>
        <v>0</v>
      </c>
      <c r="D408" s="53">
        <f t="shared" si="3"/>
        <v>0</v>
      </c>
      <c r="E408" s="57">
        <f>IFERROR(VLOOKUP(B408, Proof!A$2:$B$199,2, 0), 0)</f>
        <v>0</v>
      </c>
      <c r="F408" s="58">
        <f>IFERROR(VLOOKUP(B408, 'HMMTPUMaC Algebra'!A$2:$B$500,2, 0), 0)</f>
        <v>0</v>
      </c>
      <c r="G408" s="53">
        <f>IFERROR(VLOOKUP(B408, 'HMMTPUMaC Combo'!A$2:$B$500,2, 0), 0)</f>
        <v>0</v>
      </c>
      <c r="H408" s="66">
        <f>IFERROR(VLOOKUP(B408, 'HMMTPUMaC Algebra'!A$2:$B$198,2, 0), 0)</f>
        <v>0</v>
      </c>
      <c r="I408" s="53">
        <f>IFERROR(VLOOKUP(B408, 'HMMTPUMaC NT'!A$2:$B$500,2, 0), 0)</f>
        <v>0</v>
      </c>
      <c r="J408" s="53">
        <f>IFERROR(VLOOKUP(B408, 'HMMT 1 Real'!$A$2:B$198,2, 0), 0)</f>
        <v>0</v>
      </c>
      <c r="K408" s="66">
        <f>IFERROR(VLOOKUP(B408, 'HMMT 2 Real'!$A$2:C$198,2, 0), 0)</f>
        <v>0</v>
      </c>
    </row>
    <row r="409">
      <c r="A409" s="65">
        <f t="shared" si="1"/>
        <v>408</v>
      </c>
      <c r="B409" s="7" t="s">
        <v>349</v>
      </c>
      <c r="C409" s="53">
        <f t="shared" si="6"/>
        <v>0</v>
      </c>
      <c r="D409" s="53">
        <f t="shared" si="3"/>
        <v>0</v>
      </c>
      <c r="E409" s="57">
        <f>IFERROR(VLOOKUP(B409, Proof!A$2:$B$199,2, 0), 0)</f>
        <v>0</v>
      </c>
      <c r="F409" s="58">
        <f>IFERROR(VLOOKUP(B409, 'HMMTPUMaC Algebra'!A$2:$B$500,2, 0), 0)</f>
        <v>0</v>
      </c>
      <c r="G409" s="53">
        <f>IFERROR(VLOOKUP(B409, 'HMMTPUMaC Combo'!A$2:$B$500,2, 0), 0)</f>
        <v>0</v>
      </c>
      <c r="H409" s="66">
        <f>IFERROR(VLOOKUP(B409, 'HMMTPUMaC Algebra'!A$2:$B$198,2, 0), 0)</f>
        <v>0</v>
      </c>
      <c r="I409" s="53">
        <f>IFERROR(VLOOKUP(B409, 'HMMTPUMaC NT'!A$2:$B$500,2, 0), 0)</f>
        <v>0</v>
      </c>
      <c r="J409" s="53">
        <f>IFERROR(VLOOKUP(B409, 'HMMT 1 Real'!$A$2:B$198,2, 0), 0)</f>
        <v>0</v>
      </c>
      <c r="K409" s="66">
        <f>IFERROR(VLOOKUP(B409, 'HMMT 2 Real'!$A$2:C$198,2, 0), 0)</f>
        <v>0</v>
      </c>
    </row>
    <row r="410">
      <c r="A410" s="65">
        <f t="shared" si="1"/>
        <v>409</v>
      </c>
      <c r="B410" s="7" t="s">
        <v>292</v>
      </c>
      <c r="C410" s="53">
        <f t="shared" si="6"/>
        <v>0</v>
      </c>
      <c r="D410" s="53">
        <f t="shared" si="3"/>
        <v>0</v>
      </c>
      <c r="E410" s="57">
        <f>IFERROR(VLOOKUP(B410, Proof!A$2:$B$199,2, 0), 0)</f>
        <v>0</v>
      </c>
      <c r="F410" s="58">
        <f>IFERROR(VLOOKUP(B410, 'HMMTPUMaC Algebra'!A$2:$B$500,2, 0), 0)</f>
        <v>0</v>
      </c>
      <c r="G410" s="53">
        <f>IFERROR(VLOOKUP(B410, 'HMMTPUMaC Combo'!A$2:$B$500,2, 0), 0)</f>
        <v>0</v>
      </c>
      <c r="H410" s="66">
        <f>IFERROR(VLOOKUP(B410, 'HMMTPUMaC Algebra'!A$2:$B$198,2, 0), 0)</f>
        <v>0</v>
      </c>
      <c r="I410" s="53">
        <f>IFERROR(VLOOKUP(B410, 'HMMTPUMaC NT'!A$2:$B$500,2, 0), 0)</f>
        <v>0</v>
      </c>
      <c r="J410" s="53">
        <f>IFERROR(VLOOKUP(B410, 'HMMT 1 Real'!$A$2:B$198,2, 0), 0)</f>
        <v>0</v>
      </c>
      <c r="K410" s="66">
        <f>IFERROR(VLOOKUP(B410, 'HMMT 2 Real'!$A$2:C$198,2, 0), 0)</f>
        <v>0</v>
      </c>
    </row>
    <row r="411">
      <c r="A411" s="65">
        <f t="shared" si="1"/>
        <v>410</v>
      </c>
      <c r="B411" s="7" t="s">
        <v>302</v>
      </c>
      <c r="C411" s="53">
        <f t="shared" si="6"/>
        <v>0</v>
      </c>
      <c r="D411" s="53">
        <f t="shared" si="3"/>
        <v>0</v>
      </c>
      <c r="E411" s="57">
        <f>IFERROR(VLOOKUP(B411, Proof!A$2:$B$199,2, 0), 0)</f>
        <v>0</v>
      </c>
      <c r="F411" s="58">
        <f>IFERROR(VLOOKUP(B411, 'HMMTPUMaC Algebra'!A$2:$B$500,2, 0), 0)</f>
        <v>0</v>
      </c>
      <c r="G411" s="53">
        <f>IFERROR(VLOOKUP(B411, 'HMMTPUMaC Combo'!A$2:$B$500,2, 0), 0)</f>
        <v>0</v>
      </c>
      <c r="H411" s="66">
        <f>IFERROR(VLOOKUP(B411, 'HMMTPUMaC Algebra'!A$2:$B$198,2, 0), 0)</f>
        <v>0</v>
      </c>
      <c r="I411" s="53">
        <f>IFERROR(VLOOKUP(B411, 'HMMTPUMaC NT'!A$2:$B$500,2, 0), 0)</f>
        <v>0</v>
      </c>
      <c r="J411" s="53">
        <f>IFERROR(VLOOKUP(B411, 'HMMT 1 Real'!$A$2:B$198,2, 0), 0)</f>
        <v>0</v>
      </c>
      <c r="K411" s="66">
        <f>IFERROR(VLOOKUP(B411, 'HMMT 2 Real'!$A$2:C$198,2, 0), 0)</f>
        <v>0</v>
      </c>
    </row>
    <row r="412">
      <c r="A412" s="65">
        <f t="shared" si="1"/>
        <v>411</v>
      </c>
      <c r="B412" s="7" t="s">
        <v>90</v>
      </c>
      <c r="C412" s="53">
        <f t="shared" si="6"/>
        <v>0</v>
      </c>
      <c r="D412" s="53">
        <f t="shared" si="3"/>
        <v>0</v>
      </c>
      <c r="E412" s="57">
        <f>IFERROR(VLOOKUP(B412, Proof!A$2:$B$199,2, 0), 0)</f>
        <v>0</v>
      </c>
      <c r="F412" s="58">
        <f>IFERROR(VLOOKUP(B412, 'HMMTPUMaC Algebra'!A$2:$B$500,2, 0), 0)</f>
        <v>0</v>
      </c>
      <c r="G412" s="53">
        <f>IFERROR(VLOOKUP(B412, 'HMMTPUMaC Combo'!A$2:$B$500,2, 0), 0)</f>
        <v>0</v>
      </c>
      <c r="H412" s="66">
        <f>IFERROR(VLOOKUP(B412, 'HMMTPUMaC Algebra'!A$2:$B$198,2, 0), 0)</f>
        <v>0</v>
      </c>
      <c r="I412" s="53">
        <f>IFERROR(VLOOKUP(B412, 'HMMTPUMaC NT'!A$2:$B$500,2, 0), 0)</f>
        <v>0</v>
      </c>
      <c r="J412" s="53">
        <f>IFERROR(VLOOKUP(B412, 'HMMT 1 Real'!$A$2:B$198,2, 0), 0)</f>
        <v>0</v>
      </c>
      <c r="K412" s="66">
        <f>IFERROR(VLOOKUP(B412, 'HMMT 2 Real'!$A$2:C$198,2, 0), 0)</f>
        <v>0</v>
      </c>
    </row>
    <row r="413">
      <c r="A413" s="65">
        <f t="shared" si="1"/>
        <v>412</v>
      </c>
      <c r="B413" s="7" t="s">
        <v>304</v>
      </c>
      <c r="C413" s="53">
        <f t="shared" si="6"/>
        <v>0</v>
      </c>
      <c r="D413" s="53">
        <f t="shared" si="3"/>
        <v>0</v>
      </c>
      <c r="E413" s="57">
        <f>IFERROR(VLOOKUP(B413, Proof!A$2:$B$199,2, 0), 0)</f>
        <v>0</v>
      </c>
      <c r="F413" s="58">
        <f>IFERROR(VLOOKUP(B413, 'HMMTPUMaC Algebra'!A$2:$B$500,2, 0), 0)</f>
        <v>0</v>
      </c>
      <c r="G413" s="53">
        <f>IFERROR(VLOOKUP(B413, 'HMMTPUMaC Combo'!A$2:$B$500,2, 0), 0)</f>
        <v>0</v>
      </c>
      <c r="H413" s="66">
        <f>IFERROR(VLOOKUP(B413, 'HMMTPUMaC Algebra'!A$2:$B$198,2, 0), 0)</f>
        <v>0</v>
      </c>
      <c r="I413" s="53">
        <f>IFERROR(VLOOKUP(B413, 'HMMTPUMaC NT'!A$2:$B$500,2, 0), 0)</f>
        <v>0</v>
      </c>
      <c r="J413" s="53">
        <f>IFERROR(VLOOKUP(B413, 'HMMT 1 Real'!$A$2:B$198,2, 0), 0)</f>
        <v>0</v>
      </c>
      <c r="K413" s="66">
        <f>IFERROR(VLOOKUP(B413, 'HMMT 2 Real'!$A$2:C$198,2, 0), 0)</f>
        <v>0</v>
      </c>
    </row>
    <row r="414">
      <c r="A414" s="65">
        <f t="shared" si="1"/>
        <v>413</v>
      </c>
      <c r="B414" s="7" t="s">
        <v>332</v>
      </c>
      <c r="C414" s="53">
        <f t="shared" si="6"/>
        <v>0</v>
      </c>
      <c r="D414" s="53">
        <f t="shared" si="3"/>
        <v>0</v>
      </c>
      <c r="E414" s="57">
        <f>IFERROR(VLOOKUP(B414, Proof!A$2:$B$199,2, 0), 0)</f>
        <v>0</v>
      </c>
      <c r="F414" s="58">
        <f>IFERROR(VLOOKUP(B414, 'HMMTPUMaC Algebra'!A$2:$B$500,2, 0), 0)</f>
        <v>0</v>
      </c>
      <c r="G414" s="53">
        <f>IFERROR(VLOOKUP(B414, 'HMMTPUMaC Combo'!A$2:$B$500,2, 0), 0)</f>
        <v>0</v>
      </c>
      <c r="H414" s="66">
        <f>IFERROR(VLOOKUP(B414, 'HMMTPUMaC Algebra'!A$2:$B$198,2, 0), 0)</f>
        <v>0</v>
      </c>
      <c r="I414" s="53">
        <f>IFERROR(VLOOKUP(B414, 'HMMTPUMaC NT'!A$2:$B$500,2, 0), 0)</f>
        <v>0</v>
      </c>
      <c r="J414" s="53">
        <f>IFERROR(VLOOKUP(B414, 'HMMT 1 Real'!$A$2:B$198,2, 0), 0)</f>
        <v>0</v>
      </c>
      <c r="K414" s="66">
        <f>IFERROR(VLOOKUP(B414, 'HMMT 2 Real'!$A$2:C$198,2, 0), 0)</f>
        <v>0</v>
      </c>
    </row>
    <row r="415">
      <c r="A415" s="65">
        <f t="shared" si="1"/>
        <v>414</v>
      </c>
      <c r="B415" s="7" t="s">
        <v>366</v>
      </c>
      <c r="C415" s="53">
        <f t="shared" si="6"/>
        <v>0</v>
      </c>
      <c r="D415" s="53">
        <f t="shared" si="3"/>
        <v>0</v>
      </c>
      <c r="E415" s="57">
        <f>IFERROR(VLOOKUP(B415, Proof!A$2:$B$199,2, 0), 0)</f>
        <v>0</v>
      </c>
      <c r="F415" s="58">
        <f>IFERROR(VLOOKUP(B415, 'HMMTPUMaC Algebra'!A$2:$B$500,2, 0), 0)</f>
        <v>0</v>
      </c>
      <c r="G415" s="53">
        <f>IFERROR(VLOOKUP(B415, 'HMMTPUMaC Combo'!A$2:$B$500,2, 0), 0)</f>
        <v>0</v>
      </c>
      <c r="H415" s="66">
        <f>IFERROR(VLOOKUP(B415, 'HMMTPUMaC Algebra'!A$2:$B$198,2, 0), 0)</f>
        <v>0</v>
      </c>
      <c r="I415" s="53">
        <f>IFERROR(VLOOKUP(B415, 'HMMTPUMaC NT'!A$2:$B$500,2, 0), 0)</f>
        <v>0</v>
      </c>
      <c r="J415" s="53">
        <f>IFERROR(VLOOKUP(B415, 'HMMT 1 Real'!$A$2:B$198,2, 0), 0)</f>
        <v>0</v>
      </c>
      <c r="K415" s="66">
        <f>IFERROR(VLOOKUP(B415, 'HMMT 2 Real'!$A$2:C$198,2, 0), 0)</f>
        <v>0</v>
      </c>
    </row>
    <row r="416">
      <c r="A416" s="65">
        <f t="shared" si="1"/>
        <v>415</v>
      </c>
      <c r="B416" s="7" t="s">
        <v>336</v>
      </c>
      <c r="C416" s="53">
        <f t="shared" si="6"/>
        <v>0</v>
      </c>
      <c r="D416" s="53">
        <f t="shared" si="3"/>
        <v>0</v>
      </c>
      <c r="E416" s="57">
        <f>IFERROR(VLOOKUP(B416, Proof!A$2:$B$199,2, 0), 0)</f>
        <v>0</v>
      </c>
      <c r="F416" s="58">
        <f>IFERROR(VLOOKUP(B416, 'HMMTPUMaC Algebra'!A$2:$B$500,2, 0), 0)</f>
        <v>0</v>
      </c>
      <c r="G416" s="53">
        <f>IFERROR(VLOOKUP(B416, 'HMMTPUMaC Combo'!A$2:$B$500,2, 0), 0)</f>
        <v>0</v>
      </c>
      <c r="H416" s="66">
        <f>IFERROR(VLOOKUP(B416, 'HMMTPUMaC Algebra'!A$2:$B$198,2, 0), 0)</f>
        <v>0</v>
      </c>
      <c r="I416" s="53">
        <f>IFERROR(VLOOKUP(B416, 'HMMTPUMaC NT'!A$2:$B$500,2, 0), 0)</f>
        <v>0</v>
      </c>
      <c r="J416" s="53">
        <f>IFERROR(VLOOKUP(B416, 'HMMT 1 Real'!$A$2:B$198,2, 0), 0)</f>
        <v>0</v>
      </c>
      <c r="K416" s="66">
        <f>IFERROR(VLOOKUP(B416, 'HMMT 2 Real'!$A$2:C$198,2, 0), 0)</f>
        <v>0</v>
      </c>
    </row>
    <row r="417">
      <c r="A417" s="65">
        <f t="shared" si="1"/>
        <v>416</v>
      </c>
      <c r="B417" s="7" t="s">
        <v>281</v>
      </c>
      <c r="C417" s="53">
        <f t="shared" si="6"/>
        <v>0</v>
      </c>
      <c r="D417" s="53">
        <f t="shared" si="3"/>
        <v>0</v>
      </c>
      <c r="E417" s="57">
        <f>IFERROR(VLOOKUP(B417, Proof!A$2:$B$199,2, 0), 0)</f>
        <v>0</v>
      </c>
      <c r="F417" s="58">
        <f>IFERROR(VLOOKUP(B417, 'HMMTPUMaC Algebra'!A$2:$B$500,2, 0), 0)</f>
        <v>0</v>
      </c>
      <c r="G417" s="53">
        <f>IFERROR(VLOOKUP(B417, 'HMMTPUMaC Combo'!A$2:$B$500,2, 0), 0)</f>
        <v>0</v>
      </c>
      <c r="H417" s="66">
        <f>IFERROR(VLOOKUP(B417, 'HMMTPUMaC Algebra'!A$2:$B$198,2, 0), 0)</f>
        <v>0</v>
      </c>
      <c r="I417" s="53">
        <f>IFERROR(VLOOKUP(B417, 'HMMTPUMaC NT'!A$2:$B$500,2, 0), 0)</f>
        <v>0</v>
      </c>
      <c r="J417" s="53">
        <f>IFERROR(VLOOKUP(B417, 'HMMT 1 Real'!$A$2:B$198,2, 0), 0)</f>
        <v>0</v>
      </c>
      <c r="K417" s="66">
        <f>IFERROR(VLOOKUP(B417, 'HMMT 2 Real'!$A$2:C$198,2, 0), 0)</f>
        <v>0</v>
      </c>
    </row>
    <row r="418">
      <c r="A418" s="65">
        <f t="shared" si="1"/>
        <v>417</v>
      </c>
      <c r="B418" s="7" t="s">
        <v>340</v>
      </c>
      <c r="C418" s="53">
        <f t="shared" si="6"/>
        <v>0</v>
      </c>
      <c r="D418" s="53">
        <f t="shared" si="3"/>
        <v>0</v>
      </c>
      <c r="E418" s="57">
        <f>IFERROR(VLOOKUP(B418, Proof!A$2:$B$199,2, 0), 0)</f>
        <v>0</v>
      </c>
      <c r="F418" s="58">
        <f>IFERROR(VLOOKUP(B418, 'HMMTPUMaC Algebra'!A$2:$B$500,2, 0), 0)</f>
        <v>0</v>
      </c>
      <c r="G418" s="53">
        <f>IFERROR(VLOOKUP(B418, 'HMMTPUMaC Combo'!A$2:$B$500,2, 0), 0)</f>
        <v>0</v>
      </c>
      <c r="H418" s="66">
        <f>IFERROR(VLOOKUP(B418, 'HMMTPUMaC Algebra'!A$2:$B$198,2, 0), 0)</f>
        <v>0</v>
      </c>
      <c r="I418" s="53">
        <f>IFERROR(VLOOKUP(B418, 'HMMTPUMaC NT'!A$2:$B$500,2, 0), 0)</f>
        <v>0</v>
      </c>
      <c r="J418" s="53">
        <f>IFERROR(VLOOKUP(B418, 'HMMT 1 Real'!$A$2:B$198,2, 0), 0)</f>
        <v>0</v>
      </c>
      <c r="K418" s="66">
        <f>IFERROR(VLOOKUP(B418, 'HMMT 2 Real'!$A$2:C$198,2, 0), 0)</f>
        <v>0</v>
      </c>
    </row>
    <row r="419">
      <c r="A419" s="65">
        <f t="shared" si="1"/>
        <v>418</v>
      </c>
      <c r="B419" s="7" t="s">
        <v>62</v>
      </c>
      <c r="C419" s="53">
        <f t="shared" si="6"/>
        <v>14.54545455</v>
      </c>
      <c r="D419" s="53">
        <f t="shared" si="3"/>
        <v>14.545</v>
      </c>
      <c r="E419" s="57">
        <f>IFERROR(VLOOKUP(B419, Proof!A$2:$B$199,2, 0), 0)</f>
        <v>145.4545455</v>
      </c>
      <c r="F419" s="58">
        <f>IFERROR(VLOOKUP(B419, 'HMMTPUMaC Algebra'!A$2:$B$500,2, 0), 0)</f>
        <v>0</v>
      </c>
      <c r="G419" s="53">
        <f>IFERROR(VLOOKUP(B419, 'HMMTPUMaC Combo'!A$2:$B$500,2, 0), 0)</f>
        <v>0</v>
      </c>
      <c r="H419" s="66">
        <f>IFERROR(VLOOKUP(B419, 'HMMTPUMaC Algebra'!A$2:$B$198,2, 0), 0)</f>
        <v>0</v>
      </c>
      <c r="I419" s="53">
        <f>IFERROR(VLOOKUP(B419, 'HMMTPUMaC NT'!A$2:$B$500,2, 0), 0)</f>
        <v>0</v>
      </c>
      <c r="J419" s="53">
        <f>IFERROR(VLOOKUP(B419, 'HMMT 1 Real'!$A$2:B$198,2, 0), 0)</f>
        <v>0</v>
      </c>
      <c r="K419" s="66">
        <f>IFERROR(VLOOKUP(B419, 'HMMT 2 Real'!$A$2:C$198,2, 0), 0)</f>
        <v>0</v>
      </c>
    </row>
    <row r="420">
      <c r="A420" s="65">
        <f t="shared" si="1"/>
        <v>419</v>
      </c>
      <c r="B420" s="7" t="s">
        <v>309</v>
      </c>
      <c r="C420" s="53">
        <f t="shared" si="6"/>
        <v>0</v>
      </c>
      <c r="D420" s="53">
        <f t="shared" si="3"/>
        <v>0</v>
      </c>
      <c r="E420" s="57">
        <f>IFERROR(VLOOKUP(B420, Proof!A$2:$B$199,2, 0), 0)</f>
        <v>0</v>
      </c>
      <c r="F420" s="58">
        <f>IFERROR(VLOOKUP(B420, 'HMMTPUMaC Algebra'!A$2:$B$500,2, 0), 0)</f>
        <v>0</v>
      </c>
      <c r="G420" s="53">
        <f>IFERROR(VLOOKUP(B420, 'HMMTPUMaC Combo'!A$2:$B$500,2, 0), 0)</f>
        <v>0</v>
      </c>
      <c r="H420" s="66">
        <f>IFERROR(VLOOKUP(B420, 'HMMTPUMaC Algebra'!A$2:$B$198,2, 0), 0)</f>
        <v>0</v>
      </c>
      <c r="I420" s="53">
        <f>IFERROR(VLOOKUP(B420, 'HMMTPUMaC NT'!A$2:$B$500,2, 0), 0)</f>
        <v>0</v>
      </c>
      <c r="J420" s="53">
        <f>IFERROR(VLOOKUP(B420, 'HMMT 1 Real'!$A$2:B$198,2, 0), 0)</f>
        <v>0</v>
      </c>
      <c r="K420" s="66">
        <f>IFERROR(VLOOKUP(B420, 'HMMT 2 Real'!$A$2:C$198,2, 0), 0)</f>
        <v>0</v>
      </c>
    </row>
    <row r="421">
      <c r="A421" s="65">
        <f t="shared" si="1"/>
        <v>420</v>
      </c>
      <c r="B421" s="7" t="s">
        <v>347</v>
      </c>
      <c r="C421" s="53">
        <f t="shared" si="6"/>
        <v>0</v>
      </c>
      <c r="D421" s="53">
        <f t="shared" si="3"/>
        <v>0</v>
      </c>
      <c r="E421" s="57">
        <f>IFERROR(VLOOKUP(B421, Proof!A$2:$B$199,2, 0), 0)</f>
        <v>0</v>
      </c>
      <c r="F421" s="58">
        <f>IFERROR(VLOOKUP(B421, 'HMMTPUMaC Algebra'!A$2:$B$500,2, 0), 0)</f>
        <v>0</v>
      </c>
      <c r="G421" s="53">
        <f>IFERROR(VLOOKUP(B421, 'HMMTPUMaC Combo'!A$2:$B$500,2, 0), 0)</f>
        <v>0</v>
      </c>
      <c r="H421" s="66">
        <f>IFERROR(VLOOKUP(B421, 'HMMTPUMaC Algebra'!A$2:$B$198,2, 0), 0)</f>
        <v>0</v>
      </c>
      <c r="I421" s="53">
        <f>IFERROR(VLOOKUP(B421, 'HMMTPUMaC NT'!A$2:$B$500,2, 0), 0)</f>
        <v>0</v>
      </c>
      <c r="J421" s="53">
        <f>IFERROR(VLOOKUP(B421, 'HMMT 1 Real'!$A$2:B$198,2, 0), 0)</f>
        <v>0</v>
      </c>
      <c r="K421" s="66">
        <f>IFERROR(VLOOKUP(B421, 'HMMT 2 Real'!$A$2:C$198,2, 0), 0)</f>
        <v>0</v>
      </c>
    </row>
    <row r="422">
      <c r="A422" s="65">
        <f t="shared" si="1"/>
        <v>421</v>
      </c>
      <c r="B422" s="7" t="s">
        <v>361</v>
      </c>
      <c r="C422" s="53">
        <f t="shared" si="6"/>
        <v>0</v>
      </c>
      <c r="D422" s="53">
        <f t="shared" si="3"/>
        <v>0</v>
      </c>
      <c r="E422" s="57">
        <f>IFERROR(VLOOKUP(B422, Proof!A$2:$B$199,2, 0), 0)</f>
        <v>0</v>
      </c>
      <c r="F422" s="58">
        <f>IFERROR(VLOOKUP(B422, 'HMMTPUMaC Algebra'!A$2:$B$500,2, 0), 0)</f>
        <v>0</v>
      </c>
      <c r="G422" s="53">
        <f>IFERROR(VLOOKUP(B422, 'HMMTPUMaC Combo'!A$2:$B$500,2, 0), 0)</f>
        <v>0</v>
      </c>
      <c r="H422" s="66">
        <f>IFERROR(VLOOKUP(B422, 'HMMTPUMaC Algebra'!A$2:$B$198,2, 0), 0)</f>
        <v>0</v>
      </c>
      <c r="I422" s="53">
        <f>IFERROR(VLOOKUP(B422, 'HMMTPUMaC NT'!A$2:$B$500,2, 0), 0)</f>
        <v>0</v>
      </c>
      <c r="J422" s="53">
        <f>IFERROR(VLOOKUP(B422, 'HMMT 1 Real'!$A$2:B$198,2, 0), 0)</f>
        <v>0</v>
      </c>
      <c r="K422" s="66">
        <f>IFERROR(VLOOKUP(B422, 'HMMT 2 Real'!$A$2:C$198,2, 0), 0)</f>
        <v>0</v>
      </c>
    </row>
    <row r="423">
      <c r="A423" s="65">
        <f t="shared" si="1"/>
        <v>422</v>
      </c>
      <c r="B423" s="7" t="s">
        <v>297</v>
      </c>
      <c r="C423" s="53">
        <f t="shared" si="6"/>
        <v>0</v>
      </c>
      <c r="D423" s="53">
        <f t="shared" si="3"/>
        <v>0</v>
      </c>
      <c r="E423" s="57">
        <f>IFERROR(VLOOKUP(B423, Proof!A$2:$B$199,2, 0), 0)</f>
        <v>0</v>
      </c>
      <c r="F423" s="58">
        <f>IFERROR(VLOOKUP(B423, 'HMMTPUMaC Algebra'!A$2:$B$500,2, 0), 0)</f>
        <v>0</v>
      </c>
      <c r="G423" s="53">
        <f>IFERROR(VLOOKUP(B423, 'HMMTPUMaC Combo'!A$2:$B$500,2, 0), 0)</f>
        <v>0</v>
      </c>
      <c r="H423" s="66">
        <f>IFERROR(VLOOKUP(B423, 'HMMTPUMaC Algebra'!A$2:$B$198,2, 0), 0)</f>
        <v>0</v>
      </c>
      <c r="I423" s="53">
        <f>IFERROR(VLOOKUP(B423, 'HMMTPUMaC NT'!A$2:$B$500,2, 0), 0)</f>
        <v>0</v>
      </c>
      <c r="J423" s="53">
        <f>IFERROR(VLOOKUP(B423, 'HMMT 1 Real'!$A$2:B$198,2, 0), 0)</f>
        <v>0</v>
      </c>
      <c r="K423" s="66">
        <f>IFERROR(VLOOKUP(B423, 'HMMT 2 Real'!$A$2:C$198,2, 0), 0)</f>
        <v>0</v>
      </c>
    </row>
    <row r="424">
      <c r="A424" s="65">
        <f t="shared" si="1"/>
        <v>423</v>
      </c>
      <c r="B424" s="7" t="s">
        <v>310</v>
      </c>
      <c r="C424" s="53">
        <f t="shared" si="6"/>
        <v>0</v>
      </c>
      <c r="D424" s="53">
        <f t="shared" si="3"/>
        <v>0</v>
      </c>
      <c r="E424" s="57">
        <f>IFERROR(VLOOKUP(B424, Proof!A$2:$B$199,2, 0), 0)</f>
        <v>0</v>
      </c>
      <c r="F424" s="58">
        <f>IFERROR(VLOOKUP(B424, 'HMMTPUMaC Algebra'!A$2:$B$500,2, 0), 0)</f>
        <v>0</v>
      </c>
      <c r="G424" s="53">
        <f>IFERROR(VLOOKUP(B424, 'HMMTPUMaC Combo'!A$2:$B$500,2, 0), 0)</f>
        <v>0</v>
      </c>
      <c r="H424" s="66">
        <f>IFERROR(VLOOKUP(B424, 'HMMTPUMaC Algebra'!A$2:$B$198,2, 0), 0)</f>
        <v>0</v>
      </c>
      <c r="I424" s="53">
        <f>IFERROR(VLOOKUP(B424, 'HMMTPUMaC NT'!A$2:$B$500,2, 0), 0)</f>
        <v>0</v>
      </c>
      <c r="J424" s="53">
        <f>IFERROR(VLOOKUP(B424, 'HMMT 1 Real'!$A$2:B$198,2, 0), 0)</f>
        <v>0</v>
      </c>
      <c r="K424" s="66">
        <f>IFERROR(VLOOKUP(B424, 'HMMT 2 Real'!$A$2:C$198,2, 0), 0)</f>
        <v>0</v>
      </c>
    </row>
    <row r="425">
      <c r="A425" s="65">
        <f t="shared" si="1"/>
        <v>424</v>
      </c>
      <c r="B425" s="7" t="s">
        <v>348</v>
      </c>
      <c r="C425" s="53">
        <f t="shared" si="6"/>
        <v>0</v>
      </c>
      <c r="D425" s="53">
        <f t="shared" si="3"/>
        <v>0</v>
      </c>
      <c r="E425" s="57">
        <f>IFERROR(VLOOKUP(B425, Proof!A$2:$B$199,2, 0), 0)</f>
        <v>0</v>
      </c>
      <c r="F425" s="58">
        <f>IFERROR(VLOOKUP(B425, 'HMMTPUMaC Algebra'!A$2:$B$500,2, 0), 0)</f>
        <v>0</v>
      </c>
      <c r="G425" s="53">
        <f>IFERROR(VLOOKUP(B425, 'HMMTPUMaC Combo'!A$2:$B$500,2, 0), 0)</f>
        <v>0</v>
      </c>
      <c r="H425" s="66">
        <f>IFERROR(VLOOKUP(B425, 'HMMTPUMaC Algebra'!A$2:$B$198,2, 0), 0)</f>
        <v>0</v>
      </c>
      <c r="I425" s="53">
        <f>IFERROR(VLOOKUP(B425, 'HMMTPUMaC NT'!A$2:$B$500,2, 0), 0)</f>
        <v>0</v>
      </c>
      <c r="J425" s="53">
        <f>IFERROR(VLOOKUP(B425, 'HMMT 1 Real'!$A$2:B$198,2, 0), 0)</f>
        <v>0</v>
      </c>
      <c r="K425" s="66">
        <f>IFERROR(VLOOKUP(B425, 'HMMT 2 Real'!$A$2:C$198,2, 0), 0)</f>
        <v>0</v>
      </c>
    </row>
    <row r="426">
      <c r="A426" s="65">
        <f t="shared" si="1"/>
        <v>425</v>
      </c>
      <c r="B426" s="7" t="s">
        <v>350</v>
      </c>
      <c r="C426" s="53">
        <f t="shared" si="6"/>
        <v>0</v>
      </c>
      <c r="D426" s="53">
        <f t="shared" si="3"/>
        <v>0</v>
      </c>
      <c r="E426" s="57">
        <f>IFERROR(VLOOKUP(B426, Proof!A$2:$B$199,2, 0), 0)</f>
        <v>0</v>
      </c>
      <c r="F426" s="58">
        <f>IFERROR(VLOOKUP(B426, 'HMMTPUMaC Algebra'!A$2:$B$500,2, 0), 0)</f>
        <v>0</v>
      </c>
      <c r="G426" s="53">
        <f>IFERROR(VLOOKUP(B426, 'HMMTPUMaC Combo'!A$2:$B$500,2, 0), 0)</f>
        <v>0</v>
      </c>
      <c r="H426" s="66">
        <f>IFERROR(VLOOKUP(B426, 'HMMTPUMaC Algebra'!A$2:$B$198,2, 0), 0)</f>
        <v>0</v>
      </c>
      <c r="I426" s="53">
        <f>IFERROR(VLOOKUP(B426, 'HMMTPUMaC NT'!A$2:$B$500,2, 0), 0)</f>
        <v>0</v>
      </c>
      <c r="J426" s="53">
        <f>IFERROR(VLOOKUP(B426, 'HMMT 1 Real'!$A$2:B$198,2, 0), 0)</f>
        <v>0</v>
      </c>
      <c r="K426" s="66">
        <f>IFERROR(VLOOKUP(B426, 'HMMT 2 Real'!$A$2:C$198,2, 0), 0)</f>
        <v>0</v>
      </c>
    </row>
    <row r="427">
      <c r="A427" s="65">
        <f t="shared" si="1"/>
        <v>426</v>
      </c>
      <c r="B427" s="7" t="s">
        <v>355</v>
      </c>
      <c r="C427" s="53">
        <f t="shared" si="6"/>
        <v>0</v>
      </c>
      <c r="D427" s="53">
        <f t="shared" si="3"/>
        <v>0</v>
      </c>
      <c r="E427" s="57">
        <f>IFERROR(VLOOKUP(B427, Proof!A$2:$B$199,2, 0), 0)</f>
        <v>0</v>
      </c>
      <c r="F427" s="58">
        <f>IFERROR(VLOOKUP(B427, 'HMMTPUMaC Algebra'!A$2:$B$500,2, 0), 0)</f>
        <v>0</v>
      </c>
      <c r="G427" s="53">
        <f>IFERROR(VLOOKUP(B427, 'HMMTPUMaC Combo'!A$2:$B$500,2, 0), 0)</f>
        <v>0</v>
      </c>
      <c r="H427" s="66">
        <f>IFERROR(VLOOKUP(B427, 'HMMTPUMaC Algebra'!A$2:$B$198,2, 0), 0)</f>
        <v>0</v>
      </c>
      <c r="I427" s="53">
        <f>IFERROR(VLOOKUP(B427, 'HMMTPUMaC NT'!A$2:$B$500,2, 0), 0)</f>
        <v>0</v>
      </c>
      <c r="J427" s="53">
        <f>IFERROR(VLOOKUP(B427, 'HMMT 1 Real'!$A$2:B$198,2, 0), 0)</f>
        <v>0</v>
      </c>
      <c r="K427" s="66">
        <f>IFERROR(VLOOKUP(B427, 'HMMT 2 Real'!$A$2:C$198,2, 0), 0)</f>
        <v>0</v>
      </c>
    </row>
    <row r="428">
      <c r="A428" s="65">
        <f t="shared" si="1"/>
        <v>427</v>
      </c>
      <c r="B428" s="7" t="s">
        <v>288</v>
      </c>
      <c r="C428" s="53">
        <f t="shared" si="6"/>
        <v>0</v>
      </c>
      <c r="D428" s="53">
        <f t="shared" si="3"/>
        <v>0</v>
      </c>
      <c r="E428" s="57">
        <f>IFERROR(VLOOKUP(B428, Proof!A$2:$B$199,2, 0), 0)</f>
        <v>0</v>
      </c>
      <c r="F428" s="58">
        <f>IFERROR(VLOOKUP(B428, 'HMMTPUMaC Algebra'!A$2:$B$500,2, 0), 0)</f>
        <v>0</v>
      </c>
      <c r="G428" s="53">
        <f>IFERROR(VLOOKUP(B428, 'HMMTPUMaC Combo'!A$2:$B$500,2, 0), 0)</f>
        <v>0</v>
      </c>
      <c r="H428" s="66">
        <f>IFERROR(VLOOKUP(B428, 'HMMTPUMaC Algebra'!A$2:$B$198,2, 0), 0)</f>
        <v>0</v>
      </c>
      <c r="I428" s="53">
        <f>IFERROR(VLOOKUP(B428, 'HMMTPUMaC NT'!A$2:$B$500,2, 0), 0)</f>
        <v>0</v>
      </c>
      <c r="J428" s="53">
        <f>IFERROR(VLOOKUP(B428, 'HMMT 1 Real'!$A$2:B$198,2, 0), 0)</f>
        <v>0</v>
      </c>
      <c r="K428" s="66">
        <f>IFERROR(VLOOKUP(B428, 'HMMT 2 Real'!$A$2:C$198,2, 0), 0)</f>
        <v>0</v>
      </c>
    </row>
    <row r="429">
      <c r="A429" s="65">
        <f t="shared" si="1"/>
        <v>428</v>
      </c>
      <c r="B429" s="7" t="s">
        <v>278</v>
      </c>
      <c r="C429" s="53">
        <f t="shared" si="6"/>
        <v>0</v>
      </c>
      <c r="D429" s="53">
        <f t="shared" si="3"/>
        <v>0</v>
      </c>
      <c r="E429" s="57">
        <f>IFERROR(VLOOKUP(B429, Proof!A$2:$B$199,2, 0), 0)</f>
        <v>0</v>
      </c>
      <c r="F429" s="58">
        <f>IFERROR(VLOOKUP(B429, 'HMMTPUMaC Algebra'!A$2:$B$500,2, 0), 0)</f>
        <v>0</v>
      </c>
      <c r="G429" s="53">
        <f>IFERROR(VLOOKUP(B429, 'HMMTPUMaC Combo'!A$2:$B$500,2, 0), 0)</f>
        <v>0</v>
      </c>
      <c r="H429" s="66">
        <f>IFERROR(VLOOKUP(B429, 'HMMTPUMaC Algebra'!A$2:$B$198,2, 0), 0)</f>
        <v>0</v>
      </c>
      <c r="I429" s="53">
        <f>IFERROR(VLOOKUP(B429, 'HMMTPUMaC NT'!A$2:$B$500,2, 0), 0)</f>
        <v>0</v>
      </c>
      <c r="J429" s="53">
        <f>IFERROR(VLOOKUP(B429, 'HMMT 1 Real'!$A$2:B$198,2, 0), 0)</f>
        <v>0</v>
      </c>
      <c r="K429" s="66">
        <f>IFERROR(VLOOKUP(B429, 'HMMT 2 Real'!$A$2:C$198,2, 0), 0)</f>
        <v>0</v>
      </c>
    </row>
    <row r="430">
      <c r="A430" s="65">
        <f t="shared" si="1"/>
        <v>429</v>
      </c>
      <c r="B430" s="7" t="s">
        <v>334</v>
      </c>
      <c r="C430" s="53">
        <f t="shared" si="6"/>
        <v>0</v>
      </c>
      <c r="D430" s="53">
        <f t="shared" si="3"/>
        <v>0</v>
      </c>
      <c r="E430" s="57">
        <f>IFERROR(VLOOKUP(B430, Proof!A$2:$B$199,2, 0), 0)</f>
        <v>0</v>
      </c>
      <c r="F430" s="58">
        <f>IFERROR(VLOOKUP(B430, 'HMMTPUMaC Algebra'!A$2:$B$500,2, 0), 0)</f>
        <v>0</v>
      </c>
      <c r="G430" s="53">
        <f>IFERROR(VLOOKUP(B430, 'HMMTPUMaC Combo'!A$2:$B$500,2, 0), 0)</f>
        <v>0</v>
      </c>
      <c r="H430" s="66">
        <f>IFERROR(VLOOKUP(B430, 'HMMTPUMaC Algebra'!A$2:$B$198,2, 0), 0)</f>
        <v>0</v>
      </c>
      <c r="I430" s="53">
        <f>IFERROR(VLOOKUP(B430, 'HMMTPUMaC NT'!A$2:$B$500,2, 0), 0)</f>
        <v>0</v>
      </c>
      <c r="J430" s="53">
        <f>IFERROR(VLOOKUP(B430, 'HMMT 1 Real'!$A$2:B$198,2, 0), 0)</f>
        <v>0</v>
      </c>
      <c r="K430" s="66">
        <f>IFERROR(VLOOKUP(B430, 'HMMT 2 Real'!$A$2:C$198,2, 0), 0)</f>
        <v>0</v>
      </c>
    </row>
    <row r="431">
      <c r="A431" s="65">
        <f t="shared" si="1"/>
        <v>430</v>
      </c>
      <c r="B431" s="7" t="s">
        <v>345</v>
      </c>
      <c r="C431" s="53">
        <f t="shared" si="6"/>
        <v>0</v>
      </c>
      <c r="D431" s="53">
        <f t="shared" si="3"/>
        <v>0</v>
      </c>
      <c r="E431" s="57">
        <f>IFERROR(VLOOKUP(B431, Proof!A$2:$B$199,2, 0), 0)</f>
        <v>0</v>
      </c>
      <c r="F431" s="58">
        <f>IFERROR(VLOOKUP(B431, 'HMMTPUMaC Algebra'!A$2:$B$500,2, 0), 0)</f>
        <v>0</v>
      </c>
      <c r="G431" s="53">
        <f>IFERROR(VLOOKUP(B431, 'HMMTPUMaC Combo'!A$2:$B$500,2, 0), 0)</f>
        <v>0</v>
      </c>
      <c r="H431" s="66">
        <f>IFERROR(VLOOKUP(B431, 'HMMTPUMaC Algebra'!A$2:$B$198,2, 0), 0)</f>
        <v>0</v>
      </c>
      <c r="I431" s="53">
        <f>IFERROR(VLOOKUP(B431, 'HMMTPUMaC NT'!A$2:$B$500,2, 0), 0)</f>
        <v>0</v>
      </c>
      <c r="J431" s="53">
        <f>IFERROR(VLOOKUP(B431, 'HMMT 1 Real'!$A$2:B$198,2, 0), 0)</f>
        <v>0</v>
      </c>
      <c r="K431" s="66">
        <f>IFERROR(VLOOKUP(B431, 'HMMT 2 Real'!$A$2:C$198,2, 0), 0)</f>
        <v>0</v>
      </c>
    </row>
    <row r="432">
      <c r="A432" s="65">
        <f t="shared" si="1"/>
        <v>431</v>
      </c>
      <c r="B432" s="7" t="s">
        <v>322</v>
      </c>
      <c r="C432" s="53">
        <f t="shared" si="6"/>
        <v>0</v>
      </c>
      <c r="D432" s="53">
        <f t="shared" si="3"/>
        <v>0</v>
      </c>
      <c r="E432" s="57">
        <f>IFERROR(VLOOKUP(B432, Proof!A$2:$B$199,2, 0), 0)</f>
        <v>0</v>
      </c>
      <c r="F432" s="58">
        <f>IFERROR(VLOOKUP(B432, 'HMMTPUMaC Algebra'!A$2:$B$500,2, 0), 0)</f>
        <v>0</v>
      </c>
      <c r="G432" s="53">
        <f>IFERROR(VLOOKUP(B432, 'HMMTPUMaC Combo'!A$2:$B$500,2, 0), 0)</f>
        <v>0</v>
      </c>
      <c r="H432" s="66">
        <f>IFERROR(VLOOKUP(B432, 'HMMTPUMaC Algebra'!A$2:$B$198,2, 0), 0)</f>
        <v>0</v>
      </c>
      <c r="I432" s="53">
        <f>IFERROR(VLOOKUP(B432, 'HMMTPUMaC NT'!A$2:$B$500,2, 0), 0)</f>
        <v>0</v>
      </c>
      <c r="J432" s="53">
        <f>IFERROR(VLOOKUP(B432, 'HMMT 1 Real'!$A$2:B$198,2, 0), 0)</f>
        <v>0</v>
      </c>
      <c r="K432" s="66">
        <f>IFERROR(VLOOKUP(B432, 'HMMT 2 Real'!$A$2:C$198,2, 0), 0)</f>
        <v>0</v>
      </c>
    </row>
    <row r="433">
      <c r="A433" s="65">
        <f t="shared" si="1"/>
        <v>432</v>
      </c>
      <c r="B433" s="7" t="s">
        <v>328</v>
      </c>
      <c r="C433" s="53">
        <f t="shared" si="6"/>
        <v>0</v>
      </c>
      <c r="D433" s="53">
        <f t="shared" si="3"/>
        <v>0</v>
      </c>
      <c r="E433" s="57">
        <f>IFERROR(VLOOKUP(B433, Proof!A$2:$B$199,2, 0), 0)</f>
        <v>0</v>
      </c>
      <c r="F433" s="58">
        <f>IFERROR(VLOOKUP(B433, 'HMMTPUMaC Algebra'!A$2:$B$500,2, 0), 0)</f>
        <v>0</v>
      </c>
      <c r="G433" s="53">
        <f>IFERROR(VLOOKUP(B433, 'HMMTPUMaC Combo'!A$2:$B$500,2, 0), 0)</f>
        <v>0</v>
      </c>
      <c r="H433" s="66">
        <f>IFERROR(VLOOKUP(B433, 'HMMTPUMaC Algebra'!A$2:$B$198,2, 0), 0)</f>
        <v>0</v>
      </c>
      <c r="I433" s="53">
        <f>IFERROR(VLOOKUP(B433, 'HMMTPUMaC NT'!A$2:$B$500,2, 0), 0)</f>
        <v>0</v>
      </c>
      <c r="J433" s="53">
        <f>IFERROR(VLOOKUP(B433, 'HMMT 1 Real'!$A$2:B$198,2, 0), 0)</f>
        <v>0</v>
      </c>
      <c r="K433" s="66">
        <f>IFERROR(VLOOKUP(B433, 'HMMT 2 Real'!$A$2:C$198,2, 0), 0)</f>
        <v>0</v>
      </c>
    </row>
    <row r="434">
      <c r="A434" s="65">
        <f t="shared" si="1"/>
        <v>433</v>
      </c>
      <c r="B434" s="7" t="s">
        <v>365</v>
      </c>
      <c r="C434" s="53">
        <f t="shared" si="6"/>
        <v>0</v>
      </c>
      <c r="D434" s="53">
        <f t="shared" si="3"/>
        <v>0</v>
      </c>
      <c r="E434" s="57">
        <f>IFERROR(VLOOKUP(B434, Proof!A$2:$B$199,2, 0), 0)</f>
        <v>0</v>
      </c>
      <c r="F434" s="58">
        <f>IFERROR(VLOOKUP(B434, 'HMMTPUMaC Algebra'!A$2:$B$500,2, 0), 0)</f>
        <v>0</v>
      </c>
      <c r="G434" s="53">
        <f>IFERROR(VLOOKUP(B434, 'HMMTPUMaC Combo'!A$2:$B$500,2, 0), 0)</f>
        <v>0</v>
      </c>
      <c r="H434" s="66">
        <f>IFERROR(VLOOKUP(B434, 'HMMTPUMaC Algebra'!A$2:$B$198,2, 0), 0)</f>
        <v>0</v>
      </c>
      <c r="I434" s="53">
        <f>IFERROR(VLOOKUP(B434, 'HMMTPUMaC NT'!A$2:$B$500,2, 0), 0)</f>
        <v>0</v>
      </c>
      <c r="J434" s="53">
        <f>IFERROR(VLOOKUP(B434, 'HMMT 1 Real'!$A$2:B$198,2, 0), 0)</f>
        <v>0</v>
      </c>
      <c r="K434" s="66">
        <f>IFERROR(VLOOKUP(B434, 'HMMT 2 Real'!$A$2:C$198,2, 0), 0)</f>
        <v>0</v>
      </c>
    </row>
    <row r="435">
      <c r="A435" s="65">
        <f t="shared" si="1"/>
        <v>434</v>
      </c>
      <c r="B435" s="7" t="s">
        <v>35</v>
      </c>
      <c r="C435" s="53">
        <f t="shared" si="6"/>
        <v>0</v>
      </c>
      <c r="D435" s="53">
        <f t="shared" si="3"/>
        <v>0</v>
      </c>
      <c r="E435" s="57">
        <f>IFERROR(VLOOKUP(B435, Proof!A$2:$B$199,2, 0), 0)</f>
        <v>0</v>
      </c>
      <c r="F435" s="58">
        <f>IFERROR(VLOOKUP(B435, 'HMMTPUMaC Algebra'!A$2:$B$500,2, 0), 0)</f>
        <v>0</v>
      </c>
      <c r="G435" s="53">
        <f>IFERROR(VLOOKUP(B435, 'HMMTPUMaC Combo'!A$2:$B$500,2, 0), 0)</f>
        <v>0</v>
      </c>
      <c r="H435" s="66">
        <f>IFERROR(VLOOKUP(B435, 'HMMTPUMaC Algebra'!A$2:$B$198,2, 0), 0)</f>
        <v>0</v>
      </c>
      <c r="I435" s="53">
        <f>IFERROR(VLOOKUP(B435, 'HMMTPUMaC NT'!A$2:$B$500,2, 0), 0)</f>
        <v>0</v>
      </c>
      <c r="J435" s="53">
        <f>IFERROR(VLOOKUP(B435, 'HMMT 1 Real'!$A$2:B$198,2, 0), 0)</f>
        <v>0</v>
      </c>
      <c r="K435" s="66">
        <f>IFERROR(VLOOKUP(B435, 'HMMT 2 Real'!$A$2:C$198,2, 0), 0)</f>
        <v>0</v>
      </c>
    </row>
    <row r="436">
      <c r="A436" s="65">
        <f t="shared" si="1"/>
        <v>435</v>
      </c>
      <c r="B436" s="7" t="s">
        <v>321</v>
      </c>
      <c r="C436" s="53">
        <f t="shared" si="6"/>
        <v>0</v>
      </c>
      <c r="D436" s="53">
        <f t="shared" si="3"/>
        <v>0</v>
      </c>
      <c r="E436" s="57">
        <f>IFERROR(VLOOKUP(B436, Proof!A$2:$B$199,2, 0), 0)</f>
        <v>0</v>
      </c>
      <c r="F436" s="58">
        <f>IFERROR(VLOOKUP(B436, 'HMMTPUMaC Algebra'!A$2:$B$500,2, 0), 0)</f>
        <v>0</v>
      </c>
      <c r="G436" s="53">
        <f>IFERROR(VLOOKUP(B436, 'HMMTPUMaC Combo'!A$2:$B$500,2, 0), 0)</f>
        <v>0</v>
      </c>
      <c r="H436" s="66">
        <f>IFERROR(VLOOKUP(B436, 'HMMTPUMaC Algebra'!A$2:$B$198,2, 0), 0)</f>
        <v>0</v>
      </c>
      <c r="I436" s="53">
        <f>IFERROR(VLOOKUP(B436, 'HMMTPUMaC NT'!A$2:$B$500,2, 0), 0)</f>
        <v>0</v>
      </c>
      <c r="J436" s="53">
        <f>IFERROR(VLOOKUP(B436, 'HMMT 1 Real'!$A$2:B$198,2, 0), 0)</f>
        <v>0</v>
      </c>
      <c r="K436" s="66">
        <f>IFERROR(VLOOKUP(B436, 'HMMT 2 Real'!$A$2:C$198,2, 0), 0)</f>
        <v>0</v>
      </c>
    </row>
    <row r="437">
      <c r="A437" s="65">
        <f t="shared" si="1"/>
        <v>436</v>
      </c>
      <c r="B437" s="7" t="s">
        <v>324</v>
      </c>
      <c r="C437" s="53">
        <f t="shared" si="6"/>
        <v>0</v>
      </c>
      <c r="D437" s="53">
        <f t="shared" si="3"/>
        <v>0</v>
      </c>
      <c r="E437" s="57">
        <f>IFERROR(VLOOKUP(B437, Proof!A$2:$B$199,2, 0), 0)</f>
        <v>0</v>
      </c>
      <c r="F437" s="58">
        <f>IFERROR(VLOOKUP(B437, 'HMMTPUMaC Algebra'!A$2:$B$500,2, 0), 0)</f>
        <v>0</v>
      </c>
      <c r="G437" s="53">
        <f>IFERROR(VLOOKUP(B437, 'HMMTPUMaC Combo'!A$2:$B$500,2, 0), 0)</f>
        <v>0</v>
      </c>
      <c r="H437" s="66">
        <f>IFERROR(VLOOKUP(B437, 'HMMTPUMaC Algebra'!A$2:$B$198,2, 0), 0)</f>
        <v>0</v>
      </c>
      <c r="I437" s="53">
        <f>IFERROR(VLOOKUP(B437, 'HMMTPUMaC NT'!A$2:$B$500,2, 0), 0)</f>
        <v>0</v>
      </c>
      <c r="J437" s="53">
        <f>IFERROR(VLOOKUP(B437, 'HMMT 1 Real'!$A$2:B$198,2, 0), 0)</f>
        <v>0</v>
      </c>
      <c r="K437" s="66">
        <f>IFERROR(VLOOKUP(B437, 'HMMT 2 Real'!$A$2:C$198,2, 0), 0)</f>
        <v>0</v>
      </c>
    </row>
    <row r="438">
      <c r="A438" s="65">
        <f t="shared" si="1"/>
        <v>437</v>
      </c>
      <c r="B438" s="7" t="s">
        <v>331</v>
      </c>
      <c r="C438" s="53">
        <f t="shared" si="6"/>
        <v>0</v>
      </c>
      <c r="D438" s="53">
        <f t="shared" si="3"/>
        <v>0</v>
      </c>
      <c r="E438" s="57">
        <f>IFERROR(VLOOKUP(B438, Proof!A$2:$B$199,2, 0), 0)</f>
        <v>0</v>
      </c>
      <c r="F438" s="58">
        <f>IFERROR(VLOOKUP(B438, 'HMMTPUMaC Algebra'!A$2:$B$500,2, 0), 0)</f>
        <v>0</v>
      </c>
      <c r="G438" s="53">
        <f>IFERROR(VLOOKUP(B438, 'HMMTPUMaC Combo'!A$2:$B$500,2, 0), 0)</f>
        <v>0</v>
      </c>
      <c r="H438" s="66">
        <f>IFERROR(VLOOKUP(B438, 'HMMTPUMaC Algebra'!A$2:$B$198,2, 0), 0)</f>
        <v>0</v>
      </c>
      <c r="I438" s="53">
        <f>IFERROR(VLOOKUP(B438, 'HMMTPUMaC NT'!A$2:$B$500,2, 0), 0)</f>
        <v>0</v>
      </c>
      <c r="J438" s="53">
        <f>IFERROR(VLOOKUP(B438, 'HMMT 1 Real'!$A$2:B$198,2, 0), 0)</f>
        <v>0</v>
      </c>
      <c r="K438" s="66">
        <f>IFERROR(VLOOKUP(B438, 'HMMT 2 Real'!$A$2:C$198,2, 0), 0)</f>
        <v>0</v>
      </c>
    </row>
    <row r="439">
      <c r="A439" s="65">
        <f t="shared" si="1"/>
        <v>438</v>
      </c>
      <c r="B439" s="7" t="s">
        <v>363</v>
      </c>
      <c r="C439" s="53">
        <f t="shared" si="6"/>
        <v>0</v>
      </c>
      <c r="D439" s="53">
        <f t="shared" si="3"/>
        <v>0</v>
      </c>
      <c r="E439" s="57">
        <f>IFERROR(VLOOKUP(B439, Proof!A$2:$B$199,2, 0), 0)</f>
        <v>0</v>
      </c>
      <c r="F439" s="58">
        <f>IFERROR(VLOOKUP(B439, 'HMMTPUMaC Algebra'!A$2:$B$500,2, 0), 0)</f>
        <v>0</v>
      </c>
      <c r="G439" s="53">
        <f>IFERROR(VLOOKUP(B439, 'HMMTPUMaC Combo'!A$2:$B$500,2, 0), 0)</f>
        <v>0</v>
      </c>
      <c r="H439" s="66">
        <f>IFERROR(VLOOKUP(B439, 'HMMTPUMaC Algebra'!A$2:$B$198,2, 0), 0)</f>
        <v>0</v>
      </c>
      <c r="I439" s="53">
        <f>IFERROR(VLOOKUP(B439, 'HMMTPUMaC NT'!A$2:$B$500,2, 0), 0)</f>
        <v>0</v>
      </c>
      <c r="J439" s="53">
        <f>IFERROR(VLOOKUP(B439, 'HMMT 1 Real'!$A$2:B$198,2, 0), 0)</f>
        <v>0</v>
      </c>
      <c r="K439" s="66">
        <f>IFERROR(VLOOKUP(B439, 'HMMT 2 Real'!$A$2:C$198,2, 0), 0)</f>
        <v>0</v>
      </c>
    </row>
    <row r="440">
      <c r="A440" s="65">
        <f t="shared" si="1"/>
        <v>439</v>
      </c>
      <c r="B440" s="7" t="s">
        <v>327</v>
      </c>
      <c r="C440" s="53">
        <f t="shared" si="6"/>
        <v>0</v>
      </c>
      <c r="D440" s="53">
        <f t="shared" si="3"/>
        <v>0</v>
      </c>
      <c r="E440" s="57">
        <f>IFERROR(VLOOKUP(B440, Proof!A$2:$B$199,2, 0), 0)</f>
        <v>0</v>
      </c>
      <c r="F440" s="58">
        <f>IFERROR(VLOOKUP(B440, 'HMMTPUMaC Algebra'!A$2:$B$500,2, 0), 0)</f>
        <v>0</v>
      </c>
      <c r="G440" s="53">
        <f>IFERROR(VLOOKUP(B440, 'HMMTPUMaC Combo'!A$2:$B$500,2, 0), 0)</f>
        <v>0</v>
      </c>
      <c r="H440" s="66">
        <f>IFERROR(VLOOKUP(B440, 'HMMTPUMaC Algebra'!A$2:$B$198,2, 0), 0)</f>
        <v>0</v>
      </c>
      <c r="I440" s="53">
        <f>IFERROR(VLOOKUP(B440, 'HMMTPUMaC NT'!A$2:$B$500,2, 0), 0)</f>
        <v>0</v>
      </c>
      <c r="J440" s="53">
        <f>IFERROR(VLOOKUP(B440, 'HMMT 1 Real'!$A$2:B$198,2, 0), 0)</f>
        <v>0</v>
      </c>
      <c r="K440" s="66">
        <f>IFERROR(VLOOKUP(B440, 'HMMT 2 Real'!$A$2:C$198,2, 0), 0)</f>
        <v>0</v>
      </c>
    </row>
    <row r="441">
      <c r="A441" s="65">
        <f t="shared" si="1"/>
        <v>440</v>
      </c>
      <c r="B441" s="7" t="s">
        <v>308</v>
      </c>
      <c r="C441" s="53">
        <f t="shared" si="6"/>
        <v>0</v>
      </c>
      <c r="D441" s="53">
        <f t="shared" si="3"/>
        <v>0</v>
      </c>
      <c r="E441" s="57">
        <f>IFERROR(VLOOKUP(B441, Proof!A$2:$B$199,2, 0), 0)</f>
        <v>0</v>
      </c>
      <c r="F441" s="58">
        <f>IFERROR(VLOOKUP(B441, 'HMMTPUMaC Algebra'!A$2:$B$500,2, 0), 0)</f>
        <v>0</v>
      </c>
      <c r="G441" s="53">
        <f>IFERROR(VLOOKUP(B441, 'HMMTPUMaC Combo'!A$2:$B$500,2, 0), 0)</f>
        <v>0</v>
      </c>
      <c r="H441" s="66">
        <f>IFERROR(VLOOKUP(B441, 'HMMTPUMaC Algebra'!A$2:$B$198,2, 0), 0)</f>
        <v>0</v>
      </c>
      <c r="I441" s="53">
        <f>IFERROR(VLOOKUP(B441, 'HMMTPUMaC NT'!A$2:$B$500,2, 0), 0)</f>
        <v>0</v>
      </c>
      <c r="J441" s="53">
        <f>IFERROR(VLOOKUP(B441, 'HMMT 1 Real'!$A$2:B$198,2, 0), 0)</f>
        <v>0</v>
      </c>
      <c r="K441" s="66">
        <f>IFERROR(VLOOKUP(B441, 'HMMT 2 Real'!$A$2:C$198,2, 0), 0)</f>
        <v>0</v>
      </c>
    </row>
    <row r="442">
      <c r="A442" s="65">
        <f t="shared" si="1"/>
        <v>441</v>
      </c>
      <c r="B442" s="7" t="s">
        <v>295</v>
      </c>
      <c r="C442" s="53">
        <f t="shared" si="6"/>
        <v>0</v>
      </c>
      <c r="D442" s="53">
        <f t="shared" si="3"/>
        <v>0</v>
      </c>
      <c r="E442" s="57">
        <f>IFERROR(VLOOKUP(B442, Proof!A$2:$B$199,2, 0), 0)</f>
        <v>0</v>
      </c>
      <c r="F442" s="58">
        <f>IFERROR(VLOOKUP(B442, 'HMMTPUMaC Algebra'!A$2:$B$500,2, 0), 0)</f>
        <v>0</v>
      </c>
      <c r="G442" s="53">
        <f>IFERROR(VLOOKUP(B442, 'HMMTPUMaC Combo'!A$2:$B$500,2, 0), 0)</f>
        <v>0</v>
      </c>
      <c r="H442" s="66">
        <f>IFERROR(VLOOKUP(B442, 'HMMTPUMaC Algebra'!A$2:$B$198,2, 0), 0)</f>
        <v>0</v>
      </c>
      <c r="I442" s="53">
        <f>IFERROR(VLOOKUP(B442, 'HMMTPUMaC NT'!A$2:$B$500,2, 0), 0)</f>
        <v>0</v>
      </c>
      <c r="J442" s="53">
        <f>IFERROR(VLOOKUP(B442, 'HMMT 1 Real'!$A$2:B$198,2, 0), 0)</f>
        <v>0</v>
      </c>
      <c r="K442" s="66">
        <f>IFERROR(VLOOKUP(B442, 'HMMT 2 Real'!$A$2:C$198,2, 0), 0)</f>
        <v>0</v>
      </c>
    </row>
    <row r="443">
      <c r="A443" s="65">
        <f t="shared" si="1"/>
        <v>442</v>
      </c>
      <c r="B443" s="7" t="s">
        <v>315</v>
      </c>
      <c r="C443" s="53">
        <f t="shared" si="6"/>
        <v>0</v>
      </c>
      <c r="D443" s="53">
        <f t="shared" si="3"/>
        <v>0</v>
      </c>
      <c r="E443" s="57">
        <f>IFERROR(VLOOKUP(B443, Proof!A$2:$B$199,2, 0), 0)</f>
        <v>0</v>
      </c>
      <c r="F443" s="58">
        <f>IFERROR(VLOOKUP(B443, 'HMMTPUMaC Algebra'!A$2:$B$500,2, 0), 0)</f>
        <v>0</v>
      </c>
      <c r="G443" s="53">
        <f>IFERROR(VLOOKUP(B443, 'HMMTPUMaC Combo'!A$2:$B$500,2, 0), 0)</f>
        <v>0</v>
      </c>
      <c r="H443" s="66">
        <f>IFERROR(VLOOKUP(B443, 'HMMTPUMaC Algebra'!A$2:$B$198,2, 0), 0)</f>
        <v>0</v>
      </c>
      <c r="I443" s="53">
        <f>IFERROR(VLOOKUP(B443, 'HMMTPUMaC NT'!A$2:$B$500,2, 0), 0)</f>
        <v>0</v>
      </c>
      <c r="J443" s="53">
        <f>IFERROR(VLOOKUP(B443, 'HMMT 1 Real'!$A$2:B$198,2, 0), 0)</f>
        <v>0</v>
      </c>
      <c r="K443" s="66">
        <f>IFERROR(VLOOKUP(B443, 'HMMT 2 Real'!$A$2:C$198,2, 0), 0)</f>
        <v>0</v>
      </c>
    </row>
    <row r="444">
      <c r="A444" s="65">
        <f t="shared" si="1"/>
        <v>443</v>
      </c>
      <c r="B444" s="7" t="s">
        <v>357</v>
      </c>
      <c r="C444" s="53">
        <f t="shared" si="6"/>
        <v>0</v>
      </c>
      <c r="D444" s="53">
        <f t="shared" si="3"/>
        <v>0</v>
      </c>
      <c r="E444" s="57">
        <f>IFERROR(VLOOKUP(B444, Proof!A$2:$B$199,2, 0), 0)</f>
        <v>0</v>
      </c>
      <c r="F444" s="58">
        <f>IFERROR(VLOOKUP(B444, 'HMMTPUMaC Algebra'!A$2:$B$500,2, 0), 0)</f>
        <v>0</v>
      </c>
      <c r="G444" s="53">
        <f>IFERROR(VLOOKUP(B444, 'HMMTPUMaC Combo'!A$2:$B$500,2, 0), 0)</f>
        <v>0</v>
      </c>
      <c r="H444" s="66">
        <f>IFERROR(VLOOKUP(B444, 'HMMTPUMaC Algebra'!A$2:$B$198,2, 0), 0)</f>
        <v>0</v>
      </c>
      <c r="I444" s="53">
        <f>IFERROR(VLOOKUP(B444, 'HMMTPUMaC NT'!A$2:$B$500,2, 0), 0)</f>
        <v>0</v>
      </c>
      <c r="J444" s="53">
        <f>IFERROR(VLOOKUP(B444, 'HMMT 1 Real'!$A$2:B$198,2, 0), 0)</f>
        <v>0</v>
      </c>
      <c r="K444" s="66">
        <f>IFERROR(VLOOKUP(B444, 'HMMT 2 Real'!$A$2:C$198,2, 0), 0)</f>
        <v>0</v>
      </c>
    </row>
    <row r="445">
      <c r="A445" s="65">
        <f t="shared" si="1"/>
        <v>444</v>
      </c>
      <c r="B445" s="7" t="s">
        <v>276</v>
      </c>
      <c r="C445" s="53">
        <f t="shared" si="6"/>
        <v>0</v>
      </c>
      <c r="D445" s="53">
        <f t="shared" si="3"/>
        <v>0</v>
      </c>
      <c r="E445" s="57">
        <f>IFERROR(VLOOKUP(B445, Proof!A$2:$B$199,2, 0), 0)</f>
        <v>0</v>
      </c>
      <c r="F445" s="58">
        <f>IFERROR(VLOOKUP(B445, 'HMMTPUMaC Algebra'!A$2:$B$500,2, 0), 0)</f>
        <v>0</v>
      </c>
      <c r="G445" s="53">
        <f>IFERROR(VLOOKUP(B445, 'HMMTPUMaC Combo'!A$2:$B$500,2, 0), 0)</f>
        <v>0</v>
      </c>
      <c r="H445" s="66">
        <f>IFERROR(VLOOKUP(B445, 'HMMTPUMaC Algebra'!A$2:$B$198,2, 0), 0)</f>
        <v>0</v>
      </c>
      <c r="I445" s="53">
        <f>IFERROR(VLOOKUP(B445, 'HMMTPUMaC NT'!A$2:$B$500,2, 0), 0)</f>
        <v>0</v>
      </c>
      <c r="J445" s="53">
        <f>IFERROR(VLOOKUP(B445, 'HMMT 1 Real'!$A$2:B$198,2, 0), 0)</f>
        <v>0</v>
      </c>
      <c r="K445" s="66">
        <f>IFERROR(VLOOKUP(B445, 'HMMT 2 Real'!$A$2:C$198,2, 0), 0)</f>
        <v>0</v>
      </c>
    </row>
    <row r="446">
      <c r="A446" s="65">
        <f t="shared" si="1"/>
        <v>445</v>
      </c>
      <c r="B446" s="7" t="s">
        <v>356</v>
      </c>
      <c r="C446" s="53">
        <f t="shared" si="6"/>
        <v>0</v>
      </c>
      <c r="D446" s="53">
        <f t="shared" si="3"/>
        <v>0</v>
      </c>
      <c r="E446" s="57">
        <f>IFERROR(VLOOKUP(B446, Proof!A$2:$B$199,2, 0), 0)</f>
        <v>0</v>
      </c>
      <c r="F446" s="58">
        <f>IFERROR(VLOOKUP(B446, 'HMMTPUMaC Algebra'!A$2:$B$500,2, 0), 0)</f>
        <v>0</v>
      </c>
      <c r="G446" s="53">
        <f>IFERROR(VLOOKUP(B446, 'HMMTPUMaC Combo'!A$2:$B$500,2, 0), 0)</f>
        <v>0</v>
      </c>
      <c r="H446" s="66">
        <f>IFERROR(VLOOKUP(B446, 'HMMTPUMaC Algebra'!A$2:$B$198,2, 0), 0)</f>
        <v>0</v>
      </c>
      <c r="I446" s="53">
        <f>IFERROR(VLOOKUP(B446, 'HMMTPUMaC NT'!A$2:$B$500,2, 0), 0)</f>
        <v>0</v>
      </c>
      <c r="J446" s="53">
        <f>IFERROR(VLOOKUP(B446, 'HMMT 1 Real'!$A$2:B$198,2, 0), 0)</f>
        <v>0</v>
      </c>
      <c r="K446" s="66">
        <f>IFERROR(VLOOKUP(B446, 'HMMT 2 Real'!$A$2:C$198,2, 0), 0)</f>
        <v>0</v>
      </c>
    </row>
    <row r="447">
      <c r="A447" s="65">
        <f t="shared" si="1"/>
        <v>446</v>
      </c>
      <c r="B447" s="7" t="s">
        <v>359</v>
      </c>
      <c r="C447" s="53">
        <f t="shared" si="6"/>
        <v>0</v>
      </c>
      <c r="D447" s="53">
        <f t="shared" si="3"/>
        <v>0</v>
      </c>
      <c r="E447" s="57">
        <f>IFERROR(VLOOKUP(B447, Proof!A$2:$B$199,2, 0), 0)</f>
        <v>0</v>
      </c>
      <c r="F447" s="58">
        <f>IFERROR(VLOOKUP(B447, 'HMMTPUMaC Algebra'!A$2:$B$500,2, 0), 0)</f>
        <v>0</v>
      </c>
      <c r="G447" s="53">
        <f>IFERROR(VLOOKUP(B447, 'HMMTPUMaC Combo'!A$2:$B$500,2, 0), 0)</f>
        <v>0</v>
      </c>
      <c r="H447" s="66">
        <f>IFERROR(VLOOKUP(B447, 'HMMTPUMaC Algebra'!A$2:$B$198,2, 0), 0)</f>
        <v>0</v>
      </c>
      <c r="I447" s="53">
        <f>IFERROR(VLOOKUP(B447, 'HMMTPUMaC NT'!A$2:$B$500,2, 0), 0)</f>
        <v>0</v>
      </c>
      <c r="J447" s="53">
        <f>IFERROR(VLOOKUP(B447, 'HMMT 1 Real'!$A$2:B$198,2, 0), 0)</f>
        <v>0</v>
      </c>
      <c r="K447" s="66">
        <f>IFERROR(VLOOKUP(B447, 'HMMT 2 Real'!$A$2:C$198,2, 0), 0)</f>
        <v>0</v>
      </c>
    </row>
    <row r="448">
      <c r="A448" s="65">
        <f t="shared" si="1"/>
        <v>447</v>
      </c>
      <c r="B448" s="7" t="s">
        <v>323</v>
      </c>
      <c r="C448" s="53">
        <f t="shared" si="6"/>
        <v>0</v>
      </c>
      <c r="D448" s="53">
        <f t="shared" si="3"/>
        <v>0</v>
      </c>
      <c r="E448" s="57">
        <f>IFERROR(VLOOKUP(B448, Proof!A$2:$B$199,2, 0), 0)</f>
        <v>0</v>
      </c>
      <c r="F448" s="58">
        <f>IFERROR(VLOOKUP(B448, 'HMMTPUMaC Algebra'!A$2:$B$500,2, 0), 0)</f>
        <v>0</v>
      </c>
      <c r="G448" s="53">
        <f>IFERROR(VLOOKUP(B448, 'HMMTPUMaC Combo'!A$2:$B$500,2, 0), 0)</f>
        <v>0</v>
      </c>
      <c r="H448" s="66">
        <f>IFERROR(VLOOKUP(B448, 'HMMTPUMaC Algebra'!A$2:$B$198,2, 0), 0)</f>
        <v>0</v>
      </c>
      <c r="I448" s="53">
        <f>IFERROR(VLOOKUP(B448, 'HMMTPUMaC NT'!A$2:$B$500,2, 0), 0)</f>
        <v>0</v>
      </c>
      <c r="J448" s="53">
        <f>IFERROR(VLOOKUP(B448, 'HMMT 1 Real'!$A$2:B$198,2, 0), 0)</f>
        <v>0</v>
      </c>
      <c r="K448" s="66">
        <f>IFERROR(VLOOKUP(B448, 'HMMT 2 Real'!$A$2:C$198,2, 0), 0)</f>
        <v>0</v>
      </c>
    </row>
    <row r="449">
      <c r="A449" s="65">
        <f t="shared" si="1"/>
        <v>448</v>
      </c>
      <c r="B449" s="7" t="s">
        <v>333</v>
      </c>
      <c r="C449" s="53">
        <f t="shared" si="6"/>
        <v>0</v>
      </c>
      <c r="D449" s="53">
        <f t="shared" si="3"/>
        <v>0</v>
      </c>
      <c r="E449" s="57">
        <f>IFERROR(VLOOKUP(B449, Proof!A$2:$B$199,2, 0), 0)</f>
        <v>0</v>
      </c>
      <c r="F449" s="58">
        <f>IFERROR(VLOOKUP(B449, 'HMMTPUMaC Algebra'!A$2:$B$500,2, 0), 0)</f>
        <v>0</v>
      </c>
      <c r="G449" s="53">
        <f>IFERROR(VLOOKUP(B449, 'HMMTPUMaC Combo'!A$2:$B$500,2, 0), 0)</f>
        <v>0</v>
      </c>
      <c r="H449" s="66">
        <f>IFERROR(VLOOKUP(B449, 'HMMTPUMaC Algebra'!A$2:$B$198,2, 0), 0)</f>
        <v>0</v>
      </c>
      <c r="I449" s="53">
        <f>IFERROR(VLOOKUP(B449, 'HMMTPUMaC NT'!A$2:$B$500,2, 0), 0)</f>
        <v>0</v>
      </c>
      <c r="J449" s="53">
        <f>IFERROR(VLOOKUP(B449, 'HMMT 1 Real'!$A$2:B$198,2, 0), 0)</f>
        <v>0</v>
      </c>
      <c r="K449" s="66">
        <f>IFERROR(VLOOKUP(B449, 'HMMT 2 Real'!$A$2:C$198,2, 0), 0)</f>
        <v>0</v>
      </c>
    </row>
    <row r="450">
      <c r="A450" s="65">
        <f t="shared" si="1"/>
        <v>449</v>
      </c>
      <c r="B450" s="7" t="s">
        <v>360</v>
      </c>
      <c r="C450" s="53">
        <f t="shared" si="6"/>
        <v>0</v>
      </c>
      <c r="D450" s="53">
        <f t="shared" si="3"/>
        <v>0</v>
      </c>
      <c r="E450" s="57">
        <f>IFERROR(VLOOKUP(B450, Proof!A$2:$B$199,2, 0), 0)</f>
        <v>0</v>
      </c>
      <c r="F450" s="58">
        <f>IFERROR(VLOOKUP(B450, 'HMMTPUMaC Algebra'!A$2:$B$500,2, 0), 0)</f>
        <v>0</v>
      </c>
      <c r="G450" s="53">
        <f>IFERROR(VLOOKUP(B450, 'HMMTPUMaC Combo'!A$2:$B$500,2, 0), 0)</f>
        <v>0</v>
      </c>
      <c r="H450" s="66">
        <f>IFERROR(VLOOKUP(B450, 'HMMTPUMaC Algebra'!A$2:$B$198,2, 0), 0)</f>
        <v>0</v>
      </c>
      <c r="I450" s="53">
        <f>IFERROR(VLOOKUP(B450, 'HMMTPUMaC NT'!A$2:$B$500,2, 0), 0)</f>
        <v>0</v>
      </c>
      <c r="J450" s="53">
        <f>IFERROR(VLOOKUP(B450, 'HMMT 1 Real'!$A$2:B$198,2, 0), 0)</f>
        <v>0</v>
      </c>
      <c r="K450" s="66">
        <f>IFERROR(VLOOKUP(B450, 'HMMT 2 Real'!$A$2:C$198,2, 0), 0)</f>
        <v>0</v>
      </c>
    </row>
    <row r="451">
      <c r="A451" s="65">
        <f t="shared" si="1"/>
        <v>450</v>
      </c>
      <c r="B451" s="7" t="s">
        <v>277</v>
      </c>
      <c r="C451" s="53">
        <f t="shared" si="6"/>
        <v>0</v>
      </c>
      <c r="D451" s="53">
        <f t="shared" si="3"/>
        <v>0</v>
      </c>
      <c r="E451" s="57">
        <f>IFERROR(VLOOKUP(B451, Proof!A$2:$B$199,2, 0), 0)</f>
        <v>0</v>
      </c>
      <c r="F451" s="58">
        <f>IFERROR(VLOOKUP(B451, 'HMMTPUMaC Algebra'!A$2:$B$500,2, 0), 0)</f>
        <v>0</v>
      </c>
      <c r="G451" s="53">
        <f>IFERROR(VLOOKUP(B451, 'HMMTPUMaC Combo'!A$2:$B$500,2, 0), 0)</f>
        <v>0</v>
      </c>
      <c r="H451" s="66">
        <f>IFERROR(VLOOKUP(B451, 'HMMTPUMaC Algebra'!A$2:$B$198,2, 0), 0)</f>
        <v>0</v>
      </c>
      <c r="I451" s="53">
        <f>IFERROR(VLOOKUP(B451, 'HMMTPUMaC NT'!A$2:$B$500,2, 0), 0)</f>
        <v>0</v>
      </c>
      <c r="J451" s="53">
        <f>IFERROR(VLOOKUP(B451, 'HMMT 1 Real'!$A$2:B$198,2, 0), 0)</f>
        <v>0</v>
      </c>
      <c r="K451" s="66">
        <f>IFERROR(VLOOKUP(B451, 'HMMT 2 Real'!$A$2:C$198,2, 0), 0)</f>
        <v>0</v>
      </c>
    </row>
    <row r="452">
      <c r="A452" s="65">
        <f t="shared" si="1"/>
        <v>451</v>
      </c>
      <c r="B452" s="7" t="s">
        <v>338</v>
      </c>
      <c r="C452" s="53">
        <f t="shared" si="6"/>
        <v>0</v>
      </c>
      <c r="D452" s="53">
        <f t="shared" si="3"/>
        <v>0</v>
      </c>
      <c r="E452" s="57">
        <f>IFERROR(VLOOKUP(B452, Proof!A$2:$B$199,2, 0), 0)</f>
        <v>0</v>
      </c>
      <c r="F452" s="58">
        <f>IFERROR(VLOOKUP(B452, 'HMMTPUMaC Algebra'!A$2:$B$500,2, 0), 0)</f>
        <v>0</v>
      </c>
      <c r="G452" s="53">
        <f>IFERROR(VLOOKUP(B452, 'HMMTPUMaC Combo'!A$2:$B$500,2, 0), 0)</f>
        <v>0</v>
      </c>
      <c r="H452" s="66">
        <f>IFERROR(VLOOKUP(B452, 'HMMTPUMaC Algebra'!A$2:$B$198,2, 0), 0)</f>
        <v>0</v>
      </c>
      <c r="I452" s="53">
        <f>IFERROR(VLOOKUP(B452, 'HMMTPUMaC NT'!A$2:$B$500,2, 0), 0)</f>
        <v>0</v>
      </c>
      <c r="J452" s="53">
        <f>IFERROR(VLOOKUP(B452, 'HMMT 1 Real'!$A$2:B$198,2, 0), 0)</f>
        <v>0</v>
      </c>
      <c r="K452" s="66">
        <f>IFERROR(VLOOKUP(B452, 'HMMT 2 Real'!$A$2:C$198,2, 0), 0)</f>
        <v>0</v>
      </c>
    </row>
    <row r="453">
      <c r="A453" s="65">
        <f t="shared" si="1"/>
        <v>452</v>
      </c>
      <c r="B453" s="7" t="s">
        <v>289</v>
      </c>
      <c r="C453" s="53">
        <f t="shared" si="6"/>
        <v>0</v>
      </c>
      <c r="D453" s="53">
        <f t="shared" si="3"/>
        <v>0</v>
      </c>
      <c r="E453" s="57">
        <f>IFERROR(VLOOKUP(B453, Proof!A$2:$B$199,2, 0), 0)</f>
        <v>0</v>
      </c>
      <c r="F453" s="58">
        <f>IFERROR(VLOOKUP(B453, 'HMMTPUMaC Algebra'!A$2:$B$500,2, 0), 0)</f>
        <v>0</v>
      </c>
      <c r="G453" s="53">
        <f>IFERROR(VLOOKUP(B453, 'HMMTPUMaC Combo'!A$2:$B$500,2, 0), 0)</f>
        <v>0</v>
      </c>
      <c r="H453" s="66">
        <f>IFERROR(VLOOKUP(B453, 'HMMTPUMaC Algebra'!A$2:$B$198,2, 0), 0)</f>
        <v>0</v>
      </c>
      <c r="I453" s="53">
        <f>IFERROR(VLOOKUP(B453, 'HMMTPUMaC NT'!A$2:$B$500,2, 0), 0)</f>
        <v>0</v>
      </c>
      <c r="J453" s="53">
        <f>IFERROR(VLOOKUP(B453, 'HMMT 1 Real'!$A$2:B$198,2, 0), 0)</f>
        <v>0</v>
      </c>
      <c r="K453" s="66">
        <f>IFERROR(VLOOKUP(B453, 'HMMT 2 Real'!$A$2:C$198,2, 0), 0)</f>
        <v>0</v>
      </c>
    </row>
    <row r="454">
      <c r="A454" s="65">
        <f t="shared" si="1"/>
        <v>453</v>
      </c>
      <c r="B454" s="7" t="s">
        <v>329</v>
      </c>
      <c r="C454" s="53">
        <f t="shared" si="6"/>
        <v>0</v>
      </c>
      <c r="D454" s="53">
        <f t="shared" si="3"/>
        <v>0</v>
      </c>
      <c r="E454" s="57">
        <f>IFERROR(VLOOKUP(B454, Proof!A$2:$B$199,2, 0), 0)</f>
        <v>0</v>
      </c>
      <c r="F454" s="58">
        <f>IFERROR(VLOOKUP(B454, 'HMMTPUMaC Algebra'!A$2:$B$500,2, 0), 0)</f>
        <v>0</v>
      </c>
      <c r="G454" s="53">
        <f>IFERROR(VLOOKUP(B454, 'HMMTPUMaC Combo'!A$2:$B$500,2, 0), 0)</f>
        <v>0</v>
      </c>
      <c r="H454" s="66">
        <f>IFERROR(VLOOKUP(B454, 'HMMTPUMaC Algebra'!A$2:$B$198,2, 0), 0)</f>
        <v>0</v>
      </c>
      <c r="I454" s="53">
        <f>IFERROR(VLOOKUP(B454, 'HMMTPUMaC NT'!A$2:$B$500,2, 0), 0)</f>
        <v>0</v>
      </c>
      <c r="J454" s="53">
        <f>IFERROR(VLOOKUP(B454, 'HMMT 1 Real'!$A$2:B$198,2, 0), 0)</f>
        <v>0</v>
      </c>
      <c r="K454" s="66">
        <f>IFERROR(VLOOKUP(B454, 'HMMT 2 Real'!$A$2:C$198,2, 0), 0)</f>
        <v>0</v>
      </c>
    </row>
    <row r="455">
      <c r="A455" s="65">
        <f t="shared" si="1"/>
        <v>454</v>
      </c>
      <c r="B455" s="7" t="s">
        <v>342</v>
      </c>
      <c r="C455" s="53">
        <f t="shared" si="6"/>
        <v>0</v>
      </c>
      <c r="D455" s="53">
        <f t="shared" si="3"/>
        <v>0</v>
      </c>
      <c r="E455" s="57">
        <f>IFERROR(VLOOKUP(B455, Proof!A$2:$B$199,2, 0), 0)</f>
        <v>0</v>
      </c>
      <c r="F455" s="58">
        <f>IFERROR(VLOOKUP(B455, 'HMMTPUMaC Algebra'!A$2:$B$500,2, 0), 0)</f>
        <v>0</v>
      </c>
      <c r="G455" s="53">
        <f>IFERROR(VLOOKUP(B455, 'HMMTPUMaC Combo'!A$2:$B$500,2, 0), 0)</f>
        <v>0</v>
      </c>
      <c r="H455" s="66">
        <f>IFERROR(VLOOKUP(B455, 'HMMTPUMaC Algebra'!A$2:$B$198,2, 0), 0)</f>
        <v>0</v>
      </c>
      <c r="I455" s="53">
        <f>IFERROR(VLOOKUP(B455, 'HMMTPUMaC NT'!A$2:$B$500,2, 0), 0)</f>
        <v>0</v>
      </c>
      <c r="J455" s="53">
        <f>IFERROR(VLOOKUP(B455, 'HMMT 1 Real'!$A$2:B$198,2, 0), 0)</f>
        <v>0</v>
      </c>
      <c r="K455" s="66">
        <f>IFERROR(VLOOKUP(B455, 'HMMT 2 Real'!$A$2:C$198,2, 0), 0)</f>
        <v>0</v>
      </c>
    </row>
    <row r="456">
      <c r="A456" s="65">
        <f t="shared" si="1"/>
        <v>455</v>
      </c>
      <c r="B456" s="7" t="s">
        <v>320</v>
      </c>
      <c r="C456" s="53">
        <f t="shared" si="6"/>
        <v>0</v>
      </c>
      <c r="D456" s="53">
        <f t="shared" si="3"/>
        <v>0</v>
      </c>
      <c r="E456" s="57">
        <f>IFERROR(VLOOKUP(B456, Proof!A$2:$B$199,2, 0), 0)</f>
        <v>0</v>
      </c>
      <c r="F456" s="58">
        <f>IFERROR(VLOOKUP(B456, 'HMMTPUMaC Algebra'!A$2:$B$500,2, 0), 0)</f>
        <v>0</v>
      </c>
      <c r="G456" s="53">
        <f>IFERROR(VLOOKUP(B456, 'HMMTPUMaC Combo'!A$2:$B$500,2, 0), 0)</f>
        <v>0</v>
      </c>
      <c r="H456" s="66">
        <f>IFERROR(VLOOKUP(B456, 'HMMTPUMaC Algebra'!A$2:$B$198,2, 0), 0)</f>
        <v>0</v>
      </c>
      <c r="I456" s="53">
        <f>IFERROR(VLOOKUP(B456, 'HMMTPUMaC NT'!A$2:$B$500,2, 0), 0)</f>
        <v>0</v>
      </c>
      <c r="J456" s="53">
        <f>IFERROR(VLOOKUP(B456, 'HMMT 1 Real'!$A$2:B$198,2, 0), 0)</f>
        <v>0</v>
      </c>
      <c r="K456" s="66">
        <f>IFERROR(VLOOKUP(B456, 'HMMT 2 Real'!$A$2:C$198,2, 0), 0)</f>
        <v>0</v>
      </c>
    </row>
    <row r="457">
      <c r="A457" s="65">
        <f t="shared" si="1"/>
        <v>456</v>
      </c>
      <c r="B457" s="7" t="s">
        <v>330</v>
      </c>
      <c r="C457" s="53">
        <f t="shared" si="6"/>
        <v>0</v>
      </c>
      <c r="D457" s="53">
        <f t="shared" si="3"/>
        <v>0</v>
      </c>
      <c r="E457" s="57">
        <f>IFERROR(VLOOKUP(B457, Proof!A$2:$B$199,2, 0), 0)</f>
        <v>0</v>
      </c>
      <c r="F457" s="58">
        <f>IFERROR(VLOOKUP(B457, 'HMMTPUMaC Algebra'!A$2:$B$500,2, 0), 0)</f>
        <v>0</v>
      </c>
      <c r="G457" s="53">
        <f>IFERROR(VLOOKUP(B457, 'HMMTPUMaC Combo'!A$2:$B$500,2, 0), 0)</f>
        <v>0</v>
      </c>
      <c r="H457" s="66">
        <f>IFERROR(VLOOKUP(B457, 'HMMTPUMaC Algebra'!A$2:$B$198,2, 0), 0)</f>
        <v>0</v>
      </c>
      <c r="I457" s="53">
        <f>IFERROR(VLOOKUP(B457, 'HMMTPUMaC NT'!A$2:$B$500,2, 0), 0)</f>
        <v>0</v>
      </c>
      <c r="J457" s="53">
        <f>IFERROR(VLOOKUP(B457, 'HMMT 1 Real'!$A$2:B$198,2, 0), 0)</f>
        <v>0</v>
      </c>
      <c r="K457" s="66">
        <f>IFERROR(VLOOKUP(B457, 'HMMT 2 Real'!$A$2:C$198,2, 0), 0)</f>
        <v>0</v>
      </c>
    </row>
    <row r="458">
      <c r="A458" s="65">
        <f t="shared" si="1"/>
        <v>457</v>
      </c>
      <c r="B458" s="7" t="s">
        <v>352</v>
      </c>
      <c r="C458" s="53">
        <f t="shared" si="6"/>
        <v>0</v>
      </c>
      <c r="D458" s="53">
        <f t="shared" si="3"/>
        <v>0</v>
      </c>
      <c r="E458" s="57">
        <f>IFERROR(VLOOKUP(B458, Proof!A$2:$B$199,2, 0), 0)</f>
        <v>0</v>
      </c>
      <c r="F458" s="58">
        <f>IFERROR(VLOOKUP(B458, 'HMMTPUMaC Algebra'!A$2:$B$500,2, 0), 0)</f>
        <v>0</v>
      </c>
      <c r="G458" s="53">
        <f>IFERROR(VLOOKUP(B458, 'HMMTPUMaC Combo'!A$2:$B$500,2, 0), 0)</f>
        <v>0</v>
      </c>
      <c r="H458" s="66">
        <f>IFERROR(VLOOKUP(B458, 'HMMTPUMaC Algebra'!A$2:$B$198,2, 0), 0)</f>
        <v>0</v>
      </c>
      <c r="I458" s="53">
        <f>IFERROR(VLOOKUP(B458, 'HMMTPUMaC NT'!A$2:$B$500,2, 0), 0)</f>
        <v>0</v>
      </c>
      <c r="J458" s="53">
        <f>IFERROR(VLOOKUP(B458, 'HMMT 1 Real'!$A$2:B$198,2, 0), 0)</f>
        <v>0</v>
      </c>
      <c r="K458" s="66">
        <f>IFERROR(VLOOKUP(B458, 'HMMT 2 Real'!$A$2:C$198,2, 0), 0)</f>
        <v>0</v>
      </c>
    </row>
    <row r="459">
      <c r="A459" s="65">
        <f t="shared" si="1"/>
        <v>458</v>
      </c>
      <c r="B459" s="7" t="s">
        <v>344</v>
      </c>
      <c r="C459" s="53">
        <f t="shared" si="6"/>
        <v>0</v>
      </c>
      <c r="D459" s="53">
        <f t="shared" si="3"/>
        <v>0</v>
      </c>
      <c r="E459" s="57">
        <f>IFERROR(VLOOKUP(B459, Proof!A$2:$B$199,2, 0), 0)</f>
        <v>0</v>
      </c>
      <c r="F459" s="58">
        <f>IFERROR(VLOOKUP(B459, 'HMMTPUMaC Algebra'!A$2:$B$500,2, 0), 0)</f>
        <v>0</v>
      </c>
      <c r="G459" s="53">
        <f>IFERROR(VLOOKUP(B459, 'HMMTPUMaC Combo'!A$2:$B$500,2, 0), 0)</f>
        <v>0</v>
      </c>
      <c r="H459" s="66">
        <f>IFERROR(VLOOKUP(B459, 'HMMTPUMaC Algebra'!A$2:$B$198,2, 0), 0)</f>
        <v>0</v>
      </c>
      <c r="I459" s="53">
        <f>IFERROR(VLOOKUP(B459, 'HMMTPUMaC NT'!A$2:$B$500,2, 0), 0)</f>
        <v>0</v>
      </c>
      <c r="J459" s="53">
        <f>IFERROR(VLOOKUP(B459, 'HMMT 1 Real'!$A$2:B$198,2, 0), 0)</f>
        <v>0</v>
      </c>
      <c r="K459" s="66">
        <f>IFERROR(VLOOKUP(B459, 'HMMT 2 Real'!$A$2:C$198,2, 0), 0)</f>
        <v>0</v>
      </c>
    </row>
    <row r="460">
      <c r="A460" s="65">
        <f t="shared" si="1"/>
        <v>459</v>
      </c>
      <c r="B460" s="7" t="s">
        <v>362</v>
      </c>
      <c r="C460" s="53">
        <f t="shared" si="6"/>
        <v>0</v>
      </c>
      <c r="D460" s="53">
        <f t="shared" si="3"/>
        <v>0</v>
      </c>
      <c r="E460" s="57">
        <f>IFERROR(VLOOKUP(B460, Proof!A$2:$B$199,2, 0), 0)</f>
        <v>0</v>
      </c>
      <c r="F460" s="58">
        <f>IFERROR(VLOOKUP(B460, 'HMMTPUMaC Algebra'!A$2:$B$500,2, 0), 0)</f>
        <v>0</v>
      </c>
      <c r="G460" s="53">
        <f>IFERROR(VLOOKUP(B460, 'HMMTPUMaC Combo'!A$2:$B$500,2, 0), 0)</f>
        <v>0</v>
      </c>
      <c r="H460" s="66">
        <f>IFERROR(VLOOKUP(B460, 'HMMTPUMaC Algebra'!A$2:$B$198,2, 0), 0)</f>
        <v>0</v>
      </c>
      <c r="I460" s="53">
        <f>IFERROR(VLOOKUP(B460, 'HMMTPUMaC NT'!A$2:$B$500,2, 0), 0)</f>
        <v>0</v>
      </c>
      <c r="J460" s="53">
        <f>IFERROR(VLOOKUP(B460, 'HMMT 1 Real'!$A$2:B$198,2, 0), 0)</f>
        <v>0</v>
      </c>
      <c r="K460" s="66">
        <f>IFERROR(VLOOKUP(B460, 'HMMT 2 Real'!$A$2:C$198,2, 0), 0)</f>
        <v>0</v>
      </c>
    </row>
    <row r="461">
      <c r="A461" s="65">
        <f t="shared" si="1"/>
        <v>460</v>
      </c>
      <c r="B461" s="7" t="s">
        <v>296</v>
      </c>
      <c r="C461" s="53">
        <f t="shared" si="6"/>
        <v>0</v>
      </c>
      <c r="D461" s="53">
        <f t="shared" si="3"/>
        <v>0</v>
      </c>
      <c r="E461" s="57">
        <f>IFERROR(VLOOKUP(B461, Proof!A$2:$B$199,2, 0), 0)</f>
        <v>0</v>
      </c>
      <c r="F461" s="58">
        <f>IFERROR(VLOOKUP(B461, 'HMMTPUMaC Algebra'!A$2:$B$500,2, 0), 0)</f>
        <v>0</v>
      </c>
      <c r="G461" s="53">
        <f>IFERROR(VLOOKUP(B461, 'HMMTPUMaC Combo'!A$2:$B$500,2, 0), 0)</f>
        <v>0</v>
      </c>
      <c r="H461" s="66">
        <f>IFERROR(VLOOKUP(B461, 'HMMTPUMaC Algebra'!A$2:$B$198,2, 0), 0)</f>
        <v>0</v>
      </c>
      <c r="I461" s="53">
        <f>IFERROR(VLOOKUP(B461, 'HMMTPUMaC NT'!A$2:$B$500,2, 0), 0)</f>
        <v>0</v>
      </c>
      <c r="J461" s="53">
        <f>IFERROR(VLOOKUP(B461, 'HMMT 1 Real'!$A$2:B$198,2, 0), 0)</f>
        <v>0</v>
      </c>
      <c r="K461" s="66">
        <f>IFERROR(VLOOKUP(B461, 'HMMT 2 Real'!$A$2:C$198,2, 0), 0)</f>
        <v>0</v>
      </c>
    </row>
    <row r="462">
      <c r="A462" s="65">
        <f t="shared" si="1"/>
        <v>461</v>
      </c>
      <c r="B462" s="7" t="s">
        <v>282</v>
      </c>
      <c r="C462" s="53">
        <f t="shared" si="6"/>
        <v>0</v>
      </c>
      <c r="D462" s="53">
        <f t="shared" si="3"/>
        <v>0</v>
      </c>
      <c r="E462" s="57">
        <f>IFERROR(VLOOKUP(B462, Proof!A$2:$B$199,2, 0), 0)</f>
        <v>0</v>
      </c>
      <c r="F462" s="58">
        <f>IFERROR(VLOOKUP(B462, 'HMMTPUMaC Algebra'!A$2:$B$500,2, 0), 0)</f>
        <v>0</v>
      </c>
      <c r="G462" s="53">
        <f>IFERROR(VLOOKUP(B462, 'HMMTPUMaC Combo'!A$2:$B$500,2, 0), 0)</f>
        <v>0</v>
      </c>
      <c r="H462" s="66">
        <f>IFERROR(VLOOKUP(B462, 'HMMTPUMaC Algebra'!A$2:$B$198,2, 0), 0)</f>
        <v>0</v>
      </c>
      <c r="I462" s="53">
        <f>IFERROR(VLOOKUP(B462, 'HMMTPUMaC NT'!A$2:$B$500,2, 0), 0)</f>
        <v>0</v>
      </c>
      <c r="J462" s="53">
        <f>IFERROR(VLOOKUP(B462, 'HMMT 1 Real'!$A$2:B$198,2, 0), 0)</f>
        <v>0</v>
      </c>
      <c r="K462" s="66">
        <f>IFERROR(VLOOKUP(B462, 'HMMT 2 Real'!$A$2:C$198,2, 0), 0)</f>
        <v>0</v>
      </c>
    </row>
    <row r="463">
      <c r="A463" s="65"/>
      <c r="E463" s="6"/>
      <c r="J463" s="53"/>
      <c r="K463" s="66"/>
    </row>
    <row r="464">
      <c r="A464" s="65"/>
      <c r="E464" s="6"/>
      <c r="J464" s="53"/>
      <c r="K464" s="66"/>
    </row>
    <row r="465">
      <c r="A465" s="65"/>
      <c r="E465" s="6"/>
      <c r="J465" s="53"/>
      <c r="K465" s="66"/>
    </row>
    <row r="466">
      <c r="A466" s="65"/>
      <c r="E466" s="6"/>
      <c r="J466" s="53"/>
      <c r="K466" s="66"/>
    </row>
    <row r="467">
      <c r="A467" s="65"/>
      <c r="E467" s="6"/>
      <c r="J467" s="53"/>
      <c r="K467" s="66"/>
    </row>
    <row r="468">
      <c r="A468" s="65"/>
      <c r="E468" s="6"/>
      <c r="J468" s="53"/>
      <c r="K468" s="66"/>
    </row>
    <row r="469">
      <c r="A469" s="65"/>
      <c r="B469" s="7"/>
      <c r="E469" s="6"/>
      <c r="J469" s="53"/>
      <c r="K469" s="66"/>
    </row>
    <row r="470">
      <c r="A470" s="65"/>
      <c r="B470" s="6"/>
      <c r="E470" s="6"/>
    </row>
    <row r="471">
      <c r="A471" s="65"/>
      <c r="B471" s="6"/>
      <c r="E471" s="6"/>
    </row>
    <row r="472">
      <c r="A472" s="65"/>
      <c r="B472" s="6"/>
      <c r="E472" s="6"/>
    </row>
    <row r="473">
      <c r="A473" s="65"/>
      <c r="B473" s="6"/>
      <c r="E473" s="6"/>
    </row>
    <row r="474">
      <c r="A474" s="65"/>
      <c r="B474" s="6"/>
      <c r="E474" s="6"/>
    </row>
    <row r="475">
      <c r="A475" s="65"/>
      <c r="B475" s="6"/>
      <c r="E475" s="6"/>
    </row>
    <row r="476">
      <c r="A476" s="65"/>
      <c r="B476" s="6"/>
      <c r="E476" s="6"/>
    </row>
    <row r="477">
      <c r="A477" s="65"/>
      <c r="B477" s="6"/>
      <c r="E477" s="6"/>
    </row>
    <row r="478">
      <c r="A478" s="65"/>
      <c r="B478" s="6"/>
      <c r="E478" s="6"/>
    </row>
    <row r="479">
      <c r="A479" s="65"/>
      <c r="B479" s="6"/>
      <c r="E479" s="6"/>
    </row>
    <row r="480">
      <c r="A480" s="65"/>
      <c r="B480" s="6"/>
      <c r="E480" s="6"/>
    </row>
    <row r="481">
      <c r="A481" s="65"/>
      <c r="B481" s="6"/>
      <c r="E481" s="6"/>
    </row>
    <row r="482">
      <c r="A482" s="65"/>
      <c r="B482" s="6"/>
      <c r="E482" s="6"/>
    </row>
    <row r="483">
      <c r="A483" s="65"/>
      <c r="B483" s="6"/>
      <c r="E483" s="6"/>
    </row>
    <row r="484">
      <c r="A484" s="65"/>
      <c r="B484" s="6"/>
      <c r="E484" s="6"/>
    </row>
    <row r="485">
      <c r="A485" s="65"/>
      <c r="B485" s="6"/>
      <c r="E485" s="6"/>
    </row>
    <row r="486">
      <c r="A486" s="65"/>
      <c r="B486" s="6"/>
      <c r="E486" s="6"/>
    </row>
    <row r="487">
      <c r="A487" s="65"/>
      <c r="B487" s="6"/>
      <c r="E487" s="6"/>
    </row>
    <row r="488">
      <c r="A488" s="65"/>
      <c r="B488" s="6"/>
      <c r="E488" s="6"/>
    </row>
    <row r="489">
      <c r="A489" s="65"/>
      <c r="B489" s="6"/>
      <c r="E489" s="6"/>
    </row>
    <row r="490">
      <c r="A490" s="65"/>
      <c r="B490" s="6"/>
      <c r="E490" s="6"/>
    </row>
    <row r="491">
      <c r="A491" s="65"/>
      <c r="B491" s="6"/>
      <c r="E491" s="6"/>
    </row>
    <row r="492">
      <c r="A492" s="65"/>
      <c r="B492" s="6"/>
      <c r="E492" s="6"/>
    </row>
    <row r="493">
      <c r="A493" s="65"/>
      <c r="B493" s="6"/>
      <c r="E493" s="6"/>
    </row>
    <row r="494">
      <c r="A494" s="65"/>
      <c r="B494" s="6"/>
      <c r="E494" s="6"/>
    </row>
    <row r="495">
      <c r="A495" s="65"/>
      <c r="B495" s="6"/>
      <c r="E495" s="6"/>
    </row>
    <row r="496">
      <c r="A496" s="65"/>
      <c r="B496" s="6"/>
      <c r="E496" s="6"/>
    </row>
    <row r="497">
      <c r="A497" s="65"/>
      <c r="B497" s="6"/>
      <c r="E497" s="6"/>
    </row>
    <row r="498">
      <c r="A498" s="65"/>
      <c r="B498" s="6"/>
      <c r="E498" s="6"/>
    </row>
    <row r="499">
      <c r="A499" s="65"/>
      <c r="B499" s="6"/>
      <c r="E499" s="6"/>
    </row>
    <row r="500">
      <c r="A500" s="65"/>
      <c r="B500" s="6"/>
      <c r="E500" s="6"/>
    </row>
    <row r="501">
      <c r="A501" s="65"/>
      <c r="B501" s="6"/>
      <c r="E501" s="6"/>
    </row>
    <row r="502">
      <c r="A502" s="65"/>
      <c r="B502" s="6"/>
      <c r="E502" s="6"/>
    </row>
    <row r="503">
      <c r="A503" s="65"/>
      <c r="B503" s="6"/>
      <c r="E503" s="6"/>
    </row>
    <row r="504">
      <c r="A504" s="65"/>
      <c r="B504" s="6"/>
      <c r="E504" s="6"/>
    </row>
    <row r="505">
      <c r="A505" s="65"/>
      <c r="B505" s="6"/>
      <c r="E505" s="6"/>
    </row>
    <row r="506">
      <c r="A506" s="65"/>
      <c r="B506" s="6"/>
      <c r="E506" s="6"/>
    </row>
    <row r="507">
      <c r="A507" s="65"/>
      <c r="B507" s="6"/>
      <c r="E507" s="6"/>
    </row>
    <row r="508">
      <c r="A508" s="65"/>
      <c r="B508" s="6"/>
      <c r="E508" s="6"/>
    </row>
    <row r="509">
      <c r="A509" s="65"/>
      <c r="B509" s="6"/>
      <c r="E509" s="6"/>
    </row>
    <row r="510">
      <c r="A510" s="65"/>
      <c r="B510" s="6"/>
      <c r="E510" s="6"/>
    </row>
    <row r="511">
      <c r="A511" s="65"/>
      <c r="B511" s="6"/>
      <c r="E511" s="6"/>
    </row>
    <row r="512">
      <c r="A512" s="65"/>
      <c r="B512" s="6"/>
      <c r="E512" s="6"/>
    </row>
    <row r="513">
      <c r="A513" s="65"/>
      <c r="B513" s="6"/>
      <c r="E513" s="6"/>
    </row>
    <row r="514">
      <c r="A514" s="65"/>
      <c r="B514" s="6"/>
      <c r="E514" s="6"/>
    </row>
    <row r="515">
      <c r="A515" s="65"/>
      <c r="B515" s="6"/>
      <c r="E515" s="6"/>
    </row>
    <row r="516">
      <c r="A516" s="65"/>
      <c r="B516" s="6"/>
      <c r="E516" s="6"/>
    </row>
    <row r="517">
      <c r="A517" s="65"/>
      <c r="B517" s="6"/>
      <c r="E517" s="6"/>
    </row>
    <row r="518">
      <c r="A518" s="65"/>
      <c r="B518" s="6"/>
      <c r="E518" s="6"/>
    </row>
    <row r="519">
      <c r="A519" s="65"/>
      <c r="B519" s="6"/>
      <c r="E519" s="6"/>
    </row>
    <row r="520">
      <c r="A520" s="65"/>
      <c r="B520" s="6"/>
      <c r="E520" s="6"/>
    </row>
    <row r="521">
      <c r="A521" s="65"/>
      <c r="B521" s="6"/>
      <c r="E521" s="6"/>
    </row>
    <row r="522">
      <c r="A522" s="65"/>
      <c r="B522" s="6"/>
      <c r="E522" s="6"/>
    </row>
    <row r="523">
      <c r="A523" s="65"/>
      <c r="B523" s="6"/>
      <c r="E523" s="6"/>
    </row>
    <row r="524">
      <c r="A524" s="65"/>
      <c r="B524" s="6"/>
      <c r="E524" s="6"/>
    </row>
    <row r="525">
      <c r="A525" s="65"/>
      <c r="B525" s="6"/>
      <c r="E525" s="6"/>
    </row>
    <row r="526">
      <c r="A526" s="65"/>
      <c r="B526" s="6"/>
      <c r="E526" s="6"/>
    </row>
    <row r="527">
      <c r="A527" s="65"/>
      <c r="B527" s="6"/>
      <c r="E527" s="6"/>
    </row>
    <row r="528">
      <c r="A528" s="65"/>
      <c r="B528" s="6"/>
      <c r="E528" s="6"/>
    </row>
    <row r="529">
      <c r="A529" s="65"/>
      <c r="B529" s="6"/>
      <c r="E529" s="6"/>
    </row>
    <row r="530">
      <c r="A530" s="65"/>
      <c r="B530" s="6"/>
      <c r="E530" s="6"/>
    </row>
    <row r="531">
      <c r="A531" s="65"/>
      <c r="B531" s="6"/>
      <c r="E531" s="6"/>
    </row>
    <row r="532">
      <c r="A532" s="65"/>
      <c r="B532" s="6"/>
      <c r="E532" s="6"/>
    </row>
    <row r="533">
      <c r="A533" s="65"/>
      <c r="B533" s="6"/>
      <c r="E533" s="6"/>
    </row>
    <row r="534">
      <c r="A534" s="65"/>
      <c r="B534" s="6"/>
      <c r="E534" s="6"/>
    </row>
    <row r="535">
      <c r="A535" s="65"/>
      <c r="B535" s="6"/>
      <c r="E535" s="6"/>
    </row>
    <row r="536">
      <c r="A536" s="65"/>
      <c r="B536" s="6"/>
      <c r="E536" s="6"/>
    </row>
    <row r="537">
      <c r="A537" s="65"/>
      <c r="B537" s="6"/>
      <c r="E537" s="6"/>
    </row>
    <row r="538">
      <c r="A538" s="65"/>
      <c r="B538" s="6"/>
      <c r="E538" s="6"/>
    </row>
    <row r="539">
      <c r="A539" s="65"/>
      <c r="B539" s="6"/>
      <c r="E539" s="6"/>
    </row>
    <row r="540">
      <c r="A540" s="65"/>
      <c r="B540" s="6"/>
      <c r="E540" s="6"/>
    </row>
    <row r="541">
      <c r="A541" s="65"/>
      <c r="B541" s="6"/>
      <c r="E541" s="6"/>
    </row>
    <row r="542">
      <c r="A542" s="65"/>
      <c r="B542" s="6"/>
      <c r="E542" s="6"/>
    </row>
    <row r="543">
      <c r="A543" s="65"/>
      <c r="B543" s="6"/>
      <c r="E543" s="6"/>
    </row>
    <row r="544">
      <c r="A544" s="65"/>
      <c r="B544" s="6"/>
      <c r="E544" s="6"/>
    </row>
    <row r="545">
      <c r="A545" s="65"/>
      <c r="B545" s="6"/>
      <c r="E545" s="6"/>
    </row>
    <row r="546">
      <c r="A546" s="65"/>
      <c r="B546" s="6"/>
      <c r="E546" s="6"/>
    </row>
    <row r="547">
      <c r="A547" s="65"/>
      <c r="B547" s="6"/>
      <c r="E547" s="6"/>
    </row>
    <row r="548">
      <c r="A548" s="65"/>
      <c r="B548" s="6"/>
      <c r="E548" s="6"/>
    </row>
    <row r="549">
      <c r="A549" s="65"/>
      <c r="B549" s="6"/>
      <c r="E549" s="6"/>
    </row>
    <row r="550">
      <c r="A550" s="65"/>
      <c r="B550" s="6"/>
      <c r="E550" s="6"/>
    </row>
    <row r="551">
      <c r="A551" s="65"/>
      <c r="B551" s="6"/>
      <c r="E551" s="6"/>
    </row>
    <row r="552">
      <c r="A552" s="65"/>
      <c r="B552" s="6"/>
      <c r="E552" s="6"/>
    </row>
    <row r="553">
      <c r="A553" s="65"/>
      <c r="B553" s="6"/>
      <c r="E553" s="6"/>
    </row>
    <row r="554">
      <c r="A554" s="65"/>
      <c r="B554" s="6"/>
      <c r="E554" s="6"/>
    </row>
    <row r="555">
      <c r="A555" s="65"/>
      <c r="B555" s="6"/>
      <c r="E555" s="6"/>
    </row>
    <row r="556">
      <c r="A556" s="65"/>
      <c r="B556" s="6"/>
      <c r="E556" s="6"/>
    </row>
    <row r="557">
      <c r="A557" s="65"/>
      <c r="B557" s="6"/>
      <c r="E557" s="6"/>
    </row>
    <row r="558">
      <c r="A558" s="65"/>
      <c r="B558" s="6"/>
      <c r="E558" s="6"/>
    </row>
    <row r="559">
      <c r="A559" s="65"/>
      <c r="B559" s="6"/>
      <c r="E559" s="6"/>
    </row>
    <row r="560">
      <c r="A560" s="65"/>
      <c r="B560" s="6"/>
      <c r="E560" s="6"/>
    </row>
    <row r="561">
      <c r="A561" s="65"/>
      <c r="B561" s="6"/>
      <c r="E561" s="6"/>
    </row>
    <row r="562">
      <c r="A562" s="65"/>
      <c r="B562" s="6"/>
      <c r="E562" s="6"/>
    </row>
    <row r="563">
      <c r="A563" s="65"/>
      <c r="B563" s="6"/>
      <c r="E563" s="6"/>
    </row>
    <row r="564">
      <c r="A564" s="65"/>
      <c r="B564" s="6"/>
      <c r="E564" s="6"/>
    </row>
    <row r="565">
      <c r="A565" s="65"/>
      <c r="B565" s="6"/>
      <c r="E565" s="6"/>
    </row>
    <row r="566">
      <c r="A566" s="65"/>
      <c r="B566" s="6"/>
      <c r="E566" s="6"/>
    </row>
    <row r="567">
      <c r="A567" s="65"/>
      <c r="B567" s="6"/>
      <c r="E567" s="6"/>
    </row>
    <row r="568">
      <c r="A568" s="65"/>
      <c r="B568" s="6"/>
      <c r="E568" s="6"/>
    </row>
    <row r="569">
      <c r="A569" s="65"/>
      <c r="B569" s="6"/>
      <c r="E569" s="6"/>
    </row>
    <row r="570">
      <c r="A570" s="65"/>
      <c r="B570" s="6"/>
      <c r="E570" s="6"/>
    </row>
    <row r="571">
      <c r="A571" s="65"/>
      <c r="B571" s="6"/>
      <c r="E571" s="6"/>
    </row>
    <row r="572">
      <c r="A572" s="65"/>
      <c r="B572" s="6"/>
      <c r="E572" s="6"/>
    </row>
    <row r="573">
      <c r="A573" s="65"/>
      <c r="B573" s="6"/>
      <c r="E573" s="6"/>
    </row>
    <row r="574">
      <c r="A574" s="65"/>
      <c r="B574" s="6"/>
      <c r="E574" s="6"/>
    </row>
    <row r="575">
      <c r="A575" s="65"/>
      <c r="B575" s="6"/>
      <c r="E575" s="6"/>
    </row>
    <row r="576">
      <c r="A576" s="65"/>
      <c r="B576" s="6"/>
      <c r="E576" s="6"/>
    </row>
    <row r="577">
      <c r="A577" s="65"/>
      <c r="B577" s="6"/>
      <c r="E577" s="6"/>
    </row>
    <row r="578">
      <c r="A578" s="65"/>
      <c r="B578" s="6"/>
      <c r="E578" s="6"/>
    </row>
    <row r="579">
      <c r="A579" s="65"/>
      <c r="B579" s="6"/>
      <c r="E579" s="6"/>
    </row>
    <row r="580">
      <c r="A580" s="65"/>
      <c r="B580" s="6"/>
      <c r="E580" s="6"/>
    </row>
    <row r="581">
      <c r="A581" s="65"/>
      <c r="B581" s="6"/>
      <c r="E581" s="6"/>
    </row>
    <row r="582">
      <c r="A582" s="65"/>
      <c r="B582" s="6"/>
      <c r="E582" s="6"/>
    </row>
    <row r="583">
      <c r="A583" s="65"/>
      <c r="B583" s="6"/>
      <c r="E583" s="6"/>
    </row>
    <row r="584">
      <c r="A584" s="65"/>
      <c r="B584" s="6"/>
      <c r="E584" s="6"/>
    </row>
    <row r="585">
      <c r="A585" s="65"/>
      <c r="B585" s="6"/>
      <c r="E585" s="6"/>
    </row>
    <row r="586">
      <c r="A586" s="65"/>
      <c r="B586" s="6"/>
      <c r="E586" s="6"/>
    </row>
    <row r="587">
      <c r="A587" s="65"/>
      <c r="B587" s="6"/>
      <c r="E587" s="6"/>
    </row>
    <row r="588">
      <c r="A588" s="65"/>
      <c r="B588" s="6"/>
      <c r="E588" s="6"/>
    </row>
    <row r="589">
      <c r="A589" s="65"/>
      <c r="B589" s="6"/>
      <c r="E589" s="6"/>
    </row>
    <row r="590">
      <c r="A590" s="65"/>
      <c r="B590" s="6"/>
      <c r="E590" s="6"/>
    </row>
    <row r="591">
      <c r="A591" s="65"/>
      <c r="B591" s="6"/>
      <c r="E591" s="6"/>
    </row>
    <row r="592">
      <c r="A592" s="65"/>
      <c r="B592" s="6"/>
      <c r="E592" s="6"/>
    </row>
    <row r="593">
      <c r="A593" s="65"/>
      <c r="B593" s="6"/>
      <c r="E593" s="6"/>
    </row>
    <row r="594">
      <c r="A594" s="65"/>
      <c r="B594" s="6"/>
      <c r="E594" s="6"/>
    </row>
    <row r="595">
      <c r="A595" s="65"/>
      <c r="B595" s="6"/>
      <c r="E595" s="6"/>
    </row>
    <row r="596">
      <c r="A596" s="65"/>
      <c r="B596" s="6"/>
      <c r="E596" s="6"/>
    </row>
    <row r="597">
      <c r="A597" s="65"/>
      <c r="B597" s="6"/>
      <c r="E597" s="6"/>
    </row>
    <row r="598">
      <c r="B598" s="6"/>
      <c r="E598" s="6"/>
    </row>
    <row r="599">
      <c r="B599" s="6"/>
      <c r="E599" s="6"/>
    </row>
    <row r="600">
      <c r="B600" s="6"/>
      <c r="E600" s="6"/>
    </row>
    <row r="601">
      <c r="B601" s="6"/>
      <c r="E601" s="6"/>
    </row>
    <row r="602">
      <c r="B602" s="6"/>
      <c r="E602" s="6"/>
    </row>
    <row r="603">
      <c r="B603" s="6"/>
      <c r="E603" s="6"/>
    </row>
    <row r="604">
      <c r="B604" s="6"/>
      <c r="E604" s="6"/>
    </row>
    <row r="605">
      <c r="B605" s="6"/>
      <c r="E605" s="6"/>
    </row>
    <row r="606">
      <c r="B606" s="6"/>
      <c r="E606" s="6"/>
    </row>
    <row r="607">
      <c r="B607" s="6"/>
      <c r="E607" s="6"/>
    </row>
    <row r="608">
      <c r="B608" s="6"/>
      <c r="E608" s="6"/>
    </row>
    <row r="609">
      <c r="B609" s="6"/>
      <c r="E609" s="6"/>
    </row>
    <row r="610">
      <c r="B610" s="6"/>
      <c r="E610" s="6"/>
    </row>
    <row r="611">
      <c r="B611" s="6"/>
      <c r="E611" s="6"/>
    </row>
    <row r="612">
      <c r="B612" s="6"/>
      <c r="E612" s="6"/>
    </row>
    <row r="613">
      <c r="B613" s="6"/>
      <c r="E613" s="6"/>
    </row>
    <row r="614">
      <c r="B614" s="6"/>
      <c r="E614" s="6"/>
    </row>
    <row r="615">
      <c r="B615" s="6"/>
      <c r="E615" s="6"/>
    </row>
    <row r="616">
      <c r="B616" s="6"/>
      <c r="E616" s="6"/>
    </row>
    <row r="617">
      <c r="B617" s="6"/>
      <c r="E617" s="6"/>
    </row>
    <row r="618">
      <c r="B618" s="6"/>
      <c r="E618" s="6"/>
    </row>
    <row r="619">
      <c r="B619" s="6"/>
      <c r="E619" s="6"/>
    </row>
    <row r="620">
      <c r="B620" s="6"/>
      <c r="E620" s="6"/>
    </row>
    <row r="621">
      <c r="B621" s="6"/>
      <c r="E621" s="6"/>
    </row>
    <row r="622">
      <c r="B622" s="6"/>
      <c r="E622" s="6"/>
    </row>
    <row r="623">
      <c r="B623" s="6"/>
      <c r="E623" s="6"/>
    </row>
    <row r="624">
      <c r="B624" s="6"/>
      <c r="E624" s="6"/>
    </row>
    <row r="625">
      <c r="B625" s="6"/>
      <c r="E625" s="6"/>
    </row>
    <row r="626">
      <c r="B626" s="6"/>
      <c r="E626" s="6"/>
    </row>
    <row r="627">
      <c r="B627" s="6"/>
      <c r="E627" s="6"/>
    </row>
    <row r="628">
      <c r="B628" s="6"/>
      <c r="E628" s="6"/>
    </row>
    <row r="629">
      <c r="B629" s="6"/>
      <c r="E629" s="6"/>
    </row>
    <row r="630">
      <c r="B630" s="6"/>
      <c r="E630" s="6"/>
    </row>
    <row r="631">
      <c r="B631" s="6"/>
      <c r="E631" s="6"/>
    </row>
    <row r="632">
      <c r="B632" s="6"/>
      <c r="E632" s="6"/>
    </row>
    <row r="633">
      <c r="B633" s="6"/>
      <c r="E633" s="6"/>
    </row>
    <row r="634">
      <c r="B634" s="6"/>
      <c r="E634" s="6"/>
    </row>
    <row r="635">
      <c r="B635" s="6"/>
      <c r="E635" s="6"/>
    </row>
    <row r="636">
      <c r="B636" s="6"/>
      <c r="E636" s="6"/>
    </row>
    <row r="637">
      <c r="B637" s="6"/>
      <c r="E637" s="6"/>
    </row>
    <row r="638">
      <c r="B638" s="6"/>
      <c r="E638" s="6"/>
    </row>
    <row r="639">
      <c r="B639" s="6"/>
      <c r="E639" s="6"/>
    </row>
    <row r="640">
      <c r="B640" s="6"/>
      <c r="E640" s="6"/>
    </row>
    <row r="641">
      <c r="B641" s="6"/>
      <c r="E641" s="6"/>
    </row>
    <row r="642">
      <c r="B642" s="6"/>
      <c r="E642" s="6"/>
    </row>
    <row r="643">
      <c r="B643" s="6"/>
      <c r="E643" s="6"/>
    </row>
    <row r="644">
      <c r="B644" s="6"/>
      <c r="E644" s="6"/>
    </row>
    <row r="645">
      <c r="B645" s="6"/>
      <c r="E645" s="6"/>
    </row>
    <row r="646">
      <c r="B646" s="6"/>
      <c r="E646" s="6"/>
    </row>
    <row r="647">
      <c r="B647" s="6"/>
      <c r="E647" s="6"/>
    </row>
    <row r="648">
      <c r="B648" s="6"/>
      <c r="E648" s="6"/>
    </row>
    <row r="649">
      <c r="B649" s="6"/>
      <c r="E649" s="6"/>
    </row>
    <row r="650">
      <c r="B650" s="6"/>
      <c r="E650" s="6"/>
    </row>
    <row r="651">
      <c r="B651" s="6"/>
      <c r="E651" s="6"/>
    </row>
    <row r="652">
      <c r="B652" s="6"/>
      <c r="E652" s="6"/>
    </row>
    <row r="653">
      <c r="B653" s="6"/>
      <c r="E653" s="6"/>
    </row>
    <row r="654">
      <c r="B654" s="6"/>
      <c r="E654" s="6"/>
    </row>
    <row r="655">
      <c r="B655" s="6"/>
      <c r="E655" s="6"/>
    </row>
    <row r="656">
      <c r="B656" s="6"/>
      <c r="E656" s="6"/>
    </row>
    <row r="657">
      <c r="B657" s="6"/>
      <c r="E657" s="6"/>
    </row>
    <row r="658">
      <c r="B658" s="6"/>
      <c r="E658" s="6"/>
    </row>
    <row r="659">
      <c r="B659" s="6"/>
      <c r="E659" s="6"/>
    </row>
    <row r="660">
      <c r="B660" s="6"/>
      <c r="E660" s="6"/>
    </row>
    <row r="661">
      <c r="B661" s="6"/>
      <c r="E661" s="6"/>
    </row>
    <row r="662">
      <c r="B662" s="6"/>
      <c r="E662" s="6"/>
    </row>
    <row r="663">
      <c r="B663" s="6"/>
      <c r="E663" s="6"/>
    </row>
    <row r="664">
      <c r="B664" s="6"/>
      <c r="E664" s="6"/>
    </row>
    <row r="665">
      <c r="B665" s="6"/>
      <c r="E665" s="6"/>
    </row>
    <row r="666">
      <c r="B666" s="6"/>
      <c r="E666" s="6"/>
    </row>
    <row r="667">
      <c r="B667" s="6"/>
      <c r="E667" s="6"/>
    </row>
    <row r="668">
      <c r="B668" s="6"/>
      <c r="E668" s="6"/>
    </row>
    <row r="669">
      <c r="B669" s="6"/>
      <c r="E669" s="6"/>
    </row>
    <row r="670">
      <c r="B670" s="6"/>
      <c r="E670" s="6"/>
    </row>
    <row r="671">
      <c r="B671" s="6"/>
      <c r="E671" s="6"/>
    </row>
    <row r="672">
      <c r="B672" s="6"/>
      <c r="E672" s="6"/>
    </row>
    <row r="673">
      <c r="B673" s="6"/>
      <c r="E673" s="6"/>
    </row>
    <row r="674">
      <c r="B674" s="6"/>
      <c r="E674" s="6"/>
    </row>
    <row r="675">
      <c r="B675" s="6"/>
      <c r="E675" s="6"/>
    </row>
    <row r="676">
      <c r="B676" s="6"/>
      <c r="E676" s="6"/>
    </row>
    <row r="677">
      <c r="B677" s="6"/>
      <c r="E677" s="6"/>
    </row>
    <row r="678">
      <c r="B678" s="6"/>
      <c r="E678" s="6"/>
    </row>
    <row r="679">
      <c r="B679" s="6"/>
      <c r="E679" s="6"/>
    </row>
    <row r="680">
      <c r="B680" s="6"/>
      <c r="E680" s="6"/>
    </row>
    <row r="681">
      <c r="B681" s="6"/>
      <c r="E681" s="6"/>
    </row>
    <row r="682">
      <c r="B682" s="6"/>
      <c r="E682" s="6"/>
    </row>
    <row r="683">
      <c r="B683" s="6"/>
      <c r="E683" s="6"/>
    </row>
    <row r="684">
      <c r="B684" s="6"/>
      <c r="E684" s="6"/>
    </row>
    <row r="685">
      <c r="B685" s="6"/>
      <c r="E685" s="6"/>
    </row>
    <row r="686">
      <c r="B686" s="6"/>
      <c r="E686" s="6"/>
    </row>
    <row r="687">
      <c r="B687" s="6"/>
      <c r="E687" s="6"/>
    </row>
    <row r="688">
      <c r="B688" s="6"/>
      <c r="E688" s="6"/>
    </row>
    <row r="689">
      <c r="B689" s="6"/>
      <c r="E689" s="6"/>
    </row>
    <row r="690">
      <c r="B690" s="6"/>
      <c r="E690" s="6"/>
    </row>
    <row r="691">
      <c r="B691" s="6"/>
      <c r="E691" s="6"/>
    </row>
    <row r="692">
      <c r="B692" s="6"/>
      <c r="E692" s="6"/>
    </row>
    <row r="693">
      <c r="B693" s="6"/>
      <c r="E693" s="6"/>
    </row>
    <row r="694">
      <c r="B694" s="6"/>
      <c r="E694" s="6"/>
    </row>
    <row r="695">
      <c r="B695" s="6"/>
      <c r="E695" s="6"/>
    </row>
    <row r="696">
      <c r="B696" s="6"/>
      <c r="E696" s="6"/>
    </row>
    <row r="697">
      <c r="B697" s="6"/>
      <c r="E697" s="6"/>
    </row>
    <row r="698">
      <c r="B698" s="6"/>
      <c r="E698" s="6"/>
    </row>
    <row r="699">
      <c r="B699" s="6"/>
      <c r="E699" s="6"/>
    </row>
    <row r="700">
      <c r="B700" s="6"/>
      <c r="E700" s="6"/>
    </row>
    <row r="701">
      <c r="B701" s="6"/>
      <c r="E701" s="6"/>
    </row>
    <row r="702">
      <c r="B702" s="6"/>
      <c r="E702" s="6"/>
    </row>
    <row r="703">
      <c r="B703" s="6"/>
      <c r="E703" s="6"/>
    </row>
    <row r="704">
      <c r="B704" s="6"/>
      <c r="E704" s="6"/>
    </row>
    <row r="705">
      <c r="B705" s="6"/>
      <c r="E705" s="6"/>
    </row>
    <row r="706">
      <c r="B706" s="6"/>
      <c r="E706" s="6"/>
    </row>
    <row r="707">
      <c r="B707" s="6"/>
      <c r="E707" s="6"/>
    </row>
    <row r="708">
      <c r="B708" s="6"/>
      <c r="E708" s="6"/>
    </row>
    <row r="709">
      <c r="B709" s="6"/>
      <c r="E709" s="6"/>
    </row>
    <row r="710">
      <c r="B710" s="6"/>
      <c r="E710" s="6"/>
    </row>
    <row r="711">
      <c r="B711" s="6"/>
      <c r="E711" s="6"/>
    </row>
    <row r="712">
      <c r="B712" s="6"/>
      <c r="E712" s="6"/>
    </row>
    <row r="713">
      <c r="B713" s="6"/>
      <c r="E713" s="6"/>
    </row>
    <row r="714">
      <c r="B714" s="6"/>
      <c r="E714" s="6"/>
    </row>
    <row r="715">
      <c r="B715" s="6"/>
      <c r="E715" s="6"/>
    </row>
    <row r="716">
      <c r="B716" s="6"/>
      <c r="E716" s="6"/>
    </row>
    <row r="717">
      <c r="B717" s="6"/>
      <c r="E717" s="6"/>
    </row>
    <row r="718">
      <c r="B718" s="6"/>
      <c r="E718" s="6"/>
    </row>
    <row r="719">
      <c r="B719" s="6"/>
      <c r="E719" s="6"/>
    </row>
    <row r="720">
      <c r="B720" s="6"/>
      <c r="E720" s="6"/>
    </row>
    <row r="721">
      <c r="B721" s="6"/>
      <c r="E721" s="6"/>
    </row>
    <row r="722">
      <c r="B722" s="6"/>
      <c r="E722" s="6"/>
    </row>
    <row r="723">
      <c r="B723" s="6"/>
      <c r="E723" s="6"/>
    </row>
    <row r="724">
      <c r="B724" s="6"/>
      <c r="E724" s="6"/>
    </row>
    <row r="725">
      <c r="B725" s="6"/>
      <c r="E725" s="6"/>
    </row>
    <row r="726">
      <c r="B726" s="6"/>
      <c r="E726" s="6"/>
    </row>
    <row r="727">
      <c r="B727" s="6"/>
      <c r="E727" s="6"/>
    </row>
    <row r="728">
      <c r="B728" s="6"/>
      <c r="E728" s="6"/>
    </row>
    <row r="729">
      <c r="B729" s="6"/>
      <c r="E729" s="6"/>
    </row>
    <row r="730">
      <c r="B730" s="6"/>
      <c r="E730" s="6"/>
    </row>
    <row r="731">
      <c r="B731" s="6"/>
      <c r="E731" s="6"/>
    </row>
    <row r="732">
      <c r="B732" s="6"/>
      <c r="E732" s="6"/>
    </row>
    <row r="733">
      <c r="B733" s="6"/>
      <c r="E733" s="6"/>
    </row>
    <row r="734">
      <c r="B734" s="6"/>
      <c r="E734" s="6"/>
    </row>
    <row r="735">
      <c r="B735" s="6"/>
      <c r="E735" s="6"/>
    </row>
    <row r="736">
      <c r="B736" s="6"/>
      <c r="E736" s="6"/>
    </row>
    <row r="737">
      <c r="B737" s="6"/>
      <c r="E737" s="6"/>
    </row>
    <row r="738">
      <c r="B738" s="6"/>
      <c r="E738" s="6"/>
    </row>
    <row r="739">
      <c r="B739" s="6"/>
      <c r="E739" s="6"/>
    </row>
    <row r="740">
      <c r="B740" s="6"/>
      <c r="E740" s="6"/>
    </row>
    <row r="741">
      <c r="B741" s="6"/>
      <c r="E741" s="6"/>
    </row>
    <row r="742">
      <c r="B742" s="6"/>
      <c r="E742" s="6"/>
    </row>
    <row r="743">
      <c r="B743" s="6"/>
      <c r="E743" s="6"/>
    </row>
    <row r="744">
      <c r="B744" s="6"/>
      <c r="E744" s="6"/>
    </row>
    <row r="745">
      <c r="B745" s="6"/>
      <c r="E745" s="6"/>
    </row>
    <row r="746">
      <c r="B746" s="6"/>
      <c r="E746" s="6"/>
    </row>
    <row r="747">
      <c r="B747" s="6"/>
      <c r="E747" s="6"/>
    </row>
    <row r="748">
      <c r="B748" s="6"/>
      <c r="E748" s="6"/>
    </row>
    <row r="749">
      <c r="B749" s="6"/>
      <c r="E749" s="6"/>
    </row>
    <row r="750">
      <c r="B750" s="6"/>
      <c r="E750" s="6"/>
    </row>
    <row r="751">
      <c r="B751" s="6"/>
      <c r="E751" s="6"/>
    </row>
    <row r="752">
      <c r="B752" s="6"/>
      <c r="E752" s="6"/>
    </row>
    <row r="753">
      <c r="B753" s="6"/>
      <c r="E753" s="6"/>
    </row>
    <row r="754">
      <c r="B754" s="6"/>
      <c r="E754" s="6"/>
    </row>
    <row r="755">
      <c r="B755" s="6"/>
      <c r="E755" s="6"/>
    </row>
    <row r="756">
      <c r="B756" s="6"/>
      <c r="E756" s="6"/>
    </row>
    <row r="757">
      <c r="B757" s="6"/>
      <c r="E757" s="6"/>
    </row>
    <row r="758">
      <c r="B758" s="6"/>
      <c r="E758" s="6"/>
    </row>
    <row r="759">
      <c r="B759" s="6"/>
      <c r="E759" s="6"/>
    </row>
    <row r="760">
      <c r="B760" s="6"/>
      <c r="E760" s="6"/>
    </row>
    <row r="761">
      <c r="B761" s="6"/>
      <c r="E761" s="6"/>
    </row>
    <row r="762">
      <c r="B762" s="6"/>
      <c r="E762" s="6"/>
    </row>
    <row r="763">
      <c r="B763" s="6"/>
      <c r="E763" s="6"/>
    </row>
    <row r="764">
      <c r="B764" s="6"/>
      <c r="E764" s="6"/>
    </row>
    <row r="765">
      <c r="B765" s="6"/>
      <c r="E765" s="6"/>
    </row>
    <row r="766">
      <c r="B766" s="6"/>
      <c r="E766" s="6"/>
    </row>
    <row r="767">
      <c r="B767" s="6"/>
      <c r="E767" s="6"/>
    </row>
    <row r="768">
      <c r="B768" s="6"/>
      <c r="E768" s="6"/>
    </row>
    <row r="769">
      <c r="B769" s="6"/>
      <c r="E769" s="6"/>
    </row>
    <row r="770">
      <c r="B770" s="6"/>
      <c r="E770" s="6"/>
    </row>
    <row r="771">
      <c r="B771" s="6"/>
      <c r="E771" s="6"/>
    </row>
    <row r="772">
      <c r="B772" s="6"/>
      <c r="E772" s="6"/>
    </row>
    <row r="773">
      <c r="B773" s="6"/>
      <c r="E773" s="6"/>
    </row>
    <row r="774">
      <c r="B774" s="6"/>
      <c r="E774" s="6"/>
    </row>
    <row r="775">
      <c r="B775" s="6"/>
      <c r="E775" s="6"/>
    </row>
    <row r="776">
      <c r="B776" s="6"/>
      <c r="E776" s="6"/>
    </row>
    <row r="777">
      <c r="B777" s="6"/>
      <c r="E777" s="6"/>
    </row>
    <row r="778">
      <c r="B778" s="6"/>
      <c r="E778" s="6"/>
    </row>
    <row r="779">
      <c r="B779" s="6"/>
      <c r="E779" s="6"/>
    </row>
    <row r="780">
      <c r="B780" s="6"/>
      <c r="E780" s="6"/>
    </row>
    <row r="781">
      <c r="B781" s="6"/>
      <c r="E781" s="6"/>
    </row>
    <row r="782">
      <c r="B782" s="6"/>
      <c r="E782" s="6"/>
    </row>
    <row r="783">
      <c r="B783" s="6"/>
      <c r="E783" s="6"/>
    </row>
    <row r="784">
      <c r="B784" s="6"/>
      <c r="E784" s="6"/>
    </row>
    <row r="785">
      <c r="B785" s="6"/>
      <c r="E785" s="6"/>
    </row>
    <row r="786">
      <c r="B786" s="6"/>
      <c r="E786" s="6"/>
    </row>
    <row r="787">
      <c r="B787" s="6"/>
      <c r="E787" s="6"/>
    </row>
    <row r="788">
      <c r="B788" s="6"/>
      <c r="E788" s="6"/>
    </row>
    <row r="789">
      <c r="B789" s="6"/>
      <c r="E789" s="6"/>
    </row>
    <row r="790">
      <c r="B790" s="6"/>
      <c r="E790" s="6"/>
    </row>
    <row r="791">
      <c r="B791" s="6"/>
      <c r="E791" s="6"/>
    </row>
    <row r="792">
      <c r="B792" s="6"/>
      <c r="E792" s="6"/>
    </row>
    <row r="793">
      <c r="B793" s="6"/>
      <c r="E793" s="6"/>
    </row>
    <row r="794">
      <c r="B794" s="6"/>
      <c r="E794" s="6"/>
    </row>
    <row r="795">
      <c r="B795" s="6"/>
      <c r="E795" s="6"/>
    </row>
    <row r="796">
      <c r="B796" s="6"/>
      <c r="E796" s="6"/>
    </row>
    <row r="797">
      <c r="B797" s="6"/>
      <c r="E797" s="6"/>
    </row>
    <row r="798">
      <c r="B798" s="6"/>
      <c r="E798" s="6"/>
    </row>
    <row r="799">
      <c r="B799" s="6"/>
      <c r="E799" s="6"/>
    </row>
    <row r="800">
      <c r="B800" s="6"/>
      <c r="E800" s="6"/>
    </row>
    <row r="801">
      <c r="B801" s="6"/>
      <c r="E801" s="6"/>
    </row>
    <row r="802">
      <c r="B802" s="6"/>
      <c r="E802" s="6"/>
    </row>
    <row r="803">
      <c r="B803" s="6"/>
      <c r="E803" s="6"/>
    </row>
    <row r="804">
      <c r="B804" s="6"/>
      <c r="E804" s="6"/>
    </row>
    <row r="805">
      <c r="B805" s="6"/>
      <c r="E805" s="6"/>
    </row>
    <row r="806">
      <c r="B806" s="6"/>
      <c r="E806" s="6"/>
    </row>
    <row r="807">
      <c r="B807" s="6"/>
      <c r="E807" s="6"/>
    </row>
    <row r="808">
      <c r="B808" s="6"/>
      <c r="E808" s="6"/>
    </row>
    <row r="809">
      <c r="B809" s="6"/>
      <c r="E809" s="6"/>
    </row>
    <row r="810">
      <c r="B810" s="6"/>
      <c r="E810" s="6"/>
    </row>
    <row r="811">
      <c r="B811" s="6"/>
      <c r="E811" s="6"/>
    </row>
    <row r="812">
      <c r="B812" s="6"/>
      <c r="E812" s="6"/>
    </row>
    <row r="813">
      <c r="B813" s="6"/>
      <c r="E813" s="6"/>
    </row>
    <row r="814">
      <c r="B814" s="6"/>
      <c r="E814" s="6"/>
    </row>
    <row r="815">
      <c r="B815" s="6"/>
      <c r="E815" s="6"/>
    </row>
    <row r="816">
      <c r="B816" s="6"/>
      <c r="E816" s="6"/>
    </row>
    <row r="817">
      <c r="B817" s="6"/>
      <c r="E817" s="6"/>
    </row>
    <row r="818">
      <c r="B818" s="6"/>
      <c r="E818" s="6"/>
    </row>
    <row r="819">
      <c r="B819" s="6"/>
      <c r="E819" s="6"/>
    </row>
    <row r="820">
      <c r="B820" s="6"/>
      <c r="E820" s="6"/>
    </row>
    <row r="821">
      <c r="B821" s="6"/>
      <c r="E821" s="6"/>
    </row>
    <row r="822">
      <c r="B822" s="6"/>
      <c r="E822" s="6"/>
    </row>
    <row r="823">
      <c r="B823" s="6"/>
      <c r="E823" s="6"/>
    </row>
    <row r="824">
      <c r="B824" s="6"/>
      <c r="E824" s="6"/>
    </row>
    <row r="825">
      <c r="B825" s="6"/>
      <c r="E825" s="6"/>
    </row>
    <row r="826">
      <c r="B826" s="6"/>
      <c r="E826" s="6"/>
    </row>
    <row r="827">
      <c r="B827" s="6"/>
      <c r="E827" s="6"/>
    </row>
    <row r="828">
      <c r="B828" s="6"/>
      <c r="E828" s="6"/>
    </row>
    <row r="829">
      <c r="B829" s="6"/>
      <c r="E829" s="6"/>
    </row>
    <row r="830">
      <c r="B830" s="6"/>
      <c r="E830" s="6"/>
    </row>
    <row r="831">
      <c r="B831" s="6"/>
      <c r="E831" s="6"/>
    </row>
    <row r="832">
      <c r="B832" s="6"/>
      <c r="E832" s="6"/>
    </row>
    <row r="833">
      <c r="B833" s="6"/>
      <c r="E833" s="6"/>
    </row>
    <row r="834">
      <c r="B834" s="6"/>
      <c r="E834" s="6"/>
    </row>
    <row r="835">
      <c r="B835" s="6"/>
      <c r="E835" s="6"/>
    </row>
    <row r="836">
      <c r="B836" s="6"/>
      <c r="E836" s="6"/>
    </row>
    <row r="837">
      <c r="B837" s="6"/>
      <c r="E837" s="6"/>
    </row>
    <row r="838">
      <c r="B838" s="6"/>
      <c r="E838" s="6"/>
    </row>
    <row r="839">
      <c r="B839" s="6"/>
      <c r="E839" s="6"/>
    </row>
    <row r="840">
      <c r="B840" s="6"/>
      <c r="E840" s="6"/>
    </row>
    <row r="841">
      <c r="B841" s="6"/>
      <c r="E841" s="6"/>
    </row>
    <row r="842">
      <c r="B842" s="6"/>
      <c r="E842" s="6"/>
    </row>
    <row r="843">
      <c r="B843" s="6"/>
      <c r="E843" s="6"/>
    </row>
    <row r="844">
      <c r="B844" s="6"/>
      <c r="E844" s="6"/>
    </row>
    <row r="845">
      <c r="B845" s="6"/>
      <c r="E845" s="6"/>
    </row>
    <row r="846">
      <c r="B846" s="6"/>
      <c r="E846" s="6"/>
    </row>
    <row r="847">
      <c r="B847" s="6"/>
      <c r="E847" s="6"/>
    </row>
    <row r="848">
      <c r="B848" s="6"/>
      <c r="E848" s="6"/>
    </row>
    <row r="849">
      <c r="B849" s="6"/>
      <c r="E849" s="6"/>
    </row>
    <row r="850">
      <c r="B850" s="6"/>
      <c r="E850" s="6"/>
    </row>
    <row r="851">
      <c r="B851" s="6"/>
      <c r="E851" s="6"/>
    </row>
    <row r="852">
      <c r="B852" s="6"/>
      <c r="E852" s="6"/>
    </row>
    <row r="853">
      <c r="B853" s="6"/>
      <c r="E853" s="6"/>
    </row>
    <row r="854">
      <c r="B854" s="6"/>
      <c r="E854" s="6"/>
    </row>
    <row r="855">
      <c r="B855" s="6"/>
      <c r="E855" s="6"/>
    </row>
    <row r="856">
      <c r="B856" s="6"/>
      <c r="E856" s="6"/>
    </row>
    <row r="857">
      <c r="B857" s="6"/>
      <c r="E857" s="6"/>
    </row>
    <row r="858">
      <c r="B858" s="6"/>
      <c r="E858" s="6"/>
    </row>
    <row r="859">
      <c r="B859" s="6"/>
      <c r="E859" s="6"/>
    </row>
    <row r="860">
      <c r="B860" s="6"/>
      <c r="E860" s="6"/>
    </row>
    <row r="861">
      <c r="B861" s="6"/>
      <c r="E861" s="6"/>
    </row>
    <row r="862">
      <c r="B862" s="6"/>
      <c r="E862" s="6"/>
    </row>
    <row r="863">
      <c r="B863" s="6"/>
      <c r="E863" s="6"/>
    </row>
    <row r="864">
      <c r="B864" s="6"/>
      <c r="E864" s="6"/>
    </row>
    <row r="865">
      <c r="B865" s="6"/>
      <c r="E865" s="6"/>
    </row>
    <row r="866">
      <c r="B866" s="6"/>
      <c r="E866" s="6"/>
    </row>
    <row r="867">
      <c r="B867" s="6"/>
      <c r="E867" s="6"/>
    </row>
    <row r="868">
      <c r="B868" s="6"/>
      <c r="E868" s="6"/>
    </row>
    <row r="869">
      <c r="B869" s="6"/>
      <c r="E869" s="6"/>
    </row>
    <row r="870">
      <c r="B870" s="6"/>
      <c r="E870" s="6"/>
    </row>
    <row r="871">
      <c r="B871" s="6"/>
      <c r="E871" s="6"/>
    </row>
    <row r="872">
      <c r="B872" s="6"/>
      <c r="E872" s="6"/>
    </row>
    <row r="873">
      <c r="B873" s="6"/>
      <c r="E873" s="6"/>
    </row>
    <row r="874">
      <c r="B874" s="6"/>
      <c r="E874" s="6"/>
    </row>
    <row r="875">
      <c r="B875" s="6"/>
      <c r="E875" s="6"/>
    </row>
    <row r="876">
      <c r="B876" s="6"/>
      <c r="E876" s="6"/>
    </row>
    <row r="877">
      <c r="B877" s="6"/>
      <c r="E877" s="6"/>
    </row>
    <row r="878">
      <c r="B878" s="6"/>
      <c r="E878" s="6"/>
    </row>
    <row r="879">
      <c r="B879" s="6"/>
      <c r="E879" s="6"/>
    </row>
    <row r="880">
      <c r="B880" s="6"/>
      <c r="E880" s="6"/>
    </row>
    <row r="881">
      <c r="B881" s="6"/>
      <c r="E881" s="6"/>
    </row>
    <row r="882">
      <c r="B882" s="6"/>
      <c r="E882" s="6"/>
    </row>
    <row r="883">
      <c r="B883" s="6"/>
      <c r="E883" s="6"/>
    </row>
    <row r="884">
      <c r="B884" s="6"/>
      <c r="E884" s="6"/>
    </row>
    <row r="885">
      <c r="B885" s="6"/>
      <c r="E885" s="6"/>
    </row>
    <row r="886">
      <c r="B886" s="6"/>
      <c r="E886" s="6"/>
    </row>
    <row r="887">
      <c r="B887" s="6"/>
      <c r="E887" s="6"/>
    </row>
    <row r="888">
      <c r="B888" s="6"/>
      <c r="E888" s="6"/>
    </row>
    <row r="889">
      <c r="B889" s="6"/>
      <c r="E889" s="6"/>
    </row>
    <row r="890">
      <c r="B890" s="6"/>
      <c r="E890" s="6"/>
    </row>
    <row r="891">
      <c r="B891" s="6"/>
      <c r="E891" s="6"/>
    </row>
    <row r="892">
      <c r="B892" s="6"/>
      <c r="E892" s="6"/>
    </row>
    <row r="893">
      <c r="B893" s="6"/>
      <c r="E893" s="6"/>
    </row>
    <row r="894">
      <c r="B894" s="6"/>
      <c r="E894" s="6"/>
    </row>
    <row r="895">
      <c r="B895" s="6"/>
      <c r="E895" s="6"/>
    </row>
    <row r="896">
      <c r="B896" s="6"/>
      <c r="E896" s="6"/>
    </row>
    <row r="897">
      <c r="B897" s="6"/>
      <c r="E897" s="6"/>
    </row>
    <row r="898">
      <c r="B898" s="6"/>
      <c r="E898" s="6"/>
    </row>
    <row r="899">
      <c r="B899" s="6"/>
      <c r="E899" s="6"/>
    </row>
    <row r="900">
      <c r="B900" s="6"/>
      <c r="E900" s="6"/>
    </row>
    <row r="901">
      <c r="B901" s="6"/>
      <c r="E901" s="6"/>
    </row>
    <row r="902">
      <c r="B902" s="6"/>
      <c r="E902" s="6"/>
    </row>
    <row r="903">
      <c r="B903" s="6"/>
      <c r="E903" s="6"/>
    </row>
    <row r="904">
      <c r="B904" s="6"/>
      <c r="E904" s="6"/>
    </row>
    <row r="905">
      <c r="B905" s="6"/>
      <c r="E905" s="6"/>
    </row>
    <row r="906">
      <c r="B906" s="6"/>
      <c r="E906" s="6"/>
    </row>
    <row r="907">
      <c r="B907" s="6"/>
      <c r="E907" s="6"/>
    </row>
    <row r="908">
      <c r="B908" s="6"/>
      <c r="E908" s="6"/>
    </row>
    <row r="909">
      <c r="B909" s="6"/>
      <c r="E909" s="6"/>
    </row>
    <row r="910">
      <c r="B910" s="6"/>
      <c r="E910" s="6"/>
    </row>
    <row r="911">
      <c r="B911" s="6"/>
      <c r="E911" s="6"/>
    </row>
    <row r="912">
      <c r="B912" s="6"/>
      <c r="E912" s="6"/>
    </row>
    <row r="913">
      <c r="B913" s="6"/>
      <c r="E913" s="6"/>
    </row>
    <row r="914">
      <c r="B914" s="6"/>
      <c r="E914" s="6"/>
    </row>
    <row r="915">
      <c r="B915" s="6"/>
      <c r="E915" s="6"/>
    </row>
    <row r="916">
      <c r="B916" s="6"/>
      <c r="E916" s="6"/>
    </row>
    <row r="917">
      <c r="B917" s="6"/>
      <c r="E917" s="6"/>
    </row>
    <row r="918">
      <c r="B918" s="6"/>
      <c r="E918" s="6"/>
    </row>
    <row r="919">
      <c r="B919" s="6"/>
      <c r="E919" s="6"/>
    </row>
    <row r="920">
      <c r="B920" s="6"/>
      <c r="E920" s="6"/>
    </row>
    <row r="921">
      <c r="B921" s="6"/>
      <c r="E921" s="6"/>
    </row>
    <row r="922">
      <c r="B922" s="6"/>
      <c r="E922" s="6"/>
    </row>
    <row r="923">
      <c r="B923" s="6"/>
      <c r="E923" s="6"/>
    </row>
    <row r="924">
      <c r="B924" s="6"/>
      <c r="E924" s="6"/>
    </row>
    <row r="925">
      <c r="B925" s="6"/>
      <c r="E925" s="6"/>
    </row>
    <row r="926">
      <c r="B926" s="6"/>
      <c r="E926" s="6"/>
    </row>
    <row r="927">
      <c r="B927" s="6"/>
      <c r="E927" s="6"/>
    </row>
    <row r="928">
      <c r="B928" s="6"/>
      <c r="E928" s="6"/>
    </row>
    <row r="929">
      <c r="B929" s="6"/>
      <c r="E929" s="6"/>
    </row>
    <row r="930">
      <c r="B930" s="6"/>
      <c r="E930" s="6"/>
    </row>
    <row r="931">
      <c r="B931" s="6"/>
      <c r="E931" s="6"/>
    </row>
    <row r="932">
      <c r="B932" s="6"/>
      <c r="E932" s="6"/>
    </row>
    <row r="933">
      <c r="B933" s="6"/>
      <c r="E933" s="6"/>
    </row>
    <row r="934">
      <c r="B934" s="6"/>
      <c r="E934" s="6"/>
    </row>
    <row r="935">
      <c r="B935" s="6"/>
      <c r="E935" s="6"/>
    </row>
    <row r="936">
      <c r="B936" s="6"/>
      <c r="E936" s="6"/>
    </row>
    <row r="937">
      <c r="B937" s="6"/>
      <c r="E937" s="6"/>
    </row>
    <row r="938">
      <c r="B938" s="6"/>
      <c r="E938" s="6"/>
    </row>
    <row r="939">
      <c r="B939" s="6"/>
      <c r="E939" s="6"/>
    </row>
    <row r="940">
      <c r="B940" s="6"/>
      <c r="E940" s="6"/>
    </row>
    <row r="941">
      <c r="B941" s="6"/>
      <c r="E941" s="6"/>
    </row>
    <row r="942">
      <c r="B942" s="6"/>
      <c r="E942" s="6"/>
    </row>
    <row r="943">
      <c r="B943" s="6"/>
      <c r="E943" s="6"/>
    </row>
    <row r="944">
      <c r="B944" s="6"/>
      <c r="E944" s="6"/>
    </row>
    <row r="945">
      <c r="B945" s="6"/>
      <c r="E945" s="6"/>
    </row>
    <row r="946">
      <c r="B946" s="6"/>
      <c r="E946" s="6"/>
    </row>
    <row r="947">
      <c r="B947" s="6"/>
      <c r="E947" s="6"/>
    </row>
    <row r="948">
      <c r="B948" s="6"/>
      <c r="E948" s="6"/>
    </row>
    <row r="949">
      <c r="B949" s="6"/>
      <c r="E949" s="6"/>
    </row>
    <row r="950">
      <c r="B950" s="6"/>
      <c r="E950" s="6"/>
    </row>
    <row r="951">
      <c r="B951" s="6"/>
      <c r="E951" s="6"/>
    </row>
    <row r="952">
      <c r="B952" s="6"/>
      <c r="E952" s="6"/>
    </row>
    <row r="953">
      <c r="B953" s="6"/>
      <c r="E953" s="6"/>
    </row>
    <row r="954">
      <c r="B954" s="6"/>
      <c r="E954" s="6"/>
    </row>
    <row r="955">
      <c r="B955" s="6"/>
      <c r="E955" s="6"/>
    </row>
    <row r="956">
      <c r="B956" s="6"/>
      <c r="E956" s="6"/>
    </row>
    <row r="957">
      <c r="B957" s="6"/>
      <c r="E957" s="6"/>
    </row>
    <row r="958">
      <c r="B958" s="6"/>
      <c r="E958" s="6"/>
    </row>
    <row r="959">
      <c r="B959" s="6"/>
      <c r="E959" s="6"/>
    </row>
    <row r="960">
      <c r="B960" s="6"/>
      <c r="E960" s="6"/>
    </row>
    <row r="961">
      <c r="B961" s="6"/>
      <c r="E961" s="6"/>
    </row>
    <row r="962">
      <c r="B962" s="6"/>
      <c r="E962" s="6"/>
    </row>
    <row r="963">
      <c r="B963" s="6"/>
      <c r="E963" s="6"/>
    </row>
    <row r="964">
      <c r="B964" s="6"/>
      <c r="E964" s="6"/>
    </row>
    <row r="965">
      <c r="B965" s="6"/>
      <c r="E965" s="6"/>
    </row>
    <row r="966">
      <c r="B966" s="6"/>
      <c r="E966" s="6"/>
    </row>
    <row r="967">
      <c r="B967" s="6"/>
      <c r="E967" s="6"/>
    </row>
    <row r="968">
      <c r="B968" s="6"/>
      <c r="E968" s="6"/>
    </row>
    <row r="969">
      <c r="B969" s="6"/>
      <c r="E969" s="6"/>
    </row>
    <row r="970">
      <c r="B970" s="6"/>
      <c r="E970" s="6"/>
    </row>
    <row r="971">
      <c r="B971" s="6"/>
      <c r="E971" s="6"/>
    </row>
    <row r="972">
      <c r="B972" s="6"/>
      <c r="E972" s="6"/>
    </row>
    <row r="973">
      <c r="B973" s="6"/>
      <c r="E973" s="6"/>
    </row>
    <row r="974">
      <c r="B974" s="6"/>
      <c r="E974" s="6"/>
    </row>
    <row r="975">
      <c r="B975" s="6"/>
      <c r="E975" s="6"/>
    </row>
    <row r="976">
      <c r="B976" s="6"/>
      <c r="E976" s="6"/>
    </row>
    <row r="977">
      <c r="B977" s="6"/>
      <c r="E977" s="6"/>
    </row>
    <row r="978">
      <c r="B978" s="6"/>
      <c r="E978" s="6"/>
    </row>
    <row r="979">
      <c r="B979" s="6"/>
      <c r="E979" s="6"/>
    </row>
    <row r="980">
      <c r="B980" s="6"/>
      <c r="E980" s="6"/>
    </row>
    <row r="981">
      <c r="B981" s="6"/>
      <c r="E981" s="6"/>
    </row>
    <row r="982">
      <c r="B982" s="6"/>
      <c r="E982" s="6"/>
    </row>
    <row r="983">
      <c r="B983" s="6"/>
      <c r="E983" s="6"/>
    </row>
    <row r="984">
      <c r="B984" s="6"/>
      <c r="E984" s="6"/>
    </row>
    <row r="985">
      <c r="B985" s="6"/>
      <c r="E985" s="6"/>
    </row>
    <row r="986">
      <c r="B986" s="6"/>
      <c r="E986" s="6"/>
    </row>
    <row r="987">
      <c r="B987" s="6"/>
      <c r="E987" s="6"/>
    </row>
    <row r="988">
      <c r="B988" s="6"/>
      <c r="E988" s="6"/>
    </row>
    <row r="989">
      <c r="B989" s="6"/>
      <c r="E989" s="6"/>
    </row>
    <row r="990">
      <c r="B990" s="6"/>
      <c r="E990" s="6"/>
    </row>
    <row r="991">
      <c r="B991" s="6"/>
      <c r="E991" s="6"/>
    </row>
    <row r="992">
      <c r="B992" s="6"/>
      <c r="E992" s="6"/>
    </row>
    <row r="993">
      <c r="B993" s="6"/>
      <c r="E993" s="6"/>
    </row>
    <row r="994">
      <c r="B994" s="6"/>
      <c r="E994" s="6"/>
    </row>
    <row r="995">
      <c r="B995" s="6"/>
      <c r="E995" s="6"/>
    </row>
    <row r="996">
      <c r="B996" s="6"/>
      <c r="E996" s="6"/>
    </row>
    <row r="997">
      <c r="B997" s="6"/>
      <c r="E997" s="6"/>
    </row>
    <row r="998">
      <c r="B998" s="6"/>
      <c r="E998" s="6"/>
    </row>
    <row r="999">
      <c r="B999" s="6"/>
      <c r="E999" s="6"/>
    </row>
    <row r="1000">
      <c r="B1000" s="6"/>
      <c r="E1000" s="6"/>
    </row>
    <row r="1001">
      <c r="B1001" s="6"/>
      <c r="E1001" s="6"/>
    </row>
  </sheetData>
  <autoFilter ref="$A$1:$Z$1001">
    <sortState ref="A1:Z1001">
      <sortCondition descending="1" ref="C1:C1001"/>
      <sortCondition descending="1" ref="D1:D1001"/>
    </sortState>
  </autoFil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4" t="s">
        <v>1</v>
      </c>
      <c r="B1" s="14" t="s">
        <v>499</v>
      </c>
      <c r="C1" s="14" t="s">
        <v>500</v>
      </c>
      <c r="D1" s="20" t="s">
        <v>501</v>
      </c>
      <c r="E1" s="14" t="s">
        <v>502</v>
      </c>
      <c r="F1" s="27" t="s">
        <v>503</v>
      </c>
      <c r="G1" s="14" t="s">
        <v>504</v>
      </c>
      <c r="H1" s="27" t="s">
        <v>505</v>
      </c>
      <c r="I1" s="14" t="s">
        <v>506</v>
      </c>
      <c r="J1" s="27" t="s">
        <v>507</v>
      </c>
      <c r="L1" s="46" t="s">
        <v>508</v>
      </c>
      <c r="M1" s="25">
        <f t="array" ref="M1">sum(large(D2:D1000,column(indirect("$A$1:" &amp;ADDRESS( 1, 12)))))/12</f>
        <v>7.930858012</v>
      </c>
      <c r="N1" s="47"/>
      <c r="O1" s="47"/>
      <c r="P1" s="47"/>
      <c r="Q1" s="47"/>
      <c r="R1" s="47"/>
    </row>
    <row r="2">
      <c r="A2" s="22" t="s">
        <v>8</v>
      </c>
      <c r="B2" s="21">
        <f t="shared" ref="B2:B470" si="1">D2/M$1*2000</f>
        <v>2873.446435</v>
      </c>
      <c r="C2" s="21" t="str">
        <f>VLOOKUP(A2, hash!A$2:B$500, 2, 0)</f>
        <v>6322202c0aa8ba2dbc57c0a6</v>
      </c>
      <c r="D2" s="23">
        <f t="shared" ref="D2:D470" si="2">SUMPRODUCT(E2:J2,$M$4:$R$4)</f>
        <v>11.39444784</v>
      </c>
      <c r="E2" s="14">
        <v>1.0</v>
      </c>
      <c r="F2" s="27">
        <v>1.0</v>
      </c>
      <c r="G2" s="14">
        <v>1.0</v>
      </c>
      <c r="H2" s="27">
        <v>1.0</v>
      </c>
      <c r="I2" s="14">
        <v>1.0</v>
      </c>
      <c r="J2" s="27">
        <v>0.0</v>
      </c>
      <c r="L2" s="47"/>
      <c r="M2" s="47" t="s">
        <v>502</v>
      </c>
      <c r="N2" s="47" t="s">
        <v>503</v>
      </c>
      <c r="O2" s="47" t="s">
        <v>504</v>
      </c>
      <c r="P2" s="47" t="s">
        <v>505</v>
      </c>
      <c r="Q2" s="47" t="s">
        <v>506</v>
      </c>
      <c r="R2" s="47" t="s">
        <v>507</v>
      </c>
    </row>
    <row r="3">
      <c r="A3" s="22" t="s">
        <v>15</v>
      </c>
      <c r="B3" s="21">
        <f t="shared" si="1"/>
        <v>2873.446435</v>
      </c>
      <c r="C3" s="21" t="str">
        <f>VLOOKUP(A3, hash!A$2:B$500, 2, 0)</f>
        <v>65020037540ba7cc68909a9b</v>
      </c>
      <c r="D3" s="23">
        <f t="shared" si="2"/>
        <v>11.39444784</v>
      </c>
      <c r="E3" s="14">
        <v>1.0</v>
      </c>
      <c r="F3" s="27">
        <v>1.0</v>
      </c>
      <c r="G3" s="14">
        <v>1.0</v>
      </c>
      <c r="H3" s="27">
        <v>1.0</v>
      </c>
      <c r="I3" s="14">
        <v>1.0</v>
      </c>
      <c r="J3" s="27">
        <v>0.0</v>
      </c>
      <c r="L3" s="47" t="s">
        <v>559</v>
      </c>
      <c r="M3" s="25">
        <f t="shared" ref="M3:R3" si="3">SUM(E:E)</f>
        <v>34</v>
      </c>
      <c r="N3" s="25">
        <f t="shared" si="3"/>
        <v>16</v>
      </c>
      <c r="O3" s="25">
        <f t="shared" si="3"/>
        <v>6</v>
      </c>
      <c r="P3" s="25">
        <f t="shared" si="3"/>
        <v>11</v>
      </c>
      <c r="Q3" s="25">
        <f t="shared" si="3"/>
        <v>28</v>
      </c>
      <c r="R3" s="25">
        <f t="shared" si="3"/>
        <v>1</v>
      </c>
    </row>
    <row r="4">
      <c r="A4" s="22" t="s">
        <v>63</v>
      </c>
      <c r="B4" s="21">
        <f t="shared" si="1"/>
        <v>2206.392255</v>
      </c>
      <c r="C4" s="21" t="str">
        <f>VLOOKUP(A4, hash!A$2:B$500, 2, 0)</f>
        <v>66e1e12cf0db8f5922c91d89</v>
      </c>
      <c r="D4" s="23">
        <f t="shared" si="2"/>
        <v>8.749291845</v>
      </c>
      <c r="E4" s="14">
        <v>1.0</v>
      </c>
      <c r="F4" s="27">
        <v>1.0</v>
      </c>
      <c r="G4" s="14">
        <v>1.0</v>
      </c>
      <c r="H4" s="27">
        <v>0.0</v>
      </c>
      <c r="I4" s="14">
        <v>1.0</v>
      </c>
      <c r="J4" s="27">
        <v>0.0</v>
      </c>
      <c r="L4" s="47" t="s">
        <v>561</v>
      </c>
      <c r="M4" s="25">
        <f t="shared" ref="M4:R4" si="4">1+LN($M$8/M3)</f>
        <v>1.516690743</v>
      </c>
      <c r="N4" s="25">
        <f t="shared" si="4"/>
        <v>2.270462546</v>
      </c>
      <c r="O4" s="25">
        <f t="shared" si="4"/>
        <v>3.251291799</v>
      </c>
      <c r="P4" s="25">
        <f t="shared" si="4"/>
        <v>2.645155995</v>
      </c>
      <c r="Q4" s="25">
        <f t="shared" si="4"/>
        <v>1.710846758</v>
      </c>
      <c r="R4" s="25">
        <f t="shared" si="4"/>
        <v>5.043051268</v>
      </c>
    </row>
    <row r="5">
      <c r="A5" s="22" t="s">
        <v>30</v>
      </c>
      <c r="B5" s="21">
        <f t="shared" si="1"/>
        <v>2053.537216</v>
      </c>
      <c r="C5" s="21" t="str">
        <f>VLOOKUP(A5, hash!A$2:B$500, 2, 0)</f>
        <v>6322236ef382c17890e6a3e1</v>
      </c>
      <c r="D5" s="23">
        <f t="shared" si="2"/>
        <v>8.143156042</v>
      </c>
      <c r="E5" s="14">
        <v>1.0</v>
      </c>
      <c r="F5" s="27">
        <v>1.0</v>
      </c>
      <c r="G5" s="14">
        <v>0.0</v>
      </c>
      <c r="H5" s="27">
        <v>1.0</v>
      </c>
      <c r="I5" s="14">
        <v>1.0</v>
      </c>
      <c r="J5" s="27">
        <v>0.0</v>
      </c>
      <c r="L5" s="46"/>
      <c r="M5" s="25"/>
      <c r="N5" s="25"/>
      <c r="O5" s="25"/>
      <c r="P5" s="25"/>
      <c r="Q5" s="25"/>
      <c r="R5" s="25"/>
    </row>
    <row r="6">
      <c r="A6" s="22" t="s">
        <v>23</v>
      </c>
      <c r="B6" s="21">
        <f t="shared" si="1"/>
        <v>2053.537216</v>
      </c>
      <c r="C6" s="21" t="str">
        <f>VLOOKUP(A6, hash!A$2:B$500, 2, 0)</f>
        <v>65020bfe097ac3c9d063264f</v>
      </c>
      <c r="D6" s="23">
        <f t="shared" si="2"/>
        <v>8.143156042</v>
      </c>
      <c r="E6" s="14">
        <v>1.0</v>
      </c>
      <c r="F6" s="27">
        <v>1.0</v>
      </c>
      <c r="G6" s="14">
        <v>0.0</v>
      </c>
      <c r="H6" s="27">
        <v>1.0</v>
      </c>
      <c r="I6" s="14">
        <v>1.0</v>
      </c>
      <c r="J6" s="27">
        <v>0.0</v>
      </c>
      <c r="L6" s="47"/>
      <c r="M6" s="25"/>
      <c r="N6" s="25"/>
      <c r="O6" s="25"/>
      <c r="P6" s="25"/>
      <c r="Q6" s="48"/>
      <c r="R6" s="25"/>
    </row>
    <row r="7">
      <c r="A7" s="22" t="s">
        <v>431</v>
      </c>
      <c r="B7" s="21">
        <f t="shared" si="1"/>
        <v>2053.537216</v>
      </c>
      <c r="C7" s="21" t="str">
        <f>VLOOKUP(A7, hash!A$2:B$500, 2, 0)</f>
        <v>6322202a0aa8ba2dbc57c0a5</v>
      </c>
      <c r="D7" s="23">
        <f t="shared" si="2"/>
        <v>8.143156042</v>
      </c>
      <c r="E7" s="14">
        <v>1.0</v>
      </c>
      <c r="F7" s="27">
        <v>1.0</v>
      </c>
      <c r="G7" s="14">
        <v>0.0</v>
      </c>
      <c r="H7" s="27">
        <v>1.0</v>
      </c>
      <c r="I7" s="14">
        <v>1.0</v>
      </c>
      <c r="J7" s="27">
        <v>0.0</v>
      </c>
      <c r="L7" s="47"/>
      <c r="M7" s="49" t="s">
        <v>564</v>
      </c>
      <c r="N7" s="25"/>
      <c r="O7" s="25"/>
      <c r="P7" s="25"/>
      <c r="Q7" s="50"/>
      <c r="R7" s="25"/>
    </row>
    <row r="8">
      <c r="A8" s="22" t="s">
        <v>572</v>
      </c>
      <c r="B8" s="21">
        <f t="shared" si="1"/>
        <v>1869.441749</v>
      </c>
      <c r="C8" s="21" t="str">
        <f>VLOOKUP(A8, hash!A$2:B$500, 2, 0)</f>
        <v>#N/A</v>
      </c>
      <c r="D8" s="23">
        <f t="shared" si="2"/>
        <v>7.413138537</v>
      </c>
      <c r="E8" s="14">
        <v>1.0</v>
      </c>
      <c r="F8" s="27">
        <v>0.0</v>
      </c>
      <c r="G8" s="14">
        <v>1.0</v>
      </c>
      <c r="H8" s="27">
        <v>1.0</v>
      </c>
      <c r="I8" s="14">
        <v>0.0</v>
      </c>
      <c r="J8" s="27">
        <v>0.0</v>
      </c>
      <c r="M8" s="14">
        <f>COUNTA(E2:E1497)</f>
        <v>57</v>
      </c>
    </row>
    <row r="9">
      <c r="A9" s="22" t="s">
        <v>9</v>
      </c>
      <c r="B9" s="21">
        <f t="shared" si="1"/>
        <v>1671.058866</v>
      </c>
      <c r="C9" s="21" t="str">
        <f>VLOOKUP(A9, hash!A$2:B$500, 2, 0)</f>
        <v>66e1e1237a8e6dc2aed3a642</v>
      </c>
      <c r="D9" s="23">
        <f t="shared" si="2"/>
        <v>6.626465298</v>
      </c>
      <c r="E9" s="14">
        <v>0.0</v>
      </c>
      <c r="F9" s="27">
        <v>1.0</v>
      </c>
      <c r="G9" s="14">
        <v>0.0</v>
      </c>
      <c r="H9" s="27">
        <v>1.0</v>
      </c>
      <c r="I9" s="14">
        <v>1.0</v>
      </c>
      <c r="J9" s="27">
        <v>0.0</v>
      </c>
    </row>
    <row r="10">
      <c r="A10" s="22" t="s">
        <v>92</v>
      </c>
      <c r="B10" s="21">
        <f t="shared" si="1"/>
        <v>1671.058866</v>
      </c>
      <c r="C10" s="21" t="str">
        <f>VLOOKUP(A10, hash!A$2:B$500, 2, 0)</f>
        <v>66e1e12ae2fbdff8a0c35638</v>
      </c>
      <c r="D10" s="23">
        <f t="shared" si="2"/>
        <v>6.626465298</v>
      </c>
      <c r="E10" s="14">
        <v>0.0</v>
      </c>
      <c r="F10" s="27">
        <v>1.0</v>
      </c>
      <c r="G10" s="14">
        <v>0.0</v>
      </c>
      <c r="H10" s="27">
        <v>1.0</v>
      </c>
      <c r="I10" s="14">
        <v>1.0</v>
      </c>
      <c r="J10" s="27">
        <v>0.0</v>
      </c>
      <c r="Q10" s="21">
        <f>SUM(M4:R4)</f>
        <v>16.43749911</v>
      </c>
    </row>
    <row r="11">
      <c r="A11" s="22" t="s">
        <v>562</v>
      </c>
      <c r="B11" s="21">
        <f t="shared" si="1"/>
        <v>1654.232619</v>
      </c>
      <c r="C11" s="21" t="str">
        <f>VLOOKUP(A11, hash!A$2:B$500, 2, 0)</f>
        <v>#N/A</v>
      </c>
      <c r="D11" s="23">
        <f t="shared" si="2"/>
        <v>6.559742011</v>
      </c>
      <c r="E11" s="14">
        <v>1.0</v>
      </c>
      <c r="F11" s="27">
        <v>0.0</v>
      </c>
      <c r="G11" s="14">
        <v>0.0</v>
      </c>
      <c r="H11" s="27">
        <v>0.0</v>
      </c>
      <c r="I11" s="14">
        <v>0.0</v>
      </c>
      <c r="J11" s="27">
        <v>1.0</v>
      </c>
      <c r="Q11" s="14">
        <f> 3377 / Q10 * R4</f>
        <v>1036.069053</v>
      </c>
    </row>
    <row r="12">
      <c r="A12" s="22" t="s">
        <v>41</v>
      </c>
      <c r="B12" s="21">
        <f t="shared" si="1"/>
        <v>1633.82809</v>
      </c>
      <c r="C12" s="21" t="str">
        <f>VLOOKUP(A12, hash!A$2:B$500, 2, 0)</f>
        <v>66e1e12ef0db8f5922c91d8b</v>
      </c>
      <c r="D12" s="23">
        <f t="shared" si="2"/>
        <v>6.478829299</v>
      </c>
      <c r="E12" s="14">
        <v>1.0</v>
      </c>
      <c r="F12" s="27">
        <v>0.0</v>
      </c>
      <c r="G12" s="14">
        <v>1.0</v>
      </c>
      <c r="H12" s="27">
        <v>0.0</v>
      </c>
      <c r="I12" s="14">
        <v>1.0</v>
      </c>
      <c r="J12" s="27">
        <v>0.0</v>
      </c>
    </row>
    <row r="13">
      <c r="A13" s="22" t="s">
        <v>560</v>
      </c>
      <c r="B13" s="21">
        <f t="shared" si="1"/>
        <v>1386.483036</v>
      </c>
      <c r="C13" s="21" t="str">
        <f>VLOOKUP(A13, hash!A$2:B$500, 2, 0)</f>
        <v>#N/A</v>
      </c>
      <c r="D13" s="23">
        <f t="shared" si="2"/>
        <v>5.498000046</v>
      </c>
      <c r="E13" s="14">
        <v>1.0</v>
      </c>
      <c r="F13" s="27">
        <v>1.0</v>
      </c>
      <c r="G13" s="14">
        <v>0.0</v>
      </c>
      <c r="H13" s="27">
        <v>0.0</v>
      </c>
      <c r="I13" s="14">
        <v>1.0</v>
      </c>
      <c r="J13" s="27">
        <v>0.0</v>
      </c>
    </row>
    <row r="14">
      <c r="A14" s="22" t="s">
        <v>17</v>
      </c>
      <c r="B14" s="21">
        <f t="shared" si="1"/>
        <v>1386.483036</v>
      </c>
      <c r="C14" s="21" t="str">
        <f>VLOOKUP(A14, hash!A$2:B$500, 2, 0)</f>
        <v>65020bfc097ac3c9d063264d</v>
      </c>
      <c r="D14" s="23">
        <f t="shared" si="2"/>
        <v>5.498000046</v>
      </c>
      <c r="E14" s="14">
        <v>1.0</v>
      </c>
      <c r="F14" s="27">
        <v>1.0</v>
      </c>
      <c r="G14" s="14">
        <v>0.0</v>
      </c>
      <c r="H14" s="27">
        <v>0.0</v>
      </c>
      <c r="I14" s="14">
        <v>1.0</v>
      </c>
      <c r="J14" s="27">
        <v>0.0</v>
      </c>
      <c r="M14" s="14" t="s">
        <v>567</v>
      </c>
    </row>
    <row r="15">
      <c r="A15" s="22" t="s">
        <v>11</v>
      </c>
      <c r="B15" s="21">
        <f t="shared" si="1"/>
        <v>1386.483036</v>
      </c>
      <c r="C15" s="21" t="str">
        <f>VLOOKUP(A15, hash!A$2:B$500, 2, 0)</f>
        <v>6502005e1d8cbbbd315ad52c</v>
      </c>
      <c r="D15" s="23">
        <f t="shared" si="2"/>
        <v>5.498000046</v>
      </c>
      <c r="E15" s="14">
        <v>1.0</v>
      </c>
      <c r="F15" s="27">
        <v>1.0</v>
      </c>
      <c r="G15" s="14">
        <v>0.0</v>
      </c>
      <c r="H15" s="27">
        <v>0.0</v>
      </c>
      <c r="I15" s="14">
        <v>1.0</v>
      </c>
      <c r="J15" s="27">
        <v>0.0</v>
      </c>
      <c r="M15" s="21">
        <f>SUM(E2:J15)/12</f>
        <v>4.083333333</v>
      </c>
    </row>
    <row r="16">
      <c r="A16" s="22" t="s">
        <v>432</v>
      </c>
      <c r="B16" s="21">
        <f t="shared" si="1"/>
        <v>1386.483036</v>
      </c>
      <c r="C16" s="21" t="str">
        <f>VLOOKUP(A16, hash!A$2:B$500, 2, 0)</f>
        <v>632220620aa8ba2dbc57c0ab</v>
      </c>
      <c r="D16" s="23">
        <f t="shared" si="2"/>
        <v>5.498000046</v>
      </c>
      <c r="E16" s="14">
        <v>1.0</v>
      </c>
      <c r="F16" s="27">
        <v>1.0</v>
      </c>
      <c r="G16" s="14">
        <v>0.0</v>
      </c>
      <c r="H16" s="27">
        <v>0.0</v>
      </c>
      <c r="I16" s="14">
        <v>1.0</v>
      </c>
      <c r="J16" s="27">
        <v>0.0</v>
      </c>
    </row>
    <row r="17">
      <c r="A17" s="22" t="s">
        <v>14</v>
      </c>
      <c r="B17" s="21">
        <f t="shared" si="1"/>
        <v>1386.483036</v>
      </c>
      <c r="C17" s="21" t="str">
        <f>VLOOKUP(A17, hash!A$2:B$500, 2, 0)</f>
        <v>66e1e10f7a8e6dc2aed3a63c</v>
      </c>
      <c r="D17" s="23">
        <f t="shared" si="2"/>
        <v>5.498000046</v>
      </c>
      <c r="E17" s="14">
        <v>1.0</v>
      </c>
      <c r="F17" s="27">
        <v>1.0</v>
      </c>
      <c r="G17" s="14">
        <v>0.0</v>
      </c>
      <c r="H17" s="27">
        <v>0.0</v>
      </c>
      <c r="I17" s="14">
        <v>1.0</v>
      </c>
      <c r="J17" s="27">
        <v>0.0</v>
      </c>
    </row>
    <row r="18">
      <c r="A18" s="22" t="s">
        <v>18</v>
      </c>
      <c r="B18" s="21">
        <f t="shared" si="1"/>
        <v>1239.618345</v>
      </c>
      <c r="C18" s="21" t="str">
        <f>VLOOKUP(A18, hash!A$2:B$500, 2, 0)</f>
        <v>6502003d1d8cbbbd315ad525</v>
      </c>
      <c r="D18" s="23">
        <f t="shared" si="2"/>
        <v>4.915618541</v>
      </c>
      <c r="E18" s="14">
        <v>0.0</v>
      </c>
      <c r="F18" s="27">
        <v>1.0</v>
      </c>
      <c r="G18" s="14">
        <v>0.0</v>
      </c>
      <c r="H18" s="27">
        <v>1.0</v>
      </c>
      <c r="I18" s="14">
        <v>0.0</v>
      </c>
      <c r="J18" s="27">
        <v>0.0</v>
      </c>
    </row>
    <row r="19">
      <c r="A19" s="22" t="s">
        <v>33</v>
      </c>
      <c r="B19" s="21">
        <f t="shared" si="1"/>
        <v>1202.387569</v>
      </c>
      <c r="C19" s="21" t="str">
        <f>VLOOKUP(A19, hash!A$2:B$500, 2, 0)</f>
        <v>66e1e126f0db8f5922c91d85</v>
      </c>
      <c r="D19" s="23">
        <f t="shared" si="2"/>
        <v>4.767982542</v>
      </c>
      <c r="E19" s="14">
        <v>1.0</v>
      </c>
      <c r="F19" s="27">
        <v>0.0</v>
      </c>
      <c r="G19" s="14">
        <v>1.0</v>
      </c>
      <c r="H19" s="27">
        <v>0.0</v>
      </c>
      <c r="I19" s="14">
        <v>0.0</v>
      </c>
      <c r="J19" s="27">
        <v>0.0</v>
      </c>
    </row>
    <row r="20">
      <c r="A20" s="22" t="s">
        <v>565</v>
      </c>
      <c r="B20" s="21">
        <f t="shared" si="1"/>
        <v>1098.494702</v>
      </c>
      <c r="C20" s="21" t="str">
        <f>VLOOKUP(A20, hash!A$2:B$500, 2, 0)</f>
        <v>#N/A</v>
      </c>
      <c r="D20" s="23">
        <f t="shared" si="2"/>
        <v>4.356002753</v>
      </c>
      <c r="E20" s="14">
        <v>0.0</v>
      </c>
      <c r="F20" s="27">
        <v>0.0</v>
      </c>
      <c r="G20" s="14">
        <v>0.0</v>
      </c>
      <c r="H20" s="27">
        <v>1.0</v>
      </c>
      <c r="I20" s="14">
        <v>1.0</v>
      </c>
      <c r="J20" s="27">
        <v>0.0</v>
      </c>
    </row>
    <row r="21">
      <c r="A21" s="22" t="s">
        <v>29</v>
      </c>
      <c r="B21" s="21">
        <f t="shared" si="1"/>
        <v>1049.53253</v>
      </c>
      <c r="C21" s="21" t="str">
        <f>VLOOKUP(A21, hash!A$2:B$500, 2, 0)</f>
        <v>66e1e1659bdd593ffcd624e6</v>
      </c>
      <c r="D21" s="23">
        <f t="shared" si="2"/>
        <v>4.161846738</v>
      </c>
      <c r="E21" s="14">
        <v>1.0</v>
      </c>
      <c r="F21" s="27">
        <v>0.0</v>
      </c>
      <c r="G21" s="14">
        <v>0.0</v>
      </c>
      <c r="H21" s="27">
        <v>1.0</v>
      </c>
      <c r="I21" s="14">
        <v>0.0</v>
      </c>
      <c r="J21" s="27">
        <v>0.0</v>
      </c>
    </row>
    <row r="22">
      <c r="A22" s="22" t="s">
        <v>563</v>
      </c>
      <c r="B22" s="21">
        <f t="shared" si="1"/>
        <v>1004.004686</v>
      </c>
      <c r="C22" s="21" t="str">
        <f>VLOOKUP(A22, hash!A$2:B$500, 2, 0)</f>
        <v>#N/A</v>
      </c>
      <c r="D22" s="23">
        <f t="shared" si="2"/>
        <v>3.981309303</v>
      </c>
      <c r="E22" s="14">
        <v>0.0</v>
      </c>
      <c r="F22" s="27">
        <v>1.0</v>
      </c>
      <c r="G22" s="14">
        <v>0.0</v>
      </c>
      <c r="H22" s="27">
        <v>0.0</v>
      </c>
      <c r="I22" s="14">
        <v>1.0</v>
      </c>
      <c r="J22" s="27">
        <v>0.0</v>
      </c>
    </row>
    <row r="23">
      <c r="A23" s="24" t="s">
        <v>24</v>
      </c>
      <c r="B23" s="21">
        <f t="shared" si="1"/>
        <v>1004.004686</v>
      </c>
      <c r="C23" s="21" t="str">
        <f>VLOOKUP(A23, hash!A$2:B$500, 2, 0)</f>
        <v>66e1e1277a8e6dc2aed3a645</v>
      </c>
      <c r="D23" s="23">
        <f t="shared" si="2"/>
        <v>3.981309303</v>
      </c>
      <c r="E23" s="14">
        <v>0.0</v>
      </c>
      <c r="F23" s="27">
        <v>1.0</v>
      </c>
      <c r="G23" s="14">
        <v>0.0</v>
      </c>
      <c r="H23" s="27">
        <v>0.0</v>
      </c>
      <c r="I23" s="14">
        <v>1.0</v>
      </c>
      <c r="J23" s="27">
        <v>0.0</v>
      </c>
      <c r="L23" s="47"/>
      <c r="M23" s="25"/>
      <c r="N23" s="25"/>
      <c r="O23" s="25"/>
      <c r="P23" s="25"/>
      <c r="Q23" s="25"/>
      <c r="R23" s="25"/>
    </row>
    <row r="24">
      <c r="A24" s="22" t="s">
        <v>558</v>
      </c>
      <c r="B24" s="21">
        <f t="shared" si="1"/>
        <v>813.9188714</v>
      </c>
      <c r="C24" s="21" t="str">
        <f>VLOOKUP(A24, hash!A$2:B$500, 2, 0)</f>
        <v>#N/A</v>
      </c>
      <c r="D24" s="23">
        <f t="shared" si="2"/>
        <v>3.227537501</v>
      </c>
      <c r="E24" s="14">
        <v>1.0</v>
      </c>
      <c r="F24" s="27">
        <v>0.0</v>
      </c>
      <c r="G24" s="14">
        <v>0.0</v>
      </c>
      <c r="H24" s="27">
        <v>0.0</v>
      </c>
      <c r="I24" s="14">
        <v>1.0</v>
      </c>
      <c r="J24" s="27">
        <v>0.0</v>
      </c>
    </row>
    <row r="25">
      <c r="A25" s="22" t="s">
        <v>10</v>
      </c>
      <c r="B25" s="21">
        <f t="shared" si="1"/>
        <v>813.9188714</v>
      </c>
      <c r="C25" s="21" t="str">
        <f>VLOOKUP(A25, hash!A$2:B$500, 2, 0)</f>
        <v>632220270aa8ba2dbc57c0a4</v>
      </c>
      <c r="D25" s="23">
        <f t="shared" si="2"/>
        <v>3.227537501</v>
      </c>
      <c r="E25" s="14">
        <v>1.0</v>
      </c>
      <c r="F25" s="27">
        <v>0.0</v>
      </c>
      <c r="G25" s="14">
        <v>0.0</v>
      </c>
      <c r="H25" s="27">
        <v>0.0</v>
      </c>
      <c r="I25" s="14">
        <v>1.0</v>
      </c>
      <c r="J25" s="27">
        <v>0.0</v>
      </c>
    </row>
    <row r="26">
      <c r="A26" s="22" t="s">
        <v>566</v>
      </c>
      <c r="B26" s="21">
        <f t="shared" si="1"/>
        <v>813.9188714</v>
      </c>
      <c r="C26" s="21" t="str">
        <f>VLOOKUP(A26, hash!A$2:B$500, 2, 0)</f>
        <v>#N/A</v>
      </c>
      <c r="D26" s="23">
        <f t="shared" si="2"/>
        <v>3.227537501</v>
      </c>
      <c r="E26" s="14">
        <v>1.0</v>
      </c>
      <c r="F26" s="27">
        <v>0.0</v>
      </c>
      <c r="G26" s="14">
        <v>0.0</v>
      </c>
      <c r="H26" s="27">
        <v>0.0</v>
      </c>
      <c r="I26" s="14">
        <v>1.0</v>
      </c>
      <c r="J26" s="27">
        <v>0.0</v>
      </c>
    </row>
    <row r="27">
      <c r="A27" s="22" t="s">
        <v>45</v>
      </c>
      <c r="B27" s="21">
        <f t="shared" si="1"/>
        <v>813.9188714</v>
      </c>
      <c r="C27" s="21" t="str">
        <f>VLOOKUP(A27, hash!A$2:B$500, 2, 0)</f>
        <v>66e1ed8d1129889a3e2c24ab</v>
      </c>
      <c r="D27" s="23">
        <f t="shared" si="2"/>
        <v>3.227537501</v>
      </c>
      <c r="E27" s="14">
        <v>1.0</v>
      </c>
      <c r="F27" s="27">
        <v>0.0</v>
      </c>
      <c r="G27" s="14">
        <v>0.0</v>
      </c>
      <c r="H27" s="27">
        <v>0.0</v>
      </c>
      <c r="I27" s="14">
        <v>1.0</v>
      </c>
      <c r="J27" s="27">
        <v>0.0</v>
      </c>
    </row>
    <row r="28">
      <c r="A28" s="22" t="s">
        <v>40</v>
      </c>
      <c r="B28" s="21">
        <f t="shared" si="1"/>
        <v>813.9188714</v>
      </c>
      <c r="C28" s="21" t="str">
        <f>VLOOKUP(A28, hash!A$2:B$500, 2, 0)</f>
        <v>65020bed03dd812a55d3a207</v>
      </c>
      <c r="D28" s="23">
        <f t="shared" si="2"/>
        <v>3.227537501</v>
      </c>
      <c r="E28" s="14">
        <v>1.0</v>
      </c>
      <c r="F28" s="27">
        <v>0.0</v>
      </c>
      <c r="G28" s="14">
        <v>0.0</v>
      </c>
      <c r="H28" s="27">
        <v>0.0</v>
      </c>
      <c r="I28" s="14">
        <v>1.0</v>
      </c>
      <c r="J28" s="27">
        <v>0.0</v>
      </c>
    </row>
    <row r="29">
      <c r="A29" s="22" t="s">
        <v>21</v>
      </c>
      <c r="B29" s="21">
        <f t="shared" si="1"/>
        <v>813.9188714</v>
      </c>
      <c r="C29" s="21" t="str">
        <f>VLOOKUP(A29, hash!A$2:B$500, 2, 0)</f>
        <v>63222da0116f680d68804fa7</v>
      </c>
      <c r="D29" s="23">
        <f t="shared" si="2"/>
        <v>3.227537501</v>
      </c>
      <c r="E29" s="14">
        <v>1.0</v>
      </c>
      <c r="F29" s="27">
        <v>0.0</v>
      </c>
      <c r="G29" s="14">
        <v>0.0</v>
      </c>
      <c r="H29" s="27">
        <v>0.0</v>
      </c>
      <c r="I29" s="14">
        <v>1.0</v>
      </c>
      <c r="J29" s="27">
        <v>0.0</v>
      </c>
    </row>
    <row r="30">
      <c r="A30" s="22" t="s">
        <v>571</v>
      </c>
      <c r="B30" s="21">
        <f t="shared" si="1"/>
        <v>813.9188714</v>
      </c>
      <c r="C30" s="21" t="str">
        <f>VLOOKUP(A30, hash!A$2:B$500, 2, 0)</f>
        <v>#N/A</v>
      </c>
      <c r="D30" s="23">
        <f t="shared" si="2"/>
        <v>3.227537501</v>
      </c>
      <c r="E30" s="14">
        <v>1.0</v>
      </c>
      <c r="F30" s="27">
        <v>0.0</v>
      </c>
      <c r="G30" s="14">
        <v>0.0</v>
      </c>
      <c r="H30" s="27">
        <v>0.0</v>
      </c>
      <c r="I30" s="14">
        <v>1.0</v>
      </c>
      <c r="J30" s="27">
        <v>0.0</v>
      </c>
    </row>
    <row r="31">
      <c r="A31" s="22" t="s">
        <v>44</v>
      </c>
      <c r="B31" s="21">
        <f t="shared" si="1"/>
        <v>813.9188714</v>
      </c>
      <c r="C31" s="21" t="str">
        <f>VLOOKUP(A31, hash!A$2:B$500, 2, 0)</f>
        <v>66e1e125f0db8f5922c91d84</v>
      </c>
      <c r="D31" s="23">
        <f t="shared" si="2"/>
        <v>3.227537501</v>
      </c>
      <c r="E31" s="14">
        <v>1.0</v>
      </c>
      <c r="F31" s="27">
        <v>0.0</v>
      </c>
      <c r="G31" s="14">
        <v>0.0</v>
      </c>
      <c r="H31" s="27">
        <v>0.0</v>
      </c>
      <c r="I31" s="14">
        <v>1.0</v>
      </c>
      <c r="J31" s="27">
        <v>0.0</v>
      </c>
    </row>
    <row r="32">
      <c r="A32" s="22" t="s">
        <v>57</v>
      </c>
      <c r="B32" s="21">
        <f t="shared" si="1"/>
        <v>813.9188714</v>
      </c>
      <c r="C32" s="21" t="str">
        <f>VLOOKUP(A32, hash!A$2:B$500, 2, 0)</f>
        <v>66e1e13168fa766abf5d11d8</v>
      </c>
      <c r="D32" s="23">
        <f t="shared" si="2"/>
        <v>3.227537501</v>
      </c>
      <c r="E32" s="14">
        <v>1.0</v>
      </c>
      <c r="F32" s="27">
        <v>0.0</v>
      </c>
      <c r="G32" s="14">
        <v>0.0</v>
      </c>
      <c r="H32" s="27">
        <v>0.0</v>
      </c>
      <c r="I32" s="14">
        <v>1.0</v>
      </c>
      <c r="J32" s="27">
        <v>0.0</v>
      </c>
    </row>
    <row r="33">
      <c r="A33" s="22" t="s">
        <v>42</v>
      </c>
      <c r="B33" s="21">
        <f t="shared" si="1"/>
        <v>431.4405214</v>
      </c>
      <c r="C33" s="21" t="str">
        <f>VLOOKUP(A33, hash!A$2:B$500, 2, 0)</f>
        <v>66e1e102a61e89c7c68f6e2f</v>
      </c>
      <c r="D33" s="23">
        <f t="shared" si="2"/>
        <v>1.710846758</v>
      </c>
      <c r="E33" s="14">
        <v>0.0</v>
      </c>
      <c r="F33" s="27">
        <v>0.0</v>
      </c>
      <c r="G33" s="14">
        <v>0.0</v>
      </c>
      <c r="H33" s="27">
        <v>0.0</v>
      </c>
      <c r="I33" s="14">
        <v>1.0</v>
      </c>
      <c r="J33" s="27">
        <v>0.0</v>
      </c>
    </row>
    <row r="34">
      <c r="A34" s="22" t="s">
        <v>318</v>
      </c>
      <c r="B34" s="21">
        <f t="shared" si="1"/>
        <v>431.4405214</v>
      </c>
      <c r="C34" s="21" t="str">
        <f>VLOOKUP(A34, hash!A$2:B$500, 2, 0)</f>
        <v>66e1ed9407067318cc1e18cd</v>
      </c>
      <c r="D34" s="23">
        <f t="shared" si="2"/>
        <v>1.710846758</v>
      </c>
      <c r="E34" s="14">
        <v>0.0</v>
      </c>
      <c r="F34" s="27">
        <v>0.0</v>
      </c>
      <c r="G34" s="14">
        <v>0.0</v>
      </c>
      <c r="H34" s="27">
        <v>0.0</v>
      </c>
      <c r="I34" s="14">
        <v>1.0</v>
      </c>
      <c r="J34" s="27">
        <v>0.0</v>
      </c>
    </row>
    <row r="35">
      <c r="A35" s="24" t="s">
        <v>13</v>
      </c>
      <c r="B35" s="21">
        <f t="shared" si="1"/>
        <v>382.47835</v>
      </c>
      <c r="C35" s="21" t="str">
        <f>VLOOKUP(A35, hash!A$2:B$500, 2, 0)</f>
        <v>65020be78f2b101294bb3da8</v>
      </c>
      <c r="D35" s="23">
        <f t="shared" si="2"/>
        <v>1.516690743</v>
      </c>
      <c r="E35" s="14">
        <v>1.0</v>
      </c>
      <c r="F35" s="27">
        <v>0.0</v>
      </c>
      <c r="G35" s="14">
        <v>0.0</v>
      </c>
      <c r="H35" s="27">
        <v>0.0</v>
      </c>
      <c r="I35" s="14">
        <v>0.0</v>
      </c>
      <c r="J35" s="27">
        <v>0.0</v>
      </c>
    </row>
    <row r="36">
      <c r="A36" s="22" t="s">
        <v>86</v>
      </c>
      <c r="B36" s="21">
        <f t="shared" si="1"/>
        <v>382.47835</v>
      </c>
      <c r="C36" s="21" t="str">
        <f>VLOOKUP(A36, hash!A$2:B$500, 2, 0)</f>
        <v>65020c05097ac3c9d0632651</v>
      </c>
      <c r="D36" s="23">
        <f t="shared" si="2"/>
        <v>1.516690743</v>
      </c>
      <c r="E36" s="14">
        <v>1.0</v>
      </c>
      <c r="F36" s="27">
        <v>0.0</v>
      </c>
      <c r="G36" s="14">
        <v>0.0</v>
      </c>
      <c r="H36" s="27">
        <v>0.0</v>
      </c>
      <c r="I36" s="14">
        <v>0.0</v>
      </c>
      <c r="J36" s="27">
        <v>0.0</v>
      </c>
    </row>
    <row r="37">
      <c r="A37" s="22" t="s">
        <v>573</v>
      </c>
      <c r="B37" s="21">
        <f t="shared" si="1"/>
        <v>382.47835</v>
      </c>
      <c r="C37" s="21" t="str">
        <f>VLOOKUP(A37, hash!A$2:B$500, 2, 0)</f>
        <v>#N/A</v>
      </c>
      <c r="D37" s="23">
        <f t="shared" si="2"/>
        <v>1.516690743</v>
      </c>
      <c r="E37" s="14">
        <v>1.0</v>
      </c>
      <c r="F37" s="27">
        <v>0.0</v>
      </c>
      <c r="G37" s="14">
        <v>0.0</v>
      </c>
      <c r="H37" s="27">
        <v>0.0</v>
      </c>
      <c r="I37" s="14">
        <v>0.0</v>
      </c>
      <c r="J37" s="27">
        <v>0.0</v>
      </c>
    </row>
    <row r="38">
      <c r="A38" s="22" t="s">
        <v>93</v>
      </c>
      <c r="B38" s="21">
        <f t="shared" si="1"/>
        <v>382.47835</v>
      </c>
      <c r="C38" s="21" t="str">
        <f>VLOOKUP(A38, hash!A$2:B$500, 2, 0)</f>
        <v>65020bd203dd812a55d3a200</v>
      </c>
      <c r="D38" s="23">
        <f t="shared" si="2"/>
        <v>1.516690743</v>
      </c>
      <c r="E38" s="14">
        <v>1.0</v>
      </c>
      <c r="F38" s="27">
        <v>0.0</v>
      </c>
      <c r="G38" s="14">
        <v>0.0</v>
      </c>
      <c r="H38" s="27">
        <v>0.0</v>
      </c>
      <c r="I38" s="14">
        <v>0.0</v>
      </c>
      <c r="J38" s="27">
        <v>0.0</v>
      </c>
    </row>
    <row r="39">
      <c r="A39" s="22" t="s">
        <v>88</v>
      </c>
      <c r="B39" s="21">
        <f t="shared" si="1"/>
        <v>382.47835</v>
      </c>
      <c r="C39" s="21" t="str">
        <f>VLOOKUP(A39, hash!A$2:B$500, 2, 0)</f>
        <v>65020d65097ac3c9d063266d</v>
      </c>
      <c r="D39" s="23">
        <f t="shared" si="2"/>
        <v>1.516690743</v>
      </c>
      <c r="E39" s="14">
        <v>1.0</v>
      </c>
      <c r="F39" s="27">
        <v>0.0</v>
      </c>
      <c r="G39" s="14">
        <v>0.0</v>
      </c>
      <c r="H39" s="27">
        <v>0.0</v>
      </c>
      <c r="I39" s="14">
        <v>0.0</v>
      </c>
      <c r="J39" s="27">
        <v>0.0</v>
      </c>
    </row>
    <row r="40">
      <c r="A40" s="22" t="s">
        <v>60</v>
      </c>
      <c r="B40" s="21">
        <f t="shared" si="1"/>
        <v>382.47835</v>
      </c>
      <c r="C40" s="21" t="str">
        <f>VLOOKUP(A40, hash!A$2:B$500, 2, 0)</f>
        <v>66e1e105db315cbd40043fc1</v>
      </c>
      <c r="D40" s="23">
        <f t="shared" si="2"/>
        <v>1.516690743</v>
      </c>
      <c r="E40" s="14">
        <v>1.0</v>
      </c>
      <c r="F40" s="27">
        <v>0.0</v>
      </c>
      <c r="G40" s="14">
        <v>0.0</v>
      </c>
      <c r="H40" s="27">
        <v>0.0</v>
      </c>
      <c r="I40" s="14">
        <v>0.0</v>
      </c>
      <c r="J40" s="27">
        <v>0.0</v>
      </c>
    </row>
    <row r="41">
      <c r="A41" s="22" t="s">
        <v>43</v>
      </c>
      <c r="B41" s="21">
        <f t="shared" si="1"/>
        <v>382.47835</v>
      </c>
      <c r="C41" s="21" t="str">
        <f>VLOOKUP(A41, hash!A$2:B$500, 2, 0)</f>
        <v>66e1e108a61e89c7c68f6e31</v>
      </c>
      <c r="D41" s="23">
        <f t="shared" si="2"/>
        <v>1.516690743</v>
      </c>
      <c r="E41" s="14">
        <v>1.0</v>
      </c>
      <c r="F41" s="27">
        <v>0.0</v>
      </c>
      <c r="G41" s="14">
        <v>0.0</v>
      </c>
      <c r="H41" s="27">
        <v>0.0</v>
      </c>
      <c r="I41" s="14">
        <v>0.0</v>
      </c>
      <c r="J41" s="27">
        <v>0.0</v>
      </c>
    </row>
    <row r="42">
      <c r="A42" s="22" t="s">
        <v>64</v>
      </c>
      <c r="B42" s="21">
        <f t="shared" si="1"/>
        <v>382.47835</v>
      </c>
      <c r="C42" s="21" t="str">
        <f>VLOOKUP(A42, hash!A$2:B$500, 2, 0)</f>
        <v>66e1ed8c1129889a3e2c24aa</v>
      </c>
      <c r="D42" s="23">
        <f t="shared" si="2"/>
        <v>1.516690743</v>
      </c>
      <c r="E42" s="14">
        <v>1.0</v>
      </c>
      <c r="F42" s="27">
        <v>0.0</v>
      </c>
      <c r="G42" s="14">
        <v>0.0</v>
      </c>
      <c r="H42" s="27">
        <v>0.0</v>
      </c>
      <c r="I42" s="14">
        <v>0.0</v>
      </c>
      <c r="J42" s="27">
        <v>0.0</v>
      </c>
    </row>
    <row r="43">
      <c r="A43" s="22" t="s">
        <v>37</v>
      </c>
      <c r="B43" s="21">
        <f t="shared" si="1"/>
        <v>382.47835</v>
      </c>
      <c r="C43" s="21" t="str">
        <f>VLOOKUP(A43, hash!A$2:B$500, 2, 0)</f>
        <v>66e21e0e9dc93e7d858c34ab</v>
      </c>
      <c r="D43" s="23">
        <f t="shared" si="2"/>
        <v>1.516690743</v>
      </c>
      <c r="E43" s="14">
        <v>1.0</v>
      </c>
      <c r="F43" s="27">
        <v>0.0</v>
      </c>
      <c r="G43" s="14">
        <v>0.0</v>
      </c>
      <c r="H43" s="27">
        <v>0.0</v>
      </c>
      <c r="I43" s="14">
        <v>0.0</v>
      </c>
      <c r="J43" s="27">
        <v>0.0</v>
      </c>
    </row>
    <row r="44">
      <c r="A44" s="22" t="s">
        <v>430</v>
      </c>
      <c r="B44" s="21">
        <f t="shared" si="1"/>
        <v>0</v>
      </c>
      <c r="C44" s="21" t="str">
        <f>VLOOKUP(A44, hash!A$2:B$500, 2, 0)</f>
        <v>63222011e6a618b2a0444361</v>
      </c>
      <c r="D44" s="23">
        <f t="shared" si="2"/>
        <v>0</v>
      </c>
      <c r="F44" s="27"/>
      <c r="H44" s="27"/>
      <c r="J44" s="27"/>
    </row>
    <row r="45">
      <c r="A45" s="22" t="s">
        <v>568</v>
      </c>
      <c r="B45" s="21">
        <f t="shared" si="1"/>
        <v>0</v>
      </c>
      <c r="C45" s="21" t="str">
        <f>VLOOKUP(A45, hash!A$2:B$500, 2, 0)</f>
        <v>#N/A</v>
      </c>
      <c r="D45" s="23">
        <f t="shared" si="2"/>
        <v>0</v>
      </c>
      <c r="F45" s="27"/>
      <c r="H45" s="27"/>
      <c r="J45" s="27"/>
    </row>
    <row r="46">
      <c r="A46" s="22" t="s">
        <v>569</v>
      </c>
      <c r="B46" s="21">
        <f t="shared" si="1"/>
        <v>0</v>
      </c>
      <c r="C46" s="21" t="str">
        <f>VLOOKUP(A46, hash!A$2:B$500, 2, 0)</f>
        <v>#N/A</v>
      </c>
      <c r="D46" s="23">
        <f t="shared" si="2"/>
        <v>0</v>
      </c>
      <c r="F46" s="27"/>
      <c r="H46" s="27"/>
      <c r="J46" s="27"/>
    </row>
    <row r="47">
      <c r="A47" s="22" t="s">
        <v>435</v>
      </c>
      <c r="B47" s="21">
        <f t="shared" si="1"/>
        <v>0</v>
      </c>
      <c r="C47" s="21" t="str">
        <f>VLOOKUP(A47, hash!A$2:B$500, 2, 0)</f>
        <v>63222a4c5bded5e4ff37ac1f</v>
      </c>
      <c r="D47" s="23">
        <f t="shared" si="2"/>
        <v>0</v>
      </c>
      <c r="F47" s="27"/>
      <c r="H47" s="27"/>
      <c r="J47" s="27"/>
    </row>
    <row r="48">
      <c r="A48" s="22" t="s">
        <v>298</v>
      </c>
      <c r="B48" s="21">
        <f t="shared" si="1"/>
        <v>0</v>
      </c>
      <c r="C48" s="21" t="str">
        <f>VLOOKUP(A48, hash!A$2:B$500, 2, 0)</f>
        <v>66e1e12be2fbdff8a0c35639</v>
      </c>
      <c r="D48" s="23">
        <f t="shared" si="2"/>
        <v>0</v>
      </c>
      <c r="F48" s="27"/>
      <c r="H48" s="27"/>
      <c r="J48" s="27"/>
    </row>
    <row r="49">
      <c r="A49" s="22" t="s">
        <v>61</v>
      </c>
      <c r="B49" s="21">
        <f t="shared" si="1"/>
        <v>0</v>
      </c>
      <c r="C49" s="21" t="str">
        <f>VLOOKUP(A49, hash!A$2:B$500, 2, 0)</f>
        <v>65020c0f8f2b101294bb3dae</v>
      </c>
      <c r="D49" s="23">
        <f t="shared" si="2"/>
        <v>0</v>
      </c>
      <c r="F49" s="27"/>
      <c r="H49" s="27"/>
      <c r="J49" s="27"/>
    </row>
    <row r="50">
      <c r="A50" s="22" t="s">
        <v>441</v>
      </c>
      <c r="B50" s="21">
        <f t="shared" si="1"/>
        <v>0</v>
      </c>
      <c r="C50" s="21" t="str">
        <f>VLOOKUP(A50, hash!A$2:B$500, 2, 0)</f>
        <v>632220596d021b5cf508ccd5</v>
      </c>
      <c r="D50" s="23">
        <f t="shared" si="2"/>
        <v>0</v>
      </c>
      <c r="F50" s="27"/>
      <c r="H50" s="27"/>
      <c r="J50" s="27"/>
    </row>
    <row r="51">
      <c r="A51" s="22" t="s">
        <v>442</v>
      </c>
      <c r="B51" s="21">
        <f t="shared" si="1"/>
        <v>0</v>
      </c>
      <c r="C51" s="21" t="str">
        <f>VLOOKUP(A51, hash!A$2:B$500, 2, 0)</f>
        <v>632220710aa8ba2dbc57c0ac</v>
      </c>
      <c r="D51" s="23">
        <f t="shared" si="2"/>
        <v>0</v>
      </c>
      <c r="F51" s="27"/>
      <c r="H51" s="27"/>
      <c r="J51" s="27"/>
    </row>
    <row r="52">
      <c r="A52" s="22" t="s">
        <v>434</v>
      </c>
      <c r="B52" s="21">
        <f t="shared" si="1"/>
        <v>0</v>
      </c>
      <c r="C52" s="21" t="str">
        <f>VLOOKUP(A52, hash!A$2:B$500, 2, 0)</f>
        <v>63222083cfccb655ce1f3a74</v>
      </c>
      <c r="D52" s="23">
        <f t="shared" si="2"/>
        <v>0</v>
      </c>
      <c r="F52" s="27"/>
      <c r="H52" s="27"/>
      <c r="J52" s="27"/>
    </row>
    <row r="53">
      <c r="A53" s="22" t="s">
        <v>570</v>
      </c>
      <c r="B53" s="21">
        <f t="shared" si="1"/>
        <v>0</v>
      </c>
      <c r="C53" s="21" t="str">
        <f>VLOOKUP(A53, hash!A$2:B$500, 2, 0)</f>
        <v>#N/A</v>
      </c>
      <c r="D53" s="23">
        <f t="shared" si="2"/>
        <v>0</v>
      </c>
      <c r="F53" s="45"/>
      <c r="H53" s="45"/>
      <c r="J53" s="45"/>
    </row>
    <row r="54">
      <c r="A54" s="22" t="s">
        <v>39</v>
      </c>
      <c r="B54" s="21">
        <f t="shared" si="1"/>
        <v>0</v>
      </c>
      <c r="C54" s="21" t="str">
        <f>VLOOKUP(A54, hash!A$2:B$500, 2, 0)</f>
        <v>6594377be0f4f63927a8ce26</v>
      </c>
      <c r="D54" s="23">
        <f t="shared" si="2"/>
        <v>0</v>
      </c>
      <c r="F54" s="27"/>
      <c r="H54" s="27"/>
      <c r="J54" s="27"/>
    </row>
    <row r="55">
      <c r="A55" s="22" t="s">
        <v>99</v>
      </c>
      <c r="B55" s="21">
        <f t="shared" si="1"/>
        <v>0</v>
      </c>
      <c r="C55" s="21" t="str">
        <f>VLOOKUP(A55, hash!A$2:B$500, 2, 0)</f>
        <v>66e1e1107315471e09f2b5b1</v>
      </c>
      <c r="D55" s="23">
        <f t="shared" si="2"/>
        <v>0</v>
      </c>
      <c r="F55" s="27"/>
      <c r="H55" s="27"/>
      <c r="J55" s="27"/>
    </row>
    <row r="56">
      <c r="A56" s="22" t="s">
        <v>293</v>
      </c>
      <c r="B56" s="21">
        <f t="shared" si="1"/>
        <v>0</v>
      </c>
      <c r="C56" s="21" t="str">
        <f>VLOOKUP(A56, hash!A$2:B$500, 2, 0)</f>
        <v>66e1e125e2fbdff8a0c35635</v>
      </c>
      <c r="D56" s="23">
        <f t="shared" si="2"/>
        <v>0</v>
      </c>
      <c r="F56" s="27"/>
      <c r="H56" s="27"/>
      <c r="J56" s="27"/>
    </row>
    <row r="57">
      <c r="A57" s="22" t="s">
        <v>303</v>
      </c>
      <c r="B57" s="21">
        <f t="shared" si="1"/>
        <v>0</v>
      </c>
      <c r="C57" s="21" t="str">
        <f>VLOOKUP(A57, hash!A$2:B$500, 2, 0)</f>
        <v>66e1e137db315cbd40043fc5</v>
      </c>
      <c r="D57" s="23">
        <f t="shared" si="2"/>
        <v>0</v>
      </c>
      <c r="F57" s="27"/>
      <c r="H57" s="27"/>
      <c r="J57" s="27"/>
    </row>
    <row r="58">
      <c r="A58" s="22" t="s">
        <v>305</v>
      </c>
      <c r="B58" s="21">
        <f t="shared" si="1"/>
        <v>0</v>
      </c>
      <c r="C58" s="21" t="str">
        <f>VLOOKUP(A58, hash!A$2:B$500, 2, 0)</f>
        <v>66e1e141f0db8f5922c91d90</v>
      </c>
      <c r="D58" s="23">
        <f t="shared" si="2"/>
        <v>0</v>
      </c>
      <c r="F58" s="27"/>
      <c r="H58" s="27"/>
      <c r="J58" s="27"/>
    </row>
    <row r="59">
      <c r="A59" s="22" t="s">
        <v>306</v>
      </c>
      <c r="B59" s="21">
        <f t="shared" si="1"/>
        <v>0</v>
      </c>
      <c r="C59" s="21" t="str">
        <f>VLOOKUP(A59, hash!A$2:B$500, 2, 0)</f>
        <v>66e1e143db315cbd40043fcb</v>
      </c>
      <c r="D59" s="23">
        <f t="shared" si="2"/>
        <v>0</v>
      </c>
      <c r="F59" s="27"/>
      <c r="H59" s="27"/>
      <c r="J59" s="27"/>
    </row>
    <row r="60">
      <c r="A60" s="22" t="s">
        <v>312</v>
      </c>
      <c r="B60" s="21">
        <f t="shared" si="1"/>
        <v>0</v>
      </c>
      <c r="C60" s="21" t="str">
        <f>VLOOKUP(A60, hash!A$2:B$500, 2, 0)</f>
        <v>66e1ed841129889a3e2c24a8</v>
      </c>
      <c r="D60" s="23">
        <f t="shared" si="2"/>
        <v>0</v>
      </c>
      <c r="E60" s="14">
        <v>0.0</v>
      </c>
      <c r="F60" s="27">
        <v>0.0</v>
      </c>
      <c r="G60" s="14">
        <v>0.0</v>
      </c>
      <c r="H60" s="27">
        <v>0.0</v>
      </c>
      <c r="I60" s="14">
        <v>0.0</v>
      </c>
      <c r="J60" s="27">
        <v>0.0</v>
      </c>
    </row>
    <row r="61">
      <c r="A61" s="22" t="s">
        <v>346</v>
      </c>
      <c r="B61" s="21">
        <f t="shared" si="1"/>
        <v>0</v>
      </c>
      <c r="C61" s="21" t="str">
        <f>VLOOKUP(A61, hash!A$2:B$500, 2, 0)</f>
        <v>66eb1c19a526292217381272</v>
      </c>
      <c r="D61" s="23">
        <f t="shared" si="2"/>
        <v>0</v>
      </c>
      <c r="F61" s="27"/>
      <c r="H61" s="27"/>
      <c r="J61" s="27"/>
    </row>
    <row r="62">
      <c r="A62" s="22" t="s">
        <v>140</v>
      </c>
      <c r="B62" s="21">
        <f t="shared" si="1"/>
        <v>0</v>
      </c>
      <c r="C62" s="21" t="str">
        <f>VLOOKUP(A62, hash!A$2:B$500, 2, 0)</f>
        <v>6502001596a576d9fa03f98e</v>
      </c>
      <c r="D62" s="23">
        <f t="shared" si="2"/>
        <v>0</v>
      </c>
      <c r="E62" s="14">
        <v>0.0</v>
      </c>
      <c r="F62" s="27">
        <v>0.0</v>
      </c>
      <c r="G62" s="14">
        <v>0.0</v>
      </c>
      <c r="H62" s="27">
        <v>0.0</v>
      </c>
      <c r="I62" s="14">
        <v>0.0</v>
      </c>
      <c r="J62" s="27">
        <v>0.0</v>
      </c>
    </row>
    <row r="63">
      <c r="A63" s="22" t="s">
        <v>96</v>
      </c>
      <c r="B63" s="21">
        <f t="shared" si="1"/>
        <v>0</v>
      </c>
      <c r="C63" s="21" t="str">
        <f>VLOOKUP(A63, hash!A$2:B$500, 2, 0)</f>
        <v>65020be28f2b101294bb3da3</v>
      </c>
      <c r="D63" s="23">
        <f t="shared" si="2"/>
        <v>0</v>
      </c>
      <c r="F63" s="27"/>
      <c r="H63" s="27"/>
      <c r="J63" s="27"/>
    </row>
    <row r="64">
      <c r="A64" s="22" t="s">
        <v>437</v>
      </c>
      <c r="B64" s="21">
        <f t="shared" si="1"/>
        <v>0</v>
      </c>
      <c r="C64" s="21" t="str">
        <f>VLOOKUP(A64, hash!A$2:B$500, 2, 0)</f>
        <v>63221ff90aa8ba2dbc57c0a2</v>
      </c>
      <c r="D64" s="23">
        <f t="shared" si="2"/>
        <v>0</v>
      </c>
      <c r="F64" s="27"/>
      <c r="H64" s="27"/>
      <c r="J64" s="45"/>
    </row>
    <row r="65">
      <c r="A65" s="22" t="s">
        <v>438</v>
      </c>
      <c r="B65" s="21">
        <f t="shared" si="1"/>
        <v>0</v>
      </c>
      <c r="C65" s="21" t="str">
        <f>VLOOKUP(A65, hash!A$2:B$500, 2, 0)</f>
        <v>6322202f81b57daeeb478dd1</v>
      </c>
      <c r="D65" s="23">
        <f t="shared" si="2"/>
        <v>0</v>
      </c>
      <c r="F65" s="27"/>
      <c r="H65" s="27"/>
      <c r="J65" s="27"/>
    </row>
    <row r="66">
      <c r="A66" s="22" t="s">
        <v>439</v>
      </c>
      <c r="B66" s="21">
        <f t="shared" si="1"/>
        <v>0</v>
      </c>
      <c r="C66" s="21" t="str">
        <f>VLOOKUP(A66, hash!A$2:B$500, 2, 0)</f>
        <v>632220300aa8ba2dbc57c0a7</v>
      </c>
      <c r="D66" s="23">
        <f t="shared" si="2"/>
        <v>0</v>
      </c>
      <c r="F66" s="45"/>
      <c r="H66" s="45"/>
      <c r="J66" s="45"/>
    </row>
    <row r="67">
      <c r="A67" s="22" t="s">
        <v>433</v>
      </c>
      <c r="B67" s="21">
        <f t="shared" si="1"/>
        <v>0</v>
      </c>
      <c r="C67" s="21" t="str">
        <f>VLOOKUP(A67, hash!A$2:B$500, 2, 0)</f>
        <v>6322203581b57daeeb478dd2</v>
      </c>
      <c r="D67" s="23">
        <f t="shared" si="2"/>
        <v>0</v>
      </c>
      <c r="F67" s="45"/>
      <c r="H67" s="45"/>
      <c r="J67" s="45"/>
    </row>
    <row r="68">
      <c r="A68" s="22" t="s">
        <v>440</v>
      </c>
      <c r="B68" s="21">
        <f t="shared" si="1"/>
        <v>0</v>
      </c>
      <c r="C68" s="21" t="str">
        <f>VLOOKUP(A68, hash!A$2:B$500, 2, 0)</f>
        <v>632220580aa8ba2dbc57c0a9</v>
      </c>
      <c r="D68" s="23">
        <f t="shared" si="2"/>
        <v>0</v>
      </c>
      <c r="F68" s="45"/>
      <c r="H68" s="45"/>
      <c r="J68" s="45"/>
    </row>
    <row r="69">
      <c r="A69" s="22" t="s">
        <v>574</v>
      </c>
      <c r="B69" s="21">
        <f t="shared" si="1"/>
        <v>0</v>
      </c>
      <c r="C69" s="21" t="str">
        <f>VLOOKUP(A69, hash!A$2:B$500, 2, 0)</f>
        <v>#N/A</v>
      </c>
      <c r="D69" s="23">
        <f t="shared" si="2"/>
        <v>0</v>
      </c>
      <c r="F69" s="45"/>
      <c r="H69" s="45"/>
      <c r="J69" s="45"/>
    </row>
    <row r="70">
      <c r="A70" s="22" t="s">
        <v>575</v>
      </c>
      <c r="B70" s="21">
        <f t="shared" si="1"/>
        <v>0</v>
      </c>
      <c r="C70" s="21" t="str">
        <f>VLOOKUP(A70, hash!A$2:B$500, 2, 0)</f>
        <v>#N/A</v>
      </c>
      <c r="D70" s="23">
        <f t="shared" si="2"/>
        <v>0</v>
      </c>
      <c r="F70" s="27"/>
      <c r="H70" s="45"/>
      <c r="J70" s="45"/>
    </row>
    <row r="71">
      <c r="A71" s="22" t="s">
        <v>576</v>
      </c>
      <c r="B71" s="21">
        <f t="shared" si="1"/>
        <v>0</v>
      </c>
      <c r="C71" s="21" t="str">
        <f>VLOOKUP(A71, hash!A$2:B$500, 2, 0)</f>
        <v>#N/A</v>
      </c>
      <c r="D71" s="23">
        <f t="shared" si="2"/>
        <v>0</v>
      </c>
      <c r="F71" s="45"/>
      <c r="H71" s="45"/>
      <c r="J71" s="45"/>
    </row>
    <row r="72">
      <c r="A72" s="22" t="s">
        <v>577</v>
      </c>
      <c r="B72" s="21">
        <f t="shared" si="1"/>
        <v>0</v>
      </c>
      <c r="C72" s="21" t="str">
        <f>VLOOKUP(A72, hash!A$2:B$500, 2, 0)</f>
        <v>#N/A</v>
      </c>
      <c r="D72" s="23">
        <f t="shared" si="2"/>
        <v>0</v>
      </c>
      <c r="F72" s="45"/>
      <c r="H72" s="45"/>
      <c r="J72" s="45"/>
    </row>
    <row r="73">
      <c r="A73" s="22" t="s">
        <v>443</v>
      </c>
      <c r="B73" s="21">
        <f t="shared" si="1"/>
        <v>0</v>
      </c>
      <c r="C73" s="21" t="str">
        <f>VLOOKUP(A73, hash!A$2:B$500, 2, 0)</f>
        <v>6322211bf382c17890e6a3dd</v>
      </c>
      <c r="D73" s="23">
        <f t="shared" si="2"/>
        <v>0</v>
      </c>
      <c r="F73" s="45"/>
      <c r="H73" s="45"/>
      <c r="J73" s="45"/>
    </row>
    <row r="74">
      <c r="A74" s="22" t="s">
        <v>444</v>
      </c>
      <c r="B74" s="21">
        <f t="shared" si="1"/>
        <v>0</v>
      </c>
      <c r="C74" s="21" t="str">
        <f>VLOOKUP(A74, hash!A$2:B$500, 2, 0)</f>
        <v>63222123f382c17890e6a3de</v>
      </c>
      <c r="D74" s="23">
        <f t="shared" si="2"/>
        <v>0</v>
      </c>
      <c r="F74" s="45"/>
      <c r="H74" s="45"/>
      <c r="J74" s="45"/>
    </row>
    <row r="75">
      <c r="A75" s="22" t="s">
        <v>445</v>
      </c>
      <c r="B75" s="21">
        <f t="shared" si="1"/>
        <v>0</v>
      </c>
      <c r="C75" s="21" t="str">
        <f>VLOOKUP(A75, hash!A$2:B$500, 2, 0)</f>
        <v>632222c3f382c17890e6a3e0</v>
      </c>
      <c r="D75" s="23">
        <f t="shared" si="2"/>
        <v>0</v>
      </c>
      <c r="F75" s="45"/>
      <c r="H75" s="45"/>
      <c r="J75" s="45"/>
    </row>
    <row r="76">
      <c r="A76" s="22" t="s">
        <v>446</v>
      </c>
      <c r="B76" s="21">
        <f t="shared" si="1"/>
        <v>0</v>
      </c>
      <c r="C76" s="21" t="str">
        <f>VLOOKUP(A76, hash!A$2:B$500, 2, 0)</f>
        <v>63222372f382c17890e6a3e2</v>
      </c>
      <c r="D76" s="23">
        <f t="shared" si="2"/>
        <v>0</v>
      </c>
      <c r="F76" s="45"/>
      <c r="H76" s="45"/>
      <c r="J76" s="45"/>
    </row>
    <row r="77">
      <c r="A77" s="22" t="s">
        <v>447</v>
      </c>
      <c r="B77" s="21">
        <f t="shared" si="1"/>
        <v>0</v>
      </c>
      <c r="C77" s="21" t="str">
        <f>VLOOKUP(A77, hash!A$2:B$500, 2, 0)</f>
        <v>632223746d021b5cf508ccde</v>
      </c>
      <c r="D77" s="23">
        <f t="shared" si="2"/>
        <v>0</v>
      </c>
      <c r="F77" s="45"/>
      <c r="H77" s="45"/>
      <c r="J77" s="45"/>
    </row>
    <row r="78">
      <c r="A78" s="22" t="s">
        <v>448</v>
      </c>
      <c r="B78" s="21">
        <f t="shared" si="1"/>
        <v>0</v>
      </c>
      <c r="C78" s="21" t="str">
        <f>VLOOKUP(A78, hash!A$2:B$500, 2, 0)</f>
        <v>6322239b6d021b5cf508cce5</v>
      </c>
      <c r="D78" s="23">
        <f t="shared" si="2"/>
        <v>0</v>
      </c>
      <c r="F78" s="45"/>
      <c r="H78" s="45"/>
      <c r="J78" s="45"/>
    </row>
    <row r="79">
      <c r="A79" s="22" t="s">
        <v>449</v>
      </c>
      <c r="B79" s="21">
        <f t="shared" si="1"/>
        <v>0</v>
      </c>
      <c r="C79" s="21" t="str">
        <f>VLOOKUP(A79, hash!A$2:B$500, 2, 0)</f>
        <v>632223a1d53b2d7ef1d3746d</v>
      </c>
      <c r="D79" s="23">
        <f t="shared" si="2"/>
        <v>0</v>
      </c>
      <c r="F79" s="45"/>
      <c r="H79" s="45"/>
      <c r="J79" s="45"/>
    </row>
    <row r="80">
      <c r="A80" s="22" t="s">
        <v>450</v>
      </c>
      <c r="B80" s="21">
        <f t="shared" si="1"/>
        <v>0</v>
      </c>
      <c r="C80" s="21" t="str">
        <f>VLOOKUP(A80, hash!A$2:B$500, 2, 0)</f>
        <v>632223bdd53b2d7ef1d3746e</v>
      </c>
      <c r="D80" s="23">
        <f t="shared" si="2"/>
        <v>0</v>
      </c>
      <c r="F80" s="45"/>
      <c r="H80" s="45"/>
      <c r="J80" s="45"/>
    </row>
    <row r="81">
      <c r="A81" s="22" t="s">
        <v>451</v>
      </c>
      <c r="B81" s="21">
        <f t="shared" si="1"/>
        <v>0</v>
      </c>
      <c r="C81" s="21" t="str">
        <f>VLOOKUP(A81, hash!A$2:B$500, 2, 0)</f>
        <v>632223e585532e9bb23b7f01</v>
      </c>
      <c r="D81" s="23">
        <f t="shared" si="2"/>
        <v>0</v>
      </c>
      <c r="F81" s="45"/>
      <c r="H81" s="45"/>
      <c r="J81" s="45"/>
    </row>
    <row r="82">
      <c r="A82" s="22" t="s">
        <v>452</v>
      </c>
      <c r="B82" s="21">
        <f t="shared" si="1"/>
        <v>0</v>
      </c>
      <c r="C82" s="21" t="str">
        <f>VLOOKUP(A82, hash!A$2:B$500, 2, 0)</f>
        <v>632226f3d53b2d7ef1d37472</v>
      </c>
      <c r="D82" s="23">
        <f t="shared" si="2"/>
        <v>0</v>
      </c>
      <c r="F82" s="45"/>
      <c r="H82" s="45"/>
      <c r="J82" s="45"/>
    </row>
    <row r="83">
      <c r="A83" s="22" t="s">
        <v>453</v>
      </c>
      <c r="B83" s="21">
        <f t="shared" si="1"/>
        <v>0</v>
      </c>
      <c r="C83" s="21" t="str">
        <f>VLOOKUP(A83, hash!A$2:B$500, 2, 0)</f>
        <v>63222960d53b2d7ef1d37476</v>
      </c>
      <c r="D83" s="23">
        <f t="shared" si="2"/>
        <v>0</v>
      </c>
      <c r="F83" s="45"/>
      <c r="H83" s="45"/>
      <c r="J83" s="45"/>
    </row>
    <row r="84">
      <c r="A84" s="22" t="s">
        <v>578</v>
      </c>
      <c r="B84" s="21">
        <f t="shared" si="1"/>
        <v>0</v>
      </c>
      <c r="C84" s="21" t="str">
        <f>VLOOKUP(A84, hash!A$2:B$500, 2, 0)</f>
        <v>#N/A</v>
      </c>
      <c r="D84" s="23">
        <f t="shared" si="2"/>
        <v>0</v>
      </c>
      <c r="F84" s="27"/>
      <c r="H84" s="27"/>
      <c r="J84" s="27"/>
    </row>
    <row r="85">
      <c r="A85" s="22" t="s">
        <v>454</v>
      </c>
      <c r="B85" s="21">
        <f t="shared" si="1"/>
        <v>0</v>
      </c>
      <c r="C85" s="21" t="str">
        <f>VLOOKUP(A85, hash!A$2:B$500, 2, 0)</f>
        <v>632229c19832ea0dea0e2dcf</v>
      </c>
      <c r="D85" s="23">
        <f t="shared" si="2"/>
        <v>0</v>
      </c>
      <c r="F85" s="45"/>
      <c r="H85" s="45"/>
      <c r="J85" s="45"/>
    </row>
    <row r="86">
      <c r="A86" s="22" t="s">
        <v>455</v>
      </c>
      <c r="B86" s="21">
        <f t="shared" si="1"/>
        <v>0</v>
      </c>
      <c r="C86" s="21" t="str">
        <f>VLOOKUP(A86, hash!A$2:B$500, 2, 0)</f>
        <v>63222a025bded5e4ff37ac1e</v>
      </c>
      <c r="D86" s="23">
        <f t="shared" si="2"/>
        <v>0</v>
      </c>
      <c r="F86" s="45"/>
      <c r="H86" s="45"/>
      <c r="J86" s="45"/>
    </row>
    <row r="87">
      <c r="A87" s="22" t="s">
        <v>579</v>
      </c>
      <c r="B87" s="21">
        <f t="shared" si="1"/>
        <v>0</v>
      </c>
      <c r="C87" s="21" t="str">
        <f>VLOOKUP(A87, hash!A$2:B$500, 2, 0)</f>
        <v>#N/A</v>
      </c>
      <c r="D87" s="23">
        <f t="shared" si="2"/>
        <v>0</v>
      </c>
      <c r="F87" s="45"/>
      <c r="H87" s="45"/>
      <c r="J87" s="45"/>
    </row>
    <row r="88">
      <c r="A88" s="22" t="s">
        <v>580</v>
      </c>
      <c r="B88" s="21">
        <f t="shared" si="1"/>
        <v>0</v>
      </c>
      <c r="C88" s="21" t="str">
        <f>VLOOKUP(A88, hash!A$2:B$500, 2, 0)</f>
        <v>#N/A</v>
      </c>
      <c r="D88" s="23">
        <f t="shared" si="2"/>
        <v>0</v>
      </c>
      <c r="F88" s="45"/>
      <c r="H88" s="45"/>
      <c r="J88" s="45"/>
    </row>
    <row r="89">
      <c r="A89" s="22" t="s">
        <v>581</v>
      </c>
      <c r="B89" s="21">
        <f t="shared" si="1"/>
        <v>0</v>
      </c>
      <c r="C89" s="21" t="str">
        <f>VLOOKUP(A89, hash!A$2:B$500, 2, 0)</f>
        <v>#N/A</v>
      </c>
      <c r="D89" s="23">
        <f t="shared" si="2"/>
        <v>0</v>
      </c>
      <c r="F89" s="27"/>
      <c r="H89" s="27"/>
      <c r="J89" s="27"/>
    </row>
    <row r="90">
      <c r="A90" s="22" t="s">
        <v>456</v>
      </c>
      <c r="B90" s="21">
        <f t="shared" si="1"/>
        <v>0</v>
      </c>
      <c r="C90" s="21" t="str">
        <f>VLOOKUP(A90, hash!A$2:B$500, 2, 0)</f>
        <v>63222a9ced58d92b843f7cb0</v>
      </c>
      <c r="D90" s="23">
        <f t="shared" si="2"/>
        <v>0</v>
      </c>
      <c r="F90" s="45"/>
      <c r="H90" s="45"/>
      <c r="J90" s="45"/>
    </row>
    <row r="91">
      <c r="A91" s="22" t="s">
        <v>457</v>
      </c>
      <c r="B91" s="21">
        <f t="shared" si="1"/>
        <v>0</v>
      </c>
      <c r="C91" s="21" t="str">
        <f>VLOOKUP(A91, hash!A$2:B$500, 2, 0)</f>
        <v>63222ae4562da848b695b87f</v>
      </c>
      <c r="D91" s="23">
        <f t="shared" si="2"/>
        <v>0</v>
      </c>
      <c r="F91" s="45"/>
      <c r="H91" s="45"/>
      <c r="J91" s="45"/>
    </row>
    <row r="92">
      <c r="A92" s="22" t="s">
        <v>582</v>
      </c>
      <c r="B92" s="21">
        <f t="shared" si="1"/>
        <v>0</v>
      </c>
      <c r="C92" s="21" t="str">
        <f>VLOOKUP(A92, hash!A$2:B$500, 2, 0)</f>
        <v>#N/A</v>
      </c>
      <c r="D92" s="23">
        <f t="shared" si="2"/>
        <v>0</v>
      </c>
      <c r="F92" s="27"/>
      <c r="H92" s="27"/>
      <c r="J92" s="27"/>
    </row>
    <row r="93">
      <c r="A93" s="22" t="s">
        <v>583</v>
      </c>
      <c r="B93" s="21">
        <f t="shared" si="1"/>
        <v>0</v>
      </c>
      <c r="C93" s="21" t="str">
        <f>VLOOKUP(A93, hash!A$2:B$500, 2, 0)</f>
        <v>#N/A</v>
      </c>
      <c r="D93" s="23">
        <f t="shared" si="2"/>
        <v>0</v>
      </c>
      <c r="F93" s="45"/>
      <c r="H93" s="45"/>
      <c r="J93" s="45"/>
    </row>
    <row r="94">
      <c r="A94" s="22" t="s">
        <v>584</v>
      </c>
      <c r="B94" s="21">
        <f t="shared" si="1"/>
        <v>0</v>
      </c>
      <c r="C94" s="21" t="str">
        <f>VLOOKUP(A94, hash!A$2:B$500, 2, 0)</f>
        <v>#N/A</v>
      </c>
      <c r="D94" s="23">
        <f t="shared" si="2"/>
        <v>0</v>
      </c>
      <c r="F94" s="45"/>
      <c r="H94" s="45"/>
      <c r="J94" s="45"/>
    </row>
    <row r="95">
      <c r="A95" s="22" t="s">
        <v>34</v>
      </c>
      <c r="B95" s="21">
        <f t="shared" si="1"/>
        <v>0</v>
      </c>
      <c r="C95" s="21" t="str">
        <f>VLOOKUP(A95, hash!A$2:B$500, 2, 0)</f>
        <v>63222c2fed58d92b843f7cbf</v>
      </c>
      <c r="D95" s="23">
        <f t="shared" si="2"/>
        <v>0</v>
      </c>
      <c r="F95" s="27"/>
      <c r="H95" s="27"/>
      <c r="J95" s="27"/>
    </row>
    <row r="96">
      <c r="A96" s="22" t="s">
        <v>458</v>
      </c>
      <c r="B96" s="21">
        <f t="shared" si="1"/>
        <v>0</v>
      </c>
      <c r="C96" s="21" t="str">
        <f>VLOOKUP(A96, hash!A$2:B$500, 2, 0)</f>
        <v>63222d94ed58d92b843f7cc0</v>
      </c>
      <c r="D96" s="23">
        <f t="shared" si="2"/>
        <v>0</v>
      </c>
      <c r="F96" s="45"/>
      <c r="H96" s="45"/>
      <c r="J96" s="45"/>
    </row>
    <row r="97">
      <c r="A97" s="22" t="s">
        <v>459</v>
      </c>
      <c r="B97" s="21">
        <f t="shared" si="1"/>
        <v>0</v>
      </c>
      <c r="C97" s="21" t="str">
        <f>VLOOKUP(A97, hash!A$2:B$500, 2, 0)</f>
        <v>63222da4562da848b695b882</v>
      </c>
      <c r="D97" s="23">
        <f t="shared" si="2"/>
        <v>0</v>
      </c>
      <c r="F97" s="45"/>
      <c r="H97" s="45"/>
      <c r="J97" s="45"/>
    </row>
    <row r="98">
      <c r="A98" s="22" t="s">
        <v>585</v>
      </c>
      <c r="B98" s="21">
        <f t="shared" si="1"/>
        <v>0</v>
      </c>
      <c r="C98" s="21" t="str">
        <f>VLOOKUP(A98, hash!A$2:B$500, 2, 0)</f>
        <v>#N/A</v>
      </c>
      <c r="D98" s="23">
        <f t="shared" si="2"/>
        <v>0</v>
      </c>
      <c r="F98" s="45"/>
      <c r="H98" s="45"/>
      <c r="J98" s="45"/>
    </row>
    <row r="99">
      <c r="A99" s="22" t="s">
        <v>460</v>
      </c>
      <c r="B99" s="21">
        <f t="shared" si="1"/>
        <v>0</v>
      </c>
      <c r="C99" s="21" t="str">
        <f>VLOOKUP(A99, hash!A$2:B$500, 2, 0)</f>
        <v>63222dc6a729a8363c093b6b</v>
      </c>
      <c r="D99" s="23">
        <f t="shared" si="2"/>
        <v>0</v>
      </c>
      <c r="F99" s="45"/>
      <c r="H99" s="45"/>
      <c r="J99" s="45"/>
    </row>
    <row r="100">
      <c r="A100" s="22" t="s">
        <v>436</v>
      </c>
      <c r="B100" s="21">
        <f t="shared" si="1"/>
        <v>0</v>
      </c>
      <c r="C100" s="21" t="str">
        <f>VLOOKUP(A100, hash!A$2:B$500, 2, 0)</f>
        <v>63222dd4a729a8363c093b6d</v>
      </c>
      <c r="D100" s="23">
        <f t="shared" si="2"/>
        <v>0</v>
      </c>
      <c r="F100" s="45"/>
      <c r="H100" s="27"/>
      <c r="J100" s="27"/>
    </row>
    <row r="101">
      <c r="A101" s="22" t="s">
        <v>461</v>
      </c>
      <c r="B101" s="21">
        <f t="shared" si="1"/>
        <v>0</v>
      </c>
      <c r="C101" s="21" t="str">
        <f>VLOOKUP(A101, hash!A$2:B$500, 2, 0)</f>
        <v>63222dd7a729a8363c093b6e</v>
      </c>
      <c r="D101" s="23">
        <f t="shared" si="2"/>
        <v>0</v>
      </c>
      <c r="F101" s="45"/>
      <c r="H101" s="45"/>
      <c r="J101" s="45"/>
    </row>
    <row r="102">
      <c r="A102" s="22" t="s">
        <v>462</v>
      </c>
      <c r="B102" s="21">
        <f t="shared" si="1"/>
        <v>0</v>
      </c>
      <c r="C102" s="21" t="str">
        <f>VLOOKUP(A102, hash!A$2:B$500, 2, 0)</f>
        <v>63222deca729a8363c093b71</v>
      </c>
      <c r="D102" s="23">
        <f t="shared" si="2"/>
        <v>0</v>
      </c>
      <c r="F102" s="45"/>
      <c r="H102" s="45"/>
      <c r="J102" s="45"/>
    </row>
    <row r="103">
      <c r="A103" s="22" t="s">
        <v>463</v>
      </c>
      <c r="B103" s="21">
        <f t="shared" si="1"/>
        <v>0</v>
      </c>
      <c r="C103" s="21" t="str">
        <f>VLOOKUP(A103, hash!A$2:B$500, 2, 0)</f>
        <v>63222e10ed58d92b843f7cca</v>
      </c>
      <c r="D103" s="23">
        <f t="shared" si="2"/>
        <v>0</v>
      </c>
      <c r="F103" s="45"/>
      <c r="H103" s="45"/>
      <c r="J103" s="45"/>
    </row>
    <row r="104">
      <c r="A104" s="22" t="s">
        <v>464</v>
      </c>
      <c r="B104" s="21">
        <f t="shared" si="1"/>
        <v>0</v>
      </c>
      <c r="C104" s="21" t="str">
        <f>VLOOKUP(A104, hash!A$2:B$500, 2, 0)</f>
        <v>63222e35ed58d92b843f7ccd</v>
      </c>
      <c r="D104" s="23">
        <f t="shared" si="2"/>
        <v>0</v>
      </c>
      <c r="F104" s="45"/>
      <c r="H104" s="45"/>
      <c r="J104" s="45"/>
    </row>
    <row r="105">
      <c r="A105" s="22" t="s">
        <v>465</v>
      </c>
      <c r="B105" s="21">
        <f t="shared" si="1"/>
        <v>0</v>
      </c>
      <c r="C105" s="21" t="str">
        <f>VLOOKUP(A105, hash!A$2:B$500, 2, 0)</f>
        <v>63222e3a116f680d68804fa8</v>
      </c>
      <c r="D105" s="23">
        <f t="shared" si="2"/>
        <v>0</v>
      </c>
      <c r="F105" s="45"/>
      <c r="H105" s="45"/>
      <c r="J105" s="45"/>
    </row>
    <row r="106">
      <c r="A106" s="22" t="s">
        <v>466</v>
      </c>
      <c r="B106" s="21">
        <f t="shared" si="1"/>
        <v>0</v>
      </c>
      <c r="C106" s="21" t="str">
        <f>VLOOKUP(A106, hash!A$2:B$500, 2, 0)</f>
        <v>63222fa8562da848b695b887</v>
      </c>
      <c r="D106" s="23">
        <f t="shared" si="2"/>
        <v>0</v>
      </c>
      <c r="F106" s="45"/>
      <c r="H106" s="45"/>
      <c r="J106" s="45"/>
    </row>
    <row r="107">
      <c r="A107" s="22" t="s">
        <v>586</v>
      </c>
      <c r="B107" s="21">
        <f t="shared" si="1"/>
        <v>0</v>
      </c>
      <c r="C107" s="21" t="str">
        <f>VLOOKUP(A107, hash!A$2:B$500, 2, 0)</f>
        <v>#N/A</v>
      </c>
      <c r="D107" s="23">
        <f t="shared" si="2"/>
        <v>0</v>
      </c>
      <c r="F107" s="45"/>
      <c r="H107" s="45"/>
      <c r="J107" s="45"/>
    </row>
    <row r="108">
      <c r="A108" s="22" t="s">
        <v>467</v>
      </c>
      <c r="B108" s="21">
        <f t="shared" si="1"/>
        <v>0</v>
      </c>
      <c r="C108" s="21" t="str">
        <f>VLOOKUP(A108, hash!A$2:B$500, 2, 0)</f>
        <v>6329051b0c14e4fbd2ecace8</v>
      </c>
      <c r="D108" s="23">
        <f t="shared" si="2"/>
        <v>0</v>
      </c>
      <c r="F108" s="45"/>
      <c r="H108" s="45"/>
      <c r="J108" s="45"/>
    </row>
    <row r="109">
      <c r="A109" s="22" t="s">
        <v>468</v>
      </c>
      <c r="B109" s="21">
        <f t="shared" si="1"/>
        <v>0</v>
      </c>
      <c r="C109" s="21" t="str">
        <f>VLOOKUP(A109, hash!A$2:B$500, 2, 0)</f>
        <v>632b580f43e430c49f17d5dc</v>
      </c>
      <c r="D109" s="23">
        <f t="shared" si="2"/>
        <v>0</v>
      </c>
      <c r="F109" s="45"/>
      <c r="H109" s="45"/>
      <c r="J109" s="45"/>
    </row>
    <row r="110">
      <c r="A110" s="22" t="s">
        <v>469</v>
      </c>
      <c r="B110" s="21">
        <f t="shared" si="1"/>
        <v>0</v>
      </c>
      <c r="C110" s="21" t="str">
        <f>VLOOKUP(A110, hash!A$2:B$500, 2, 0)</f>
        <v>632b58290801926c6f0d9a37</v>
      </c>
      <c r="D110" s="23">
        <f t="shared" si="2"/>
        <v>0</v>
      </c>
      <c r="F110" s="45"/>
      <c r="H110" s="45"/>
      <c r="J110" s="45"/>
    </row>
    <row r="111">
      <c r="A111" s="22" t="s">
        <v>470</v>
      </c>
      <c r="B111" s="21">
        <f t="shared" si="1"/>
        <v>0</v>
      </c>
      <c r="C111" s="21" t="str">
        <f>VLOOKUP(A111, hash!A$2:B$500, 2, 0)</f>
        <v>632b5867c396d0088321be3a</v>
      </c>
      <c r="D111" s="23">
        <f t="shared" si="2"/>
        <v>0</v>
      </c>
      <c r="F111" s="45"/>
      <c r="H111" s="45"/>
      <c r="J111" s="45"/>
    </row>
    <row r="112">
      <c r="A112" s="22" t="s">
        <v>587</v>
      </c>
      <c r="B112" s="21">
        <f t="shared" si="1"/>
        <v>0</v>
      </c>
      <c r="C112" s="21" t="str">
        <f>VLOOKUP(A112, hash!A$2:B$500, 2, 0)</f>
        <v>#N/A</v>
      </c>
      <c r="D112" s="23">
        <f t="shared" si="2"/>
        <v>0</v>
      </c>
      <c r="F112" s="45"/>
      <c r="H112" s="45"/>
      <c r="J112" s="45"/>
    </row>
    <row r="113">
      <c r="A113" s="22" t="s">
        <v>471</v>
      </c>
      <c r="B113" s="21">
        <f t="shared" si="1"/>
        <v>0</v>
      </c>
      <c r="C113" s="21" t="str">
        <f>VLOOKUP(A113, hash!A$2:B$500, 2, 0)</f>
        <v>632b592764f599396d113b28</v>
      </c>
      <c r="D113" s="23">
        <f t="shared" si="2"/>
        <v>0</v>
      </c>
      <c r="F113" s="45"/>
      <c r="H113" s="45"/>
      <c r="J113" s="45"/>
    </row>
    <row r="114">
      <c r="A114" s="22" t="s">
        <v>588</v>
      </c>
      <c r="B114" s="21">
        <f t="shared" si="1"/>
        <v>0</v>
      </c>
      <c r="C114" s="21" t="str">
        <f>VLOOKUP(A114, hash!A$2:B$500, 2, 0)</f>
        <v>#N/A</v>
      </c>
      <c r="D114" s="23">
        <f t="shared" si="2"/>
        <v>0</v>
      </c>
      <c r="F114" s="45"/>
      <c r="H114" s="45"/>
      <c r="J114" s="45"/>
    </row>
    <row r="115">
      <c r="A115" s="22" t="s">
        <v>589</v>
      </c>
      <c r="B115" s="21">
        <f t="shared" si="1"/>
        <v>0</v>
      </c>
      <c r="C115" s="21" t="str">
        <f>VLOOKUP(A115, hash!A$2:B$500, 2, 0)</f>
        <v>#N/A</v>
      </c>
      <c r="D115" s="23">
        <f t="shared" si="2"/>
        <v>0</v>
      </c>
      <c r="F115" s="45"/>
      <c r="H115" s="45"/>
      <c r="J115" s="45"/>
    </row>
    <row r="116">
      <c r="A116" s="22" t="s">
        <v>590</v>
      </c>
      <c r="B116" s="21">
        <f t="shared" si="1"/>
        <v>0</v>
      </c>
      <c r="C116" s="21" t="str">
        <f>VLOOKUP(A116, hash!A$2:B$500, 2, 0)</f>
        <v>#N/A</v>
      </c>
      <c r="D116" s="23">
        <f t="shared" si="2"/>
        <v>0</v>
      </c>
      <c r="F116" s="45"/>
      <c r="H116" s="45"/>
      <c r="J116" s="45"/>
    </row>
    <row r="117">
      <c r="A117" s="22" t="s">
        <v>591</v>
      </c>
      <c r="B117" s="21">
        <f t="shared" si="1"/>
        <v>0</v>
      </c>
      <c r="C117" s="21" t="str">
        <f>VLOOKUP(A117, hash!A$2:B$500, 2, 0)</f>
        <v>#N/A</v>
      </c>
      <c r="D117" s="23">
        <f t="shared" si="2"/>
        <v>0</v>
      </c>
      <c r="F117" s="45"/>
      <c r="H117" s="45"/>
      <c r="J117" s="45"/>
    </row>
    <row r="118">
      <c r="A118" s="22" t="s">
        <v>592</v>
      </c>
      <c r="B118" s="21">
        <f t="shared" si="1"/>
        <v>0</v>
      </c>
      <c r="C118" s="21" t="str">
        <f>VLOOKUP(A118, hash!A$2:B$500, 2, 0)</f>
        <v>#N/A</v>
      </c>
      <c r="D118" s="23">
        <f t="shared" si="2"/>
        <v>0</v>
      </c>
      <c r="F118" s="45"/>
      <c r="H118" s="45"/>
      <c r="J118" s="45"/>
    </row>
    <row r="119">
      <c r="A119" s="22" t="s">
        <v>472</v>
      </c>
      <c r="B119" s="21">
        <f t="shared" si="1"/>
        <v>0</v>
      </c>
      <c r="C119" s="21" t="str">
        <f>VLOOKUP(A119, hash!A$2:B$500, 2, 0)</f>
        <v>632b659ebfb5f9d04c8cca40</v>
      </c>
      <c r="D119" s="23">
        <f t="shared" si="2"/>
        <v>0</v>
      </c>
      <c r="F119" s="45"/>
      <c r="H119" s="45"/>
      <c r="J119" s="45"/>
    </row>
    <row r="120">
      <c r="A120" s="22" t="s">
        <v>473</v>
      </c>
      <c r="B120" s="21">
        <f t="shared" si="1"/>
        <v>0</v>
      </c>
      <c r="C120" s="21" t="str">
        <f>VLOOKUP(A120, hash!A$2:B$500, 2, 0)</f>
        <v>63332820dde72043c98a24b0</v>
      </c>
      <c r="D120" s="23">
        <f t="shared" si="2"/>
        <v>0</v>
      </c>
      <c r="F120" s="45"/>
      <c r="H120" s="45"/>
      <c r="J120" s="45"/>
    </row>
    <row r="121">
      <c r="A121" s="22" t="s">
        <v>474</v>
      </c>
      <c r="B121" s="21">
        <f t="shared" si="1"/>
        <v>0</v>
      </c>
      <c r="C121" s="21" t="str">
        <f>VLOOKUP(A121, hash!A$2:B$500, 2, 0)</f>
        <v>6334930daf5a29e196628f54</v>
      </c>
      <c r="D121" s="23">
        <f t="shared" si="2"/>
        <v>0</v>
      </c>
      <c r="F121" s="45"/>
      <c r="H121" s="45"/>
      <c r="J121" s="45"/>
    </row>
    <row r="122">
      <c r="A122" s="22" t="s">
        <v>593</v>
      </c>
      <c r="B122" s="21">
        <f t="shared" si="1"/>
        <v>0</v>
      </c>
      <c r="C122" s="21" t="str">
        <f>VLOOKUP(A122, hash!A$2:B$500, 2, 0)</f>
        <v>#N/A</v>
      </c>
      <c r="D122" s="23">
        <f t="shared" si="2"/>
        <v>0</v>
      </c>
      <c r="F122" s="45"/>
      <c r="H122" s="45"/>
      <c r="J122" s="45"/>
    </row>
    <row r="123">
      <c r="A123" s="22" t="s">
        <v>510</v>
      </c>
      <c r="B123" s="21">
        <f t="shared" si="1"/>
        <v>0</v>
      </c>
      <c r="C123" s="21" t="str">
        <f>VLOOKUP(A123, hash!A$2:B$500, 2, 0)</f>
        <v>6334931c5db42318c75b941a</v>
      </c>
      <c r="D123" s="23">
        <f t="shared" si="2"/>
        <v>0</v>
      </c>
      <c r="F123" s="45"/>
      <c r="H123" s="45"/>
      <c r="J123" s="45"/>
    </row>
    <row r="124">
      <c r="A124" s="22" t="s">
        <v>475</v>
      </c>
      <c r="B124" s="21">
        <f t="shared" si="1"/>
        <v>0</v>
      </c>
      <c r="C124" s="21" t="str">
        <f>VLOOKUP(A124, hash!A$2:B$500, 2, 0)</f>
        <v>6334934ee801712b31d25536</v>
      </c>
      <c r="D124" s="23">
        <f t="shared" si="2"/>
        <v>0</v>
      </c>
      <c r="F124" s="45"/>
      <c r="H124" s="45"/>
      <c r="J124" s="45"/>
    </row>
    <row r="125">
      <c r="A125" s="22" t="s">
        <v>476</v>
      </c>
      <c r="B125" s="21">
        <f t="shared" si="1"/>
        <v>0</v>
      </c>
      <c r="C125" s="21" t="str">
        <f>VLOOKUP(A125, hash!A$2:B$500, 2, 0)</f>
        <v>63349f8e3a8dbca7ef791374</v>
      </c>
      <c r="D125" s="23">
        <f t="shared" si="2"/>
        <v>0</v>
      </c>
      <c r="F125" s="45"/>
      <c r="H125" s="45"/>
      <c r="J125" s="45"/>
    </row>
    <row r="126">
      <c r="A126" s="22" t="s">
        <v>594</v>
      </c>
      <c r="B126" s="21">
        <f t="shared" si="1"/>
        <v>0</v>
      </c>
      <c r="C126" s="21" t="str">
        <f>VLOOKUP(A126, hash!A$2:B$500, 2, 0)</f>
        <v>#N/A</v>
      </c>
      <c r="D126" s="23">
        <f t="shared" si="2"/>
        <v>0</v>
      </c>
      <c r="F126" s="27"/>
      <c r="H126" s="45"/>
      <c r="J126" s="45"/>
    </row>
    <row r="127">
      <c r="A127" s="22" t="s">
        <v>477</v>
      </c>
      <c r="B127" s="21">
        <f t="shared" si="1"/>
        <v>0</v>
      </c>
      <c r="C127" s="21" t="str">
        <f>VLOOKUP(A127, hash!A$2:B$500, 2, 0)</f>
        <v>63349f9a3a8dbca7ef791375</v>
      </c>
      <c r="D127" s="23">
        <f t="shared" si="2"/>
        <v>0</v>
      </c>
      <c r="F127" s="45"/>
      <c r="H127" s="45"/>
      <c r="J127" s="45"/>
    </row>
    <row r="128">
      <c r="A128" s="22" t="s">
        <v>478</v>
      </c>
      <c r="B128" s="21">
        <f t="shared" si="1"/>
        <v>0</v>
      </c>
      <c r="C128" s="21" t="str">
        <f>VLOOKUP(A128, hash!A$2:B$500, 2, 0)</f>
        <v>633b2944907d3b0ce904b02f</v>
      </c>
      <c r="D128" s="23">
        <f t="shared" si="2"/>
        <v>0</v>
      </c>
      <c r="F128" s="45"/>
      <c r="H128" s="45"/>
      <c r="J128" s="45"/>
    </row>
    <row r="129">
      <c r="A129" s="22" t="s">
        <v>595</v>
      </c>
      <c r="B129" s="21">
        <f t="shared" si="1"/>
        <v>0</v>
      </c>
      <c r="C129" s="21" t="str">
        <f>VLOOKUP(A129, hash!A$2:B$500, 2, 0)</f>
        <v>#N/A</v>
      </c>
      <c r="D129" s="23">
        <f t="shared" si="2"/>
        <v>0</v>
      </c>
      <c r="F129" s="45"/>
      <c r="H129" s="45"/>
      <c r="J129" s="45"/>
    </row>
    <row r="130">
      <c r="A130" s="22" t="s">
        <v>479</v>
      </c>
      <c r="B130" s="21">
        <f t="shared" si="1"/>
        <v>0</v>
      </c>
      <c r="C130" s="21" t="str">
        <f>VLOOKUP(A130, hash!A$2:B$500, 2, 0)</f>
        <v>633b296e907d3b0ce904b03b</v>
      </c>
      <c r="D130" s="23">
        <f t="shared" si="2"/>
        <v>0</v>
      </c>
      <c r="F130" s="45"/>
      <c r="H130" s="45"/>
      <c r="J130" s="45"/>
    </row>
    <row r="131">
      <c r="A131" s="22" t="s">
        <v>596</v>
      </c>
      <c r="B131" s="21">
        <f t="shared" si="1"/>
        <v>0</v>
      </c>
      <c r="C131" s="21" t="str">
        <f>VLOOKUP(A131, hash!A$2:B$500, 2, 0)</f>
        <v>#N/A</v>
      </c>
      <c r="D131" s="23">
        <f t="shared" si="2"/>
        <v>0</v>
      </c>
      <c r="F131" s="45"/>
      <c r="H131" s="45"/>
      <c r="J131" s="27"/>
    </row>
    <row r="132">
      <c r="A132" s="22" t="s">
        <v>480</v>
      </c>
      <c r="B132" s="21">
        <f t="shared" si="1"/>
        <v>0</v>
      </c>
      <c r="C132" s="21" t="str">
        <f>VLOOKUP(A132, hash!A$2:B$500, 2, 0)</f>
        <v>633b33dde2076b371abb58dd</v>
      </c>
      <c r="D132" s="23">
        <f t="shared" si="2"/>
        <v>0</v>
      </c>
      <c r="F132" s="45"/>
      <c r="H132" s="45"/>
      <c r="J132" s="45"/>
    </row>
    <row r="133">
      <c r="A133" s="22" t="s">
        <v>481</v>
      </c>
      <c r="B133" s="21">
        <f t="shared" si="1"/>
        <v>0</v>
      </c>
      <c r="C133" s="21" t="str">
        <f>VLOOKUP(A133, hash!A$2:B$500, 2, 0)</f>
        <v>633b36b4e2076b371abb58ed</v>
      </c>
      <c r="D133" s="23">
        <f t="shared" si="2"/>
        <v>0</v>
      </c>
      <c r="F133" s="45"/>
      <c r="H133" s="45"/>
      <c r="J133" s="45"/>
    </row>
    <row r="134">
      <c r="A134" s="22" t="s">
        <v>597</v>
      </c>
      <c r="B134" s="21">
        <f t="shared" si="1"/>
        <v>0</v>
      </c>
      <c r="C134" s="21" t="str">
        <f>VLOOKUP(A134, hash!A$2:B$500, 2, 0)</f>
        <v>#N/A</v>
      </c>
      <c r="D134" s="23">
        <f t="shared" si="2"/>
        <v>0</v>
      </c>
      <c r="F134" s="45"/>
      <c r="H134" s="45"/>
      <c r="J134" s="45"/>
    </row>
    <row r="135">
      <c r="A135" s="22" t="s">
        <v>598</v>
      </c>
      <c r="B135" s="21">
        <f t="shared" si="1"/>
        <v>0</v>
      </c>
      <c r="C135" s="21" t="str">
        <f>VLOOKUP(A135, hash!A$2:B$500, 2, 0)</f>
        <v>#N/A</v>
      </c>
      <c r="D135" s="23">
        <f t="shared" si="2"/>
        <v>0</v>
      </c>
      <c r="F135" s="45"/>
      <c r="H135" s="45"/>
      <c r="J135" s="45"/>
    </row>
    <row r="136">
      <c r="A136" s="22" t="s">
        <v>599</v>
      </c>
      <c r="B136" s="21">
        <f t="shared" si="1"/>
        <v>0</v>
      </c>
      <c r="C136" s="21" t="str">
        <f>VLOOKUP(A136, hash!A$2:B$500, 2, 0)</f>
        <v>#N/A</v>
      </c>
      <c r="D136" s="23">
        <f t="shared" si="2"/>
        <v>0</v>
      </c>
      <c r="F136" s="45"/>
      <c r="H136" s="45"/>
      <c r="J136" s="45"/>
    </row>
    <row r="137">
      <c r="A137" s="22" t="s">
        <v>600</v>
      </c>
      <c r="B137" s="21">
        <f t="shared" si="1"/>
        <v>0</v>
      </c>
      <c r="C137" s="21" t="str">
        <f>VLOOKUP(A137, hash!A$2:B$500, 2, 0)</f>
        <v>#N/A</v>
      </c>
      <c r="D137" s="23">
        <f t="shared" si="2"/>
        <v>0</v>
      </c>
      <c r="F137" s="45"/>
      <c r="H137" s="45"/>
      <c r="J137" s="45"/>
    </row>
    <row r="138">
      <c r="A138" s="22" t="s">
        <v>601</v>
      </c>
      <c r="B138" s="21">
        <f t="shared" si="1"/>
        <v>0</v>
      </c>
      <c r="C138" s="21" t="str">
        <f>VLOOKUP(A138, hash!A$2:B$500, 2, 0)</f>
        <v>#N/A</v>
      </c>
      <c r="D138" s="23">
        <f t="shared" si="2"/>
        <v>0</v>
      </c>
      <c r="F138" s="45"/>
      <c r="H138" s="45"/>
      <c r="J138" s="45"/>
    </row>
    <row r="139">
      <c r="A139" s="22" t="s">
        <v>482</v>
      </c>
      <c r="B139" s="21">
        <f t="shared" si="1"/>
        <v>0</v>
      </c>
      <c r="C139" s="21" t="str">
        <f>VLOOKUP(A139, hash!A$2:B$500, 2, 0)</f>
        <v>634ebd057dcff4d8aaf60ecd</v>
      </c>
      <c r="D139" s="23">
        <f t="shared" si="2"/>
        <v>0</v>
      </c>
      <c r="F139" s="45"/>
      <c r="H139" s="45"/>
      <c r="J139" s="45"/>
    </row>
    <row r="140">
      <c r="A140" s="22" t="s">
        <v>483</v>
      </c>
      <c r="B140" s="21">
        <f t="shared" si="1"/>
        <v>0</v>
      </c>
      <c r="C140" s="21" t="str">
        <f>VLOOKUP(A140, hash!A$2:B$500, 2, 0)</f>
        <v>6350260e6b84e6835b7bdb10</v>
      </c>
      <c r="D140" s="23">
        <f t="shared" si="2"/>
        <v>0</v>
      </c>
      <c r="F140" s="45"/>
      <c r="H140" s="45"/>
      <c r="J140" s="45"/>
    </row>
    <row r="141">
      <c r="A141" s="22" t="s">
        <v>484</v>
      </c>
      <c r="B141" s="21">
        <f t="shared" si="1"/>
        <v>0</v>
      </c>
      <c r="C141" s="21" t="str">
        <f>VLOOKUP(A141, hash!A$2:B$500, 2, 0)</f>
        <v>635041d40aaa9d7642b16a2a</v>
      </c>
      <c r="D141" s="23">
        <f t="shared" si="2"/>
        <v>0</v>
      </c>
      <c r="F141" s="45"/>
      <c r="H141" s="45"/>
      <c r="J141" s="45"/>
    </row>
    <row r="142">
      <c r="A142" s="22" t="s">
        <v>485</v>
      </c>
      <c r="B142" s="21">
        <f t="shared" si="1"/>
        <v>0</v>
      </c>
      <c r="C142" s="21" t="str">
        <f>VLOOKUP(A142, hash!A$2:B$500, 2, 0)</f>
        <v>63504cfc4e941e57f7932609</v>
      </c>
      <c r="D142" s="23">
        <f t="shared" si="2"/>
        <v>0</v>
      </c>
      <c r="F142" s="45"/>
      <c r="H142" s="45"/>
      <c r="J142" s="45"/>
    </row>
    <row r="143">
      <c r="A143" s="22" t="s">
        <v>486</v>
      </c>
      <c r="B143" s="21">
        <f t="shared" si="1"/>
        <v>0</v>
      </c>
      <c r="C143" s="21" t="str">
        <f>VLOOKUP(A143, hash!A$2:B$500, 2, 0)</f>
        <v>63504d21680a31686694f409</v>
      </c>
      <c r="D143" s="23">
        <f t="shared" si="2"/>
        <v>0</v>
      </c>
      <c r="F143" s="45"/>
      <c r="H143" s="45"/>
      <c r="J143" s="45"/>
    </row>
    <row r="144">
      <c r="A144" s="22" t="s">
        <v>487</v>
      </c>
      <c r="B144" s="21">
        <f t="shared" si="1"/>
        <v>0</v>
      </c>
      <c r="C144" s="21" t="str">
        <f>VLOOKUP(A144, hash!A$2:B$500, 2, 0)</f>
        <v>63504d993b59fc8152ddcd16</v>
      </c>
      <c r="D144" s="23">
        <f t="shared" si="2"/>
        <v>0</v>
      </c>
      <c r="F144" s="45"/>
      <c r="H144" s="45"/>
      <c r="J144" s="45"/>
    </row>
    <row r="145">
      <c r="A145" s="22" t="s">
        <v>488</v>
      </c>
      <c r="B145" s="21">
        <f t="shared" si="1"/>
        <v>0</v>
      </c>
      <c r="C145" s="21" t="str">
        <f>VLOOKUP(A145, hash!A$2:B$500, 2, 0)</f>
        <v>63504f2bf3c9b5fc221a8b0b</v>
      </c>
      <c r="D145" s="23">
        <f t="shared" si="2"/>
        <v>0</v>
      </c>
      <c r="F145" s="45"/>
      <c r="H145" s="45"/>
      <c r="J145" s="45"/>
    </row>
    <row r="146">
      <c r="A146" s="22" t="s">
        <v>489</v>
      </c>
      <c r="B146" s="21">
        <f t="shared" si="1"/>
        <v>0</v>
      </c>
      <c r="C146" s="21" t="str">
        <f>VLOOKUP(A146, hash!A$2:B$500, 2, 0)</f>
        <v>63505039f3c9b5fc221a8b11</v>
      </c>
      <c r="D146" s="23">
        <f t="shared" si="2"/>
        <v>0</v>
      </c>
      <c r="F146" s="45"/>
      <c r="H146" s="45"/>
      <c r="J146" s="45"/>
    </row>
    <row r="147">
      <c r="A147" s="22" t="s">
        <v>490</v>
      </c>
      <c r="B147" s="21">
        <f t="shared" si="1"/>
        <v>0</v>
      </c>
      <c r="C147" s="21" t="str">
        <f>VLOOKUP(A147, hash!A$2:B$500, 2, 0)</f>
        <v>6350508cf3c9b5fc221a8b14</v>
      </c>
      <c r="D147" s="23">
        <f t="shared" si="2"/>
        <v>0</v>
      </c>
      <c r="F147" s="45"/>
      <c r="H147" s="45"/>
      <c r="J147" s="45"/>
    </row>
    <row r="148">
      <c r="A148" s="22" t="s">
        <v>491</v>
      </c>
      <c r="B148" s="21">
        <f t="shared" si="1"/>
        <v>0</v>
      </c>
      <c r="C148" s="21" t="str">
        <f>VLOOKUP(A148, hash!A$2:B$500, 2, 0)</f>
        <v>635052bcd5280881c6468696</v>
      </c>
      <c r="D148" s="23">
        <f t="shared" si="2"/>
        <v>0</v>
      </c>
      <c r="F148" s="45"/>
      <c r="H148" s="45"/>
      <c r="J148" s="45"/>
    </row>
    <row r="149">
      <c r="A149" s="22" t="s">
        <v>492</v>
      </c>
      <c r="B149" s="21">
        <f t="shared" si="1"/>
        <v>0</v>
      </c>
      <c r="C149" s="21" t="str">
        <f>VLOOKUP(A149, hash!A$2:B$500, 2, 0)</f>
        <v>635053873b59fc8152ddcd3f</v>
      </c>
      <c r="D149" s="23">
        <f t="shared" si="2"/>
        <v>0</v>
      </c>
      <c r="F149" s="45"/>
      <c r="H149" s="45"/>
      <c r="J149" s="45"/>
    </row>
    <row r="150">
      <c r="A150" s="22" t="s">
        <v>493</v>
      </c>
      <c r="B150" s="21">
        <f t="shared" si="1"/>
        <v>0</v>
      </c>
      <c r="C150" s="21" t="str">
        <f>VLOOKUP(A150, hash!A$2:B$500, 2, 0)</f>
        <v>6350549ca87d74ab21f25e75</v>
      </c>
      <c r="D150" s="23">
        <f t="shared" si="2"/>
        <v>0</v>
      </c>
      <c r="F150" s="45"/>
      <c r="H150" s="45"/>
      <c r="J150" s="45"/>
    </row>
    <row r="151">
      <c r="A151" s="22" t="s">
        <v>602</v>
      </c>
      <c r="B151" s="21">
        <f t="shared" si="1"/>
        <v>0</v>
      </c>
      <c r="C151" s="21" t="str">
        <f>VLOOKUP(A151, hash!A$2:B$500, 2, 0)</f>
        <v>#N/A</v>
      </c>
      <c r="D151" s="23">
        <f t="shared" si="2"/>
        <v>0</v>
      </c>
      <c r="F151" s="45"/>
      <c r="H151" s="45"/>
      <c r="J151" s="45"/>
    </row>
    <row r="152">
      <c r="A152" s="22" t="s">
        <v>494</v>
      </c>
      <c r="B152" s="21">
        <f t="shared" si="1"/>
        <v>0</v>
      </c>
      <c r="C152" s="21" t="str">
        <f>VLOOKUP(A152, hash!A$2:B$500, 2, 0)</f>
        <v>63529e993c9eeacf2b95884e</v>
      </c>
      <c r="D152" s="23">
        <f t="shared" si="2"/>
        <v>0</v>
      </c>
      <c r="F152" s="45"/>
      <c r="H152" s="45"/>
      <c r="J152" s="45"/>
    </row>
    <row r="153">
      <c r="A153" s="22" t="s">
        <v>495</v>
      </c>
      <c r="B153" s="21">
        <f t="shared" si="1"/>
        <v>0</v>
      </c>
      <c r="C153" s="21" t="str">
        <f>VLOOKUP(A153, hash!A$2:B$500, 2, 0)</f>
        <v>63597cb9a9e578282a60ad9d</v>
      </c>
      <c r="D153" s="23">
        <f t="shared" si="2"/>
        <v>0</v>
      </c>
      <c r="F153" s="45"/>
      <c r="H153" s="45"/>
      <c r="J153" s="45"/>
    </row>
    <row r="154">
      <c r="A154" s="22" t="s">
        <v>603</v>
      </c>
      <c r="B154" s="21">
        <f t="shared" si="1"/>
        <v>0</v>
      </c>
      <c r="C154" s="21" t="str">
        <f>VLOOKUP(A154, hash!A$2:B$500, 2, 0)</f>
        <v>#N/A</v>
      </c>
      <c r="D154" s="23">
        <f t="shared" si="2"/>
        <v>0</v>
      </c>
      <c r="F154" s="45"/>
      <c r="H154" s="45"/>
      <c r="J154" s="45"/>
    </row>
    <row r="155">
      <c r="A155" s="22" t="s">
        <v>101</v>
      </c>
      <c r="B155" s="21">
        <f t="shared" si="1"/>
        <v>0</v>
      </c>
      <c r="C155" s="21" t="str">
        <f>VLOOKUP(A155, hash!A$2:B$500, 2, 0)</f>
        <v>6362864bd6615019231bd3fc</v>
      </c>
      <c r="D155" s="23">
        <f t="shared" si="2"/>
        <v>0</v>
      </c>
      <c r="F155" s="45"/>
      <c r="H155" s="45"/>
      <c r="J155" s="45"/>
    </row>
    <row r="156">
      <c r="A156" s="22" t="s">
        <v>102</v>
      </c>
      <c r="B156" s="21">
        <f t="shared" si="1"/>
        <v>0</v>
      </c>
      <c r="C156" s="21" t="str">
        <f>VLOOKUP(A156, hash!A$2:B$500, 2, 0)</f>
        <v>6362b77fe777ad6bbb240412</v>
      </c>
      <c r="D156" s="23">
        <f t="shared" si="2"/>
        <v>0</v>
      </c>
      <c r="F156" s="45"/>
      <c r="H156" s="45"/>
      <c r="J156" s="45"/>
    </row>
    <row r="157">
      <c r="A157" s="22" t="s">
        <v>604</v>
      </c>
      <c r="B157" s="21">
        <f t="shared" si="1"/>
        <v>0</v>
      </c>
      <c r="C157" s="21" t="str">
        <f>VLOOKUP(A157, hash!A$2:B$500, 2, 0)</f>
        <v>#N/A</v>
      </c>
      <c r="D157" s="23">
        <f t="shared" si="2"/>
        <v>0</v>
      </c>
      <c r="F157" s="45"/>
      <c r="H157" s="45"/>
      <c r="J157" s="45"/>
    </row>
    <row r="158">
      <c r="A158" s="22" t="s">
        <v>103</v>
      </c>
      <c r="B158" s="21">
        <f t="shared" si="1"/>
        <v>0</v>
      </c>
      <c r="C158" s="21" t="str">
        <f>VLOOKUP(A158, hash!A$2:B$500, 2, 0)</f>
        <v>6376b58661fba9785d07416f</v>
      </c>
      <c r="D158" s="23">
        <f t="shared" si="2"/>
        <v>0</v>
      </c>
      <c r="F158" s="45"/>
      <c r="H158" s="45"/>
      <c r="J158" s="45"/>
    </row>
    <row r="159">
      <c r="A159" s="22" t="s">
        <v>605</v>
      </c>
      <c r="B159" s="21">
        <f t="shared" si="1"/>
        <v>0</v>
      </c>
      <c r="C159" s="21" t="str">
        <f>VLOOKUP(A159, hash!A$2:B$500, 2, 0)</f>
        <v>#N/A</v>
      </c>
      <c r="D159" s="23">
        <f t="shared" si="2"/>
        <v>0</v>
      </c>
      <c r="F159" s="45"/>
      <c r="H159" s="45"/>
      <c r="J159" s="45"/>
    </row>
    <row r="160">
      <c r="A160" s="22" t="s">
        <v>606</v>
      </c>
      <c r="B160" s="21">
        <f t="shared" si="1"/>
        <v>0</v>
      </c>
      <c r="C160" s="21" t="str">
        <f>VLOOKUP(A160, hash!A$2:B$500, 2, 0)</f>
        <v>#N/A</v>
      </c>
      <c r="D160" s="23">
        <f t="shared" si="2"/>
        <v>0</v>
      </c>
      <c r="F160" s="45"/>
      <c r="H160" s="45"/>
      <c r="J160" s="45"/>
    </row>
    <row r="161">
      <c r="A161" s="22" t="s">
        <v>104</v>
      </c>
      <c r="B161" s="21">
        <f t="shared" si="1"/>
        <v>0</v>
      </c>
      <c r="C161" s="21" t="str">
        <f>VLOOKUP(A161, hash!A$2:B$500, 2, 0)</f>
        <v>6387bb73c1e51a839dd5a996</v>
      </c>
      <c r="D161" s="23">
        <f t="shared" si="2"/>
        <v>0</v>
      </c>
      <c r="F161" s="45"/>
      <c r="H161" s="45"/>
      <c r="J161" s="45"/>
    </row>
    <row r="162">
      <c r="A162" s="22" t="s">
        <v>105</v>
      </c>
      <c r="B162" s="21">
        <f t="shared" si="1"/>
        <v>0</v>
      </c>
      <c r="C162" s="21" t="str">
        <f>VLOOKUP(A162, hash!A$2:B$500, 2, 0)</f>
        <v>6387bbc6c1e51a839dd5a9a4</v>
      </c>
      <c r="D162" s="23">
        <f t="shared" si="2"/>
        <v>0</v>
      </c>
      <c r="F162" s="45"/>
      <c r="H162" s="45"/>
      <c r="J162" s="45"/>
    </row>
    <row r="163">
      <c r="A163" s="22" t="s">
        <v>106</v>
      </c>
      <c r="B163" s="21">
        <f t="shared" si="1"/>
        <v>0</v>
      </c>
      <c r="C163" s="21" t="str">
        <f>VLOOKUP(A163, hash!A$2:B$500, 2, 0)</f>
        <v>639a2e9e3b748bad962c153c</v>
      </c>
      <c r="D163" s="23">
        <f t="shared" si="2"/>
        <v>0</v>
      </c>
      <c r="F163" s="45"/>
      <c r="H163" s="45"/>
      <c r="J163" s="45"/>
    </row>
    <row r="164">
      <c r="A164" s="22" t="s">
        <v>107</v>
      </c>
      <c r="B164" s="21">
        <f t="shared" si="1"/>
        <v>0</v>
      </c>
      <c r="C164" s="21" t="str">
        <f>VLOOKUP(A164, hash!A$2:B$500, 2, 0)</f>
        <v>63b5d35a964a47f092354843</v>
      </c>
      <c r="D164" s="23">
        <f t="shared" si="2"/>
        <v>0</v>
      </c>
      <c r="F164" s="45"/>
      <c r="H164" s="45"/>
      <c r="J164" s="45"/>
    </row>
    <row r="165">
      <c r="A165" s="22" t="s">
        <v>108</v>
      </c>
      <c r="B165" s="21">
        <f t="shared" si="1"/>
        <v>0</v>
      </c>
      <c r="C165" s="21" t="str">
        <f>VLOOKUP(A165, hash!A$2:B$500, 2, 0)</f>
        <v>63c833ef38ef4ba2f7bbe919</v>
      </c>
      <c r="D165" s="23">
        <f t="shared" si="2"/>
        <v>0</v>
      </c>
      <c r="F165" s="45"/>
      <c r="H165" s="45"/>
      <c r="J165" s="45"/>
    </row>
    <row r="166">
      <c r="A166" s="22" t="s">
        <v>109</v>
      </c>
      <c r="B166" s="21">
        <f t="shared" si="1"/>
        <v>0</v>
      </c>
      <c r="C166" s="21" t="str">
        <f>VLOOKUP(A166, hash!A$2:B$500, 2, 0)</f>
        <v>63c8473f511ce7e89481b00b</v>
      </c>
      <c r="D166" s="23">
        <f t="shared" si="2"/>
        <v>0</v>
      </c>
      <c r="F166" s="45"/>
      <c r="H166" s="45"/>
      <c r="J166" s="45"/>
    </row>
    <row r="167">
      <c r="A167" s="22" t="s">
        <v>110</v>
      </c>
      <c r="B167" s="21">
        <f t="shared" si="1"/>
        <v>0</v>
      </c>
      <c r="C167" s="21" t="str">
        <f>VLOOKUP(A167, hash!A$2:B$500, 2, 0)</f>
        <v>63c8477b67bbb48b24b073b9</v>
      </c>
      <c r="D167" s="23">
        <f t="shared" si="2"/>
        <v>0</v>
      </c>
      <c r="F167" s="45"/>
      <c r="H167" s="45"/>
      <c r="J167" s="45"/>
    </row>
    <row r="168">
      <c r="A168" s="22" t="s">
        <v>607</v>
      </c>
      <c r="B168" s="21">
        <f t="shared" si="1"/>
        <v>0</v>
      </c>
      <c r="C168" s="21" t="str">
        <f>VLOOKUP(A168, hash!A$2:B$500, 2, 0)</f>
        <v>#N/A</v>
      </c>
      <c r="D168" s="23">
        <f t="shared" si="2"/>
        <v>0</v>
      </c>
      <c r="F168" s="45"/>
      <c r="H168" s="45"/>
      <c r="J168" s="45"/>
    </row>
    <row r="169">
      <c r="A169" s="22" t="s">
        <v>608</v>
      </c>
      <c r="B169" s="21">
        <f t="shared" si="1"/>
        <v>0</v>
      </c>
      <c r="C169" s="21" t="str">
        <f>VLOOKUP(A169, hash!A$2:B$500, 2, 0)</f>
        <v>#N/A</v>
      </c>
      <c r="D169" s="23">
        <f t="shared" si="2"/>
        <v>0</v>
      </c>
      <c r="F169" s="45"/>
      <c r="H169" s="45"/>
      <c r="J169" s="45"/>
    </row>
    <row r="170">
      <c r="A170" s="22" t="s">
        <v>111</v>
      </c>
      <c r="B170" s="21">
        <f t="shared" si="1"/>
        <v>0</v>
      </c>
      <c r="C170" s="21" t="str">
        <f>VLOOKUP(A170, hash!A$2:B$500, 2, 0)</f>
        <v>63dabd0663f6b9aef34df313</v>
      </c>
      <c r="D170" s="23">
        <f t="shared" si="2"/>
        <v>0</v>
      </c>
      <c r="F170" s="45"/>
      <c r="H170" s="45"/>
      <c r="J170" s="45"/>
    </row>
    <row r="171">
      <c r="A171" s="22" t="s">
        <v>112</v>
      </c>
      <c r="B171" s="21">
        <f t="shared" si="1"/>
        <v>0</v>
      </c>
      <c r="C171" s="21" t="str">
        <f>VLOOKUP(A171, hash!A$2:B$500, 2, 0)</f>
        <v>63dabd3d9dab57a89c8ed2ec</v>
      </c>
      <c r="D171" s="23">
        <f t="shared" si="2"/>
        <v>0</v>
      </c>
      <c r="F171" s="45"/>
      <c r="H171" s="45"/>
      <c r="J171" s="45"/>
    </row>
    <row r="172">
      <c r="A172" s="22" t="s">
        <v>609</v>
      </c>
      <c r="B172" s="21">
        <f t="shared" si="1"/>
        <v>0</v>
      </c>
      <c r="C172" s="21" t="str">
        <f>VLOOKUP(A172, hash!A$2:B$500, 2, 0)</f>
        <v>#N/A</v>
      </c>
      <c r="D172" s="23">
        <f t="shared" si="2"/>
        <v>0</v>
      </c>
      <c r="F172" s="45"/>
      <c r="H172" s="45"/>
      <c r="J172" s="45"/>
    </row>
    <row r="173">
      <c r="A173" s="22" t="s">
        <v>113</v>
      </c>
      <c r="B173" s="21">
        <f t="shared" si="1"/>
        <v>0</v>
      </c>
      <c r="C173" s="21" t="str">
        <f>VLOOKUP(A173, hash!A$2:B$500, 2, 0)</f>
        <v>63ddd5541cf7a4a53455fa2b</v>
      </c>
      <c r="D173" s="23">
        <f t="shared" si="2"/>
        <v>0</v>
      </c>
      <c r="F173" s="45"/>
      <c r="H173" s="45"/>
      <c r="J173" s="45"/>
    </row>
    <row r="174">
      <c r="A174" s="22" t="s">
        <v>610</v>
      </c>
      <c r="B174" s="21">
        <f t="shared" si="1"/>
        <v>0</v>
      </c>
      <c r="C174" s="21" t="str">
        <f>VLOOKUP(A174, hash!A$2:B$500, 2, 0)</f>
        <v>#N/A</v>
      </c>
      <c r="D174" s="23">
        <f t="shared" si="2"/>
        <v>0</v>
      </c>
      <c r="F174" s="45"/>
      <c r="H174" s="45"/>
      <c r="J174" s="45"/>
    </row>
    <row r="175">
      <c r="A175" s="22" t="s">
        <v>114</v>
      </c>
      <c r="B175" s="21">
        <f t="shared" si="1"/>
        <v>0</v>
      </c>
      <c r="C175" s="21" t="str">
        <f>VLOOKUP(A175, hash!A$2:B$500, 2, 0)</f>
        <v>63ed3c20ba3040bfda3dc990</v>
      </c>
      <c r="D175" s="23">
        <f t="shared" si="2"/>
        <v>0</v>
      </c>
      <c r="F175" s="45"/>
      <c r="H175" s="45"/>
      <c r="J175" s="45"/>
    </row>
    <row r="176">
      <c r="A176" s="22" t="s">
        <v>115</v>
      </c>
      <c r="B176" s="21">
        <f t="shared" si="1"/>
        <v>0</v>
      </c>
      <c r="C176" s="21" t="str">
        <f>VLOOKUP(A176, hash!A$2:B$500, 2, 0)</f>
        <v>63f67889c8ff9ace793384df</v>
      </c>
      <c r="D176" s="23">
        <f t="shared" si="2"/>
        <v>0</v>
      </c>
      <c r="F176" s="45"/>
      <c r="H176" s="45"/>
      <c r="J176" s="45"/>
    </row>
    <row r="177">
      <c r="A177" s="22" t="s">
        <v>116</v>
      </c>
      <c r="B177" s="21">
        <f t="shared" si="1"/>
        <v>0</v>
      </c>
      <c r="C177" s="21" t="str">
        <f>VLOOKUP(A177, hash!A$2:B$500, 2, 0)</f>
        <v>63f67911eb2d54539e475aef</v>
      </c>
      <c r="D177" s="23">
        <f t="shared" si="2"/>
        <v>0</v>
      </c>
      <c r="F177" s="45"/>
      <c r="H177" s="45"/>
      <c r="J177" s="45"/>
    </row>
    <row r="178">
      <c r="A178" s="22" t="s">
        <v>611</v>
      </c>
      <c r="B178" s="21">
        <f t="shared" si="1"/>
        <v>0</v>
      </c>
      <c r="C178" s="21" t="str">
        <f>VLOOKUP(A178, hash!A$2:B$500, 2, 0)</f>
        <v>#N/A</v>
      </c>
      <c r="D178" s="23">
        <f t="shared" si="2"/>
        <v>0</v>
      </c>
      <c r="F178" s="45"/>
      <c r="H178" s="45"/>
      <c r="J178" s="45"/>
    </row>
    <row r="179">
      <c r="A179" s="22" t="s">
        <v>612</v>
      </c>
      <c r="B179" s="21">
        <f t="shared" si="1"/>
        <v>0</v>
      </c>
      <c r="C179" s="21" t="str">
        <f>VLOOKUP(A179, hash!A$2:B$500, 2, 0)</f>
        <v>#N/A</v>
      </c>
      <c r="D179" s="23">
        <f t="shared" si="2"/>
        <v>0</v>
      </c>
      <c r="F179" s="45"/>
      <c r="H179" s="45"/>
      <c r="J179" s="45"/>
    </row>
    <row r="180">
      <c r="A180" s="22" t="s">
        <v>117</v>
      </c>
      <c r="B180" s="21">
        <f t="shared" si="1"/>
        <v>0</v>
      </c>
      <c r="C180" s="21" t="str">
        <f>VLOOKUP(A180, hash!A$2:B$500, 2, 0)</f>
        <v>64120eb5cd7bcbc0e50f33da</v>
      </c>
      <c r="D180" s="23">
        <f t="shared" si="2"/>
        <v>0</v>
      </c>
      <c r="F180" s="45"/>
      <c r="H180" s="45"/>
      <c r="J180" s="45"/>
    </row>
    <row r="181">
      <c r="A181" s="22" t="s">
        <v>118</v>
      </c>
      <c r="B181" s="21">
        <f t="shared" si="1"/>
        <v>0</v>
      </c>
      <c r="C181" s="21" t="str">
        <f>VLOOKUP(A181, hash!A$2:B$500, 2, 0)</f>
        <v>64403390f40f176b87a687a7</v>
      </c>
      <c r="D181" s="23">
        <f t="shared" si="2"/>
        <v>0</v>
      </c>
      <c r="F181" s="45"/>
      <c r="H181" s="45"/>
      <c r="J181" s="45"/>
    </row>
    <row r="182">
      <c r="A182" s="22" t="s">
        <v>119</v>
      </c>
      <c r="B182" s="21">
        <f t="shared" si="1"/>
        <v>0</v>
      </c>
      <c r="C182" s="21" t="str">
        <f>VLOOKUP(A182, hash!A$2:B$500, 2, 0)</f>
        <v>64403395ea1fa9a912edb699</v>
      </c>
      <c r="D182" s="23">
        <f t="shared" si="2"/>
        <v>0</v>
      </c>
      <c r="F182" s="45"/>
      <c r="H182" s="45"/>
      <c r="J182" s="51"/>
    </row>
    <row r="183">
      <c r="A183" s="22" t="s">
        <v>120</v>
      </c>
      <c r="B183" s="21">
        <f t="shared" si="1"/>
        <v>0</v>
      </c>
      <c r="C183" s="21" t="str">
        <f>VLOOKUP(A183, hash!A$2:B$500, 2, 0)</f>
        <v>64403399ea1fa9a912edb69a</v>
      </c>
      <c r="D183" s="23">
        <f t="shared" si="2"/>
        <v>0</v>
      </c>
      <c r="F183" s="45"/>
      <c r="H183" s="45"/>
      <c r="J183" s="45"/>
    </row>
    <row r="184">
      <c r="A184" s="22" t="s">
        <v>121</v>
      </c>
      <c r="B184" s="21">
        <f t="shared" si="1"/>
        <v>0</v>
      </c>
      <c r="C184" s="21" t="str">
        <f>VLOOKUP(A184, hash!A$2:B$500, 2, 0)</f>
        <v>644033a6ea1fa9a912edb69b</v>
      </c>
      <c r="D184" s="23">
        <f t="shared" si="2"/>
        <v>0</v>
      </c>
      <c r="F184" s="45"/>
      <c r="H184" s="45"/>
      <c r="J184" s="45"/>
    </row>
    <row r="185">
      <c r="A185" s="22" t="s">
        <v>122</v>
      </c>
      <c r="B185" s="21">
        <f t="shared" si="1"/>
        <v>0</v>
      </c>
      <c r="C185" s="21" t="str">
        <f>VLOOKUP(A185, hash!A$2:B$500, 2, 0)</f>
        <v>6440343c3d99f5a46dd56558</v>
      </c>
      <c r="D185" s="23">
        <f t="shared" si="2"/>
        <v>0</v>
      </c>
      <c r="F185" s="45"/>
      <c r="H185" s="45"/>
      <c r="J185" s="45"/>
    </row>
    <row r="186">
      <c r="A186" s="22" t="s">
        <v>123</v>
      </c>
      <c r="B186" s="21">
        <f t="shared" si="1"/>
        <v>0</v>
      </c>
      <c r="C186" s="21" t="str">
        <f>VLOOKUP(A186, hash!A$2:B$500, 2, 0)</f>
        <v>644034954fa829a66b219e95</v>
      </c>
      <c r="D186" s="23">
        <f t="shared" si="2"/>
        <v>0</v>
      </c>
      <c r="F186" s="45"/>
      <c r="H186" s="45"/>
      <c r="J186" s="45"/>
    </row>
    <row r="187">
      <c r="A187" s="22" t="s">
        <v>124</v>
      </c>
      <c r="B187" s="21">
        <f t="shared" si="1"/>
        <v>0</v>
      </c>
      <c r="C187" s="21" t="str">
        <f>VLOOKUP(A187, hash!A$2:B$500, 2, 0)</f>
        <v>6451565d77ece8ad709943e6</v>
      </c>
      <c r="D187" s="23">
        <f t="shared" si="2"/>
        <v>0</v>
      </c>
      <c r="F187" s="45"/>
      <c r="H187" s="45"/>
      <c r="J187" s="45"/>
    </row>
    <row r="188">
      <c r="A188" s="22" t="s">
        <v>125</v>
      </c>
      <c r="B188" s="21">
        <f t="shared" si="1"/>
        <v>0</v>
      </c>
      <c r="C188" s="21" t="str">
        <f>VLOOKUP(A188, hash!A$2:B$500, 2, 0)</f>
        <v>6451566b3e57b23a771eb77e</v>
      </c>
      <c r="D188" s="23">
        <f t="shared" si="2"/>
        <v>0</v>
      </c>
      <c r="F188" s="45"/>
      <c r="H188" s="45"/>
      <c r="J188" s="45"/>
    </row>
    <row r="189">
      <c r="A189" s="22" t="s">
        <v>126</v>
      </c>
      <c r="B189" s="21">
        <f t="shared" si="1"/>
        <v>0</v>
      </c>
      <c r="C189" s="21" t="str">
        <f>VLOOKUP(A189, hash!A$2:B$500, 2, 0)</f>
        <v>64515f40d1db94b82bde4768</v>
      </c>
      <c r="D189" s="23">
        <f t="shared" si="2"/>
        <v>0</v>
      </c>
      <c r="F189" s="45"/>
      <c r="H189" s="45"/>
      <c r="J189" s="45"/>
    </row>
    <row r="190">
      <c r="A190" s="22" t="s">
        <v>56</v>
      </c>
      <c r="B190" s="21">
        <f t="shared" si="1"/>
        <v>0</v>
      </c>
      <c r="C190" s="21" t="str">
        <f>VLOOKUP(A190, hash!A$2:B$500, 2, 0)</f>
        <v>64515f804c53122bd367c958</v>
      </c>
      <c r="D190" s="23">
        <f t="shared" si="2"/>
        <v>0</v>
      </c>
      <c r="F190" s="27"/>
      <c r="H190" s="27"/>
      <c r="J190" s="27"/>
    </row>
    <row r="191">
      <c r="A191" s="22" t="s">
        <v>613</v>
      </c>
      <c r="B191" s="21">
        <f t="shared" si="1"/>
        <v>0</v>
      </c>
      <c r="C191" s="21" t="str">
        <f>VLOOKUP(A191, hash!A$2:B$500, 2, 0)</f>
        <v>#N/A</v>
      </c>
      <c r="D191" s="23">
        <f t="shared" si="2"/>
        <v>0</v>
      </c>
      <c r="F191" s="45"/>
      <c r="H191" s="45"/>
      <c r="J191" s="45"/>
    </row>
    <row r="192">
      <c r="A192" s="22" t="s">
        <v>127</v>
      </c>
      <c r="B192" s="21">
        <f t="shared" si="1"/>
        <v>0</v>
      </c>
      <c r="C192" s="21" t="str">
        <f>VLOOKUP(A192, hash!A$2:B$500, 2, 0)</f>
        <v>6501ffd91d8cbbbd315ad51c</v>
      </c>
      <c r="D192" s="23">
        <f t="shared" si="2"/>
        <v>0</v>
      </c>
      <c r="F192" s="45"/>
      <c r="H192" s="45"/>
      <c r="J192" s="45"/>
    </row>
    <row r="193">
      <c r="A193" s="22" t="s">
        <v>128</v>
      </c>
      <c r="B193" s="21">
        <f t="shared" si="1"/>
        <v>0</v>
      </c>
      <c r="C193" s="21" t="str">
        <f>VLOOKUP(A193, hash!A$2:B$500, 2, 0)</f>
        <v>6501ffe41d8cbbbd315ad51d</v>
      </c>
      <c r="D193" s="23">
        <f t="shared" si="2"/>
        <v>0</v>
      </c>
      <c r="F193" s="45"/>
      <c r="H193" s="45"/>
      <c r="J193" s="45"/>
    </row>
    <row r="194">
      <c r="A194" s="22" t="s">
        <v>129</v>
      </c>
      <c r="B194" s="21">
        <f t="shared" si="1"/>
        <v>0</v>
      </c>
      <c r="C194" s="21" t="str">
        <f>VLOOKUP(A194, hash!A$2:B$500, 2, 0)</f>
        <v>6501fff01d8cbbbd315ad51f</v>
      </c>
      <c r="D194" s="23">
        <f t="shared" si="2"/>
        <v>0</v>
      </c>
      <c r="F194" s="45"/>
      <c r="H194" s="45"/>
      <c r="J194" s="45"/>
    </row>
    <row r="195">
      <c r="A195" s="22" t="s">
        <v>130</v>
      </c>
      <c r="B195" s="21">
        <f t="shared" si="1"/>
        <v>0</v>
      </c>
      <c r="C195" s="21" t="str">
        <f>VLOOKUP(A195, hash!A$2:B$500, 2, 0)</f>
        <v>6501fff296a576d9fa03f986</v>
      </c>
      <c r="D195" s="23">
        <f t="shared" si="2"/>
        <v>0</v>
      </c>
      <c r="F195" s="45"/>
      <c r="H195" s="45"/>
      <c r="J195" s="45"/>
    </row>
    <row r="196">
      <c r="A196" s="22" t="s">
        <v>131</v>
      </c>
      <c r="B196" s="21">
        <f t="shared" si="1"/>
        <v>0</v>
      </c>
      <c r="C196" s="21" t="str">
        <f>VLOOKUP(A196, hash!A$2:B$500, 2, 0)</f>
        <v>6501fffc96a576d9fa03f988</v>
      </c>
      <c r="D196" s="23">
        <f t="shared" si="2"/>
        <v>0</v>
      </c>
      <c r="F196" s="45"/>
      <c r="H196" s="45"/>
      <c r="J196" s="45"/>
    </row>
    <row r="197">
      <c r="A197" s="22" t="s">
        <v>132</v>
      </c>
      <c r="B197" s="21">
        <f t="shared" si="1"/>
        <v>0</v>
      </c>
      <c r="C197" s="21" t="str">
        <f>VLOOKUP(A197, hash!A$2:B$500, 2, 0)</f>
        <v>6501fffd96a576d9fa03f989</v>
      </c>
      <c r="D197" s="23">
        <f t="shared" si="2"/>
        <v>0</v>
      </c>
      <c r="F197" s="45"/>
      <c r="H197" s="45"/>
      <c r="J197" s="45"/>
    </row>
    <row r="198">
      <c r="A198" s="22" t="s">
        <v>133</v>
      </c>
      <c r="B198" s="21">
        <f t="shared" si="1"/>
        <v>0</v>
      </c>
      <c r="C198" s="21" t="str">
        <f>VLOOKUP(A198, hash!A$2:B$500, 2, 0)</f>
        <v>6502000096a576d9fa03f98a</v>
      </c>
      <c r="D198" s="23">
        <f t="shared" si="2"/>
        <v>0</v>
      </c>
      <c r="F198" s="45"/>
      <c r="H198" s="45"/>
      <c r="J198" s="45"/>
    </row>
    <row r="199">
      <c r="A199" s="22" t="s">
        <v>134</v>
      </c>
      <c r="B199" s="21">
        <f t="shared" si="1"/>
        <v>0</v>
      </c>
      <c r="C199" s="21" t="str">
        <f>VLOOKUP(A199, hash!A$2:B$500, 2, 0)</f>
        <v>6502000196a576d9fa03f98b</v>
      </c>
      <c r="D199" s="23">
        <f t="shared" si="2"/>
        <v>0</v>
      </c>
      <c r="F199" s="27"/>
      <c r="H199" s="27"/>
      <c r="J199" s="27"/>
    </row>
    <row r="200">
      <c r="A200" s="22" t="s">
        <v>135</v>
      </c>
      <c r="B200" s="21">
        <f t="shared" si="1"/>
        <v>0</v>
      </c>
      <c r="C200" s="21" t="str">
        <f>VLOOKUP(A200, hash!A$2:B$500, 2, 0)</f>
        <v>65020008540ba7cc68909a94</v>
      </c>
      <c r="D200" s="23">
        <f t="shared" si="2"/>
        <v>0</v>
      </c>
      <c r="F200" s="45"/>
      <c r="H200" s="45"/>
      <c r="J200" s="45"/>
    </row>
    <row r="201">
      <c r="A201" s="22" t="s">
        <v>136</v>
      </c>
      <c r="B201" s="21">
        <f t="shared" si="1"/>
        <v>0</v>
      </c>
      <c r="C201" s="21" t="str">
        <f>VLOOKUP(A201, hash!A$2:B$500, 2, 0)</f>
        <v>6502000b1d8cbbbd315ad521</v>
      </c>
      <c r="D201" s="23">
        <f t="shared" si="2"/>
        <v>0</v>
      </c>
      <c r="F201" s="45"/>
      <c r="H201" s="45"/>
      <c r="J201" s="45"/>
    </row>
    <row r="202">
      <c r="A202" s="22" t="s">
        <v>137</v>
      </c>
      <c r="B202" s="21">
        <f t="shared" si="1"/>
        <v>0</v>
      </c>
      <c r="C202" s="21" t="str">
        <f>VLOOKUP(A202, hash!A$2:B$500, 2, 0)</f>
        <v>65020010540ba7cc68909a95</v>
      </c>
      <c r="D202" s="23">
        <f t="shared" si="2"/>
        <v>0</v>
      </c>
      <c r="F202" s="45"/>
      <c r="H202" s="45"/>
      <c r="J202" s="45"/>
    </row>
    <row r="203">
      <c r="A203" s="22" t="s">
        <v>138</v>
      </c>
      <c r="B203" s="21">
        <f t="shared" si="1"/>
        <v>0</v>
      </c>
      <c r="C203" s="21" t="str">
        <f>VLOOKUP(A203, hash!A$2:B$500, 2, 0)</f>
        <v>6502001196a576d9fa03f98c</v>
      </c>
      <c r="D203" s="23">
        <f t="shared" si="2"/>
        <v>0</v>
      </c>
      <c r="F203" s="45"/>
      <c r="H203" s="45"/>
      <c r="J203" s="45"/>
    </row>
    <row r="204">
      <c r="A204" s="22" t="s">
        <v>139</v>
      </c>
      <c r="B204" s="21">
        <f t="shared" si="1"/>
        <v>0</v>
      </c>
      <c r="C204" s="21" t="str">
        <f>VLOOKUP(A204, hash!A$2:B$500, 2, 0)</f>
        <v>6502001196a576d9fa03f98d</v>
      </c>
      <c r="D204" s="23">
        <f t="shared" si="2"/>
        <v>0</v>
      </c>
      <c r="F204" s="45"/>
      <c r="H204" s="45"/>
      <c r="J204" s="45"/>
    </row>
    <row r="205">
      <c r="A205" s="22" t="s">
        <v>141</v>
      </c>
      <c r="B205" s="21">
        <f t="shared" si="1"/>
        <v>0</v>
      </c>
      <c r="C205" s="21" t="str">
        <f>VLOOKUP(A205, hash!A$2:B$500, 2, 0)</f>
        <v>6502001d540ba7cc68909a96</v>
      </c>
      <c r="D205" s="23">
        <f t="shared" si="2"/>
        <v>0</v>
      </c>
      <c r="F205" s="45"/>
      <c r="H205" s="45"/>
      <c r="J205" s="45"/>
    </row>
    <row r="206">
      <c r="A206" s="22" t="s">
        <v>142</v>
      </c>
      <c r="B206" s="21">
        <f t="shared" si="1"/>
        <v>0</v>
      </c>
      <c r="C206" s="21" t="str">
        <f>VLOOKUP(A206, hash!A$2:B$500, 2, 0)</f>
        <v>6502001f96a576d9fa03f991</v>
      </c>
      <c r="D206" s="23">
        <f t="shared" si="2"/>
        <v>0</v>
      </c>
      <c r="F206" s="45"/>
      <c r="H206" s="45"/>
      <c r="J206" s="45"/>
    </row>
    <row r="207">
      <c r="A207" s="22" t="s">
        <v>143</v>
      </c>
      <c r="B207" s="21">
        <f t="shared" si="1"/>
        <v>0</v>
      </c>
      <c r="C207" s="21" t="str">
        <f>VLOOKUP(A207, hash!A$2:B$500, 2, 0)</f>
        <v>6502002296a576d9fa03f993</v>
      </c>
      <c r="D207" s="23">
        <f t="shared" si="2"/>
        <v>0</v>
      </c>
      <c r="F207" s="45"/>
      <c r="H207" s="45"/>
      <c r="J207" s="45"/>
    </row>
    <row r="208">
      <c r="A208" s="22" t="s">
        <v>144</v>
      </c>
      <c r="B208" s="21">
        <f t="shared" si="1"/>
        <v>0</v>
      </c>
      <c r="C208" s="21" t="str">
        <f>VLOOKUP(A208, hash!A$2:B$500, 2, 0)</f>
        <v>6502002396a576d9fa03f994</v>
      </c>
      <c r="D208" s="23">
        <f t="shared" si="2"/>
        <v>0</v>
      </c>
      <c r="F208" s="45"/>
      <c r="H208" s="45"/>
      <c r="J208" s="45"/>
    </row>
    <row r="209">
      <c r="A209" s="22" t="s">
        <v>94</v>
      </c>
      <c r="B209" s="21">
        <f t="shared" si="1"/>
        <v>0</v>
      </c>
      <c r="C209" s="21" t="str">
        <f>VLOOKUP(A209, hash!A$2:B$500, 2, 0)</f>
        <v>6502002b1d8cbbbd315ad524</v>
      </c>
      <c r="D209" s="23">
        <f t="shared" si="2"/>
        <v>0</v>
      </c>
      <c r="E209" s="14">
        <v>0.0</v>
      </c>
      <c r="F209" s="27">
        <v>0.0</v>
      </c>
      <c r="G209" s="14">
        <v>0.0</v>
      </c>
      <c r="H209" s="27">
        <v>0.0</v>
      </c>
      <c r="I209" s="14">
        <v>0.0</v>
      </c>
      <c r="J209" s="27">
        <v>0.0</v>
      </c>
    </row>
    <row r="210">
      <c r="A210" s="22" t="s">
        <v>95</v>
      </c>
      <c r="B210" s="21">
        <f t="shared" si="1"/>
        <v>0</v>
      </c>
      <c r="C210" s="21" t="str">
        <f>VLOOKUP(A210, hash!A$2:B$500, 2, 0)</f>
        <v>6502002d96a576d9fa03f999</v>
      </c>
      <c r="D210" s="23">
        <f t="shared" si="2"/>
        <v>0</v>
      </c>
      <c r="E210" s="14">
        <v>0.0</v>
      </c>
      <c r="F210" s="27">
        <v>0.0</v>
      </c>
      <c r="G210" s="14">
        <v>0.0</v>
      </c>
      <c r="H210" s="27">
        <v>0.0</v>
      </c>
      <c r="I210" s="14">
        <v>0.0</v>
      </c>
      <c r="J210" s="27">
        <v>0.0</v>
      </c>
    </row>
    <row r="211">
      <c r="A211" s="22" t="s">
        <v>145</v>
      </c>
      <c r="B211" s="21">
        <f t="shared" si="1"/>
        <v>0</v>
      </c>
      <c r="C211" s="21" t="str">
        <f>VLOOKUP(A211, hash!A$2:B$500, 2, 0)</f>
        <v>6502003c96a576d9fa03f99d</v>
      </c>
      <c r="D211" s="23">
        <f t="shared" si="2"/>
        <v>0</v>
      </c>
      <c r="F211" s="45"/>
      <c r="H211" s="45"/>
      <c r="J211" s="45"/>
    </row>
    <row r="212">
      <c r="A212" s="22" t="s">
        <v>614</v>
      </c>
      <c r="B212" s="21">
        <f t="shared" si="1"/>
        <v>0</v>
      </c>
      <c r="C212" s="21" t="str">
        <f>VLOOKUP(A212, hash!A$2:B$500, 2, 0)</f>
        <v>#N/A</v>
      </c>
      <c r="D212" s="23">
        <f t="shared" si="2"/>
        <v>0</v>
      </c>
      <c r="F212" s="45"/>
      <c r="H212" s="45"/>
      <c r="J212" s="45"/>
    </row>
    <row r="213">
      <c r="A213" s="22" t="s">
        <v>146</v>
      </c>
      <c r="B213" s="21">
        <f t="shared" si="1"/>
        <v>0</v>
      </c>
      <c r="C213" s="21" t="str">
        <f>VLOOKUP(A213, hash!A$2:B$500, 2, 0)</f>
        <v>6502003d57ae167867eac21c</v>
      </c>
      <c r="D213" s="23">
        <f t="shared" si="2"/>
        <v>0</v>
      </c>
      <c r="E213" s="14">
        <v>0.0</v>
      </c>
      <c r="F213" s="27">
        <v>0.0</v>
      </c>
      <c r="G213" s="14">
        <v>0.0</v>
      </c>
      <c r="H213" s="27">
        <v>0.0</v>
      </c>
      <c r="I213" s="14">
        <v>0.0</v>
      </c>
      <c r="J213" s="27">
        <v>0.0</v>
      </c>
    </row>
    <row r="214">
      <c r="A214" s="22" t="s">
        <v>147</v>
      </c>
      <c r="B214" s="21">
        <f t="shared" si="1"/>
        <v>0</v>
      </c>
      <c r="C214" s="21" t="str">
        <f>VLOOKUP(A214, hash!A$2:B$500, 2, 0)</f>
        <v>65020041540ba7cc68909aa3</v>
      </c>
      <c r="D214" s="23">
        <f t="shared" si="2"/>
        <v>0</v>
      </c>
      <c r="F214" s="45"/>
      <c r="H214" s="45"/>
      <c r="J214" s="45"/>
    </row>
    <row r="215">
      <c r="A215" s="22" t="s">
        <v>615</v>
      </c>
      <c r="B215" s="21">
        <f t="shared" si="1"/>
        <v>0</v>
      </c>
      <c r="C215" s="21" t="str">
        <f>VLOOKUP(A215, hash!A$2:B$500, 2, 0)</f>
        <v>#N/A</v>
      </c>
      <c r="D215" s="23">
        <f t="shared" si="2"/>
        <v>0</v>
      </c>
      <c r="F215" s="45"/>
      <c r="H215" s="45"/>
      <c r="J215" s="45"/>
    </row>
    <row r="216">
      <c r="A216" s="22" t="s">
        <v>148</v>
      </c>
      <c r="B216" s="21">
        <f t="shared" si="1"/>
        <v>0</v>
      </c>
      <c r="C216" s="21" t="str">
        <f>VLOOKUP(A216, hash!A$2:B$500, 2, 0)</f>
        <v>650200481d8cbbbd315ad528</v>
      </c>
      <c r="D216" s="23">
        <f t="shared" si="2"/>
        <v>0</v>
      </c>
      <c r="F216" s="45"/>
      <c r="H216" s="45"/>
      <c r="J216" s="45"/>
    </row>
    <row r="217">
      <c r="A217" s="22" t="s">
        <v>149</v>
      </c>
      <c r="B217" s="21">
        <f t="shared" si="1"/>
        <v>0</v>
      </c>
      <c r="C217" s="21" t="str">
        <f>VLOOKUP(A217, hash!A$2:B$500, 2, 0)</f>
        <v>6502004f1d8cbbbd315ad52a</v>
      </c>
      <c r="D217" s="23">
        <f t="shared" si="2"/>
        <v>0</v>
      </c>
      <c r="F217" s="45"/>
      <c r="H217" s="45"/>
      <c r="J217" s="45"/>
    </row>
    <row r="218">
      <c r="A218" s="22" t="s">
        <v>616</v>
      </c>
      <c r="B218" s="21">
        <f t="shared" si="1"/>
        <v>0</v>
      </c>
      <c r="C218" s="21" t="str">
        <f>VLOOKUP(A218, hash!A$2:B$500, 2, 0)</f>
        <v>#N/A</v>
      </c>
      <c r="D218" s="23">
        <f t="shared" si="2"/>
        <v>0</v>
      </c>
      <c r="F218" s="45"/>
      <c r="H218" s="45"/>
      <c r="J218" s="45"/>
    </row>
    <row r="219">
      <c r="A219" s="22" t="s">
        <v>150</v>
      </c>
      <c r="B219" s="21">
        <f t="shared" si="1"/>
        <v>0</v>
      </c>
      <c r="C219" s="21" t="str">
        <f>VLOOKUP(A219, hash!A$2:B$500, 2, 0)</f>
        <v>6502005118c31aadb7469b1a</v>
      </c>
      <c r="D219" s="23">
        <f t="shared" si="2"/>
        <v>0</v>
      </c>
      <c r="F219" s="27"/>
      <c r="H219" s="27"/>
      <c r="J219" s="27"/>
    </row>
    <row r="220">
      <c r="A220" s="22" t="s">
        <v>151</v>
      </c>
      <c r="B220" s="21">
        <f t="shared" si="1"/>
        <v>0</v>
      </c>
      <c r="C220" s="21" t="str">
        <f>VLOOKUP(A220, hash!A$2:B$500, 2, 0)</f>
        <v>650200601d8cbbbd315ad52d</v>
      </c>
      <c r="D220" s="23">
        <f t="shared" si="2"/>
        <v>0</v>
      </c>
      <c r="F220" s="45"/>
      <c r="H220" s="45"/>
      <c r="J220" s="45"/>
    </row>
    <row r="221">
      <c r="A221" s="22" t="s">
        <v>152</v>
      </c>
      <c r="B221" s="21">
        <f t="shared" si="1"/>
        <v>0</v>
      </c>
      <c r="C221" s="21" t="str">
        <f>VLOOKUP(A221, hash!A$2:B$500, 2, 0)</f>
        <v>6502007218c31aadb7469b1d</v>
      </c>
      <c r="D221" s="23">
        <f t="shared" si="2"/>
        <v>0</v>
      </c>
      <c r="F221" s="45"/>
      <c r="H221" s="45"/>
      <c r="J221" s="45"/>
    </row>
    <row r="222">
      <c r="A222" s="22" t="s">
        <v>19</v>
      </c>
      <c r="B222" s="21">
        <f t="shared" si="1"/>
        <v>0</v>
      </c>
      <c r="C222" s="21" t="str">
        <f>VLOOKUP(A222, hash!A$2:B$500, 2, 0)</f>
        <v>6502007357ae167867eac223</v>
      </c>
      <c r="D222" s="23">
        <f t="shared" si="2"/>
        <v>0</v>
      </c>
      <c r="E222" s="14">
        <v>0.0</v>
      </c>
      <c r="F222" s="27">
        <v>0.0</v>
      </c>
      <c r="G222" s="14">
        <v>0.0</v>
      </c>
      <c r="H222" s="27">
        <v>0.0</v>
      </c>
      <c r="I222" s="14">
        <v>0.0</v>
      </c>
      <c r="J222" s="27">
        <v>0.0</v>
      </c>
    </row>
    <row r="223">
      <c r="A223" s="22" t="s">
        <v>153</v>
      </c>
      <c r="B223" s="21">
        <f t="shared" si="1"/>
        <v>0</v>
      </c>
      <c r="C223" s="21" t="str">
        <f>VLOOKUP(A223, hash!A$2:B$500, 2, 0)</f>
        <v>6502007618c31aadb7469b1f</v>
      </c>
      <c r="D223" s="23">
        <f t="shared" si="2"/>
        <v>0</v>
      </c>
      <c r="E223" s="14">
        <v>0.0</v>
      </c>
      <c r="F223" s="27">
        <v>0.0</v>
      </c>
      <c r="G223" s="14">
        <v>0.0</v>
      </c>
      <c r="H223" s="27">
        <v>0.0</v>
      </c>
      <c r="I223" s="14">
        <v>0.0</v>
      </c>
      <c r="J223" s="27">
        <v>0.0</v>
      </c>
    </row>
    <row r="224">
      <c r="A224" s="22" t="s">
        <v>617</v>
      </c>
      <c r="B224" s="21">
        <f t="shared" si="1"/>
        <v>0</v>
      </c>
      <c r="C224" s="21" t="str">
        <f>VLOOKUP(A224, hash!A$2:B$500, 2, 0)</f>
        <v>#N/A</v>
      </c>
      <c r="D224" s="23">
        <f t="shared" si="2"/>
        <v>0</v>
      </c>
      <c r="F224" s="45"/>
      <c r="H224" s="45"/>
      <c r="J224" s="45"/>
    </row>
    <row r="225">
      <c r="A225" s="22" t="s">
        <v>154</v>
      </c>
      <c r="B225" s="21">
        <f t="shared" si="1"/>
        <v>0</v>
      </c>
      <c r="C225" s="21" t="str">
        <f>VLOOKUP(A225, hash!A$2:B$500, 2, 0)</f>
        <v>6502008357ae167867eac228</v>
      </c>
      <c r="D225" s="23">
        <f t="shared" si="2"/>
        <v>0</v>
      </c>
      <c r="F225" s="45"/>
      <c r="H225" s="45"/>
      <c r="J225" s="45"/>
    </row>
    <row r="226">
      <c r="A226" s="22" t="s">
        <v>155</v>
      </c>
      <c r="B226" s="21">
        <f t="shared" si="1"/>
        <v>0</v>
      </c>
      <c r="C226" s="21" t="str">
        <f>VLOOKUP(A226, hash!A$2:B$500, 2, 0)</f>
        <v>650200931d8cbbbd315ad536</v>
      </c>
      <c r="D226" s="23">
        <f t="shared" si="2"/>
        <v>0</v>
      </c>
      <c r="F226" s="45"/>
      <c r="H226" s="45"/>
      <c r="J226" s="45"/>
    </row>
    <row r="227">
      <c r="A227" s="22" t="s">
        <v>156</v>
      </c>
      <c r="B227" s="21">
        <f t="shared" si="1"/>
        <v>0</v>
      </c>
      <c r="C227" s="21" t="str">
        <f>VLOOKUP(A227, hash!A$2:B$500, 2, 0)</f>
        <v>65020bcc03dd812a55d3a1fd</v>
      </c>
      <c r="D227" s="23">
        <f t="shared" si="2"/>
        <v>0</v>
      </c>
      <c r="F227" s="45"/>
      <c r="H227" s="45"/>
      <c r="J227" s="45"/>
    </row>
    <row r="228">
      <c r="A228" s="22" t="s">
        <v>157</v>
      </c>
      <c r="B228" s="21">
        <f t="shared" si="1"/>
        <v>0</v>
      </c>
      <c r="C228" s="21" t="str">
        <f>VLOOKUP(A228, hash!A$2:B$500, 2, 0)</f>
        <v>65020bcd03dd812a55d3a1fe</v>
      </c>
      <c r="D228" s="23">
        <f t="shared" si="2"/>
        <v>0</v>
      </c>
      <c r="F228" s="45"/>
      <c r="H228" s="45"/>
      <c r="J228" s="45"/>
    </row>
    <row r="229">
      <c r="A229" s="22" t="s">
        <v>158</v>
      </c>
      <c r="B229" s="21">
        <f t="shared" si="1"/>
        <v>0</v>
      </c>
      <c r="C229" s="21" t="str">
        <f>VLOOKUP(A229, hash!A$2:B$500, 2, 0)</f>
        <v>65020bcf8f2b101294bb3da0</v>
      </c>
      <c r="D229" s="23">
        <f t="shared" si="2"/>
        <v>0</v>
      </c>
      <c r="F229" s="45"/>
      <c r="H229" s="45"/>
      <c r="J229" s="45"/>
    </row>
    <row r="230">
      <c r="A230" s="22" t="s">
        <v>159</v>
      </c>
      <c r="B230" s="21">
        <f t="shared" si="1"/>
        <v>0</v>
      </c>
      <c r="C230" s="21" t="str">
        <f>VLOOKUP(A230, hash!A$2:B$500, 2, 0)</f>
        <v>65020bd28f2b101294bb3da1</v>
      </c>
      <c r="D230" s="23">
        <f t="shared" si="2"/>
        <v>0</v>
      </c>
      <c r="F230" s="45"/>
      <c r="H230" s="45"/>
      <c r="J230" s="45"/>
    </row>
    <row r="231">
      <c r="A231" s="22" t="s">
        <v>160</v>
      </c>
      <c r="B231" s="21">
        <f t="shared" si="1"/>
        <v>0</v>
      </c>
      <c r="C231" s="21" t="str">
        <f>VLOOKUP(A231, hash!A$2:B$500, 2, 0)</f>
        <v>65020bd203dd812a55d3a1ff</v>
      </c>
      <c r="D231" s="23">
        <f t="shared" si="2"/>
        <v>0</v>
      </c>
      <c r="F231" s="45"/>
      <c r="H231" s="45"/>
      <c r="J231" s="45"/>
    </row>
    <row r="232">
      <c r="A232" s="22" t="s">
        <v>161</v>
      </c>
      <c r="B232" s="21">
        <f t="shared" si="1"/>
        <v>0</v>
      </c>
      <c r="C232" s="21" t="str">
        <f>VLOOKUP(A232, hash!A$2:B$500, 2, 0)</f>
        <v>65020bd2967e3c86d1681e9e</v>
      </c>
      <c r="D232" s="23">
        <f t="shared" si="2"/>
        <v>0</v>
      </c>
      <c r="F232" s="45"/>
      <c r="H232" s="45"/>
      <c r="J232" s="45"/>
    </row>
    <row r="233">
      <c r="A233" s="22" t="s">
        <v>162</v>
      </c>
      <c r="B233" s="21">
        <f t="shared" si="1"/>
        <v>0</v>
      </c>
      <c r="C233" s="21" t="str">
        <f>VLOOKUP(A233, hash!A$2:B$500, 2, 0)</f>
        <v>65020bdb03dd812a55d3a202</v>
      </c>
      <c r="D233" s="23">
        <f t="shared" si="2"/>
        <v>0</v>
      </c>
      <c r="F233" s="45"/>
      <c r="H233" s="45"/>
      <c r="J233" s="45"/>
    </row>
    <row r="234">
      <c r="A234" s="22" t="s">
        <v>163</v>
      </c>
      <c r="B234" s="21">
        <f t="shared" si="1"/>
        <v>0</v>
      </c>
      <c r="C234" s="21" t="str">
        <f>VLOOKUP(A234, hash!A$2:B$500, 2, 0)</f>
        <v>65020bde03dd812a55d3a203</v>
      </c>
      <c r="D234" s="23">
        <f t="shared" si="2"/>
        <v>0</v>
      </c>
      <c r="F234" s="45"/>
      <c r="H234" s="45"/>
      <c r="J234" s="45"/>
    </row>
    <row r="235">
      <c r="A235" s="22" t="s">
        <v>164</v>
      </c>
      <c r="B235" s="21">
        <f t="shared" si="1"/>
        <v>0</v>
      </c>
      <c r="C235" s="21" t="str">
        <f>VLOOKUP(A235, hash!A$2:B$500, 2, 0)</f>
        <v>65020be303dd812a55d3a205</v>
      </c>
      <c r="D235" s="23">
        <f t="shared" si="2"/>
        <v>0</v>
      </c>
      <c r="F235" s="45"/>
      <c r="H235" s="45"/>
      <c r="J235" s="45"/>
    </row>
    <row r="236">
      <c r="A236" s="22" t="s">
        <v>165</v>
      </c>
      <c r="B236" s="21">
        <f t="shared" si="1"/>
        <v>0</v>
      </c>
      <c r="C236" s="21" t="str">
        <f>VLOOKUP(A236, hash!A$2:B$500, 2, 0)</f>
        <v>65020be48f2b101294bb3da4</v>
      </c>
      <c r="D236" s="23">
        <f t="shared" si="2"/>
        <v>0</v>
      </c>
      <c r="F236" s="45"/>
      <c r="H236" s="45"/>
      <c r="J236" s="45"/>
    </row>
    <row r="237">
      <c r="A237" s="22" t="s">
        <v>166</v>
      </c>
      <c r="B237" s="21">
        <f t="shared" si="1"/>
        <v>0</v>
      </c>
      <c r="C237" s="21" t="str">
        <f>VLOOKUP(A237, hash!A$2:B$500, 2, 0)</f>
        <v>65020be58f2b101294bb3da6</v>
      </c>
      <c r="D237" s="23">
        <f t="shared" si="2"/>
        <v>0</v>
      </c>
      <c r="F237" s="45"/>
      <c r="H237" s="45"/>
      <c r="J237" s="45"/>
    </row>
    <row r="238">
      <c r="A238" s="22" t="s">
        <v>167</v>
      </c>
      <c r="B238" s="21">
        <f t="shared" si="1"/>
        <v>0</v>
      </c>
      <c r="C238" s="21" t="str">
        <f>VLOOKUP(A238, hash!A$2:B$500, 2, 0)</f>
        <v>65020be68f2b101294bb3da7</v>
      </c>
      <c r="D238" s="23">
        <f t="shared" si="2"/>
        <v>0</v>
      </c>
      <c r="F238" s="45"/>
      <c r="H238" s="45"/>
      <c r="J238" s="45"/>
    </row>
    <row r="239">
      <c r="A239" s="24" t="s">
        <v>618</v>
      </c>
      <c r="B239" s="21">
        <f t="shared" si="1"/>
        <v>0</v>
      </c>
      <c r="C239" s="21" t="str">
        <f>VLOOKUP(A239, hash!A$2:B$500, 2, 0)</f>
        <v>#N/A</v>
      </c>
      <c r="D239" s="23">
        <f t="shared" si="2"/>
        <v>0</v>
      </c>
      <c r="F239" s="45"/>
      <c r="H239" s="45"/>
      <c r="J239" s="45"/>
    </row>
    <row r="240">
      <c r="A240" s="22" t="s">
        <v>168</v>
      </c>
      <c r="B240" s="21">
        <f t="shared" si="1"/>
        <v>0</v>
      </c>
      <c r="C240" s="21" t="str">
        <f>VLOOKUP(A240, hash!A$2:B$500, 2, 0)</f>
        <v>65020bec8f2b101294bb3da9</v>
      </c>
      <c r="D240" s="23">
        <f t="shared" si="2"/>
        <v>0</v>
      </c>
      <c r="F240" s="45"/>
      <c r="H240" s="45"/>
      <c r="J240" s="45"/>
    </row>
    <row r="241">
      <c r="A241" s="22" t="s">
        <v>169</v>
      </c>
      <c r="B241" s="21">
        <f t="shared" si="1"/>
        <v>0</v>
      </c>
      <c r="C241" s="21" t="str">
        <f>VLOOKUP(A241, hash!A$2:B$500, 2, 0)</f>
        <v>65020bf103dd812a55d3a208</v>
      </c>
      <c r="D241" s="23">
        <f t="shared" si="2"/>
        <v>0</v>
      </c>
      <c r="F241" s="45"/>
      <c r="H241" s="45"/>
      <c r="J241" s="45"/>
    </row>
    <row r="242">
      <c r="A242" s="22" t="s">
        <v>170</v>
      </c>
      <c r="B242" s="21">
        <f t="shared" si="1"/>
        <v>0</v>
      </c>
      <c r="C242" s="21" t="str">
        <f>VLOOKUP(A242, hash!A$2:B$500, 2, 0)</f>
        <v>65020bf203dd812a55d3a209</v>
      </c>
      <c r="D242" s="23">
        <f t="shared" si="2"/>
        <v>0</v>
      </c>
      <c r="F242" s="45"/>
      <c r="H242" s="45"/>
      <c r="J242" s="45"/>
    </row>
    <row r="243">
      <c r="A243" s="22" t="s">
        <v>171</v>
      </c>
      <c r="B243" s="21">
        <f t="shared" si="1"/>
        <v>0</v>
      </c>
      <c r="C243" s="21" t="str">
        <f>VLOOKUP(A243, hash!A$2:B$500, 2, 0)</f>
        <v>65020bf603dd812a55d3a20a</v>
      </c>
      <c r="D243" s="23">
        <f t="shared" si="2"/>
        <v>0</v>
      </c>
      <c r="F243" s="45"/>
      <c r="H243" s="45"/>
      <c r="J243" s="45"/>
    </row>
    <row r="244">
      <c r="A244" s="22" t="s">
        <v>172</v>
      </c>
      <c r="B244" s="21">
        <f t="shared" si="1"/>
        <v>0</v>
      </c>
      <c r="C244" s="21" t="str">
        <f>VLOOKUP(A244, hash!A$2:B$500, 2, 0)</f>
        <v>65020bf8097ac3c9d063264a</v>
      </c>
      <c r="D244" s="23">
        <f t="shared" si="2"/>
        <v>0</v>
      </c>
      <c r="F244" s="45"/>
      <c r="H244" s="45"/>
      <c r="J244" s="45"/>
    </row>
    <row r="245">
      <c r="A245" s="22" t="s">
        <v>619</v>
      </c>
      <c r="B245" s="21">
        <f t="shared" si="1"/>
        <v>0</v>
      </c>
      <c r="C245" s="21" t="str">
        <f>VLOOKUP(A245, hash!A$2:B$500, 2, 0)</f>
        <v>#N/A</v>
      </c>
      <c r="D245" s="23">
        <f t="shared" si="2"/>
        <v>0</v>
      </c>
      <c r="F245" s="45"/>
      <c r="H245" s="45"/>
      <c r="J245" s="45"/>
    </row>
    <row r="246">
      <c r="A246" s="22" t="s">
        <v>173</v>
      </c>
      <c r="B246" s="21">
        <f t="shared" si="1"/>
        <v>0</v>
      </c>
      <c r="C246" s="21" t="str">
        <f>VLOOKUP(A246, hash!A$2:B$500, 2, 0)</f>
        <v>65020bfb097ac3c9d063264c</v>
      </c>
      <c r="D246" s="23">
        <f t="shared" si="2"/>
        <v>0</v>
      </c>
      <c r="F246" s="27"/>
      <c r="H246" s="27"/>
      <c r="J246" s="27"/>
    </row>
    <row r="247">
      <c r="A247" s="22" t="s">
        <v>174</v>
      </c>
      <c r="B247" s="21">
        <f t="shared" si="1"/>
        <v>0</v>
      </c>
      <c r="C247" s="21" t="str">
        <f>VLOOKUP(A247, hash!A$2:B$500, 2, 0)</f>
        <v>65020bfc097ac3c9d063264e</v>
      </c>
      <c r="D247" s="23">
        <f t="shared" si="2"/>
        <v>0</v>
      </c>
      <c r="F247" s="45"/>
      <c r="H247" s="45"/>
      <c r="J247" s="45"/>
    </row>
    <row r="248">
      <c r="A248" s="22" t="s">
        <v>175</v>
      </c>
      <c r="B248" s="21">
        <f t="shared" si="1"/>
        <v>0</v>
      </c>
      <c r="C248" s="21" t="str">
        <f>VLOOKUP(A248, hash!A$2:B$500, 2, 0)</f>
        <v>65020c00097ac3c9d0632650</v>
      </c>
      <c r="D248" s="23">
        <f t="shared" si="2"/>
        <v>0</v>
      </c>
      <c r="F248" s="45"/>
      <c r="H248" s="45"/>
      <c r="J248" s="45"/>
    </row>
    <row r="249">
      <c r="A249" s="22" t="s">
        <v>176</v>
      </c>
      <c r="B249" s="21">
        <f t="shared" si="1"/>
        <v>0</v>
      </c>
      <c r="C249" s="21" t="str">
        <f>VLOOKUP(A249, hash!A$2:B$500, 2, 0)</f>
        <v>65020c058f2b101294bb3daa</v>
      </c>
      <c r="D249" s="23">
        <f t="shared" si="2"/>
        <v>0</v>
      </c>
      <c r="F249" s="45"/>
      <c r="H249" s="45"/>
      <c r="J249" s="45"/>
    </row>
    <row r="250">
      <c r="A250" s="22" t="s">
        <v>177</v>
      </c>
      <c r="B250" s="21">
        <f t="shared" si="1"/>
        <v>0</v>
      </c>
      <c r="C250" s="21" t="str">
        <f>VLOOKUP(A250, hash!A$2:B$500, 2, 0)</f>
        <v>65020c068f2b101294bb3dab</v>
      </c>
      <c r="D250" s="23">
        <f t="shared" si="2"/>
        <v>0</v>
      </c>
      <c r="F250" s="45"/>
      <c r="H250" s="45"/>
      <c r="J250" s="45"/>
    </row>
    <row r="251">
      <c r="A251" s="22" t="s">
        <v>178</v>
      </c>
      <c r="B251" s="21">
        <f t="shared" si="1"/>
        <v>0</v>
      </c>
      <c r="C251" s="21" t="str">
        <f>VLOOKUP(A251, hash!A$2:B$500, 2, 0)</f>
        <v>65020c06097ac3c9d0632652</v>
      </c>
      <c r="D251" s="23">
        <f t="shared" si="2"/>
        <v>0</v>
      </c>
      <c r="F251" s="45"/>
      <c r="H251" s="45"/>
      <c r="J251" s="45"/>
    </row>
    <row r="252">
      <c r="A252" s="22" t="s">
        <v>179</v>
      </c>
      <c r="B252" s="21">
        <f t="shared" si="1"/>
        <v>0</v>
      </c>
      <c r="C252" s="21" t="str">
        <f>VLOOKUP(A252, hash!A$2:B$500, 2, 0)</f>
        <v>65020c088f2b101294bb3dad</v>
      </c>
      <c r="D252" s="23">
        <f t="shared" si="2"/>
        <v>0</v>
      </c>
      <c r="E252" s="14">
        <v>0.0</v>
      </c>
      <c r="F252" s="27">
        <v>0.0</v>
      </c>
      <c r="G252" s="14">
        <v>0.0</v>
      </c>
      <c r="H252" s="27">
        <v>0.0</v>
      </c>
      <c r="I252" s="14">
        <v>0.0</v>
      </c>
      <c r="J252" s="27">
        <v>0.0</v>
      </c>
    </row>
    <row r="253">
      <c r="A253" s="22" t="s">
        <v>180</v>
      </c>
      <c r="B253" s="21">
        <f t="shared" si="1"/>
        <v>0</v>
      </c>
      <c r="C253" s="21" t="str">
        <f>VLOOKUP(A253, hash!A$2:B$500, 2, 0)</f>
        <v>65020c0f03dd812a55d3a20d</v>
      </c>
      <c r="D253" s="23">
        <f t="shared" si="2"/>
        <v>0</v>
      </c>
      <c r="F253" s="45"/>
      <c r="H253" s="45"/>
      <c r="J253" s="45"/>
    </row>
    <row r="254">
      <c r="A254" s="22" t="s">
        <v>181</v>
      </c>
      <c r="B254" s="21">
        <f t="shared" si="1"/>
        <v>0</v>
      </c>
      <c r="C254" s="21" t="str">
        <f>VLOOKUP(A254, hash!A$2:B$500, 2, 0)</f>
        <v>65020c158f2b101294bb3daf</v>
      </c>
      <c r="D254" s="23">
        <f t="shared" si="2"/>
        <v>0</v>
      </c>
      <c r="F254" s="45"/>
      <c r="H254" s="45"/>
      <c r="J254" s="45"/>
    </row>
    <row r="255">
      <c r="A255" s="22" t="s">
        <v>182</v>
      </c>
      <c r="B255" s="21">
        <f t="shared" si="1"/>
        <v>0</v>
      </c>
      <c r="C255" s="21" t="str">
        <f>VLOOKUP(A255, hash!A$2:B$500, 2, 0)</f>
        <v>65020c188f2b101294bb3db0</v>
      </c>
      <c r="D255" s="23">
        <f t="shared" si="2"/>
        <v>0</v>
      </c>
      <c r="F255" s="45"/>
      <c r="H255" s="45"/>
      <c r="J255" s="45"/>
    </row>
    <row r="256">
      <c r="A256" s="22" t="s">
        <v>620</v>
      </c>
      <c r="B256" s="21">
        <f t="shared" si="1"/>
        <v>0</v>
      </c>
      <c r="C256" s="21" t="str">
        <f>VLOOKUP(A256, hash!A$2:B$500, 2, 0)</f>
        <v>#N/A</v>
      </c>
      <c r="D256" s="23">
        <f t="shared" si="2"/>
        <v>0</v>
      </c>
      <c r="F256" s="45"/>
      <c r="H256" s="45"/>
      <c r="J256" s="45"/>
    </row>
    <row r="257">
      <c r="A257" s="22" t="s">
        <v>183</v>
      </c>
      <c r="B257" s="21">
        <f t="shared" si="1"/>
        <v>0</v>
      </c>
      <c r="C257" s="21" t="str">
        <f>VLOOKUP(A257, hash!A$2:B$500, 2, 0)</f>
        <v>65020c5b097ac3c9d0632661</v>
      </c>
      <c r="D257" s="23">
        <f t="shared" si="2"/>
        <v>0</v>
      </c>
      <c r="F257" s="45"/>
      <c r="H257" s="45"/>
      <c r="J257" s="45"/>
    </row>
    <row r="258">
      <c r="A258" s="22" t="s">
        <v>184</v>
      </c>
      <c r="B258" s="21">
        <f t="shared" si="1"/>
        <v>0</v>
      </c>
      <c r="C258" s="21" t="str">
        <f>VLOOKUP(A258, hash!A$2:B$500, 2, 0)</f>
        <v>65020cea8f2b101294bb3dbe</v>
      </c>
      <c r="D258" s="23">
        <f t="shared" si="2"/>
        <v>0</v>
      </c>
      <c r="F258" s="45"/>
      <c r="H258" s="45"/>
      <c r="J258" s="45"/>
    </row>
    <row r="259">
      <c r="A259" s="22" t="s">
        <v>185</v>
      </c>
      <c r="B259" s="21">
        <f t="shared" si="1"/>
        <v>0</v>
      </c>
      <c r="C259" s="21" t="str">
        <f>VLOOKUP(A259, hash!A$2:B$500, 2, 0)</f>
        <v>65020d4b097ac3c9d063266a</v>
      </c>
      <c r="D259" s="23">
        <f t="shared" si="2"/>
        <v>0</v>
      </c>
      <c r="F259" s="45"/>
      <c r="H259" s="45"/>
      <c r="J259" s="45"/>
    </row>
    <row r="260">
      <c r="A260" s="22" t="s">
        <v>186</v>
      </c>
      <c r="B260" s="21">
        <f t="shared" si="1"/>
        <v>0</v>
      </c>
      <c r="C260" s="21" t="str">
        <f>VLOOKUP(A260, hash!A$2:B$500, 2, 0)</f>
        <v>65044a78c61c6a809dc7166a</v>
      </c>
      <c r="D260" s="23">
        <f t="shared" si="2"/>
        <v>0</v>
      </c>
      <c r="F260" s="45"/>
      <c r="H260" s="45"/>
      <c r="J260" s="45"/>
    </row>
    <row r="261">
      <c r="A261" s="22" t="s">
        <v>187</v>
      </c>
      <c r="B261" s="21">
        <f t="shared" si="1"/>
        <v>0</v>
      </c>
      <c r="C261" s="21" t="str">
        <f>VLOOKUP(A261, hash!A$2:B$500, 2, 0)</f>
        <v>650b3a05831593811cfcd7a6</v>
      </c>
      <c r="D261" s="23">
        <f t="shared" si="2"/>
        <v>0</v>
      </c>
      <c r="F261" s="45"/>
      <c r="H261" s="45"/>
      <c r="J261" s="45"/>
    </row>
    <row r="262">
      <c r="A262" s="22" t="s">
        <v>188</v>
      </c>
      <c r="B262" s="21">
        <f t="shared" si="1"/>
        <v>0</v>
      </c>
      <c r="C262" s="21" t="str">
        <f>VLOOKUP(A262, hash!A$2:B$500, 2, 0)</f>
        <v>650b3a079d801acd9fe283a1</v>
      </c>
      <c r="D262" s="23">
        <f t="shared" si="2"/>
        <v>0</v>
      </c>
      <c r="F262" s="45"/>
      <c r="H262" s="45"/>
      <c r="J262" s="45"/>
    </row>
    <row r="263">
      <c r="A263" s="22" t="s">
        <v>189</v>
      </c>
      <c r="B263" s="21">
        <f t="shared" si="1"/>
        <v>0</v>
      </c>
      <c r="C263" s="21" t="str">
        <f>VLOOKUP(A263, hash!A$2:B$500, 2, 0)</f>
        <v>650b3a09ed7955a527757145</v>
      </c>
      <c r="D263" s="23">
        <f t="shared" si="2"/>
        <v>0</v>
      </c>
      <c r="F263" s="45"/>
      <c r="H263" s="45"/>
      <c r="J263" s="45"/>
    </row>
    <row r="264">
      <c r="A264" s="22" t="s">
        <v>190</v>
      </c>
      <c r="B264" s="21">
        <f t="shared" si="1"/>
        <v>0</v>
      </c>
      <c r="C264" s="21" t="str">
        <f>VLOOKUP(A264, hash!A$2:B$500, 2, 0)</f>
        <v>650b3a0ded7955a527757147</v>
      </c>
      <c r="D264" s="23">
        <f t="shared" si="2"/>
        <v>0</v>
      </c>
      <c r="F264" s="45"/>
      <c r="H264" s="45"/>
      <c r="J264" s="45"/>
    </row>
    <row r="265">
      <c r="A265" s="22" t="s">
        <v>191</v>
      </c>
      <c r="B265" s="21">
        <f t="shared" si="1"/>
        <v>0</v>
      </c>
      <c r="C265" s="21" t="str">
        <f>VLOOKUP(A265, hash!A$2:B$500, 2, 0)</f>
        <v>650b3a0eacb6c663527423b7</v>
      </c>
      <c r="D265" s="23">
        <f t="shared" si="2"/>
        <v>0</v>
      </c>
      <c r="F265" s="45"/>
      <c r="H265" s="45"/>
      <c r="J265" s="45"/>
    </row>
    <row r="266">
      <c r="A266" s="22" t="s">
        <v>192</v>
      </c>
      <c r="B266" s="21">
        <f t="shared" si="1"/>
        <v>0</v>
      </c>
      <c r="C266" s="21" t="str">
        <f>VLOOKUP(A266, hash!A$2:B$500, 2, 0)</f>
        <v>650b3a0e9d801acd9fe283a2</v>
      </c>
      <c r="D266" s="23">
        <f t="shared" si="2"/>
        <v>0</v>
      </c>
      <c r="F266" s="45"/>
      <c r="H266" s="45"/>
      <c r="J266" s="45"/>
    </row>
    <row r="267">
      <c r="A267" s="22" t="s">
        <v>193</v>
      </c>
      <c r="B267" s="21">
        <f t="shared" si="1"/>
        <v>0</v>
      </c>
      <c r="C267" s="21" t="str">
        <f>VLOOKUP(A267, hash!A$2:B$500, 2, 0)</f>
        <v>650b3a15ed7955a527757149</v>
      </c>
      <c r="D267" s="23">
        <f t="shared" si="2"/>
        <v>0</v>
      </c>
      <c r="F267" s="45"/>
      <c r="H267" s="45"/>
      <c r="J267" s="45"/>
    </row>
    <row r="268">
      <c r="A268" s="22" t="s">
        <v>194</v>
      </c>
      <c r="B268" s="21">
        <f t="shared" si="1"/>
        <v>0</v>
      </c>
      <c r="C268" s="21" t="str">
        <f>VLOOKUP(A268, hash!A$2:B$500, 2, 0)</f>
        <v>650b3a1ced7955a52775714b</v>
      </c>
      <c r="D268" s="23">
        <f t="shared" si="2"/>
        <v>0</v>
      </c>
      <c r="F268" s="45"/>
      <c r="H268" s="45"/>
      <c r="J268" s="45"/>
    </row>
    <row r="269">
      <c r="A269" s="22" t="s">
        <v>195</v>
      </c>
      <c r="B269" s="21">
        <f t="shared" si="1"/>
        <v>0</v>
      </c>
      <c r="C269" s="21" t="str">
        <f>VLOOKUP(A269, hash!A$2:B$500, 2, 0)</f>
        <v>650b3a9e41c634acd2e8f3d0</v>
      </c>
      <c r="D269" s="23">
        <f t="shared" si="2"/>
        <v>0</v>
      </c>
      <c r="F269" s="45"/>
      <c r="H269" s="45"/>
      <c r="J269" s="45"/>
    </row>
    <row r="270">
      <c r="A270" s="22" t="s">
        <v>196</v>
      </c>
      <c r="B270" s="21">
        <f t="shared" si="1"/>
        <v>0</v>
      </c>
      <c r="C270" s="21" t="str">
        <f>VLOOKUP(A270, hash!A$2:B$500, 2, 0)</f>
        <v>650b40c463d8964b8e363b3b</v>
      </c>
      <c r="D270" s="23">
        <f t="shared" si="2"/>
        <v>0</v>
      </c>
      <c r="F270" s="45"/>
      <c r="H270" s="45"/>
      <c r="J270" s="45"/>
    </row>
    <row r="271">
      <c r="A271" s="22" t="s">
        <v>197</v>
      </c>
      <c r="B271" s="21">
        <f t="shared" si="1"/>
        <v>0</v>
      </c>
      <c r="C271" s="21" t="str">
        <f>VLOOKUP(A271, hash!A$2:B$500, 2, 0)</f>
        <v>650b40ce63d8964b8e363b3d</v>
      </c>
      <c r="D271" s="23">
        <f t="shared" si="2"/>
        <v>0</v>
      </c>
      <c r="F271" s="45"/>
      <c r="H271" s="45"/>
      <c r="J271" s="45"/>
    </row>
    <row r="272">
      <c r="A272" s="22" t="s">
        <v>198</v>
      </c>
      <c r="B272" s="21">
        <f t="shared" si="1"/>
        <v>0</v>
      </c>
      <c r="C272" s="21" t="str">
        <f>VLOOKUP(A272, hash!A$2:B$500, 2, 0)</f>
        <v>650b446c63d8964b8e363b40</v>
      </c>
      <c r="D272" s="23">
        <f t="shared" si="2"/>
        <v>0</v>
      </c>
      <c r="E272" s="14">
        <v>0.0</v>
      </c>
      <c r="F272" s="27">
        <v>0.0</v>
      </c>
      <c r="G272" s="14">
        <v>0.0</v>
      </c>
      <c r="H272" s="27">
        <v>0.0</v>
      </c>
      <c r="I272" s="14">
        <v>0.0</v>
      </c>
      <c r="J272" s="27">
        <v>0.0</v>
      </c>
    </row>
    <row r="273">
      <c r="A273" s="22" t="s">
        <v>199</v>
      </c>
      <c r="B273" s="21">
        <f t="shared" si="1"/>
        <v>0</v>
      </c>
      <c r="C273" s="21" t="str">
        <f>VLOOKUP(A273, hash!A$2:B$500, 2, 0)</f>
        <v>650b44847b17d110a03d7208</v>
      </c>
      <c r="D273" s="23">
        <f t="shared" si="2"/>
        <v>0</v>
      </c>
      <c r="F273" s="45"/>
      <c r="H273" s="45"/>
      <c r="J273" s="45"/>
    </row>
    <row r="274">
      <c r="A274" s="22" t="s">
        <v>200</v>
      </c>
      <c r="B274" s="21">
        <f t="shared" si="1"/>
        <v>0</v>
      </c>
      <c r="C274" s="21" t="str">
        <f>VLOOKUP(A274, hash!A$2:B$500, 2, 0)</f>
        <v>650b44997b17d110a03d7209</v>
      </c>
      <c r="D274" s="23">
        <f t="shared" si="2"/>
        <v>0</v>
      </c>
      <c r="F274" s="45"/>
      <c r="H274" s="45"/>
      <c r="J274" s="45"/>
    </row>
    <row r="275">
      <c r="A275" s="22" t="s">
        <v>201</v>
      </c>
      <c r="B275" s="21">
        <f t="shared" si="1"/>
        <v>0</v>
      </c>
      <c r="C275" s="21" t="str">
        <f>VLOOKUP(A275, hash!A$2:B$500, 2, 0)</f>
        <v>650b45dd0df4236622e51063</v>
      </c>
      <c r="D275" s="23">
        <f t="shared" si="2"/>
        <v>0</v>
      </c>
      <c r="F275" s="45"/>
      <c r="H275" s="45"/>
      <c r="J275" s="45"/>
    </row>
    <row r="276">
      <c r="A276" s="22" t="s">
        <v>202</v>
      </c>
      <c r="B276" s="21">
        <f t="shared" si="1"/>
        <v>0</v>
      </c>
      <c r="C276" s="21" t="str">
        <f>VLOOKUP(A276, hash!A$2:B$500, 2, 0)</f>
        <v>650b461a1798582bd25e6f14</v>
      </c>
      <c r="D276" s="23">
        <f t="shared" si="2"/>
        <v>0</v>
      </c>
      <c r="F276" s="45"/>
      <c r="H276" s="45"/>
      <c r="J276" s="45"/>
    </row>
    <row r="277">
      <c r="A277" s="22" t="s">
        <v>203</v>
      </c>
      <c r="B277" s="21">
        <f t="shared" si="1"/>
        <v>0</v>
      </c>
      <c r="C277" s="21" t="str">
        <f>VLOOKUP(A277, hash!A$2:B$500, 2, 0)</f>
        <v>650b466f0ebdcd576cc45c6f</v>
      </c>
      <c r="D277" s="23">
        <f t="shared" si="2"/>
        <v>0</v>
      </c>
      <c r="F277" s="45"/>
      <c r="H277" s="45"/>
      <c r="J277" s="45"/>
    </row>
    <row r="278">
      <c r="A278" s="22" t="s">
        <v>204</v>
      </c>
      <c r="B278" s="21">
        <f t="shared" si="1"/>
        <v>0</v>
      </c>
      <c r="C278" s="21" t="str">
        <f>VLOOKUP(A278, hash!A$2:B$500, 2, 0)</f>
        <v>650b46820ebdcd576cc45c70</v>
      </c>
      <c r="D278" s="23">
        <f t="shared" si="2"/>
        <v>0</v>
      </c>
      <c r="F278" s="45"/>
      <c r="H278" s="45"/>
      <c r="J278" s="45"/>
    </row>
    <row r="279">
      <c r="A279" s="22" t="s">
        <v>205</v>
      </c>
      <c r="B279" s="21">
        <f t="shared" si="1"/>
        <v>0</v>
      </c>
      <c r="C279" s="21" t="str">
        <f>VLOOKUP(A279, hash!A$2:B$500, 2, 0)</f>
        <v>650b477d7b17d110a03d7221</v>
      </c>
      <c r="D279" s="23">
        <f t="shared" si="2"/>
        <v>0</v>
      </c>
      <c r="F279" s="45"/>
      <c r="H279" s="45"/>
      <c r="J279" s="45"/>
    </row>
    <row r="280">
      <c r="A280" s="22" t="s">
        <v>621</v>
      </c>
      <c r="B280" s="21">
        <f t="shared" si="1"/>
        <v>0</v>
      </c>
      <c r="C280" s="21" t="str">
        <f>VLOOKUP(A280, hash!A$2:B$500, 2, 0)</f>
        <v>#N/A</v>
      </c>
      <c r="D280" s="23">
        <f t="shared" si="2"/>
        <v>0</v>
      </c>
      <c r="F280" s="45"/>
      <c r="H280" s="45"/>
      <c r="J280" s="45"/>
    </row>
    <row r="281">
      <c r="A281" s="22" t="s">
        <v>206</v>
      </c>
      <c r="B281" s="21">
        <f t="shared" si="1"/>
        <v>0</v>
      </c>
      <c r="C281" s="21" t="str">
        <f>VLOOKUP(A281, hash!A$2:B$500, 2, 0)</f>
        <v>651473b073ba37322a56bc86</v>
      </c>
      <c r="D281" s="23">
        <f t="shared" si="2"/>
        <v>0</v>
      </c>
      <c r="F281" s="45"/>
      <c r="H281" s="45"/>
      <c r="J281" s="45"/>
    </row>
    <row r="282">
      <c r="A282" s="22" t="s">
        <v>207</v>
      </c>
      <c r="B282" s="21">
        <f t="shared" si="1"/>
        <v>0</v>
      </c>
      <c r="C282" s="21" t="str">
        <f>VLOOKUP(A282, hash!A$2:B$500, 2, 0)</f>
        <v>6514746bcb3856acbe2e045e</v>
      </c>
      <c r="D282" s="23">
        <f t="shared" si="2"/>
        <v>0</v>
      </c>
      <c r="F282" s="45"/>
      <c r="H282" s="45"/>
      <c r="J282" s="45"/>
    </row>
    <row r="283">
      <c r="A283" s="22" t="s">
        <v>208</v>
      </c>
      <c r="B283" s="21">
        <f t="shared" si="1"/>
        <v>0</v>
      </c>
      <c r="C283" s="21" t="str">
        <f>VLOOKUP(A283, hash!A$2:B$500, 2, 0)</f>
        <v>651474adbad0d569bbd8c620</v>
      </c>
      <c r="D283" s="23">
        <f t="shared" si="2"/>
        <v>0</v>
      </c>
      <c r="F283" s="45"/>
      <c r="H283" s="45"/>
      <c r="J283" s="45"/>
    </row>
    <row r="284">
      <c r="A284" s="22" t="s">
        <v>622</v>
      </c>
      <c r="B284" s="21">
        <f t="shared" si="1"/>
        <v>0</v>
      </c>
      <c r="C284" s="21" t="str">
        <f>VLOOKUP(A284, hash!A$2:B$500, 2, 0)</f>
        <v>#N/A</v>
      </c>
      <c r="D284" s="23">
        <f t="shared" si="2"/>
        <v>0</v>
      </c>
      <c r="F284" s="45"/>
      <c r="H284" s="45"/>
      <c r="J284" s="45"/>
    </row>
    <row r="285">
      <c r="A285" s="22" t="s">
        <v>209</v>
      </c>
      <c r="B285" s="21">
        <f t="shared" si="1"/>
        <v>0</v>
      </c>
      <c r="C285" s="21" t="str">
        <f>VLOOKUP(A285, hash!A$2:B$500, 2, 0)</f>
        <v>651480e5b25a8777756c8277</v>
      </c>
      <c r="D285" s="23">
        <f t="shared" si="2"/>
        <v>0</v>
      </c>
      <c r="F285" s="45"/>
      <c r="H285" s="45"/>
      <c r="J285" s="45"/>
    </row>
    <row r="286">
      <c r="A286" s="22" t="s">
        <v>210</v>
      </c>
      <c r="B286" s="21">
        <f t="shared" si="1"/>
        <v>0</v>
      </c>
      <c r="C286" s="21" t="str">
        <f>VLOOKUP(A286, hash!A$2:B$500, 2, 0)</f>
        <v>651621a7755b5ba7402891b3</v>
      </c>
      <c r="D286" s="23">
        <f t="shared" si="2"/>
        <v>0</v>
      </c>
      <c r="F286" s="45"/>
      <c r="H286" s="45"/>
      <c r="J286" s="45"/>
    </row>
    <row r="287">
      <c r="A287" s="22" t="s">
        <v>12</v>
      </c>
      <c r="B287" s="21">
        <f t="shared" si="1"/>
        <v>0</v>
      </c>
      <c r="C287" s="21" t="str">
        <f>VLOOKUP(A287, hash!A$2:B$500, 2, 0)</f>
        <v>651dadf4a69631c34bde617f</v>
      </c>
      <c r="D287" s="23">
        <f t="shared" si="2"/>
        <v>0</v>
      </c>
      <c r="E287" s="14">
        <v>0.0</v>
      </c>
      <c r="F287" s="27">
        <v>0.0</v>
      </c>
      <c r="G287" s="14">
        <v>0.0</v>
      </c>
      <c r="H287" s="27">
        <v>0.0</v>
      </c>
      <c r="I287" s="14">
        <v>0.0</v>
      </c>
      <c r="J287" s="27">
        <v>0.0</v>
      </c>
    </row>
    <row r="288">
      <c r="A288" s="22" t="s">
        <v>211</v>
      </c>
      <c r="B288" s="21">
        <f t="shared" si="1"/>
        <v>0</v>
      </c>
      <c r="C288" s="21" t="str">
        <f>VLOOKUP(A288, hash!A$2:B$500, 2, 0)</f>
        <v>651daf0edc9060f76fe584c7</v>
      </c>
      <c r="D288" s="23">
        <f t="shared" si="2"/>
        <v>0</v>
      </c>
      <c r="F288" s="45"/>
      <c r="H288" s="45"/>
      <c r="J288" s="45"/>
    </row>
    <row r="289">
      <c r="A289" s="22" t="s">
        <v>212</v>
      </c>
      <c r="B289" s="21">
        <f t="shared" si="1"/>
        <v>0</v>
      </c>
      <c r="C289" s="21" t="str">
        <f>VLOOKUP(A289, hash!A$2:B$500, 2, 0)</f>
        <v>651db9af9dea57c7cb020129</v>
      </c>
      <c r="D289" s="23">
        <f t="shared" si="2"/>
        <v>0</v>
      </c>
      <c r="F289" s="27"/>
      <c r="H289" s="27"/>
      <c r="J289" s="27"/>
    </row>
    <row r="290">
      <c r="A290" s="22" t="s">
        <v>213</v>
      </c>
      <c r="B290" s="21">
        <f t="shared" si="1"/>
        <v>0</v>
      </c>
      <c r="C290" s="21" t="str">
        <f>VLOOKUP(A290, hash!A$2:B$500, 2, 0)</f>
        <v>651dbad69dea57c7cb020139</v>
      </c>
      <c r="D290" s="23">
        <f t="shared" si="2"/>
        <v>0</v>
      </c>
      <c r="F290" s="45"/>
      <c r="H290" s="45"/>
      <c r="J290" s="45"/>
    </row>
    <row r="291">
      <c r="A291" s="22" t="s">
        <v>214</v>
      </c>
      <c r="B291" s="21">
        <f t="shared" si="1"/>
        <v>0</v>
      </c>
      <c r="C291" s="21" t="str">
        <f>VLOOKUP(A291, hash!A$2:B$500, 2, 0)</f>
        <v>651dbae7d54b632818878f41</v>
      </c>
      <c r="D291" s="23">
        <f t="shared" si="2"/>
        <v>0</v>
      </c>
      <c r="F291" s="45"/>
      <c r="H291" s="45"/>
      <c r="J291" s="45"/>
    </row>
    <row r="292">
      <c r="A292" s="22" t="s">
        <v>215</v>
      </c>
      <c r="B292" s="21">
        <f t="shared" si="1"/>
        <v>0</v>
      </c>
      <c r="C292" s="21" t="str">
        <f>VLOOKUP(A292, hash!A$2:B$500, 2, 0)</f>
        <v>651dbb15d54b632818878f43</v>
      </c>
      <c r="D292" s="23">
        <f t="shared" si="2"/>
        <v>0</v>
      </c>
      <c r="F292" s="45"/>
      <c r="H292" s="45"/>
      <c r="J292" s="45"/>
    </row>
    <row r="293">
      <c r="A293" s="22" t="s">
        <v>216</v>
      </c>
      <c r="B293" s="21">
        <f t="shared" si="1"/>
        <v>0</v>
      </c>
      <c r="C293" s="21" t="str">
        <f>VLOOKUP(A293, hash!A$2:B$500, 2, 0)</f>
        <v>651dbb299dea57c7cb020142</v>
      </c>
      <c r="D293" s="23">
        <f t="shared" si="2"/>
        <v>0</v>
      </c>
      <c r="F293" s="45"/>
      <c r="H293" s="45"/>
      <c r="J293" s="45"/>
    </row>
    <row r="294">
      <c r="A294" s="22" t="s">
        <v>217</v>
      </c>
      <c r="B294" s="21">
        <f t="shared" si="1"/>
        <v>0</v>
      </c>
      <c r="C294" s="21" t="str">
        <f>VLOOKUP(A294, hash!A$2:B$500, 2, 0)</f>
        <v>651dbb3f9dea57c7cb020143</v>
      </c>
      <c r="D294" s="23">
        <f t="shared" si="2"/>
        <v>0</v>
      </c>
      <c r="F294" s="45"/>
      <c r="H294" s="45"/>
      <c r="J294" s="45"/>
    </row>
    <row r="295">
      <c r="A295" s="22" t="s">
        <v>218</v>
      </c>
      <c r="B295" s="21">
        <f t="shared" si="1"/>
        <v>0</v>
      </c>
      <c r="C295" s="21" t="str">
        <f>VLOOKUP(A295, hash!A$2:B$500, 2, 0)</f>
        <v>651dbc99ca156cc80367f4eb</v>
      </c>
      <c r="D295" s="23">
        <f t="shared" si="2"/>
        <v>0</v>
      </c>
      <c r="F295" s="45"/>
      <c r="H295" s="45"/>
      <c r="J295" s="45"/>
    </row>
    <row r="296">
      <c r="A296" s="22" t="s">
        <v>623</v>
      </c>
      <c r="B296" s="21">
        <f t="shared" si="1"/>
        <v>0</v>
      </c>
      <c r="C296" s="21" t="str">
        <f>VLOOKUP(A296, hash!A$2:B$500, 2, 0)</f>
        <v>#N/A</v>
      </c>
      <c r="D296" s="23">
        <f t="shared" si="2"/>
        <v>0</v>
      </c>
      <c r="F296" s="45"/>
      <c r="H296" s="45"/>
      <c r="J296" s="45"/>
    </row>
    <row r="297">
      <c r="A297" s="22" t="s">
        <v>219</v>
      </c>
      <c r="B297" s="21">
        <f t="shared" si="1"/>
        <v>0</v>
      </c>
      <c r="C297" s="21" t="str">
        <f>VLOOKUP(A297, hash!A$2:B$500, 2, 0)</f>
        <v>652403893fc5d4c9ab851009</v>
      </c>
      <c r="D297" s="23">
        <f t="shared" si="2"/>
        <v>0</v>
      </c>
      <c r="F297" s="27"/>
      <c r="H297" s="27"/>
      <c r="J297" s="27"/>
    </row>
    <row r="298">
      <c r="A298" s="22" t="s">
        <v>220</v>
      </c>
      <c r="B298" s="21">
        <f t="shared" si="1"/>
        <v>0</v>
      </c>
      <c r="C298" s="21" t="str">
        <f>VLOOKUP(A298, hash!A$2:B$500, 2, 0)</f>
        <v>6530232bcf7c5adcfb301ec7</v>
      </c>
      <c r="D298" s="23">
        <f t="shared" si="2"/>
        <v>0</v>
      </c>
      <c r="F298" s="45"/>
      <c r="H298" s="45"/>
      <c r="J298" s="45"/>
    </row>
    <row r="299">
      <c r="A299" s="22" t="s">
        <v>221</v>
      </c>
      <c r="B299" s="21">
        <f t="shared" si="1"/>
        <v>0</v>
      </c>
      <c r="C299" s="21" t="str">
        <f>VLOOKUP(A299, hash!A$2:B$500, 2, 0)</f>
        <v>65302e080e286366617e4629</v>
      </c>
      <c r="D299" s="23">
        <f t="shared" si="2"/>
        <v>0</v>
      </c>
      <c r="F299" s="45"/>
      <c r="H299" s="45"/>
      <c r="J299" s="45"/>
    </row>
    <row r="300">
      <c r="A300" s="22" t="s">
        <v>222</v>
      </c>
      <c r="B300" s="21">
        <f t="shared" si="1"/>
        <v>0</v>
      </c>
      <c r="C300" s="21" t="str">
        <f>VLOOKUP(A300, hash!A$2:B$500, 2, 0)</f>
        <v>65395d6799af0b0f3444fd51</v>
      </c>
      <c r="D300" s="23">
        <f t="shared" si="2"/>
        <v>0</v>
      </c>
      <c r="F300" s="27"/>
      <c r="H300" s="27"/>
      <c r="J300" s="27"/>
    </row>
    <row r="301">
      <c r="A301" s="22" t="s">
        <v>223</v>
      </c>
      <c r="B301" s="21">
        <f t="shared" si="1"/>
        <v>0</v>
      </c>
      <c r="C301" s="21" t="str">
        <f>VLOOKUP(A301, hash!A$2:B$500, 2, 0)</f>
        <v>6539689ac8f6bb22aba878d1</v>
      </c>
      <c r="D301" s="23">
        <f t="shared" si="2"/>
        <v>0</v>
      </c>
      <c r="F301" s="45"/>
      <c r="H301" s="45"/>
      <c r="J301" s="45"/>
    </row>
    <row r="302">
      <c r="A302" s="22" t="s">
        <v>224</v>
      </c>
      <c r="B302" s="21">
        <f t="shared" si="1"/>
        <v>0</v>
      </c>
      <c r="C302" s="21" t="str">
        <f>VLOOKUP(A302, hash!A$2:B$500, 2, 0)</f>
        <v>6542987e2bee7559f37bee8d</v>
      </c>
      <c r="D302" s="23">
        <f t="shared" si="2"/>
        <v>0</v>
      </c>
      <c r="F302" s="45"/>
      <c r="H302" s="45"/>
      <c r="J302" s="45"/>
    </row>
    <row r="303">
      <c r="A303" s="22" t="s">
        <v>225</v>
      </c>
      <c r="B303" s="21">
        <f t="shared" si="1"/>
        <v>0</v>
      </c>
      <c r="C303" s="21" t="str">
        <f>VLOOKUP(A303, hash!A$2:B$500, 2, 0)</f>
        <v>65429927208c9c77b87ab693</v>
      </c>
      <c r="D303" s="23">
        <f t="shared" si="2"/>
        <v>0</v>
      </c>
      <c r="F303" s="45"/>
      <c r="H303" s="45"/>
      <c r="J303" s="45"/>
    </row>
    <row r="304">
      <c r="A304" s="22" t="s">
        <v>226</v>
      </c>
      <c r="B304" s="21">
        <f t="shared" si="1"/>
        <v>0</v>
      </c>
      <c r="C304" s="21" t="str">
        <f>VLOOKUP(A304, hash!A$2:B$500, 2, 0)</f>
        <v>654a6fba5f40f5f7b7c97164</v>
      </c>
      <c r="D304" s="23">
        <f t="shared" si="2"/>
        <v>0</v>
      </c>
      <c r="F304" s="45"/>
      <c r="H304" s="45"/>
      <c r="J304" s="45"/>
    </row>
    <row r="305">
      <c r="A305" s="22" t="s">
        <v>227</v>
      </c>
      <c r="B305" s="21">
        <f t="shared" si="1"/>
        <v>0</v>
      </c>
      <c r="C305" s="21" t="str">
        <f>VLOOKUP(A305, hash!A$2:B$500, 2, 0)</f>
        <v>65551bef3234b9c505dd527e</v>
      </c>
      <c r="D305" s="23">
        <f t="shared" si="2"/>
        <v>0</v>
      </c>
      <c r="F305" s="45"/>
      <c r="H305" s="45"/>
      <c r="J305" s="45"/>
    </row>
    <row r="306">
      <c r="A306" s="22" t="s">
        <v>228</v>
      </c>
      <c r="B306" s="21">
        <f t="shared" si="1"/>
        <v>0</v>
      </c>
      <c r="C306" s="21" t="str">
        <f>VLOOKUP(A306, hash!A$2:B$500, 2, 0)</f>
        <v>655528e7b6dffbe82fb08e97</v>
      </c>
      <c r="D306" s="23">
        <f t="shared" si="2"/>
        <v>0</v>
      </c>
      <c r="F306" s="45"/>
      <c r="H306" s="45"/>
      <c r="J306" s="45"/>
    </row>
    <row r="307">
      <c r="A307" s="22" t="s">
        <v>624</v>
      </c>
      <c r="B307" s="21">
        <f t="shared" si="1"/>
        <v>0</v>
      </c>
      <c r="C307" s="21" t="str">
        <f>VLOOKUP(A307, hash!A$2:B$500, 2, 0)</f>
        <v>#N/A</v>
      </c>
      <c r="D307" s="23">
        <f t="shared" si="2"/>
        <v>0</v>
      </c>
      <c r="F307" s="45"/>
      <c r="H307" s="45"/>
      <c r="J307" s="45"/>
    </row>
    <row r="308">
      <c r="A308" s="22" t="s">
        <v>229</v>
      </c>
      <c r="B308" s="21">
        <f t="shared" si="1"/>
        <v>0</v>
      </c>
      <c r="C308" s="21" t="str">
        <f>VLOOKUP(A308, hash!A$2:B$500, 2, 0)</f>
        <v>655bb33eff8d447e7d019f70</v>
      </c>
      <c r="D308" s="23">
        <f t="shared" si="2"/>
        <v>0</v>
      </c>
      <c r="F308" s="45"/>
      <c r="H308" s="45"/>
      <c r="J308" s="45"/>
    </row>
    <row r="309">
      <c r="A309" s="22" t="s">
        <v>230</v>
      </c>
      <c r="B309" s="21">
        <f t="shared" si="1"/>
        <v>0</v>
      </c>
      <c r="C309" s="21" t="str">
        <f>VLOOKUP(A309, hash!A$2:B$500, 2, 0)</f>
        <v>655bc0057093eb94b1c6cc92</v>
      </c>
      <c r="D309" s="23">
        <f t="shared" si="2"/>
        <v>0</v>
      </c>
      <c r="F309" s="45"/>
      <c r="H309" s="45"/>
      <c r="J309" s="45"/>
    </row>
    <row r="310">
      <c r="A310" s="22" t="s">
        <v>231</v>
      </c>
      <c r="B310" s="21">
        <f t="shared" si="1"/>
        <v>0</v>
      </c>
      <c r="C310" s="21" t="str">
        <f>VLOOKUP(A310, hash!A$2:B$500, 2, 0)</f>
        <v>655bc0097093eb94b1c6cc93</v>
      </c>
      <c r="D310" s="23">
        <f t="shared" si="2"/>
        <v>0</v>
      </c>
      <c r="F310" s="45"/>
      <c r="H310" s="45"/>
      <c r="J310" s="45"/>
    </row>
    <row r="311">
      <c r="A311" s="22" t="s">
        <v>625</v>
      </c>
      <c r="B311" s="21">
        <f t="shared" si="1"/>
        <v>0</v>
      </c>
      <c r="C311" s="21" t="str">
        <f>VLOOKUP(A311, hash!A$2:B$500, 2, 0)</f>
        <v>#N/A</v>
      </c>
      <c r="D311" s="23">
        <f t="shared" si="2"/>
        <v>0</v>
      </c>
      <c r="F311" s="45"/>
      <c r="H311" s="45"/>
      <c r="J311" s="45"/>
    </row>
    <row r="312">
      <c r="A312" s="22" t="s">
        <v>232</v>
      </c>
      <c r="B312" s="21">
        <f t="shared" si="1"/>
        <v>0</v>
      </c>
      <c r="C312" s="21" t="str">
        <f>VLOOKUP(A312, hash!A$2:B$500, 2, 0)</f>
        <v>6595977fb46b00d2f83c52c5</v>
      </c>
      <c r="D312" s="23">
        <f t="shared" si="2"/>
        <v>0</v>
      </c>
      <c r="F312" s="45"/>
      <c r="H312" s="45"/>
      <c r="J312" s="45"/>
    </row>
    <row r="313">
      <c r="A313" s="22" t="s">
        <v>233</v>
      </c>
      <c r="B313" s="21">
        <f t="shared" si="1"/>
        <v>0</v>
      </c>
      <c r="C313" s="21" t="str">
        <f>VLOOKUP(A313, hash!A$2:B$500, 2, 0)</f>
        <v>6595b65ec49a903206004ba0</v>
      </c>
      <c r="D313" s="23">
        <f t="shared" si="2"/>
        <v>0</v>
      </c>
      <c r="F313" s="45"/>
      <c r="H313" s="45"/>
      <c r="J313" s="45"/>
    </row>
    <row r="314">
      <c r="A314" s="22" t="s">
        <v>234</v>
      </c>
      <c r="B314" s="21">
        <f t="shared" si="1"/>
        <v>0</v>
      </c>
      <c r="C314" s="21" t="str">
        <f>VLOOKUP(A314, hash!A$2:B$500, 2, 0)</f>
        <v>6595bf45b775f9fc5a64da54</v>
      </c>
      <c r="D314" s="23">
        <f t="shared" si="2"/>
        <v>0</v>
      </c>
      <c r="F314" s="45"/>
      <c r="H314" s="45"/>
      <c r="J314" s="45"/>
    </row>
    <row r="315">
      <c r="A315" s="22" t="s">
        <v>235</v>
      </c>
      <c r="B315" s="21">
        <f t="shared" si="1"/>
        <v>0</v>
      </c>
      <c r="C315" s="21" t="str">
        <f>VLOOKUP(A315, hash!A$2:B$500, 2, 0)</f>
        <v>6595c208b775f9fc5a64da66</v>
      </c>
      <c r="D315" s="23">
        <f t="shared" si="2"/>
        <v>0</v>
      </c>
      <c r="F315" s="45"/>
      <c r="H315" s="45"/>
      <c r="J315" s="45"/>
    </row>
    <row r="316">
      <c r="A316" s="22" t="s">
        <v>236</v>
      </c>
      <c r="B316" s="21">
        <f t="shared" si="1"/>
        <v>0</v>
      </c>
      <c r="C316" s="21" t="str">
        <f>VLOOKUP(A316, hash!A$2:B$500, 2, 0)</f>
        <v>6595c23e2fa1031babec0ce3</v>
      </c>
      <c r="D316" s="23">
        <f t="shared" si="2"/>
        <v>0</v>
      </c>
      <c r="F316" s="45"/>
      <c r="H316" s="45"/>
      <c r="J316" s="45"/>
    </row>
    <row r="317">
      <c r="A317" s="22" t="s">
        <v>237</v>
      </c>
      <c r="B317" s="21">
        <f t="shared" si="1"/>
        <v>0</v>
      </c>
      <c r="C317" s="21" t="str">
        <f>VLOOKUP(A317, hash!A$2:B$500, 2, 0)</f>
        <v>6595c391cd5b972b6b680d1b</v>
      </c>
      <c r="D317" s="23">
        <f t="shared" si="2"/>
        <v>0</v>
      </c>
      <c r="F317" s="45"/>
      <c r="H317" s="45"/>
      <c r="J317" s="45"/>
    </row>
    <row r="318">
      <c r="A318" s="22" t="s">
        <v>626</v>
      </c>
      <c r="B318" s="21">
        <f t="shared" si="1"/>
        <v>0</v>
      </c>
      <c r="C318" s="21" t="str">
        <f>VLOOKUP(A318, hash!A$2:B$500, 2, 0)</f>
        <v>#N/A</v>
      </c>
      <c r="D318" s="23">
        <f t="shared" si="2"/>
        <v>0</v>
      </c>
      <c r="F318" s="45"/>
      <c r="H318" s="45"/>
      <c r="J318" s="45"/>
    </row>
    <row r="319">
      <c r="A319" s="22" t="s">
        <v>627</v>
      </c>
      <c r="B319" s="21">
        <f t="shared" si="1"/>
        <v>0</v>
      </c>
      <c r="C319" s="21" t="str">
        <f>VLOOKUP(A319, hash!A$2:B$500, 2, 0)</f>
        <v>#N/A</v>
      </c>
      <c r="D319" s="23">
        <f t="shared" si="2"/>
        <v>0</v>
      </c>
      <c r="F319" s="45"/>
      <c r="H319" s="45"/>
      <c r="J319" s="45"/>
    </row>
    <row r="320">
      <c r="A320" s="22" t="s">
        <v>628</v>
      </c>
      <c r="B320" s="21">
        <f t="shared" si="1"/>
        <v>0</v>
      </c>
      <c r="C320" s="21" t="str">
        <f>VLOOKUP(A320, hash!A$2:B$500, 2, 0)</f>
        <v>#N/A</v>
      </c>
      <c r="D320" s="23">
        <f t="shared" si="2"/>
        <v>0</v>
      </c>
      <c r="F320" s="45"/>
      <c r="H320" s="45"/>
      <c r="J320" s="45"/>
    </row>
    <row r="321">
      <c r="A321" s="22" t="s">
        <v>238</v>
      </c>
      <c r="B321" s="21">
        <f t="shared" si="1"/>
        <v>0</v>
      </c>
      <c r="C321" s="21" t="str">
        <f>VLOOKUP(A321, hash!A$2:B$500, 2, 0)</f>
        <v>65ba9f33f33e907d7c81d87a</v>
      </c>
      <c r="D321" s="23">
        <f t="shared" si="2"/>
        <v>0</v>
      </c>
      <c r="F321" s="45"/>
      <c r="H321" s="45"/>
      <c r="J321" s="45"/>
    </row>
    <row r="322">
      <c r="A322" s="22" t="s">
        <v>239</v>
      </c>
      <c r="B322" s="21">
        <f t="shared" si="1"/>
        <v>0</v>
      </c>
      <c r="C322" s="21" t="str">
        <f>VLOOKUP(A322, hash!A$2:B$500, 2, 0)</f>
        <v>65baa01d2b367c7ed72fe8b9</v>
      </c>
      <c r="D322" s="23">
        <f t="shared" si="2"/>
        <v>0</v>
      </c>
      <c r="F322" s="45"/>
      <c r="H322" s="45"/>
      <c r="J322" s="45"/>
    </row>
    <row r="323">
      <c r="A323" s="22" t="s">
        <v>629</v>
      </c>
      <c r="B323" s="21">
        <f t="shared" si="1"/>
        <v>0</v>
      </c>
      <c r="C323" s="21" t="str">
        <f>VLOOKUP(A323, hash!A$2:B$500, 2, 0)</f>
        <v>#N/A</v>
      </c>
      <c r="D323" s="23">
        <f t="shared" si="2"/>
        <v>0</v>
      </c>
      <c r="F323" s="45"/>
      <c r="H323" s="45"/>
      <c r="J323" s="45"/>
    </row>
    <row r="324">
      <c r="A324" s="22" t="s">
        <v>240</v>
      </c>
      <c r="B324" s="21">
        <f t="shared" si="1"/>
        <v>0</v>
      </c>
      <c r="C324" s="21" t="str">
        <f>VLOOKUP(A324, hash!A$2:B$500, 2, 0)</f>
        <v>65baa01e2b367c7ed72fe8bb</v>
      </c>
      <c r="D324" s="23">
        <f t="shared" si="2"/>
        <v>0</v>
      </c>
      <c r="F324" s="45"/>
      <c r="H324" s="45"/>
      <c r="J324" s="45"/>
    </row>
    <row r="325">
      <c r="A325" s="22" t="s">
        <v>630</v>
      </c>
      <c r="B325" s="21">
        <f t="shared" si="1"/>
        <v>0</v>
      </c>
      <c r="C325" s="21" t="str">
        <f>VLOOKUP(A325, hash!A$2:B$500, 2, 0)</f>
        <v>#N/A</v>
      </c>
      <c r="D325" s="23">
        <f t="shared" si="2"/>
        <v>0</v>
      </c>
      <c r="F325" s="45"/>
      <c r="H325" s="45"/>
      <c r="J325" s="45"/>
    </row>
    <row r="326">
      <c r="A326" s="22" t="s">
        <v>631</v>
      </c>
      <c r="B326" s="21">
        <f t="shared" si="1"/>
        <v>0</v>
      </c>
      <c r="C326" s="21" t="str">
        <f>VLOOKUP(A326, hash!A$2:B$500, 2, 0)</f>
        <v>#N/A</v>
      </c>
      <c r="D326" s="23">
        <f t="shared" si="2"/>
        <v>0</v>
      </c>
      <c r="F326" s="45"/>
      <c r="H326" s="45"/>
      <c r="J326" s="45"/>
    </row>
    <row r="327">
      <c r="A327" s="22" t="s">
        <v>241</v>
      </c>
      <c r="B327" s="21">
        <f t="shared" si="1"/>
        <v>0</v>
      </c>
      <c r="C327" s="21" t="str">
        <f>VLOOKUP(A327, hash!A$2:B$500, 2, 0)</f>
        <v>65baa03da330104d5ca80be5</v>
      </c>
      <c r="D327" s="23">
        <f t="shared" si="2"/>
        <v>0</v>
      </c>
      <c r="F327" s="45"/>
      <c r="H327" s="45"/>
      <c r="J327" s="45"/>
    </row>
    <row r="328">
      <c r="A328" s="22" t="s">
        <v>632</v>
      </c>
      <c r="B328" s="21">
        <f t="shared" si="1"/>
        <v>0</v>
      </c>
      <c r="C328" s="21" t="str">
        <f>VLOOKUP(A328, hash!A$2:B$500, 2, 0)</f>
        <v>#N/A</v>
      </c>
      <c r="D328" s="23">
        <f t="shared" si="2"/>
        <v>0</v>
      </c>
      <c r="F328" s="45"/>
      <c r="H328" s="45"/>
      <c r="J328" s="45"/>
    </row>
    <row r="329">
      <c r="A329" s="22" t="s">
        <v>633</v>
      </c>
      <c r="B329" s="21">
        <f t="shared" si="1"/>
        <v>0</v>
      </c>
      <c r="C329" s="21" t="str">
        <f>VLOOKUP(A329, hash!A$2:B$500, 2, 0)</f>
        <v>#N/A</v>
      </c>
      <c r="D329" s="23">
        <f t="shared" si="2"/>
        <v>0</v>
      </c>
      <c r="F329" s="45"/>
      <c r="H329" s="45"/>
      <c r="J329" s="45"/>
    </row>
    <row r="330">
      <c r="A330" s="22" t="s">
        <v>242</v>
      </c>
      <c r="B330" s="21">
        <f t="shared" si="1"/>
        <v>0</v>
      </c>
      <c r="C330" s="21" t="str">
        <f>VLOOKUP(A330, hash!A$2:B$500, 2, 0)</f>
        <v>65baadabac6fa639d08b8070</v>
      </c>
      <c r="D330" s="23">
        <f t="shared" si="2"/>
        <v>0</v>
      </c>
      <c r="F330" s="45"/>
      <c r="H330" s="45"/>
      <c r="J330" s="45"/>
    </row>
    <row r="331">
      <c r="A331" s="22" t="s">
        <v>243</v>
      </c>
      <c r="B331" s="21">
        <f t="shared" si="1"/>
        <v>0</v>
      </c>
      <c r="C331" s="21" t="str">
        <f>VLOOKUP(A331, hash!A$2:B$500, 2, 0)</f>
        <v>65baadd90004ffbc54b03ece</v>
      </c>
      <c r="D331" s="23">
        <f t="shared" si="2"/>
        <v>0</v>
      </c>
      <c r="F331" s="45"/>
      <c r="H331" s="45"/>
      <c r="J331" s="45"/>
    </row>
    <row r="332">
      <c r="A332" s="22" t="s">
        <v>244</v>
      </c>
      <c r="B332" s="21">
        <f t="shared" si="1"/>
        <v>0</v>
      </c>
      <c r="C332" s="21" t="str">
        <f>VLOOKUP(A332, hash!A$2:B$500, 2, 0)</f>
        <v>65baadf10004ffbc54b03ed0</v>
      </c>
      <c r="D332" s="23">
        <f t="shared" si="2"/>
        <v>0</v>
      </c>
      <c r="F332" s="45"/>
      <c r="H332" s="45"/>
      <c r="J332" s="45"/>
    </row>
    <row r="333">
      <c r="A333" s="22" t="s">
        <v>245</v>
      </c>
      <c r="B333" s="21">
        <f t="shared" si="1"/>
        <v>0</v>
      </c>
      <c r="C333" s="21" t="str">
        <f>VLOOKUP(A333, hash!A$2:B$500, 2, 0)</f>
        <v>65bab1380004ffbc54b03ee7</v>
      </c>
      <c r="D333" s="23">
        <f t="shared" si="2"/>
        <v>0</v>
      </c>
      <c r="F333" s="45"/>
      <c r="H333" s="45"/>
      <c r="J333" s="45"/>
    </row>
    <row r="334">
      <c r="A334" s="22" t="s">
        <v>246</v>
      </c>
      <c r="B334" s="21">
        <f t="shared" si="1"/>
        <v>0</v>
      </c>
      <c r="C334" s="21" t="str">
        <f>VLOOKUP(A334, hash!A$2:B$500, 2, 0)</f>
        <v>65bab52de7bd7da7ace0d1c3</v>
      </c>
      <c r="D334" s="23">
        <f t="shared" si="2"/>
        <v>0</v>
      </c>
      <c r="F334" s="45"/>
      <c r="H334" s="45"/>
      <c r="J334" s="45"/>
    </row>
    <row r="335">
      <c r="A335" s="22" t="s">
        <v>247</v>
      </c>
      <c r="B335" s="21">
        <f t="shared" si="1"/>
        <v>0</v>
      </c>
      <c r="C335" s="21" t="str">
        <f>VLOOKUP(A335, hash!A$2:B$500, 2, 0)</f>
        <v>65bb2c752930129875dd966e</v>
      </c>
      <c r="D335" s="23">
        <f t="shared" si="2"/>
        <v>0</v>
      </c>
      <c r="F335" s="45"/>
      <c r="H335" s="45"/>
      <c r="J335" s="45"/>
    </row>
    <row r="336">
      <c r="A336" s="22" t="s">
        <v>248</v>
      </c>
      <c r="B336" s="21">
        <f t="shared" si="1"/>
        <v>0</v>
      </c>
      <c r="C336" s="21" t="str">
        <f>VLOOKUP(A336, hash!A$2:B$500, 2, 0)</f>
        <v>65c3d9c7d68ebf8c5aaf9473</v>
      </c>
      <c r="D336" s="23">
        <f t="shared" si="2"/>
        <v>0</v>
      </c>
      <c r="F336" s="45"/>
      <c r="H336" s="45"/>
      <c r="J336" s="45"/>
    </row>
    <row r="337">
      <c r="A337" s="22" t="s">
        <v>249</v>
      </c>
      <c r="B337" s="21">
        <f t="shared" si="1"/>
        <v>0</v>
      </c>
      <c r="C337" s="21" t="str">
        <f>VLOOKUP(A337, hash!A$2:B$500, 2, 0)</f>
        <v>65c3db43dc2e959b628fb2d3</v>
      </c>
      <c r="D337" s="23">
        <f t="shared" si="2"/>
        <v>0</v>
      </c>
      <c r="F337" s="45"/>
      <c r="H337" s="45"/>
      <c r="J337" s="45"/>
    </row>
    <row r="338">
      <c r="A338" s="22" t="s">
        <v>250</v>
      </c>
      <c r="B338" s="21">
        <f t="shared" si="1"/>
        <v>0</v>
      </c>
      <c r="C338" s="21" t="str">
        <f>VLOOKUP(A338, hash!A$2:B$500, 2, 0)</f>
        <v>65c3e17176cb308ec1a40c91</v>
      </c>
      <c r="D338" s="23">
        <f t="shared" si="2"/>
        <v>0</v>
      </c>
      <c r="F338" s="45"/>
      <c r="H338" s="45"/>
      <c r="J338" s="45"/>
    </row>
    <row r="339">
      <c r="A339" s="22" t="s">
        <v>251</v>
      </c>
      <c r="B339" s="21">
        <f t="shared" si="1"/>
        <v>0</v>
      </c>
      <c r="C339" s="21" t="str">
        <f>VLOOKUP(A339, hash!A$2:B$500, 2, 0)</f>
        <v>65c3e474f24067cac00a6560</v>
      </c>
      <c r="D339" s="23">
        <f t="shared" si="2"/>
        <v>0</v>
      </c>
      <c r="F339" s="45"/>
      <c r="H339" s="45"/>
      <c r="J339" s="45"/>
    </row>
    <row r="340">
      <c r="A340" s="22" t="s">
        <v>252</v>
      </c>
      <c r="B340" s="21">
        <f t="shared" si="1"/>
        <v>0</v>
      </c>
      <c r="C340" s="21" t="str">
        <f>VLOOKUP(A340, hash!A$2:B$500, 2, 0)</f>
        <v>65c3e7519c89c663f1bf9f3a</v>
      </c>
      <c r="D340" s="23">
        <f t="shared" si="2"/>
        <v>0</v>
      </c>
      <c r="F340" s="45"/>
      <c r="H340" s="45"/>
      <c r="J340" s="45"/>
    </row>
    <row r="341">
      <c r="A341" s="22" t="s">
        <v>253</v>
      </c>
      <c r="B341" s="21">
        <f t="shared" si="1"/>
        <v>0</v>
      </c>
      <c r="C341" s="21" t="str">
        <f>VLOOKUP(A341, hash!A$2:B$500, 2, 0)</f>
        <v>65c404d5adbf166dfd681f4c</v>
      </c>
      <c r="D341" s="23">
        <f t="shared" si="2"/>
        <v>0</v>
      </c>
      <c r="F341" s="45"/>
      <c r="H341" s="45"/>
      <c r="J341" s="45"/>
    </row>
    <row r="342">
      <c r="A342" s="22" t="s">
        <v>254</v>
      </c>
      <c r="B342" s="21">
        <f t="shared" si="1"/>
        <v>0</v>
      </c>
      <c r="C342" s="21" t="str">
        <f>VLOOKUP(A342, hash!A$2:B$500, 2, 0)</f>
        <v>65c452c7bdf2b49b06b9f1e8</v>
      </c>
      <c r="D342" s="23">
        <f t="shared" si="2"/>
        <v>0</v>
      </c>
      <c r="F342" s="45"/>
      <c r="H342" s="45"/>
      <c r="J342" s="45"/>
    </row>
    <row r="343">
      <c r="A343" s="22" t="s">
        <v>634</v>
      </c>
      <c r="B343" s="21">
        <f t="shared" si="1"/>
        <v>0</v>
      </c>
      <c r="C343" s="21" t="str">
        <f>VLOOKUP(A343, hash!A$2:B$500, 2, 0)</f>
        <v>#N/A</v>
      </c>
      <c r="D343" s="23">
        <f t="shared" si="2"/>
        <v>0</v>
      </c>
      <c r="F343" s="45"/>
      <c r="H343" s="45"/>
      <c r="J343" s="45"/>
    </row>
    <row r="344">
      <c r="A344" s="22" t="s">
        <v>635</v>
      </c>
      <c r="B344" s="21">
        <f t="shared" si="1"/>
        <v>0</v>
      </c>
      <c r="C344" s="21" t="str">
        <f>VLOOKUP(A344, hash!A$2:B$500, 2, 0)</f>
        <v>#N/A</v>
      </c>
      <c r="D344" s="23">
        <f t="shared" si="2"/>
        <v>0</v>
      </c>
      <c r="F344" s="45"/>
      <c r="H344" s="45"/>
      <c r="J344" s="45"/>
    </row>
    <row r="345">
      <c r="A345" s="22" t="s">
        <v>636</v>
      </c>
      <c r="B345" s="21">
        <f t="shared" si="1"/>
        <v>0</v>
      </c>
      <c r="C345" s="21" t="str">
        <f>VLOOKUP(A345, hash!A$2:B$500, 2, 0)</f>
        <v>#N/A</v>
      </c>
      <c r="D345" s="23">
        <f t="shared" si="2"/>
        <v>0</v>
      </c>
      <c r="F345" s="45"/>
      <c r="H345" s="45"/>
      <c r="J345" s="45"/>
    </row>
    <row r="346">
      <c r="A346" s="22" t="s">
        <v>637</v>
      </c>
      <c r="B346" s="21">
        <f t="shared" si="1"/>
        <v>0</v>
      </c>
      <c r="C346" s="21" t="str">
        <f>VLOOKUP(A346, hash!A$2:B$500, 2, 0)</f>
        <v>#N/A</v>
      </c>
      <c r="D346" s="23">
        <f t="shared" si="2"/>
        <v>0</v>
      </c>
      <c r="F346" s="45"/>
      <c r="H346" s="45"/>
      <c r="J346" s="45"/>
    </row>
    <row r="347">
      <c r="A347" s="22" t="s">
        <v>255</v>
      </c>
      <c r="B347" s="21">
        <f t="shared" si="1"/>
        <v>0</v>
      </c>
      <c r="C347" s="21" t="str">
        <f>VLOOKUP(A347, hash!A$2:B$500, 2, 0)</f>
        <v>65cd13d251407ce2e1c4e690</v>
      </c>
      <c r="D347" s="23">
        <f t="shared" si="2"/>
        <v>0</v>
      </c>
      <c r="F347" s="45"/>
      <c r="H347" s="45"/>
      <c r="J347" s="45"/>
    </row>
    <row r="348">
      <c r="A348" s="22" t="s">
        <v>256</v>
      </c>
      <c r="B348" s="21">
        <f t="shared" si="1"/>
        <v>0</v>
      </c>
      <c r="C348" s="21" t="str">
        <f>VLOOKUP(A348, hash!A$2:B$500, 2, 0)</f>
        <v>65cd13f6adf37a1fed1cd455</v>
      </c>
      <c r="D348" s="23">
        <f t="shared" si="2"/>
        <v>0</v>
      </c>
      <c r="F348" s="45"/>
      <c r="H348" s="45"/>
      <c r="J348" s="45"/>
    </row>
    <row r="349">
      <c r="A349" s="22" t="s">
        <v>638</v>
      </c>
      <c r="B349" s="21">
        <f t="shared" si="1"/>
        <v>0</v>
      </c>
      <c r="C349" s="21" t="str">
        <f>VLOOKUP(A349, hash!A$2:B$500, 2, 0)</f>
        <v>#N/A</v>
      </c>
      <c r="D349" s="23">
        <f t="shared" si="2"/>
        <v>0</v>
      </c>
      <c r="F349" s="45"/>
      <c r="H349" s="45"/>
      <c r="J349" s="45"/>
    </row>
    <row r="350">
      <c r="A350" s="22" t="s">
        <v>257</v>
      </c>
      <c r="B350" s="21">
        <f t="shared" si="1"/>
        <v>0</v>
      </c>
      <c r="C350" s="21" t="str">
        <f>VLOOKUP(A350, hash!A$2:B$500, 2, 0)</f>
        <v>65cd2a48c6e20b3c3d4798b8</v>
      </c>
      <c r="D350" s="23">
        <f t="shared" si="2"/>
        <v>0</v>
      </c>
      <c r="F350" s="45"/>
      <c r="H350" s="45"/>
      <c r="J350" s="45"/>
    </row>
    <row r="351">
      <c r="A351" s="22" t="s">
        <v>258</v>
      </c>
      <c r="B351" s="21">
        <f t="shared" si="1"/>
        <v>0</v>
      </c>
      <c r="C351" s="21" t="str">
        <f>VLOOKUP(A351, hash!A$2:B$500, 2, 0)</f>
        <v>65d65a5fe2aa0ab4944e133f</v>
      </c>
      <c r="D351" s="23">
        <f t="shared" si="2"/>
        <v>0</v>
      </c>
      <c r="F351" s="45"/>
      <c r="H351" s="45"/>
      <c r="J351" s="45"/>
    </row>
    <row r="352">
      <c r="A352" s="22" t="s">
        <v>259</v>
      </c>
      <c r="B352" s="21">
        <f t="shared" si="1"/>
        <v>0</v>
      </c>
      <c r="C352" s="21" t="str">
        <f>VLOOKUP(A352, hash!A$2:B$500, 2, 0)</f>
        <v>65d65b94ec98c933c1065a3c</v>
      </c>
      <c r="D352" s="23">
        <f t="shared" si="2"/>
        <v>0</v>
      </c>
      <c r="F352" s="45"/>
      <c r="H352" s="45"/>
      <c r="J352" s="45"/>
    </row>
    <row r="353">
      <c r="A353" s="22" t="s">
        <v>260</v>
      </c>
      <c r="B353" s="21">
        <f t="shared" si="1"/>
        <v>0</v>
      </c>
      <c r="C353" s="21" t="str">
        <f>VLOOKUP(A353, hash!A$2:B$500, 2, 0)</f>
        <v>65d65bdbec98c933c1065a41</v>
      </c>
      <c r="D353" s="23">
        <f t="shared" si="2"/>
        <v>0</v>
      </c>
      <c r="F353" s="45"/>
      <c r="H353" s="45"/>
      <c r="J353" s="45"/>
    </row>
    <row r="354">
      <c r="A354" s="22" t="s">
        <v>261</v>
      </c>
      <c r="B354" s="21">
        <f t="shared" si="1"/>
        <v>0</v>
      </c>
      <c r="C354" s="21" t="str">
        <f>VLOOKUP(A354, hash!A$2:B$500, 2, 0)</f>
        <v>65d65beaec98c933c1065a42</v>
      </c>
      <c r="D354" s="23">
        <f t="shared" si="2"/>
        <v>0</v>
      </c>
      <c r="F354" s="45"/>
      <c r="H354" s="45"/>
      <c r="J354" s="45"/>
    </row>
    <row r="355">
      <c r="A355" s="22" t="s">
        <v>262</v>
      </c>
      <c r="B355" s="21">
        <f t="shared" si="1"/>
        <v>0</v>
      </c>
      <c r="C355" s="21" t="str">
        <f>VLOOKUP(A355, hash!A$2:B$500, 2, 0)</f>
        <v>65d65befec98c933c1065a43</v>
      </c>
      <c r="D355" s="23">
        <f t="shared" si="2"/>
        <v>0</v>
      </c>
      <c r="F355" s="45"/>
      <c r="H355" s="45"/>
      <c r="J355" s="45"/>
    </row>
    <row r="356">
      <c r="A356" s="22" t="s">
        <v>263</v>
      </c>
      <c r="B356" s="21">
        <f t="shared" si="1"/>
        <v>0</v>
      </c>
      <c r="C356" s="21" t="str">
        <f>VLOOKUP(A356, hash!A$2:B$500, 2, 0)</f>
        <v>65fb2f31f305810d3c392009</v>
      </c>
      <c r="D356" s="23">
        <f t="shared" si="2"/>
        <v>0</v>
      </c>
      <c r="F356" s="45"/>
      <c r="H356" s="45"/>
      <c r="J356" s="45"/>
    </row>
    <row r="357">
      <c r="A357" s="22" t="s">
        <v>639</v>
      </c>
      <c r="B357" s="21">
        <f t="shared" si="1"/>
        <v>0</v>
      </c>
      <c r="C357" s="21" t="str">
        <f>VLOOKUP(A357, hash!A$2:B$500, 2, 0)</f>
        <v>#N/A</v>
      </c>
      <c r="D357" s="23">
        <f t="shared" si="2"/>
        <v>0</v>
      </c>
      <c r="F357" s="45"/>
      <c r="H357" s="45"/>
      <c r="J357" s="45"/>
    </row>
    <row r="358">
      <c r="A358" s="22" t="s">
        <v>264</v>
      </c>
      <c r="B358" s="21">
        <f t="shared" si="1"/>
        <v>0</v>
      </c>
      <c r="C358" s="21" t="str">
        <f>VLOOKUP(A358, hash!A$2:B$500, 2, 0)</f>
        <v>661437cbd0884a240a6505ae</v>
      </c>
      <c r="D358" s="23">
        <f t="shared" si="2"/>
        <v>0</v>
      </c>
      <c r="F358" s="45"/>
      <c r="H358" s="45"/>
      <c r="J358" s="45"/>
    </row>
    <row r="359">
      <c r="A359" s="22" t="s">
        <v>265</v>
      </c>
      <c r="B359" s="21">
        <f t="shared" si="1"/>
        <v>0</v>
      </c>
      <c r="C359" s="21" t="str">
        <f>VLOOKUP(A359, hash!A$2:B$500, 2, 0)</f>
        <v>66144853927e0e420e0cbc96</v>
      </c>
      <c r="D359" s="23">
        <f t="shared" si="2"/>
        <v>0</v>
      </c>
      <c r="F359" s="45"/>
      <c r="H359" s="45"/>
      <c r="J359" s="45"/>
    </row>
    <row r="360">
      <c r="A360" s="22" t="s">
        <v>266</v>
      </c>
      <c r="B360" s="21">
        <f t="shared" si="1"/>
        <v>0</v>
      </c>
      <c r="C360" s="21" t="str">
        <f>VLOOKUP(A360, hash!A$2:B$500, 2, 0)</f>
        <v>6614485b927e0e420e0cbc97</v>
      </c>
      <c r="D360" s="23">
        <f t="shared" si="2"/>
        <v>0</v>
      </c>
      <c r="F360" s="45"/>
      <c r="H360" s="45"/>
      <c r="J360" s="45"/>
    </row>
    <row r="361">
      <c r="A361" s="22" t="s">
        <v>267</v>
      </c>
      <c r="B361" s="21">
        <f t="shared" si="1"/>
        <v>0</v>
      </c>
      <c r="C361" s="21" t="str">
        <f>VLOOKUP(A361, hash!A$2:B$500, 2, 0)</f>
        <v>6614485f927e0e420e0cbc99</v>
      </c>
      <c r="D361" s="23">
        <f t="shared" si="2"/>
        <v>0</v>
      </c>
      <c r="F361" s="45"/>
      <c r="H361" s="45"/>
      <c r="J361" s="45"/>
    </row>
    <row r="362">
      <c r="A362" s="22" t="s">
        <v>640</v>
      </c>
      <c r="B362" s="21">
        <f t="shared" si="1"/>
        <v>0</v>
      </c>
      <c r="C362" s="21" t="str">
        <f>VLOOKUP(A362, hash!A$2:B$500, 2, 0)</f>
        <v>#N/A</v>
      </c>
      <c r="D362" s="23">
        <f t="shared" si="2"/>
        <v>0</v>
      </c>
      <c r="F362" s="45"/>
      <c r="H362" s="45"/>
      <c r="J362" s="45"/>
    </row>
    <row r="363">
      <c r="A363" s="22" t="s">
        <v>641</v>
      </c>
      <c r="B363" s="21">
        <f t="shared" si="1"/>
        <v>0</v>
      </c>
      <c r="C363" s="21" t="str">
        <f>VLOOKUP(A363, hash!A$2:B$500, 2, 0)</f>
        <v>#N/A</v>
      </c>
      <c r="D363" s="23">
        <f t="shared" si="2"/>
        <v>0</v>
      </c>
      <c r="F363" s="45"/>
      <c r="H363" s="45"/>
      <c r="J363" s="45"/>
    </row>
    <row r="364">
      <c r="A364" s="22" t="s">
        <v>268</v>
      </c>
      <c r="B364" s="21">
        <f t="shared" si="1"/>
        <v>0</v>
      </c>
      <c r="C364" s="21" t="str">
        <f>VLOOKUP(A364, hash!A$2:B$500, 2, 0)</f>
        <v>662950e951eb7e9e714289d0</v>
      </c>
      <c r="D364" s="23">
        <f t="shared" si="2"/>
        <v>0</v>
      </c>
      <c r="F364" s="45"/>
      <c r="H364" s="45"/>
      <c r="J364" s="45"/>
    </row>
    <row r="365">
      <c r="A365" s="22" t="s">
        <v>269</v>
      </c>
      <c r="B365" s="21">
        <f t="shared" si="1"/>
        <v>0</v>
      </c>
      <c r="C365" s="21" t="str">
        <f>VLOOKUP(A365, hash!A$2:B$500, 2, 0)</f>
        <v>66328a4fa55f727a8c1b9f8b</v>
      </c>
      <c r="D365" s="23">
        <f t="shared" si="2"/>
        <v>0</v>
      </c>
      <c r="F365" s="45"/>
      <c r="H365" s="45"/>
      <c r="J365" s="45"/>
    </row>
    <row r="366">
      <c r="A366" s="22" t="s">
        <v>270</v>
      </c>
      <c r="B366" s="21">
        <f t="shared" si="1"/>
        <v>0</v>
      </c>
      <c r="C366" s="21" t="str">
        <f>VLOOKUP(A366, hash!A$2:B$500, 2, 0)</f>
        <v>66328a501875b701f3af072f</v>
      </c>
      <c r="D366" s="23">
        <f t="shared" si="2"/>
        <v>0</v>
      </c>
      <c r="F366" s="45"/>
      <c r="H366" s="45"/>
      <c r="J366" s="45"/>
    </row>
    <row r="367">
      <c r="A367" s="22" t="s">
        <v>271</v>
      </c>
      <c r="B367" s="21">
        <f t="shared" si="1"/>
        <v>0</v>
      </c>
      <c r="C367" s="21" t="str">
        <f>VLOOKUP(A367, hash!A$2:B$500, 2, 0)</f>
        <v>663a810cfd55cc6d42fc3373</v>
      </c>
      <c r="D367" s="23">
        <f t="shared" si="2"/>
        <v>0</v>
      </c>
      <c r="F367" s="45"/>
      <c r="H367" s="45"/>
      <c r="J367" s="45"/>
    </row>
    <row r="368">
      <c r="A368" s="22" t="s">
        <v>272</v>
      </c>
      <c r="B368" s="21">
        <f t="shared" si="1"/>
        <v>0</v>
      </c>
      <c r="C368" s="21" t="str">
        <f>VLOOKUP(A368, hash!A$2:B$500, 2, 0)</f>
        <v>66450a83df126c7d8f1e547c</v>
      </c>
      <c r="D368" s="23">
        <f t="shared" si="2"/>
        <v>0</v>
      </c>
      <c r="E368" s="14">
        <v>0.0</v>
      </c>
      <c r="F368" s="27">
        <v>0.0</v>
      </c>
      <c r="G368" s="14">
        <v>0.0</v>
      </c>
      <c r="H368" s="27">
        <v>0.0</v>
      </c>
      <c r="I368" s="14">
        <v>0.0</v>
      </c>
      <c r="J368" s="27">
        <v>0.0</v>
      </c>
    </row>
    <row r="369">
      <c r="A369" s="22" t="s">
        <v>273</v>
      </c>
      <c r="B369" s="21">
        <f t="shared" si="1"/>
        <v>0</v>
      </c>
      <c r="C369" s="21" t="str">
        <f>VLOOKUP(A369, hash!A$2:B$500, 2, 0)</f>
        <v>664e3a49317dec867b3ddb30</v>
      </c>
      <c r="D369" s="23">
        <f t="shared" si="2"/>
        <v>0</v>
      </c>
      <c r="F369" s="45"/>
      <c r="H369" s="45"/>
      <c r="J369" s="45"/>
    </row>
    <row r="370">
      <c r="A370" s="22" t="s">
        <v>274</v>
      </c>
      <c r="B370" s="21">
        <f t="shared" si="1"/>
        <v>0</v>
      </c>
      <c r="C370" s="21" t="str">
        <f>VLOOKUP(A370, hash!A$2:B$500, 2, 0)</f>
        <v>664e45f07cadce18e9e94600</v>
      </c>
      <c r="D370" s="23">
        <f t="shared" si="2"/>
        <v>0</v>
      </c>
      <c r="F370" s="45"/>
      <c r="H370" s="45"/>
      <c r="J370" s="45"/>
    </row>
    <row r="371">
      <c r="A371" s="22" t="s">
        <v>275</v>
      </c>
      <c r="B371" s="21">
        <f t="shared" si="1"/>
        <v>0</v>
      </c>
      <c r="C371" s="21" t="str">
        <f>VLOOKUP(A371, hash!A$2:B$500, 2, 0)</f>
        <v>665773d4af4d86d206115ffb</v>
      </c>
      <c r="D371" s="23">
        <f t="shared" si="2"/>
        <v>0</v>
      </c>
      <c r="F371" s="45"/>
      <c r="H371" s="45"/>
      <c r="J371" s="45"/>
    </row>
    <row r="372">
      <c r="A372" s="22" t="s">
        <v>642</v>
      </c>
      <c r="B372" s="21">
        <f t="shared" si="1"/>
        <v>0</v>
      </c>
      <c r="C372" s="21" t="str">
        <f>VLOOKUP(A372, hash!A$2:B$500, 2, 0)</f>
        <v>#N/A</v>
      </c>
      <c r="D372" s="23">
        <f t="shared" si="2"/>
        <v>0</v>
      </c>
      <c r="F372" s="45"/>
      <c r="H372" s="45"/>
      <c r="J372" s="45"/>
    </row>
    <row r="373">
      <c r="A373" s="22" t="s">
        <v>643</v>
      </c>
      <c r="B373" s="21">
        <f t="shared" si="1"/>
        <v>0</v>
      </c>
      <c r="C373" s="21" t="str">
        <f>VLOOKUP(A373, hash!A$2:B$500, 2, 0)</f>
        <v>#N/A</v>
      </c>
      <c r="D373" s="23">
        <f t="shared" si="2"/>
        <v>0</v>
      </c>
      <c r="F373" s="45"/>
      <c r="H373" s="45"/>
      <c r="J373" s="45"/>
    </row>
    <row r="374">
      <c r="A374" s="22" t="s">
        <v>276</v>
      </c>
      <c r="B374" s="21">
        <f t="shared" si="1"/>
        <v>0</v>
      </c>
      <c r="C374" s="21" t="str">
        <f>VLOOKUP(A374, hash!A$2:B$500, 2, 0)</f>
        <v>66cac517e3728ef7a173d5b4</v>
      </c>
      <c r="D374" s="23">
        <f t="shared" si="2"/>
        <v>0</v>
      </c>
      <c r="F374" s="45"/>
      <c r="H374" s="45"/>
      <c r="J374" s="45"/>
    </row>
    <row r="375">
      <c r="A375" s="22" t="s">
        <v>277</v>
      </c>
      <c r="B375" s="21">
        <f t="shared" si="1"/>
        <v>0</v>
      </c>
      <c r="C375" s="21" t="str">
        <f>VLOOKUP(A375, hash!A$2:B$500, 2, 0)</f>
        <v>66d4dfe22c49b6570be6d76d</v>
      </c>
      <c r="D375" s="23">
        <f t="shared" si="2"/>
        <v>0</v>
      </c>
      <c r="F375" s="27"/>
      <c r="H375" s="27"/>
      <c r="J375" s="27"/>
    </row>
    <row r="376">
      <c r="A376" s="22" t="s">
        <v>278</v>
      </c>
      <c r="B376" s="21">
        <f t="shared" si="1"/>
        <v>0</v>
      </c>
      <c r="C376" s="21" t="str">
        <f>VLOOKUP(A376, hash!A$2:B$500, 2, 0)</f>
        <v>66db0378ada861be3f1186a3</v>
      </c>
      <c r="D376" s="23">
        <f t="shared" si="2"/>
        <v>0</v>
      </c>
      <c r="F376" s="45"/>
      <c r="H376" s="45"/>
      <c r="J376" s="45"/>
    </row>
    <row r="377">
      <c r="A377" s="22" t="s">
        <v>279</v>
      </c>
      <c r="B377" s="21">
        <f t="shared" si="1"/>
        <v>0</v>
      </c>
      <c r="C377" s="21" t="str">
        <f>VLOOKUP(A377, hash!A$2:B$500, 2, 0)</f>
        <v>66dfaa6ed25069720af3c493</v>
      </c>
      <c r="D377" s="23">
        <f t="shared" si="2"/>
        <v>0</v>
      </c>
      <c r="F377" s="27"/>
      <c r="H377" s="27"/>
      <c r="J377" s="27"/>
    </row>
    <row r="378">
      <c r="A378" s="22" t="s">
        <v>280</v>
      </c>
      <c r="B378" s="21">
        <f t="shared" si="1"/>
        <v>0</v>
      </c>
      <c r="C378" s="21" t="str">
        <f>VLOOKUP(A378, hash!A$2:B$500, 2, 0)</f>
        <v>66e1e0ef855f2a7e8fb837e2</v>
      </c>
      <c r="D378" s="23">
        <f t="shared" si="2"/>
        <v>0</v>
      </c>
      <c r="F378" s="45"/>
      <c r="H378" s="45"/>
      <c r="J378" s="45"/>
    </row>
    <row r="379">
      <c r="A379" s="22" t="s">
        <v>281</v>
      </c>
      <c r="B379" s="21">
        <f t="shared" si="1"/>
        <v>0</v>
      </c>
      <c r="C379" s="21" t="str">
        <f>VLOOKUP(A379, hash!A$2:B$500, 2, 0)</f>
        <v>66e1e0fe855f2a7e8fb837e3</v>
      </c>
      <c r="D379" s="23">
        <f t="shared" si="2"/>
        <v>0</v>
      </c>
      <c r="E379" s="14">
        <v>0.0</v>
      </c>
      <c r="F379" s="27">
        <v>0.0</v>
      </c>
      <c r="G379" s="14">
        <v>0.0</v>
      </c>
      <c r="H379" s="27">
        <v>0.0</v>
      </c>
      <c r="I379" s="14">
        <v>0.0</v>
      </c>
      <c r="J379" s="27">
        <v>0.0</v>
      </c>
    </row>
    <row r="380">
      <c r="A380" s="22" t="s">
        <v>282</v>
      </c>
      <c r="B380" s="21">
        <f t="shared" si="1"/>
        <v>0</v>
      </c>
      <c r="C380" s="21" t="str">
        <f>VLOOKUP(A380, hash!A$2:B$500, 2, 0)</f>
        <v>66e1e105a61e89c7c68f6e30</v>
      </c>
      <c r="D380" s="23">
        <f t="shared" si="2"/>
        <v>0</v>
      </c>
      <c r="F380" s="45"/>
      <c r="H380" s="45"/>
      <c r="J380" s="45"/>
    </row>
    <row r="381">
      <c r="A381" s="22" t="s">
        <v>283</v>
      </c>
      <c r="B381" s="21">
        <f t="shared" si="1"/>
        <v>0</v>
      </c>
      <c r="C381" s="21" t="str">
        <f>VLOOKUP(A381, hash!A$2:B$500, 2, 0)</f>
        <v>66e1e10bdb315cbd40043fc3</v>
      </c>
      <c r="D381" s="23">
        <f t="shared" si="2"/>
        <v>0</v>
      </c>
      <c r="F381" s="45"/>
      <c r="H381" s="45"/>
      <c r="J381" s="45"/>
    </row>
    <row r="382">
      <c r="A382" s="22" t="s">
        <v>89</v>
      </c>
      <c r="B382" s="21">
        <f t="shared" si="1"/>
        <v>0</v>
      </c>
      <c r="C382" s="21" t="str">
        <f>VLOOKUP(A382, hash!A$2:B$500, 2, 0)</f>
        <v>66e1e10cdb315cbd40043fc4</v>
      </c>
      <c r="D382" s="23">
        <f t="shared" si="2"/>
        <v>0</v>
      </c>
      <c r="E382" s="14">
        <v>0.0</v>
      </c>
      <c r="F382" s="27">
        <v>0.0</v>
      </c>
      <c r="G382" s="14">
        <v>0.0</v>
      </c>
      <c r="H382" s="27">
        <v>0.0</v>
      </c>
      <c r="I382" s="14">
        <v>0.0</v>
      </c>
      <c r="J382" s="27">
        <v>0.0</v>
      </c>
    </row>
    <row r="383">
      <c r="A383" s="22" t="s">
        <v>284</v>
      </c>
      <c r="B383" s="21">
        <f t="shared" si="1"/>
        <v>0</v>
      </c>
      <c r="C383" s="21" t="str">
        <f>VLOOKUP(A383, hash!A$2:B$500, 2, 0)</f>
        <v>66e1e111f0db8f5922c91d81</v>
      </c>
      <c r="D383" s="23">
        <f t="shared" si="2"/>
        <v>0</v>
      </c>
      <c r="F383" s="45"/>
      <c r="H383" s="45"/>
      <c r="J383" s="45"/>
    </row>
    <row r="384">
      <c r="A384" s="22" t="s">
        <v>285</v>
      </c>
      <c r="B384" s="21">
        <f t="shared" si="1"/>
        <v>0</v>
      </c>
      <c r="C384" s="21" t="str">
        <f>VLOOKUP(A384, hash!A$2:B$500, 2, 0)</f>
        <v>66e1e116f0db8f5922c91d82</v>
      </c>
      <c r="D384" s="23">
        <f t="shared" si="2"/>
        <v>0</v>
      </c>
      <c r="F384" s="45"/>
      <c r="H384" s="45"/>
      <c r="J384" s="45"/>
    </row>
    <row r="385">
      <c r="A385" s="22" t="s">
        <v>286</v>
      </c>
      <c r="B385" s="21">
        <f t="shared" si="1"/>
        <v>0</v>
      </c>
      <c r="C385" s="21" t="str">
        <f>VLOOKUP(A385, hash!A$2:B$500, 2, 0)</f>
        <v>66e1e1187a8e6dc2aed3a63d</v>
      </c>
      <c r="D385" s="23">
        <f t="shared" si="2"/>
        <v>0</v>
      </c>
      <c r="F385" s="45"/>
      <c r="H385" s="45"/>
      <c r="J385" s="45"/>
    </row>
    <row r="386">
      <c r="A386" s="22" t="s">
        <v>287</v>
      </c>
      <c r="B386" s="21">
        <f t="shared" si="1"/>
        <v>0</v>
      </c>
      <c r="C386" s="21" t="str">
        <f>VLOOKUP(A386, hash!A$2:B$500, 2, 0)</f>
        <v>66e1e119f0db8f5922c91d83</v>
      </c>
      <c r="D386" s="23">
        <f t="shared" si="2"/>
        <v>0</v>
      </c>
      <c r="F386" s="45"/>
      <c r="H386" s="45"/>
      <c r="J386" s="45"/>
    </row>
    <row r="387">
      <c r="A387" s="22" t="s">
        <v>288</v>
      </c>
      <c r="B387" s="21">
        <f t="shared" si="1"/>
        <v>0</v>
      </c>
      <c r="C387" s="21" t="str">
        <f>VLOOKUP(A387, hash!A$2:B$500, 2, 0)</f>
        <v>66e1e11f45950d34f313912f</v>
      </c>
      <c r="D387" s="23">
        <f t="shared" si="2"/>
        <v>0</v>
      </c>
      <c r="F387" s="45"/>
      <c r="H387" s="45"/>
      <c r="J387" s="45"/>
    </row>
    <row r="388">
      <c r="A388" s="22" t="s">
        <v>100</v>
      </c>
      <c r="B388" s="21">
        <f t="shared" si="1"/>
        <v>0</v>
      </c>
      <c r="C388" s="21" t="str">
        <f>VLOOKUP(A388, hash!A$2:B$500, 2, 0)</f>
        <v>66e1e1207a8e6dc2aed3a63e</v>
      </c>
      <c r="D388" s="23">
        <f t="shared" si="2"/>
        <v>0</v>
      </c>
      <c r="F388" s="27"/>
      <c r="H388" s="27"/>
      <c r="J388" s="27"/>
    </row>
    <row r="389">
      <c r="A389" s="22" t="s">
        <v>289</v>
      </c>
      <c r="B389" s="21">
        <f t="shared" si="1"/>
        <v>0</v>
      </c>
      <c r="C389" s="21" t="str">
        <f>VLOOKUP(A389, hash!A$2:B$500, 2, 0)</f>
        <v>66e1e1217a8e6dc2aed3a63f</v>
      </c>
      <c r="D389" s="23">
        <f t="shared" si="2"/>
        <v>0</v>
      </c>
      <c r="F389" s="45"/>
      <c r="H389" s="45"/>
      <c r="J389" s="45"/>
    </row>
    <row r="390">
      <c r="A390" s="22" t="s">
        <v>290</v>
      </c>
      <c r="B390" s="21">
        <f t="shared" si="1"/>
        <v>0</v>
      </c>
      <c r="C390" s="21" t="str">
        <f>VLOOKUP(A390, hash!A$2:B$500, 2, 0)</f>
        <v>66e1e1227a8e6dc2aed3a640</v>
      </c>
      <c r="D390" s="23">
        <f t="shared" si="2"/>
        <v>0</v>
      </c>
      <c r="F390" s="27"/>
      <c r="H390" s="27"/>
      <c r="J390" s="27"/>
    </row>
    <row r="391">
      <c r="A391" s="22" t="s">
        <v>50</v>
      </c>
      <c r="B391" s="21">
        <f t="shared" si="1"/>
        <v>0</v>
      </c>
      <c r="C391" s="21" t="str">
        <f>VLOOKUP(A391, hash!A$2:B$500, 2, 0)</f>
        <v>66e1e1227a8e6dc2aed3a641</v>
      </c>
      <c r="D391" s="23">
        <f t="shared" si="2"/>
        <v>0</v>
      </c>
      <c r="F391" s="45"/>
      <c r="H391" s="45"/>
      <c r="J391" s="45"/>
    </row>
    <row r="392">
      <c r="A392" s="22" t="s">
        <v>291</v>
      </c>
      <c r="B392" s="21">
        <f t="shared" si="1"/>
        <v>0</v>
      </c>
      <c r="C392" s="21" t="str">
        <f>VLOOKUP(A392, hash!A$2:B$500, 2, 0)</f>
        <v>66e1e122e2fbdff8a0c35634</v>
      </c>
      <c r="D392" s="23">
        <f t="shared" si="2"/>
        <v>0</v>
      </c>
      <c r="F392" s="27"/>
      <c r="H392" s="27"/>
      <c r="J392" s="27"/>
    </row>
    <row r="393">
      <c r="A393" s="22" t="s">
        <v>292</v>
      </c>
      <c r="B393" s="21">
        <f t="shared" si="1"/>
        <v>0</v>
      </c>
      <c r="C393" s="21" t="str">
        <f>VLOOKUP(A393, hash!A$2:B$500, 2, 0)</f>
        <v>66e1e1257a8e6dc2aed3a643</v>
      </c>
      <c r="D393" s="23">
        <f t="shared" si="2"/>
        <v>0</v>
      </c>
      <c r="F393" s="45"/>
      <c r="H393" s="45"/>
      <c r="J393" s="45"/>
    </row>
    <row r="394">
      <c r="A394" s="22" t="s">
        <v>16</v>
      </c>
      <c r="B394" s="21">
        <f t="shared" si="1"/>
        <v>0</v>
      </c>
      <c r="C394" s="21" t="str">
        <f>VLOOKUP(A394, hash!A$2:B$500, 2, 0)</f>
        <v>66e1e1267a8e6dc2aed3a644</v>
      </c>
      <c r="D394" s="23">
        <f t="shared" si="2"/>
        <v>0</v>
      </c>
      <c r="F394" s="45"/>
      <c r="H394" s="45"/>
      <c r="J394" s="45"/>
    </row>
    <row r="395">
      <c r="A395" s="22" t="s">
        <v>294</v>
      </c>
      <c r="B395" s="21">
        <f t="shared" si="1"/>
        <v>0</v>
      </c>
      <c r="C395" s="21" t="str">
        <f>VLOOKUP(A395, hash!A$2:B$500, 2, 0)</f>
        <v>66e1e127e2fbdff8a0c35636</v>
      </c>
      <c r="D395" s="23">
        <f t="shared" si="2"/>
        <v>0</v>
      </c>
      <c r="F395" s="45"/>
      <c r="H395" s="45"/>
      <c r="J395" s="45"/>
    </row>
    <row r="396">
      <c r="A396" s="22" t="s">
        <v>295</v>
      </c>
      <c r="B396" s="21">
        <f t="shared" si="1"/>
        <v>0</v>
      </c>
      <c r="C396" s="21" t="str">
        <f>VLOOKUP(A396, hash!A$2:B$500, 2, 0)</f>
        <v>66e1e128f0db8f5922c91d86</v>
      </c>
      <c r="D396" s="23">
        <f t="shared" si="2"/>
        <v>0</v>
      </c>
      <c r="F396" s="45"/>
      <c r="H396" s="45"/>
      <c r="J396" s="45"/>
    </row>
    <row r="397">
      <c r="A397" s="22" t="s">
        <v>296</v>
      </c>
      <c r="B397" s="21">
        <f t="shared" si="1"/>
        <v>0</v>
      </c>
      <c r="C397" s="21" t="str">
        <f>VLOOKUP(A397, hash!A$2:B$500, 2, 0)</f>
        <v>66e1e129f0db8f5922c91d87</v>
      </c>
      <c r="D397" s="23">
        <f t="shared" si="2"/>
        <v>0</v>
      </c>
      <c r="F397" s="45"/>
      <c r="H397" s="45"/>
      <c r="J397" s="45"/>
    </row>
    <row r="398">
      <c r="A398" s="22" t="s">
        <v>62</v>
      </c>
      <c r="B398" s="21">
        <f t="shared" si="1"/>
        <v>0</v>
      </c>
      <c r="C398" s="21" t="str">
        <f>VLOOKUP(A398, hash!A$2:B$500, 2, 0)</f>
        <v>66e1e12a45950d34f3139132</v>
      </c>
      <c r="D398" s="23">
        <f t="shared" si="2"/>
        <v>0</v>
      </c>
      <c r="F398" s="45"/>
      <c r="H398" s="45"/>
      <c r="J398" s="45"/>
    </row>
    <row r="399">
      <c r="A399" s="22" t="s">
        <v>297</v>
      </c>
      <c r="B399" s="21">
        <f t="shared" si="1"/>
        <v>0</v>
      </c>
      <c r="C399" s="21" t="str">
        <f>VLOOKUP(A399, hash!A$2:B$500, 2, 0)</f>
        <v>66e1e12bf0db8f5922c91d88</v>
      </c>
      <c r="D399" s="23">
        <f t="shared" si="2"/>
        <v>0</v>
      </c>
      <c r="E399" s="14">
        <v>0.0</v>
      </c>
      <c r="F399" s="27">
        <v>0.0</v>
      </c>
      <c r="G399" s="14">
        <v>0.0</v>
      </c>
      <c r="H399" s="27">
        <v>0.0</v>
      </c>
      <c r="I399" s="14">
        <v>0.0</v>
      </c>
      <c r="J399" s="27">
        <v>0.0</v>
      </c>
    </row>
    <row r="400">
      <c r="A400" s="22" t="s">
        <v>299</v>
      </c>
      <c r="B400" s="21">
        <f t="shared" si="1"/>
        <v>0</v>
      </c>
      <c r="C400" s="21" t="str">
        <f>VLOOKUP(A400, hash!A$2:B$500, 2, 0)</f>
        <v>66e1e12c68fa766abf5d11d7</v>
      </c>
      <c r="D400" s="23">
        <f t="shared" si="2"/>
        <v>0</v>
      </c>
      <c r="F400" s="45"/>
      <c r="H400" s="45"/>
      <c r="J400" s="45"/>
    </row>
    <row r="401">
      <c r="A401" s="22" t="s">
        <v>300</v>
      </c>
      <c r="B401" s="21">
        <f t="shared" si="1"/>
        <v>0</v>
      </c>
      <c r="C401" s="21" t="str">
        <f>VLOOKUP(A401, hash!A$2:B$500, 2, 0)</f>
        <v>66e1e12df0db8f5922c91d8a</v>
      </c>
      <c r="D401" s="23">
        <f t="shared" si="2"/>
        <v>0</v>
      </c>
      <c r="F401" s="27"/>
      <c r="H401" s="27"/>
      <c r="J401" s="27"/>
    </row>
    <row r="402">
      <c r="A402" s="22" t="s">
        <v>301</v>
      </c>
      <c r="B402" s="21">
        <f t="shared" si="1"/>
        <v>0</v>
      </c>
      <c r="C402" s="21" t="str">
        <f>VLOOKUP(A402, hash!A$2:B$500, 2, 0)</f>
        <v>66e1e12ee2fbdff8a0c3563a</v>
      </c>
      <c r="D402" s="23">
        <f t="shared" si="2"/>
        <v>0</v>
      </c>
      <c r="F402" s="45"/>
      <c r="H402" s="45"/>
      <c r="J402" s="45"/>
    </row>
    <row r="403">
      <c r="A403" s="22" t="s">
        <v>302</v>
      </c>
      <c r="B403" s="21">
        <f t="shared" si="1"/>
        <v>0</v>
      </c>
      <c r="C403" s="21" t="str">
        <f>VLOOKUP(A403, hash!A$2:B$500, 2, 0)</f>
        <v>66e1e12f7a8e6dc2aed3a646</v>
      </c>
      <c r="D403" s="23">
        <f t="shared" si="2"/>
        <v>0</v>
      </c>
      <c r="F403" s="27"/>
      <c r="H403" s="27"/>
      <c r="J403" s="27"/>
    </row>
    <row r="404">
      <c r="A404" s="22" t="s">
        <v>304</v>
      </c>
      <c r="B404" s="21">
        <f t="shared" si="1"/>
        <v>0</v>
      </c>
      <c r="C404" s="21" t="str">
        <f>VLOOKUP(A404, hash!A$2:B$500, 2, 0)</f>
        <v>66e1e139f0db8f5922c91d8d</v>
      </c>
      <c r="D404" s="23">
        <f t="shared" si="2"/>
        <v>0</v>
      </c>
      <c r="F404" s="45"/>
      <c r="H404" s="45"/>
      <c r="J404" s="45"/>
    </row>
    <row r="405">
      <c r="A405" s="22" t="s">
        <v>31</v>
      </c>
      <c r="B405" s="21">
        <f t="shared" si="1"/>
        <v>0</v>
      </c>
      <c r="C405" s="21" t="str">
        <f>VLOOKUP(A405, hash!A$2:B$500, 2, 0)</f>
        <v>66e1e13fdb315cbd40043fca</v>
      </c>
      <c r="D405" s="23">
        <f t="shared" si="2"/>
        <v>0</v>
      </c>
      <c r="F405" s="45"/>
      <c r="H405" s="45"/>
      <c r="J405" s="45"/>
    </row>
    <row r="406">
      <c r="A406" s="22" t="s">
        <v>307</v>
      </c>
      <c r="B406" s="21">
        <f t="shared" si="1"/>
        <v>0</v>
      </c>
      <c r="C406" s="21" t="str">
        <f>VLOOKUP(A406, hash!A$2:B$500, 2, 0)</f>
        <v>66e1e14b7a8e6dc2aed3a649</v>
      </c>
      <c r="D406" s="23">
        <f t="shared" si="2"/>
        <v>0</v>
      </c>
      <c r="F406" s="45"/>
      <c r="H406" s="45"/>
      <c r="J406" s="45"/>
    </row>
    <row r="407">
      <c r="A407" s="22" t="s">
        <v>308</v>
      </c>
      <c r="B407" s="21">
        <f t="shared" si="1"/>
        <v>0</v>
      </c>
      <c r="C407" s="21" t="str">
        <f>VLOOKUP(A407, hash!A$2:B$500, 2, 0)</f>
        <v>66e1e14cf0db8f5922c91d94</v>
      </c>
      <c r="D407" s="23">
        <f t="shared" si="2"/>
        <v>0</v>
      </c>
      <c r="F407" s="45"/>
      <c r="H407" s="45"/>
      <c r="J407" s="45"/>
    </row>
    <row r="408">
      <c r="A408" s="22" t="s">
        <v>309</v>
      </c>
      <c r="B408" s="21">
        <f t="shared" si="1"/>
        <v>0</v>
      </c>
      <c r="C408" s="21" t="str">
        <f>VLOOKUP(A408, hash!A$2:B$500, 2, 0)</f>
        <v>66e1e200bbd279710a4f25a0</v>
      </c>
      <c r="D408" s="23">
        <f t="shared" si="2"/>
        <v>0</v>
      </c>
      <c r="F408" s="27"/>
      <c r="H408" s="27"/>
      <c r="J408" s="27"/>
    </row>
    <row r="409">
      <c r="A409" s="22" t="s">
        <v>38</v>
      </c>
      <c r="B409" s="21">
        <f t="shared" si="1"/>
        <v>0</v>
      </c>
      <c r="C409" s="21" t="str">
        <f>VLOOKUP(A409, hash!A$2:B$500, 2, 0)</f>
        <v>66e1e295c67d6a88d4309dde</v>
      </c>
      <c r="D409" s="23">
        <f t="shared" si="2"/>
        <v>0</v>
      </c>
      <c r="F409" s="45"/>
      <c r="H409" s="45"/>
      <c r="J409" s="45"/>
    </row>
    <row r="410">
      <c r="A410" s="22" t="s">
        <v>310</v>
      </c>
      <c r="B410" s="21">
        <f t="shared" si="1"/>
        <v>0</v>
      </c>
      <c r="C410" s="21" t="str">
        <f>VLOOKUP(A410, hash!A$2:B$500, 2, 0)</f>
        <v>66e1ed7ce62f650d943808d3</v>
      </c>
      <c r="D410" s="23">
        <f t="shared" si="2"/>
        <v>0</v>
      </c>
      <c r="F410" s="45"/>
      <c r="H410" s="45"/>
      <c r="J410" s="45"/>
    </row>
    <row r="411">
      <c r="A411" s="22" t="s">
        <v>311</v>
      </c>
      <c r="B411" s="21">
        <f t="shared" si="1"/>
        <v>0</v>
      </c>
      <c r="C411" s="21" t="str">
        <f>VLOOKUP(A411, hash!A$2:B$500, 2, 0)</f>
        <v>66e1ed80e62f650d943808d4</v>
      </c>
      <c r="D411" s="23">
        <f t="shared" si="2"/>
        <v>0</v>
      </c>
      <c r="F411" s="45"/>
      <c r="H411" s="45"/>
      <c r="J411" s="45"/>
    </row>
    <row r="412">
      <c r="A412" s="22" t="s">
        <v>313</v>
      </c>
      <c r="B412" s="21">
        <f t="shared" si="1"/>
        <v>0</v>
      </c>
      <c r="C412" s="21" t="str">
        <f>VLOOKUP(A412, hash!A$2:B$500, 2, 0)</f>
        <v>66e1ed8677e929b3df889a0a</v>
      </c>
      <c r="D412" s="23">
        <f t="shared" si="2"/>
        <v>0</v>
      </c>
      <c r="F412" s="27"/>
      <c r="H412" s="27"/>
      <c r="J412" s="27"/>
    </row>
    <row r="413">
      <c r="A413" s="22" t="s">
        <v>314</v>
      </c>
      <c r="B413" s="21">
        <f t="shared" si="1"/>
        <v>0</v>
      </c>
      <c r="C413" s="21" t="str">
        <f>VLOOKUP(A413, hash!A$2:B$500, 2, 0)</f>
        <v>66e1ed871129889a3e2c24a9</v>
      </c>
      <c r="D413" s="23">
        <f t="shared" si="2"/>
        <v>0</v>
      </c>
      <c r="F413" s="45"/>
      <c r="H413" s="45"/>
      <c r="J413" s="45"/>
    </row>
    <row r="414">
      <c r="A414" s="22" t="s">
        <v>315</v>
      </c>
      <c r="B414" s="21">
        <f t="shared" si="1"/>
        <v>0</v>
      </c>
      <c r="C414" s="21" t="str">
        <f>VLOOKUP(A414, hash!A$2:B$500, 2, 0)</f>
        <v>66e1ed901129889a3e2c24ac</v>
      </c>
      <c r="D414" s="23">
        <f t="shared" si="2"/>
        <v>0</v>
      </c>
      <c r="F414" s="45"/>
      <c r="H414" s="45"/>
      <c r="J414" s="45"/>
    </row>
    <row r="415">
      <c r="A415" s="22" t="s">
        <v>316</v>
      </c>
      <c r="B415" s="21">
        <f t="shared" si="1"/>
        <v>0</v>
      </c>
      <c r="C415" s="21" t="str">
        <f>VLOOKUP(A415, hash!A$2:B$500, 2, 0)</f>
        <v>66e1ed9207067318cc1e18cb</v>
      </c>
      <c r="D415" s="23">
        <f t="shared" si="2"/>
        <v>0</v>
      </c>
      <c r="F415" s="45"/>
      <c r="H415" s="45"/>
      <c r="J415" s="45"/>
    </row>
    <row r="416">
      <c r="A416" s="22" t="s">
        <v>317</v>
      </c>
      <c r="B416" s="21">
        <f t="shared" si="1"/>
        <v>0</v>
      </c>
      <c r="C416" s="21" t="str">
        <f>VLOOKUP(A416, hash!A$2:B$500, 2, 0)</f>
        <v>66e1ed9207067318cc1e18cc</v>
      </c>
      <c r="D416" s="23">
        <f t="shared" si="2"/>
        <v>0</v>
      </c>
      <c r="F416" s="45"/>
      <c r="H416" s="45"/>
      <c r="J416" s="45"/>
    </row>
    <row r="417">
      <c r="A417" s="22" t="s">
        <v>319</v>
      </c>
      <c r="B417" s="21">
        <f t="shared" si="1"/>
        <v>0</v>
      </c>
      <c r="C417" s="21" t="str">
        <f>VLOOKUP(A417, hash!A$2:B$500, 2, 0)</f>
        <v>66e1ed96e62f650d943808d5</v>
      </c>
      <c r="D417" s="23">
        <f t="shared" si="2"/>
        <v>0</v>
      </c>
      <c r="F417" s="45"/>
      <c r="H417" s="45"/>
      <c r="J417" s="45"/>
    </row>
    <row r="418">
      <c r="A418" s="22" t="s">
        <v>320</v>
      </c>
      <c r="B418" s="21">
        <f t="shared" si="1"/>
        <v>0</v>
      </c>
      <c r="C418" s="21" t="str">
        <f>VLOOKUP(A418, hash!A$2:B$500, 2, 0)</f>
        <v>66e1ed97e62f650d943808d6</v>
      </c>
      <c r="D418" s="23">
        <f t="shared" si="2"/>
        <v>0</v>
      </c>
      <c r="F418" s="27"/>
      <c r="H418" s="27"/>
      <c r="J418" s="27"/>
    </row>
    <row r="419">
      <c r="A419" s="22" t="s">
        <v>321</v>
      </c>
      <c r="B419" s="21">
        <f t="shared" si="1"/>
        <v>0</v>
      </c>
      <c r="C419" s="21" t="str">
        <f>VLOOKUP(A419, hash!A$2:B$500, 2, 0)</f>
        <v>66e1ed9877e929b3df889a0b</v>
      </c>
      <c r="D419" s="23">
        <f t="shared" si="2"/>
        <v>0</v>
      </c>
      <c r="F419" s="27"/>
      <c r="H419" s="27"/>
      <c r="J419" s="27"/>
    </row>
    <row r="420">
      <c r="A420" s="22" t="s">
        <v>322</v>
      </c>
      <c r="B420" s="21">
        <f t="shared" si="1"/>
        <v>0</v>
      </c>
      <c r="C420" s="21" t="str">
        <f>VLOOKUP(A420, hash!A$2:B$500, 2, 0)</f>
        <v>66e1ed9877e929b3df889a0c</v>
      </c>
      <c r="D420" s="23">
        <f t="shared" si="2"/>
        <v>0</v>
      </c>
      <c r="F420" s="45"/>
      <c r="H420" s="45"/>
      <c r="J420" s="45"/>
    </row>
    <row r="421">
      <c r="A421" s="22" t="s">
        <v>323</v>
      </c>
      <c r="B421" s="21">
        <f t="shared" si="1"/>
        <v>0</v>
      </c>
      <c r="C421" s="21" t="str">
        <f>VLOOKUP(A421, hash!A$2:B$500, 2, 0)</f>
        <v>66e1ed98e62f650d943808d7</v>
      </c>
      <c r="D421" s="23">
        <f t="shared" si="2"/>
        <v>0</v>
      </c>
      <c r="F421" s="45"/>
      <c r="H421" s="45"/>
      <c r="J421" s="45"/>
    </row>
    <row r="422">
      <c r="A422" s="22" t="s">
        <v>324</v>
      </c>
      <c r="B422" s="21">
        <f t="shared" si="1"/>
        <v>0</v>
      </c>
      <c r="C422" s="21" t="str">
        <f>VLOOKUP(A422, hash!A$2:B$500, 2, 0)</f>
        <v>66e1ed9b535f0d0c02349bed</v>
      </c>
      <c r="D422" s="23">
        <f t="shared" si="2"/>
        <v>0</v>
      </c>
      <c r="F422" s="45"/>
      <c r="H422" s="45"/>
      <c r="J422" s="45"/>
    </row>
    <row r="423">
      <c r="A423" s="22" t="s">
        <v>325</v>
      </c>
      <c r="B423" s="21">
        <f t="shared" si="1"/>
        <v>0</v>
      </c>
      <c r="C423" s="21" t="str">
        <f>VLOOKUP(A423, hash!A$2:B$500, 2, 0)</f>
        <v>66e1ed9c07067318cc1e18ce</v>
      </c>
      <c r="D423" s="23">
        <f t="shared" si="2"/>
        <v>0</v>
      </c>
      <c r="E423" s="14">
        <v>0.0</v>
      </c>
      <c r="F423" s="27">
        <v>0.0</v>
      </c>
      <c r="G423" s="14">
        <v>0.0</v>
      </c>
      <c r="H423" s="27">
        <v>0.0</v>
      </c>
      <c r="I423" s="14">
        <v>0.0</v>
      </c>
      <c r="J423" s="27">
        <v>0.0</v>
      </c>
    </row>
    <row r="424">
      <c r="A424" s="22" t="s">
        <v>326</v>
      </c>
      <c r="B424" s="21">
        <f t="shared" si="1"/>
        <v>0</v>
      </c>
      <c r="C424" s="21" t="str">
        <f>VLOOKUP(A424, hash!A$2:B$500, 2, 0)</f>
        <v>66e1ed9e07067318cc1e18cf</v>
      </c>
      <c r="D424" s="23">
        <f t="shared" si="2"/>
        <v>0</v>
      </c>
      <c r="F424" s="45"/>
      <c r="H424" s="45"/>
      <c r="J424" s="45"/>
    </row>
    <row r="425">
      <c r="A425" s="22" t="s">
        <v>327</v>
      </c>
      <c r="B425" s="21">
        <f t="shared" si="1"/>
        <v>0</v>
      </c>
      <c r="C425" s="21" t="str">
        <f>VLOOKUP(A425, hash!A$2:B$500, 2, 0)</f>
        <v>66e1ed9f07067318cc1e18d0</v>
      </c>
      <c r="D425" s="23">
        <f t="shared" si="2"/>
        <v>0</v>
      </c>
      <c r="F425" s="45"/>
      <c r="H425" s="45"/>
      <c r="J425" s="45"/>
    </row>
    <row r="426">
      <c r="A426" s="22" t="s">
        <v>328</v>
      </c>
      <c r="B426" s="21">
        <f t="shared" si="1"/>
        <v>0</v>
      </c>
      <c r="C426" s="21" t="str">
        <f>VLOOKUP(A426, hash!A$2:B$500, 2, 0)</f>
        <v>66e1eda007067318cc1e18d1</v>
      </c>
      <c r="D426" s="23">
        <f t="shared" si="2"/>
        <v>0</v>
      </c>
      <c r="F426" s="45"/>
      <c r="H426" s="45"/>
      <c r="J426" s="45"/>
    </row>
    <row r="427">
      <c r="A427" s="22" t="s">
        <v>329</v>
      </c>
      <c r="B427" s="21">
        <f t="shared" si="1"/>
        <v>0</v>
      </c>
      <c r="C427" s="21" t="str">
        <f>VLOOKUP(A427, hash!A$2:B$500, 2, 0)</f>
        <v>66e1eda1535f0d0c02349bee</v>
      </c>
      <c r="D427" s="23">
        <f t="shared" si="2"/>
        <v>0</v>
      </c>
      <c r="F427" s="45"/>
      <c r="H427" s="45"/>
      <c r="J427" s="45"/>
    </row>
    <row r="428">
      <c r="A428" s="22" t="s">
        <v>330</v>
      </c>
      <c r="B428" s="21">
        <f t="shared" si="1"/>
        <v>0</v>
      </c>
      <c r="C428" s="21" t="str">
        <f>VLOOKUP(A428, hash!A$2:B$500, 2, 0)</f>
        <v>66e1eda5535f0d0c02349bef</v>
      </c>
      <c r="D428" s="23">
        <f t="shared" si="2"/>
        <v>0</v>
      </c>
      <c r="F428" s="45"/>
      <c r="H428" s="45"/>
      <c r="J428" s="27"/>
    </row>
    <row r="429">
      <c r="A429" s="22" t="s">
        <v>331</v>
      </c>
      <c r="B429" s="21">
        <f t="shared" si="1"/>
        <v>0</v>
      </c>
      <c r="C429" s="21" t="str">
        <f>VLOOKUP(A429, hash!A$2:B$500, 2, 0)</f>
        <v>66e1eda6535f0d0c02349bf0</v>
      </c>
      <c r="D429" s="23">
        <f t="shared" si="2"/>
        <v>0</v>
      </c>
      <c r="F429" s="45"/>
      <c r="H429" s="45"/>
      <c r="J429" s="45"/>
    </row>
    <row r="430">
      <c r="A430" s="22" t="s">
        <v>97</v>
      </c>
      <c r="B430" s="21">
        <f t="shared" si="1"/>
        <v>0</v>
      </c>
      <c r="C430" s="21" t="str">
        <f>VLOOKUP(A430, hash!A$2:B$500, 2, 0)</f>
        <v>66e1eda71129889a3e2c24ae</v>
      </c>
      <c r="D430" s="23">
        <f t="shared" si="2"/>
        <v>0</v>
      </c>
      <c r="F430" s="45"/>
      <c r="H430" s="45"/>
      <c r="J430" s="45"/>
    </row>
    <row r="431">
      <c r="A431" s="22" t="s">
        <v>332</v>
      </c>
      <c r="B431" s="21">
        <f t="shared" si="1"/>
        <v>0</v>
      </c>
      <c r="C431" s="21" t="str">
        <f>VLOOKUP(A431, hash!A$2:B$500, 2, 0)</f>
        <v>66e1eda81129889a3e2c24af</v>
      </c>
      <c r="D431" s="23">
        <f t="shared" si="2"/>
        <v>0</v>
      </c>
      <c r="F431" s="27"/>
      <c r="H431" s="27"/>
      <c r="J431" s="27"/>
    </row>
    <row r="432">
      <c r="A432" s="22" t="s">
        <v>333</v>
      </c>
      <c r="B432" s="21">
        <f t="shared" si="1"/>
        <v>0</v>
      </c>
      <c r="C432" s="21" t="str">
        <f>VLOOKUP(A432, hash!A$2:B$500, 2, 0)</f>
        <v>66e1eda807067318cc1e18d2</v>
      </c>
      <c r="D432" s="23">
        <f t="shared" si="2"/>
        <v>0</v>
      </c>
      <c r="F432" s="45"/>
      <c r="H432" s="45"/>
      <c r="J432" s="45"/>
    </row>
    <row r="433">
      <c r="A433" s="22" t="s">
        <v>90</v>
      </c>
      <c r="B433" s="21">
        <f t="shared" si="1"/>
        <v>0</v>
      </c>
      <c r="C433" s="21" t="str">
        <f>VLOOKUP(A433, hash!A$2:B$500, 2, 0)</f>
        <v>66e1edab07067318cc1e18d3</v>
      </c>
      <c r="D433" s="23">
        <f t="shared" si="2"/>
        <v>0</v>
      </c>
      <c r="F433" s="45"/>
      <c r="H433" s="45"/>
      <c r="J433" s="45"/>
    </row>
    <row r="434">
      <c r="A434" s="22" t="s">
        <v>334</v>
      </c>
      <c r="B434" s="21">
        <f t="shared" si="1"/>
        <v>0</v>
      </c>
      <c r="C434" s="21" t="str">
        <f>VLOOKUP(A434, hash!A$2:B$500, 2, 0)</f>
        <v>66e1edbc07067318cc1e18d8</v>
      </c>
      <c r="D434" s="23">
        <f t="shared" si="2"/>
        <v>0</v>
      </c>
      <c r="F434" s="45"/>
      <c r="H434" s="45"/>
      <c r="J434" s="45"/>
    </row>
    <row r="435">
      <c r="A435" s="22" t="s">
        <v>335</v>
      </c>
      <c r="B435" s="21">
        <f t="shared" si="1"/>
        <v>0</v>
      </c>
      <c r="C435" s="21" t="str">
        <f>VLOOKUP(A435, hash!A$2:B$500, 2, 0)</f>
        <v>66e1edd11129889a3e2c24ba</v>
      </c>
      <c r="D435" s="23">
        <f t="shared" si="2"/>
        <v>0</v>
      </c>
      <c r="F435" s="45"/>
      <c r="H435" s="45"/>
      <c r="J435" s="45"/>
    </row>
    <row r="436">
      <c r="A436" s="22" t="s">
        <v>336</v>
      </c>
      <c r="B436" s="21">
        <f t="shared" si="1"/>
        <v>0</v>
      </c>
      <c r="C436" s="21" t="str">
        <f>VLOOKUP(A436, hash!A$2:B$500, 2, 0)</f>
        <v>66e1ee9d77e929b3df889a14</v>
      </c>
      <c r="D436" s="23">
        <f t="shared" si="2"/>
        <v>0</v>
      </c>
      <c r="F436" s="27"/>
      <c r="H436" s="27"/>
      <c r="J436" s="27"/>
    </row>
    <row r="437">
      <c r="A437" s="22" t="s">
        <v>337</v>
      </c>
      <c r="B437" s="21">
        <f t="shared" si="1"/>
        <v>0</v>
      </c>
      <c r="C437" s="21" t="str">
        <f>VLOOKUP(A437, hash!A$2:B$500, 2, 0)</f>
        <v>66e1f36e97e3bb4b1a02d659</v>
      </c>
      <c r="D437" s="23">
        <f t="shared" si="2"/>
        <v>0</v>
      </c>
      <c r="F437" s="45"/>
      <c r="H437" s="45"/>
      <c r="J437" s="45"/>
    </row>
    <row r="438">
      <c r="A438" s="22" t="s">
        <v>98</v>
      </c>
      <c r="B438" s="21">
        <f t="shared" si="1"/>
        <v>0</v>
      </c>
      <c r="C438" s="21" t="str">
        <f>VLOOKUP(A438, hash!A$2:B$500, 2, 0)</f>
        <v>66e4659d317cf70a1c31109e</v>
      </c>
      <c r="D438" s="23">
        <f t="shared" si="2"/>
        <v>0</v>
      </c>
      <c r="F438" s="27"/>
      <c r="H438" s="27"/>
      <c r="J438" s="27"/>
    </row>
    <row r="439">
      <c r="A439" s="22" t="s">
        <v>338</v>
      </c>
      <c r="B439" s="21">
        <f t="shared" si="1"/>
        <v>0</v>
      </c>
      <c r="C439" s="21" t="str">
        <f>VLOOKUP(A439, hash!A$2:B$500, 2, 0)</f>
        <v>66ea1f306b0b246c2372bbac</v>
      </c>
      <c r="D439" s="23">
        <f t="shared" si="2"/>
        <v>0</v>
      </c>
      <c r="F439" s="45"/>
      <c r="H439" s="45"/>
      <c r="J439" s="45"/>
    </row>
    <row r="440">
      <c r="A440" s="22" t="s">
        <v>35</v>
      </c>
      <c r="B440" s="21">
        <f t="shared" si="1"/>
        <v>0</v>
      </c>
      <c r="C440" s="21" t="str">
        <f>VLOOKUP(A440, hash!A$2:B$500, 2, 0)</f>
        <v>66eb1b4237edf2b32f9fc2ec</v>
      </c>
      <c r="D440" s="23">
        <f t="shared" si="2"/>
        <v>0</v>
      </c>
      <c r="F440" s="45"/>
      <c r="H440" s="45"/>
      <c r="J440" s="45"/>
    </row>
    <row r="441">
      <c r="A441" s="22" t="s">
        <v>339</v>
      </c>
      <c r="B441" s="21">
        <f t="shared" si="1"/>
        <v>0</v>
      </c>
      <c r="C441" s="21" t="str">
        <f>VLOOKUP(A441, hash!A$2:B$500, 2, 0)</f>
        <v>66eb1bdf61b31c87a7ea090e</v>
      </c>
      <c r="D441" s="23">
        <f t="shared" si="2"/>
        <v>0</v>
      </c>
      <c r="F441" s="45"/>
      <c r="H441" s="45"/>
      <c r="J441" s="45"/>
    </row>
    <row r="442">
      <c r="A442" s="22" t="s">
        <v>340</v>
      </c>
      <c r="B442" s="21">
        <f t="shared" si="1"/>
        <v>0</v>
      </c>
      <c r="C442" s="21" t="str">
        <f>VLOOKUP(A442, hash!A$2:B$500, 2, 0)</f>
        <v>66eb1bedcb6c430d242f37c4</v>
      </c>
      <c r="D442" s="23">
        <f t="shared" si="2"/>
        <v>0</v>
      </c>
      <c r="F442" s="45"/>
      <c r="H442" s="45"/>
      <c r="J442" s="45"/>
    </row>
    <row r="443">
      <c r="A443" s="22" t="s">
        <v>341</v>
      </c>
      <c r="B443" s="21">
        <f t="shared" si="1"/>
        <v>0</v>
      </c>
      <c r="C443" s="21" t="str">
        <f>VLOOKUP(A443, hash!A$2:B$500, 2, 0)</f>
        <v>66eb1bf21132636931fb1927</v>
      </c>
      <c r="D443" s="23">
        <f t="shared" si="2"/>
        <v>0</v>
      </c>
      <c r="F443" s="27"/>
      <c r="H443" s="27"/>
      <c r="J443" s="27"/>
    </row>
    <row r="444">
      <c r="A444" s="22" t="s">
        <v>342</v>
      </c>
      <c r="B444" s="21">
        <f t="shared" si="1"/>
        <v>0</v>
      </c>
      <c r="C444" s="21" t="str">
        <f>VLOOKUP(A444, hash!A$2:B$500, 2, 0)</f>
        <v>66eb1bf5cb6c430d242f37c7</v>
      </c>
      <c r="D444" s="23">
        <f t="shared" si="2"/>
        <v>0</v>
      </c>
      <c r="F444" s="45"/>
      <c r="H444" s="45"/>
      <c r="J444" s="45"/>
    </row>
    <row r="445">
      <c r="A445" s="22" t="s">
        <v>343</v>
      </c>
      <c r="B445" s="21">
        <f t="shared" si="1"/>
        <v>0</v>
      </c>
      <c r="C445" s="21" t="str">
        <f>VLOOKUP(A445, hash!A$2:B$500, 2, 0)</f>
        <v>66eb1bf91132636931fb1929</v>
      </c>
      <c r="D445" s="23">
        <f t="shared" si="2"/>
        <v>0</v>
      </c>
      <c r="F445" s="45"/>
      <c r="H445" s="45"/>
      <c r="J445" s="45"/>
    </row>
    <row r="446">
      <c r="A446" s="22" t="s">
        <v>344</v>
      </c>
      <c r="B446" s="21">
        <f t="shared" si="1"/>
        <v>0</v>
      </c>
      <c r="C446" s="21" t="str">
        <f>VLOOKUP(A446, hash!A$2:B$500, 2, 0)</f>
        <v>66eb1bff8647681e6a2afbde</v>
      </c>
      <c r="D446" s="23">
        <f t="shared" si="2"/>
        <v>0</v>
      </c>
      <c r="F446" s="45"/>
      <c r="H446" s="45"/>
      <c r="J446" s="45"/>
    </row>
    <row r="447">
      <c r="A447" s="22" t="s">
        <v>345</v>
      </c>
      <c r="B447" s="21">
        <f t="shared" si="1"/>
        <v>0</v>
      </c>
      <c r="C447" s="21" t="str">
        <f>VLOOKUP(A447, hash!A$2:B$500, 2, 0)</f>
        <v>66eb1c00a52629221738126a</v>
      </c>
      <c r="D447" s="23">
        <f t="shared" si="2"/>
        <v>0</v>
      </c>
      <c r="F447" s="45"/>
      <c r="H447" s="45"/>
      <c r="J447" s="45"/>
    </row>
    <row r="448">
      <c r="A448" s="22" t="s">
        <v>347</v>
      </c>
      <c r="B448" s="21">
        <f t="shared" si="1"/>
        <v>0</v>
      </c>
      <c r="C448" s="21" t="str">
        <f>VLOOKUP(A448, hash!A$2:B$500, 2, 0)</f>
        <v>66eb1c248647681e6a2afbe7</v>
      </c>
      <c r="D448" s="23">
        <f t="shared" si="2"/>
        <v>0</v>
      </c>
      <c r="F448" s="45"/>
      <c r="H448" s="45"/>
      <c r="J448" s="45"/>
    </row>
    <row r="449">
      <c r="A449" s="22" t="s">
        <v>348</v>
      </c>
      <c r="B449" s="21">
        <f t="shared" si="1"/>
        <v>0</v>
      </c>
      <c r="C449" s="21" t="str">
        <f>VLOOKUP(A449, hash!A$2:B$500, 2, 0)</f>
        <v>66eb1c2ba526292217381274</v>
      </c>
      <c r="D449" s="23">
        <f t="shared" si="2"/>
        <v>0</v>
      </c>
      <c r="F449" s="45"/>
      <c r="H449" s="45"/>
      <c r="J449" s="45"/>
    </row>
    <row r="450">
      <c r="A450" s="22" t="s">
        <v>349</v>
      </c>
      <c r="B450" s="21">
        <f t="shared" si="1"/>
        <v>0</v>
      </c>
      <c r="C450" s="21" t="str">
        <f>VLOOKUP(A450, hash!A$2:B$500, 2, 0)</f>
        <v>66eb1c2b8647681e6a2afbe8</v>
      </c>
      <c r="D450" s="23">
        <f t="shared" si="2"/>
        <v>0</v>
      </c>
      <c r="F450" s="45"/>
      <c r="H450" s="45"/>
      <c r="J450" s="45"/>
    </row>
    <row r="451">
      <c r="A451" s="22" t="s">
        <v>350</v>
      </c>
      <c r="B451" s="21">
        <f t="shared" si="1"/>
        <v>0</v>
      </c>
      <c r="C451" s="21" t="str">
        <f>VLOOKUP(A451, hash!A$2:B$500, 2, 0)</f>
        <v>66eb1c33cb6c430d242f37d2</v>
      </c>
      <c r="D451" s="23">
        <f t="shared" si="2"/>
        <v>0</v>
      </c>
      <c r="F451" s="45"/>
      <c r="H451" s="45"/>
      <c r="J451" s="45"/>
    </row>
    <row r="452">
      <c r="A452" s="22" t="s">
        <v>351</v>
      </c>
      <c r="B452" s="21">
        <f t="shared" si="1"/>
        <v>0</v>
      </c>
      <c r="C452" s="21" t="str">
        <f>VLOOKUP(A452, hash!A$2:B$500, 2, 0)</f>
        <v>66eb1c341132636931fb192f</v>
      </c>
      <c r="D452" s="23">
        <f t="shared" si="2"/>
        <v>0</v>
      </c>
      <c r="F452" s="45"/>
      <c r="H452" s="45"/>
      <c r="J452" s="45"/>
    </row>
    <row r="453">
      <c r="A453" s="22" t="s">
        <v>352</v>
      </c>
      <c r="B453" s="21">
        <f t="shared" si="1"/>
        <v>0</v>
      </c>
      <c r="C453" s="21" t="str">
        <f>VLOOKUP(A453, hash!A$2:B$500, 2, 0)</f>
        <v>66eb1c681132636931fb1934</v>
      </c>
      <c r="D453" s="23">
        <f t="shared" si="2"/>
        <v>0</v>
      </c>
      <c r="F453" s="45"/>
      <c r="H453" s="45"/>
      <c r="J453" s="45"/>
    </row>
    <row r="454">
      <c r="A454" s="22" t="s">
        <v>353</v>
      </c>
      <c r="B454" s="21">
        <f t="shared" si="1"/>
        <v>0</v>
      </c>
      <c r="C454" s="21" t="str">
        <f>VLOOKUP(A454, hash!A$2:B$500, 2, 0)</f>
        <v>66eb1c6ecb6c430d242f37d9</v>
      </c>
      <c r="D454" s="23">
        <f t="shared" si="2"/>
        <v>0</v>
      </c>
      <c r="F454" s="45"/>
      <c r="H454" s="45"/>
      <c r="J454" s="45"/>
    </row>
    <row r="455">
      <c r="A455" s="22" t="s">
        <v>354</v>
      </c>
      <c r="B455" s="21">
        <f t="shared" si="1"/>
        <v>0</v>
      </c>
      <c r="C455" s="21" t="str">
        <f>VLOOKUP(A455, hash!A$2:B$500, 2, 0)</f>
        <v>66eb1c79cb6c430d242f37da</v>
      </c>
      <c r="D455" s="23">
        <f t="shared" si="2"/>
        <v>0</v>
      </c>
      <c r="F455" s="45"/>
      <c r="H455" s="45"/>
      <c r="J455" s="45"/>
    </row>
    <row r="456">
      <c r="A456" s="22" t="s">
        <v>355</v>
      </c>
      <c r="B456" s="21">
        <f t="shared" si="1"/>
        <v>0</v>
      </c>
      <c r="C456" s="21" t="str">
        <f>VLOOKUP(A456, hash!A$2:B$500, 2, 0)</f>
        <v>66eb1c7e1132636931fb1938</v>
      </c>
      <c r="D456" s="23">
        <f t="shared" si="2"/>
        <v>0</v>
      </c>
      <c r="F456" s="45"/>
      <c r="H456" s="45"/>
      <c r="J456" s="45"/>
    </row>
    <row r="457">
      <c r="A457" s="22" t="s">
        <v>356</v>
      </c>
      <c r="B457" s="21">
        <f t="shared" si="1"/>
        <v>0</v>
      </c>
      <c r="C457" s="21" t="str">
        <f>VLOOKUP(A457, hash!A$2:B$500, 2, 0)</f>
        <v>66eb1cb28647681e6a2afbec</v>
      </c>
      <c r="D457" s="23">
        <f t="shared" si="2"/>
        <v>0</v>
      </c>
      <c r="F457" s="45"/>
      <c r="H457" s="45"/>
      <c r="J457" s="45"/>
    </row>
    <row r="458">
      <c r="A458" s="22" t="s">
        <v>357</v>
      </c>
      <c r="B458" s="21">
        <f t="shared" si="1"/>
        <v>0</v>
      </c>
      <c r="C458" s="21" t="str">
        <f>VLOOKUP(A458, hash!A$2:B$500, 2, 0)</f>
        <v>66eb1ce18647681e6a2afbed</v>
      </c>
      <c r="D458" s="23">
        <f t="shared" si="2"/>
        <v>0</v>
      </c>
      <c r="F458" s="45"/>
      <c r="H458" s="45"/>
      <c r="J458" s="45"/>
    </row>
    <row r="459">
      <c r="A459" s="22" t="s">
        <v>358</v>
      </c>
      <c r="B459" s="21">
        <f t="shared" si="1"/>
        <v>0</v>
      </c>
      <c r="C459" s="21" t="str">
        <f>VLOOKUP(A459, hash!A$2:B$500, 2, 0)</f>
        <v>66eb26e01132636931fb1948</v>
      </c>
      <c r="D459" s="23">
        <f t="shared" si="2"/>
        <v>0</v>
      </c>
      <c r="F459" s="45"/>
      <c r="H459" s="45"/>
      <c r="J459" s="45"/>
    </row>
    <row r="460">
      <c r="A460" s="22" t="s">
        <v>359</v>
      </c>
      <c r="B460" s="21">
        <f t="shared" si="1"/>
        <v>0</v>
      </c>
      <c r="C460" s="21" t="str">
        <f>VLOOKUP(A460, hash!A$2:B$500, 2, 0)</f>
        <v>66eb2791f5cf341f2cef5f68</v>
      </c>
      <c r="D460" s="23">
        <f t="shared" si="2"/>
        <v>0</v>
      </c>
      <c r="F460" s="45"/>
      <c r="H460" s="45"/>
      <c r="J460" s="45"/>
    </row>
    <row r="461">
      <c r="A461" s="22" t="s">
        <v>360</v>
      </c>
      <c r="B461" s="21">
        <f t="shared" si="1"/>
        <v>0</v>
      </c>
      <c r="C461" s="21" t="str">
        <f>VLOOKUP(A461, hash!A$2:B$500, 2, 0)</f>
        <v>66eb283093ca556f981967dc</v>
      </c>
      <c r="D461" s="23">
        <f t="shared" si="2"/>
        <v>0</v>
      </c>
      <c r="F461" s="45"/>
      <c r="H461" s="45"/>
      <c r="J461" s="45"/>
    </row>
    <row r="462">
      <c r="A462" s="24" t="s">
        <v>361</v>
      </c>
      <c r="B462" s="21">
        <f t="shared" si="1"/>
        <v>0</v>
      </c>
      <c r="C462" s="21" t="str">
        <f>VLOOKUP(A462, hash!A$2:B$500, 2, 0)</f>
        <v>66eb283593ca556f981967de</v>
      </c>
      <c r="D462" s="23">
        <f t="shared" si="2"/>
        <v>0</v>
      </c>
      <c r="F462" s="45"/>
      <c r="H462" s="45"/>
      <c r="J462" s="45"/>
    </row>
    <row r="463">
      <c r="A463" s="22" t="s">
        <v>362</v>
      </c>
      <c r="B463" s="21">
        <f t="shared" si="1"/>
        <v>0</v>
      </c>
      <c r="C463" s="21" t="str">
        <f>VLOOKUP(A463, hash!A$2:B$500, 2, 0)</f>
        <v>66eb28586bd7ab0d5c9d8c1c</v>
      </c>
      <c r="D463" s="23">
        <f t="shared" si="2"/>
        <v>0</v>
      </c>
      <c r="F463" s="45"/>
      <c r="H463" s="45"/>
      <c r="J463" s="45"/>
    </row>
    <row r="464">
      <c r="A464" s="22" t="s">
        <v>644</v>
      </c>
      <c r="B464" s="21">
        <f t="shared" si="1"/>
        <v>0</v>
      </c>
      <c r="C464" s="21" t="str">
        <f>VLOOKUP(A464, hash!A$2:B$500, 2, 0)</f>
        <v>#N/A</v>
      </c>
      <c r="D464" s="23">
        <f t="shared" si="2"/>
        <v>0</v>
      </c>
      <c r="F464" s="45"/>
      <c r="H464" s="45"/>
      <c r="J464" s="45"/>
    </row>
    <row r="465">
      <c r="A465" s="22" t="s">
        <v>363</v>
      </c>
      <c r="B465" s="21">
        <f t="shared" si="1"/>
        <v>0</v>
      </c>
      <c r="C465" s="21" t="str">
        <f>VLOOKUP(A465, hash!A$2:B$500, 2, 0)</f>
        <v>66eb28b493ca556f981967e8</v>
      </c>
      <c r="D465" s="23">
        <f t="shared" si="2"/>
        <v>0</v>
      </c>
      <c r="F465" s="45"/>
      <c r="H465" s="45"/>
      <c r="J465" s="45"/>
    </row>
    <row r="466">
      <c r="A466" s="22" t="s">
        <v>364</v>
      </c>
      <c r="B466" s="21">
        <f t="shared" si="1"/>
        <v>0</v>
      </c>
      <c r="C466" s="21" t="str">
        <f>VLOOKUP(A466, hash!A$2:B$500, 2, 0)</f>
        <v>66eb293393ca556f981967ec</v>
      </c>
      <c r="D466" s="23">
        <f t="shared" si="2"/>
        <v>0</v>
      </c>
      <c r="F466" s="45"/>
      <c r="H466" s="45"/>
      <c r="J466" s="45"/>
    </row>
    <row r="467">
      <c r="A467" s="22" t="s">
        <v>365</v>
      </c>
      <c r="B467" s="21">
        <f t="shared" si="1"/>
        <v>0</v>
      </c>
      <c r="C467" s="21" t="str">
        <f>VLOOKUP(A467, hash!A$2:B$500, 2, 0)</f>
        <v>66eb295cf5cf341f2cef5f6e</v>
      </c>
      <c r="D467" s="23">
        <f t="shared" si="2"/>
        <v>0</v>
      </c>
      <c r="F467" s="45"/>
      <c r="H467" s="45"/>
      <c r="J467" s="45"/>
    </row>
    <row r="468">
      <c r="A468" s="22" t="s">
        <v>366</v>
      </c>
      <c r="B468" s="21">
        <f t="shared" si="1"/>
        <v>0</v>
      </c>
      <c r="C468" s="21" t="str">
        <f>VLOOKUP(A468, hash!A$2:B$500, 2, 0)</f>
        <v>66ec5f65155b01592e9cc06d</v>
      </c>
      <c r="D468" s="23">
        <f t="shared" si="2"/>
        <v>0</v>
      </c>
      <c r="F468" s="45"/>
      <c r="H468" s="45"/>
      <c r="J468" s="45"/>
    </row>
    <row r="469">
      <c r="A469" s="14" t="s">
        <v>381</v>
      </c>
      <c r="B469" s="21">
        <f t="shared" si="1"/>
        <v>0</v>
      </c>
      <c r="C469" s="21" t="str">
        <f>VLOOKUP(A469, hash!A$2:B$500, 2, 0)</f>
        <v>673394857b0fd6243000d5bb</v>
      </c>
      <c r="D469" s="23">
        <f t="shared" si="2"/>
        <v>0</v>
      </c>
      <c r="E469" s="35"/>
      <c r="F469" s="38"/>
      <c r="G469" s="38"/>
      <c r="H469" s="35"/>
      <c r="I469" s="38"/>
      <c r="J469" s="38"/>
    </row>
    <row r="470">
      <c r="A470" s="14" t="s">
        <v>325</v>
      </c>
      <c r="B470" s="21">
        <f t="shared" si="1"/>
        <v>0</v>
      </c>
      <c r="C470" s="21" t="str">
        <f>VLOOKUP(A470, hash!A$2:B$500, 2, 0)</f>
        <v>66e1ed9c07067318cc1e18ce</v>
      </c>
      <c r="D470" s="23">
        <f t="shared" si="2"/>
        <v>0</v>
      </c>
      <c r="E470" s="35"/>
      <c r="F470" s="35"/>
      <c r="G470" s="35"/>
      <c r="H470" s="35"/>
      <c r="I470" s="35"/>
      <c r="J470" s="35"/>
    </row>
    <row r="471">
      <c r="A471" s="14"/>
      <c r="E471" s="35"/>
      <c r="F471" s="38"/>
      <c r="G471" s="38"/>
      <c r="H471" s="38"/>
      <c r="I471" s="38"/>
      <c r="J471" s="38"/>
    </row>
  </sheetData>
  <autoFilter ref="$A$1:$J$1000">
    <sortState ref="A1:J1000">
      <sortCondition descending="1" ref="B1:B1000"/>
    </sortState>
  </autoFilter>
  <conditionalFormatting sqref="E2:J1000">
    <cfRule type="cellIs" dxfId="0" priority="1" operator="equal">
      <formula>1</formula>
    </cfRule>
  </conditionalFormatting>
  <conditionalFormatting sqref="E2:J1000">
    <cfRule type="cellIs" dxfId="1" priority="2" operator="equal">
      <formula>0</formula>
    </cfRule>
  </conditionalFormatting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4" t="s">
        <v>1</v>
      </c>
      <c r="B1" s="14" t="s">
        <v>499</v>
      </c>
      <c r="C1" s="14" t="s">
        <v>500</v>
      </c>
      <c r="D1" s="20" t="s">
        <v>501</v>
      </c>
      <c r="E1" s="14" t="s">
        <v>502</v>
      </c>
      <c r="F1" s="27" t="s">
        <v>503</v>
      </c>
      <c r="G1" s="14" t="s">
        <v>504</v>
      </c>
      <c r="H1" s="27" t="s">
        <v>505</v>
      </c>
      <c r="I1" s="14" t="s">
        <v>506</v>
      </c>
      <c r="J1" s="27" t="s">
        <v>507</v>
      </c>
      <c r="L1" s="46" t="s">
        <v>508</v>
      </c>
      <c r="M1" s="25" t="str">
        <f t="array" ref="M1">sum(large(D2:D1000,column(indirect("$A$1:" &amp;ADDRESS( 1, 12)))))/12</f>
        <v>#DIV/0!</v>
      </c>
      <c r="N1" s="47"/>
      <c r="O1" s="47"/>
      <c r="P1" s="47"/>
      <c r="Q1" s="47"/>
      <c r="R1" s="47"/>
    </row>
    <row r="2">
      <c r="A2" s="22" t="s">
        <v>8</v>
      </c>
      <c r="B2" s="21" t="str">
        <f t="shared" ref="B2:B470" si="1">D2/M$1*2000</f>
        <v>#DIV/0!</v>
      </c>
      <c r="C2" s="21" t="str">
        <f>VLOOKUP(A2, hash!A$2:B$500, 2, 0)</f>
        <v>6322202c0aa8ba2dbc57c0a6</v>
      </c>
      <c r="D2" s="23" t="str">
        <f t="shared" ref="D2:D470" si="2">SUMPRODUCT(E2:J2,$M$4:$R$4)</f>
        <v>#DIV/0!</v>
      </c>
      <c r="F2" s="27"/>
      <c r="H2" s="27"/>
      <c r="J2" s="27"/>
      <c r="L2" s="47"/>
      <c r="M2" s="47" t="s">
        <v>502</v>
      </c>
      <c r="N2" s="47" t="s">
        <v>503</v>
      </c>
      <c r="O2" s="47" t="s">
        <v>504</v>
      </c>
      <c r="P2" s="47" t="s">
        <v>505</v>
      </c>
      <c r="Q2" s="47" t="s">
        <v>506</v>
      </c>
      <c r="R2" s="47" t="s">
        <v>507</v>
      </c>
    </row>
    <row r="3">
      <c r="A3" s="22" t="s">
        <v>9</v>
      </c>
      <c r="B3" s="21" t="str">
        <f t="shared" si="1"/>
        <v>#DIV/0!</v>
      </c>
      <c r="C3" s="21" t="str">
        <f>VLOOKUP(A3, hash!A$2:B$500, 2, 0)</f>
        <v>66e1e1237a8e6dc2aed3a642</v>
      </c>
      <c r="D3" s="23" t="str">
        <f t="shared" si="2"/>
        <v>#DIV/0!</v>
      </c>
      <c r="F3" s="27"/>
      <c r="H3" s="27"/>
      <c r="J3" s="27"/>
      <c r="L3" s="47" t="s">
        <v>559</v>
      </c>
      <c r="M3" s="25">
        <f t="shared" ref="M3:R3" si="3">SUM(E:E)</f>
        <v>0</v>
      </c>
      <c r="N3" s="25">
        <f t="shared" si="3"/>
        <v>0</v>
      </c>
      <c r="O3" s="25">
        <f t="shared" si="3"/>
        <v>0</v>
      </c>
      <c r="P3" s="25">
        <f t="shared" si="3"/>
        <v>0</v>
      </c>
      <c r="Q3" s="25">
        <f t="shared" si="3"/>
        <v>0</v>
      </c>
      <c r="R3" s="25">
        <f t="shared" si="3"/>
        <v>0</v>
      </c>
    </row>
    <row r="4">
      <c r="A4" s="22" t="s">
        <v>30</v>
      </c>
      <c r="B4" s="21" t="str">
        <f t="shared" si="1"/>
        <v>#DIV/0!</v>
      </c>
      <c r="C4" s="21" t="str">
        <f>VLOOKUP(A4, hash!A$2:B$500, 2, 0)</f>
        <v>6322236ef382c17890e6a3e1</v>
      </c>
      <c r="D4" s="23" t="str">
        <f t="shared" si="2"/>
        <v>#DIV/0!</v>
      </c>
      <c r="F4" s="27"/>
      <c r="H4" s="27"/>
      <c r="J4" s="27"/>
      <c r="L4" s="47" t="s">
        <v>561</v>
      </c>
      <c r="M4" s="25" t="str">
        <f t="shared" ref="M4:R4" si="4">1+LN($M$8/M3)</f>
        <v>#DIV/0!</v>
      </c>
      <c r="N4" s="25" t="str">
        <f t="shared" si="4"/>
        <v>#DIV/0!</v>
      </c>
      <c r="O4" s="25" t="str">
        <f t="shared" si="4"/>
        <v>#DIV/0!</v>
      </c>
      <c r="P4" s="25" t="str">
        <f t="shared" si="4"/>
        <v>#DIV/0!</v>
      </c>
      <c r="Q4" s="25" t="str">
        <f t="shared" si="4"/>
        <v>#DIV/0!</v>
      </c>
      <c r="R4" s="25" t="str">
        <f t="shared" si="4"/>
        <v>#DIV/0!</v>
      </c>
    </row>
    <row r="5">
      <c r="A5" s="22" t="s">
        <v>566</v>
      </c>
      <c r="B5" s="21" t="str">
        <f t="shared" si="1"/>
        <v>#DIV/0!</v>
      </c>
      <c r="C5" s="21" t="str">
        <f>VLOOKUP(A5, hash!A$2:B$500, 2, 0)</f>
        <v>#N/A</v>
      </c>
      <c r="D5" s="23" t="str">
        <f t="shared" si="2"/>
        <v>#DIV/0!</v>
      </c>
      <c r="F5" s="27"/>
      <c r="H5" s="27"/>
      <c r="J5" s="27"/>
      <c r="L5" s="46"/>
      <c r="M5" s="25"/>
      <c r="N5" s="25"/>
      <c r="O5" s="25"/>
      <c r="P5" s="25"/>
      <c r="Q5" s="25"/>
      <c r="R5" s="25"/>
    </row>
    <row r="6">
      <c r="A6" s="22" t="s">
        <v>15</v>
      </c>
      <c r="B6" s="21" t="str">
        <f t="shared" si="1"/>
        <v>#DIV/0!</v>
      </c>
      <c r="C6" s="21" t="str">
        <f>VLOOKUP(A6, hash!A$2:B$500, 2, 0)</f>
        <v>65020037540ba7cc68909a9b</v>
      </c>
      <c r="D6" s="23" t="str">
        <f t="shared" si="2"/>
        <v>#DIV/0!</v>
      </c>
      <c r="F6" s="27"/>
      <c r="H6" s="27"/>
      <c r="J6" s="27"/>
      <c r="L6" s="47"/>
      <c r="M6" s="25"/>
      <c r="N6" s="25"/>
      <c r="O6" s="25"/>
      <c r="P6" s="25"/>
      <c r="Q6" s="48"/>
      <c r="R6" s="25"/>
    </row>
    <row r="7">
      <c r="A7" s="22" t="s">
        <v>11</v>
      </c>
      <c r="B7" s="21" t="str">
        <f t="shared" si="1"/>
        <v>#DIV/0!</v>
      </c>
      <c r="C7" s="21" t="str">
        <f>VLOOKUP(A7, hash!A$2:B$500, 2, 0)</f>
        <v>6502005e1d8cbbbd315ad52c</v>
      </c>
      <c r="D7" s="23" t="str">
        <f t="shared" si="2"/>
        <v>#DIV/0!</v>
      </c>
      <c r="F7" s="27"/>
      <c r="H7" s="27"/>
      <c r="J7" s="27"/>
      <c r="L7" s="47"/>
      <c r="M7" s="49" t="s">
        <v>564</v>
      </c>
      <c r="N7" s="25"/>
      <c r="O7" s="25"/>
      <c r="P7" s="25"/>
      <c r="Q7" s="50"/>
      <c r="R7" s="25"/>
    </row>
    <row r="8">
      <c r="A8" s="22" t="s">
        <v>431</v>
      </c>
      <c r="B8" s="21" t="str">
        <f t="shared" si="1"/>
        <v>#DIV/0!</v>
      </c>
      <c r="C8" s="21" t="str">
        <f>VLOOKUP(A8, hash!A$2:B$500, 2, 0)</f>
        <v>6322202a0aa8ba2dbc57c0a5</v>
      </c>
      <c r="D8" s="23" t="str">
        <f t="shared" si="2"/>
        <v>#DIV/0!</v>
      </c>
      <c r="F8" s="27"/>
      <c r="H8" s="27"/>
      <c r="J8" s="27"/>
      <c r="M8" s="14">
        <f>COUNTA(E2:E1497)</f>
        <v>4</v>
      </c>
    </row>
    <row r="9">
      <c r="A9" s="22" t="s">
        <v>92</v>
      </c>
      <c r="B9" s="21" t="str">
        <f t="shared" si="1"/>
        <v>#DIV/0!</v>
      </c>
      <c r="C9" s="21" t="str">
        <f>VLOOKUP(A9, hash!A$2:B$500, 2, 0)</f>
        <v>66e1e12ae2fbdff8a0c35638</v>
      </c>
      <c r="D9" s="23" t="str">
        <f t="shared" si="2"/>
        <v>#DIV/0!</v>
      </c>
      <c r="F9" s="67"/>
      <c r="H9" s="67"/>
      <c r="J9" s="67"/>
    </row>
    <row r="10">
      <c r="A10" s="22" t="s">
        <v>21</v>
      </c>
      <c r="B10" s="21" t="str">
        <f t="shared" si="1"/>
        <v>#DIV/0!</v>
      </c>
      <c r="C10" s="21" t="str">
        <f>VLOOKUP(A10, hash!A$2:B$500, 2, 0)</f>
        <v>63222da0116f680d68804fa7</v>
      </c>
      <c r="D10" s="23" t="str">
        <f t="shared" si="2"/>
        <v>#DIV/0!</v>
      </c>
      <c r="F10" s="27"/>
      <c r="H10" s="27"/>
      <c r="J10" s="27"/>
      <c r="Q10" s="21" t="str">
        <f>SUM(M4:R4)</f>
        <v>#DIV/0!</v>
      </c>
    </row>
    <row r="11">
      <c r="A11" s="22" t="s">
        <v>563</v>
      </c>
      <c r="B11" s="21" t="str">
        <f t="shared" si="1"/>
        <v>#DIV/0!</v>
      </c>
      <c r="C11" s="21" t="str">
        <f>VLOOKUP(A11, hash!A$2:B$500, 2, 0)</f>
        <v>#N/A</v>
      </c>
      <c r="D11" s="23" t="str">
        <f t="shared" si="2"/>
        <v>#DIV/0!</v>
      </c>
      <c r="F11" s="27"/>
      <c r="H11" s="27"/>
      <c r="J11" s="27"/>
      <c r="Q11" s="14" t="str">
        <f> 3377 / Q10 * R4</f>
        <v>#DIV/0!</v>
      </c>
    </row>
    <row r="12">
      <c r="A12" s="22" t="s">
        <v>10</v>
      </c>
      <c r="B12" s="21" t="str">
        <f t="shared" si="1"/>
        <v>#DIV/0!</v>
      </c>
      <c r="C12" s="21" t="str">
        <f>VLOOKUP(A12, hash!A$2:B$500, 2, 0)</f>
        <v>632220270aa8ba2dbc57c0a4</v>
      </c>
      <c r="D12" s="23" t="str">
        <f t="shared" si="2"/>
        <v>#DIV/0!</v>
      </c>
      <c r="F12" s="27"/>
      <c r="H12" s="27"/>
      <c r="J12" s="27"/>
    </row>
    <row r="13">
      <c r="A13" s="22" t="s">
        <v>558</v>
      </c>
      <c r="B13" s="21" t="str">
        <f t="shared" si="1"/>
        <v>#DIV/0!</v>
      </c>
      <c r="C13" s="21" t="str">
        <f>VLOOKUP(A13, hash!A$2:B$500, 2, 0)</f>
        <v>#N/A</v>
      </c>
      <c r="D13" s="23" t="str">
        <f t="shared" si="2"/>
        <v>#DIV/0!</v>
      </c>
      <c r="F13" s="27"/>
      <c r="H13" s="27"/>
      <c r="J13" s="27"/>
    </row>
    <row r="14">
      <c r="A14" s="22" t="s">
        <v>560</v>
      </c>
      <c r="B14" s="21" t="str">
        <f t="shared" si="1"/>
        <v>#DIV/0!</v>
      </c>
      <c r="C14" s="21" t="str">
        <f>VLOOKUP(A14, hash!A$2:B$500, 2, 0)</f>
        <v>#N/A</v>
      </c>
      <c r="D14" s="23" t="str">
        <f t="shared" si="2"/>
        <v>#DIV/0!</v>
      </c>
      <c r="F14" s="27"/>
      <c r="H14" s="27"/>
      <c r="J14" s="27"/>
      <c r="M14" s="14" t="s">
        <v>567</v>
      </c>
    </row>
    <row r="15">
      <c r="A15" s="22" t="s">
        <v>29</v>
      </c>
      <c r="B15" s="21" t="str">
        <f t="shared" si="1"/>
        <v>#DIV/0!</v>
      </c>
      <c r="C15" s="21" t="str">
        <f>VLOOKUP(A15, hash!A$2:B$500, 2, 0)</f>
        <v>66e1e1659bdd593ffcd624e6</v>
      </c>
      <c r="D15" s="23" t="str">
        <f t="shared" si="2"/>
        <v>#DIV/0!</v>
      </c>
      <c r="F15" s="27"/>
      <c r="H15" s="27"/>
      <c r="J15" s="27"/>
      <c r="M15" s="21">
        <f>SUM(E2:J15)/12</f>
        <v>0</v>
      </c>
    </row>
    <row r="16">
      <c r="A16" s="22" t="s">
        <v>14</v>
      </c>
      <c r="B16" s="21" t="str">
        <f t="shared" si="1"/>
        <v>#DIV/0!</v>
      </c>
      <c r="C16" s="21" t="str">
        <f>VLOOKUP(A16, hash!A$2:B$500, 2, 0)</f>
        <v>66e1e10f7a8e6dc2aed3a63c</v>
      </c>
      <c r="D16" s="23" t="str">
        <f t="shared" si="2"/>
        <v>#DIV/0!</v>
      </c>
      <c r="F16" s="27"/>
      <c r="H16" s="27"/>
      <c r="J16" s="27"/>
    </row>
    <row r="17">
      <c r="A17" s="22" t="s">
        <v>562</v>
      </c>
      <c r="B17" s="21" t="str">
        <f t="shared" si="1"/>
        <v>#DIV/0!</v>
      </c>
      <c r="C17" s="21" t="str">
        <f>VLOOKUP(A17, hash!A$2:B$500, 2, 0)</f>
        <v>#N/A</v>
      </c>
      <c r="D17" s="23" t="str">
        <f t="shared" si="2"/>
        <v>#DIV/0!</v>
      </c>
      <c r="F17" s="27"/>
      <c r="H17" s="27"/>
      <c r="J17" s="27"/>
    </row>
    <row r="18">
      <c r="A18" s="22" t="s">
        <v>33</v>
      </c>
      <c r="B18" s="21" t="str">
        <f t="shared" si="1"/>
        <v>#DIV/0!</v>
      </c>
      <c r="C18" s="21" t="str">
        <f>VLOOKUP(A18, hash!A$2:B$500, 2, 0)</f>
        <v>66e1e126f0db8f5922c91d85</v>
      </c>
      <c r="D18" s="23" t="str">
        <f t="shared" si="2"/>
        <v>#DIV/0!</v>
      </c>
      <c r="F18" s="27"/>
      <c r="H18" s="27"/>
      <c r="J18" s="27"/>
    </row>
    <row r="19">
      <c r="A19" s="22" t="s">
        <v>18</v>
      </c>
      <c r="B19" s="21" t="str">
        <f t="shared" si="1"/>
        <v>#DIV/0!</v>
      </c>
      <c r="C19" s="21" t="str">
        <f>VLOOKUP(A19, hash!A$2:B$500, 2, 0)</f>
        <v>6502003d1d8cbbbd315ad525</v>
      </c>
      <c r="D19" s="23" t="str">
        <f t="shared" si="2"/>
        <v>#DIV/0!</v>
      </c>
      <c r="F19" s="27"/>
      <c r="H19" s="27"/>
      <c r="J19" s="27"/>
    </row>
    <row r="20">
      <c r="A20" s="22" t="s">
        <v>23</v>
      </c>
      <c r="B20" s="21" t="str">
        <f t="shared" si="1"/>
        <v>#DIV/0!</v>
      </c>
      <c r="C20" s="21" t="str">
        <f>VLOOKUP(A20, hash!A$2:B$500, 2, 0)</f>
        <v>65020bfe097ac3c9d063264f</v>
      </c>
      <c r="D20" s="23" t="str">
        <f t="shared" si="2"/>
        <v>#DIV/0!</v>
      </c>
      <c r="F20" s="27"/>
      <c r="H20" s="27"/>
      <c r="J20" s="27"/>
    </row>
    <row r="21">
      <c r="A21" s="22" t="s">
        <v>63</v>
      </c>
      <c r="B21" s="21" t="str">
        <f t="shared" si="1"/>
        <v>#DIV/0!</v>
      </c>
      <c r="C21" s="21" t="str">
        <f>VLOOKUP(A21, hash!A$2:B$500, 2, 0)</f>
        <v>66e1e12cf0db8f5922c91d89</v>
      </c>
      <c r="D21" s="23" t="str">
        <f t="shared" si="2"/>
        <v>#DIV/0!</v>
      </c>
      <c r="F21" s="27"/>
      <c r="H21" s="27"/>
      <c r="J21" s="27"/>
    </row>
    <row r="22">
      <c r="A22" s="22" t="s">
        <v>565</v>
      </c>
      <c r="B22" s="21" t="str">
        <f t="shared" si="1"/>
        <v>#DIV/0!</v>
      </c>
      <c r="C22" s="21" t="str">
        <f>VLOOKUP(A22, hash!A$2:B$500, 2, 0)</f>
        <v>#N/A</v>
      </c>
      <c r="D22" s="23" t="str">
        <f t="shared" si="2"/>
        <v>#DIV/0!</v>
      </c>
      <c r="F22" s="27"/>
      <c r="H22" s="27"/>
      <c r="J22" s="27"/>
    </row>
    <row r="23">
      <c r="A23" s="22" t="s">
        <v>573</v>
      </c>
      <c r="B23" s="21" t="str">
        <f t="shared" si="1"/>
        <v>#DIV/0!</v>
      </c>
      <c r="C23" s="21" t="str">
        <f>VLOOKUP(A23, hash!A$2:B$500, 2, 0)</f>
        <v>#N/A</v>
      </c>
      <c r="D23" s="23" t="str">
        <f t="shared" si="2"/>
        <v>#DIV/0!</v>
      </c>
      <c r="F23" s="27"/>
      <c r="H23" s="27"/>
      <c r="J23" s="27"/>
      <c r="L23" s="47"/>
      <c r="M23" s="25"/>
      <c r="N23" s="25"/>
      <c r="O23" s="25"/>
      <c r="P23" s="25"/>
      <c r="Q23" s="25"/>
      <c r="R23" s="25"/>
    </row>
    <row r="24">
      <c r="A24" s="22" t="s">
        <v>432</v>
      </c>
      <c r="B24" s="21" t="str">
        <f t="shared" si="1"/>
        <v>#DIV/0!</v>
      </c>
      <c r="C24" s="21" t="str">
        <f>VLOOKUP(A24, hash!A$2:B$500, 2, 0)</f>
        <v>632220620aa8ba2dbc57c0ab</v>
      </c>
      <c r="D24" s="23" t="str">
        <f t="shared" si="2"/>
        <v>#DIV/0!</v>
      </c>
      <c r="F24" s="27"/>
      <c r="H24" s="27"/>
      <c r="J24" s="27"/>
    </row>
    <row r="25">
      <c r="A25" s="22" t="s">
        <v>60</v>
      </c>
      <c r="B25" s="21" t="str">
        <f t="shared" si="1"/>
        <v>#DIV/0!</v>
      </c>
      <c r="C25" s="21" t="str">
        <f>VLOOKUP(A25, hash!A$2:B$500, 2, 0)</f>
        <v>66e1e105db315cbd40043fc1</v>
      </c>
      <c r="D25" s="23" t="str">
        <f t="shared" si="2"/>
        <v>#DIV/0!</v>
      </c>
      <c r="F25" s="27"/>
      <c r="H25" s="27"/>
      <c r="J25" s="27"/>
    </row>
    <row r="26">
      <c r="A26" s="24" t="s">
        <v>24</v>
      </c>
      <c r="B26" s="21" t="str">
        <f t="shared" si="1"/>
        <v>#DIV/0!</v>
      </c>
      <c r="C26" s="21" t="str">
        <f>VLOOKUP(A26, hash!A$2:B$500, 2, 0)</f>
        <v>66e1e1277a8e6dc2aed3a645</v>
      </c>
      <c r="D26" s="23" t="str">
        <f t="shared" si="2"/>
        <v>#DIV/0!</v>
      </c>
      <c r="F26" s="27"/>
      <c r="H26" s="27"/>
      <c r="J26" s="27"/>
    </row>
    <row r="27">
      <c r="A27" s="22" t="s">
        <v>37</v>
      </c>
      <c r="B27" s="21" t="str">
        <f t="shared" si="1"/>
        <v>#DIV/0!</v>
      </c>
      <c r="C27" s="21" t="str">
        <f>VLOOKUP(A27, hash!A$2:B$500, 2, 0)</f>
        <v>66e21e0e9dc93e7d858c34ab</v>
      </c>
      <c r="D27" s="23" t="str">
        <f t="shared" si="2"/>
        <v>#DIV/0!</v>
      </c>
      <c r="F27" s="27"/>
      <c r="H27" s="27"/>
      <c r="J27" s="27"/>
    </row>
    <row r="28">
      <c r="A28" s="22" t="s">
        <v>45</v>
      </c>
      <c r="B28" s="21" t="str">
        <f t="shared" si="1"/>
        <v>#DIV/0!</v>
      </c>
      <c r="C28" s="21" t="str">
        <f>VLOOKUP(A28, hash!A$2:B$500, 2, 0)</f>
        <v>66e1ed8d1129889a3e2c24ab</v>
      </c>
      <c r="D28" s="23" t="str">
        <f t="shared" si="2"/>
        <v>#DIV/0!</v>
      </c>
      <c r="F28" s="27"/>
      <c r="H28" s="27"/>
      <c r="J28" s="27"/>
    </row>
    <row r="29">
      <c r="A29" s="22" t="s">
        <v>42</v>
      </c>
      <c r="B29" s="21" t="str">
        <f t="shared" si="1"/>
        <v>#DIV/0!</v>
      </c>
      <c r="C29" s="21" t="str">
        <f>VLOOKUP(A29, hash!A$2:B$500, 2, 0)</f>
        <v>66e1e102a61e89c7c68f6e2f</v>
      </c>
      <c r="D29" s="23" t="str">
        <f t="shared" si="2"/>
        <v>#DIV/0!</v>
      </c>
      <c r="F29" s="27"/>
      <c r="H29" s="27"/>
      <c r="J29" s="27"/>
    </row>
    <row r="30">
      <c r="A30" s="22" t="s">
        <v>43</v>
      </c>
      <c r="B30" s="21" t="str">
        <f t="shared" si="1"/>
        <v>#DIV/0!</v>
      </c>
      <c r="C30" s="21" t="str">
        <f>VLOOKUP(A30, hash!A$2:B$500, 2, 0)</f>
        <v>66e1e108a61e89c7c68f6e31</v>
      </c>
      <c r="D30" s="23" t="str">
        <f t="shared" si="2"/>
        <v>#DIV/0!</v>
      </c>
      <c r="F30" s="27"/>
      <c r="H30" s="27"/>
      <c r="J30" s="27"/>
    </row>
    <row r="31">
      <c r="A31" s="22" t="s">
        <v>88</v>
      </c>
      <c r="B31" s="21" t="str">
        <f t="shared" si="1"/>
        <v>#DIV/0!</v>
      </c>
      <c r="C31" s="21" t="str">
        <f>VLOOKUP(A31, hash!A$2:B$500, 2, 0)</f>
        <v>65020d65097ac3c9d063266d</v>
      </c>
      <c r="D31" s="23" t="str">
        <f t="shared" si="2"/>
        <v>#DIV/0!</v>
      </c>
      <c r="F31" s="27"/>
      <c r="H31" s="27"/>
      <c r="J31" s="27"/>
    </row>
    <row r="32">
      <c r="A32" s="22" t="s">
        <v>41</v>
      </c>
      <c r="B32" s="21" t="str">
        <f t="shared" si="1"/>
        <v>#DIV/0!</v>
      </c>
      <c r="C32" s="21" t="str">
        <f>VLOOKUP(A32, hash!A$2:B$500, 2, 0)</f>
        <v>66e1e12ef0db8f5922c91d8b</v>
      </c>
      <c r="D32" s="23" t="str">
        <f t="shared" si="2"/>
        <v>#DIV/0!</v>
      </c>
      <c r="F32" s="27"/>
      <c r="H32" s="27"/>
      <c r="J32" s="27"/>
    </row>
    <row r="33">
      <c r="A33" s="22" t="s">
        <v>572</v>
      </c>
      <c r="B33" s="21" t="str">
        <f t="shared" si="1"/>
        <v>#DIV/0!</v>
      </c>
      <c r="C33" s="21" t="str">
        <f>VLOOKUP(A33, hash!A$2:B$500, 2, 0)</f>
        <v>#N/A</v>
      </c>
      <c r="D33" s="23" t="str">
        <f t="shared" si="2"/>
        <v>#DIV/0!</v>
      </c>
      <c r="F33" s="27"/>
      <c r="H33" s="27"/>
      <c r="J33" s="27"/>
    </row>
    <row r="34">
      <c r="A34" s="22" t="s">
        <v>40</v>
      </c>
      <c r="B34" s="21" t="str">
        <f t="shared" si="1"/>
        <v>#DIV/0!</v>
      </c>
      <c r="C34" s="21" t="str">
        <f>VLOOKUP(A34, hash!A$2:B$500, 2, 0)</f>
        <v>65020bed03dd812a55d3a207</v>
      </c>
      <c r="D34" s="23" t="str">
        <f t="shared" si="2"/>
        <v>#DIV/0!</v>
      </c>
      <c r="F34" s="27"/>
      <c r="H34" s="27"/>
      <c r="J34" s="27"/>
    </row>
    <row r="35">
      <c r="A35" s="22" t="s">
        <v>50</v>
      </c>
      <c r="B35" s="21" t="str">
        <f t="shared" si="1"/>
        <v>#DIV/0!</v>
      </c>
      <c r="C35" s="21" t="str">
        <f>VLOOKUP(A35, hash!A$2:B$500, 2, 0)</f>
        <v>66e1e1227a8e6dc2aed3a641</v>
      </c>
      <c r="D35" s="23" t="str">
        <f t="shared" si="2"/>
        <v>#DIV/0!</v>
      </c>
      <c r="F35" s="27"/>
      <c r="H35" s="27"/>
      <c r="J35" s="27"/>
    </row>
    <row r="36">
      <c r="A36" s="22" t="s">
        <v>96</v>
      </c>
      <c r="B36" s="21" t="str">
        <f t="shared" si="1"/>
        <v>#DIV/0!</v>
      </c>
      <c r="C36" s="21" t="str">
        <f>VLOOKUP(A36, hash!A$2:B$500, 2, 0)</f>
        <v>65020be28f2b101294bb3da3</v>
      </c>
      <c r="D36" s="23" t="str">
        <f t="shared" si="2"/>
        <v>#DIV/0!</v>
      </c>
      <c r="F36" s="27"/>
      <c r="H36" s="27"/>
      <c r="J36" s="27"/>
    </row>
    <row r="37">
      <c r="A37" s="22" t="s">
        <v>140</v>
      </c>
      <c r="B37" s="21" t="str">
        <f t="shared" si="1"/>
        <v>#DIV/0!</v>
      </c>
      <c r="C37" s="21" t="str">
        <f>VLOOKUP(A37, hash!A$2:B$500, 2, 0)</f>
        <v>6502001596a576d9fa03f98e</v>
      </c>
      <c r="D37" s="23" t="str">
        <f t="shared" si="2"/>
        <v>#DIV/0!</v>
      </c>
      <c r="F37" s="27"/>
      <c r="H37" s="27"/>
      <c r="J37" s="27"/>
    </row>
    <row r="38">
      <c r="A38" s="22" t="s">
        <v>95</v>
      </c>
      <c r="B38" s="21" t="str">
        <f t="shared" si="1"/>
        <v>#DIV/0!</v>
      </c>
      <c r="C38" s="21" t="str">
        <f>VLOOKUP(A38, hash!A$2:B$500, 2, 0)</f>
        <v>6502002d96a576d9fa03f999</v>
      </c>
      <c r="D38" s="23" t="str">
        <f t="shared" si="2"/>
        <v>#DIV/0!</v>
      </c>
      <c r="F38" s="27"/>
      <c r="H38" s="27"/>
      <c r="J38" s="27"/>
    </row>
    <row r="39">
      <c r="A39" s="22" t="s">
        <v>57</v>
      </c>
      <c r="B39" s="21" t="str">
        <f t="shared" si="1"/>
        <v>#DIV/0!</v>
      </c>
      <c r="C39" s="21" t="str">
        <f>VLOOKUP(A39, hash!A$2:B$500, 2, 0)</f>
        <v>66e1e13168fa766abf5d11d8</v>
      </c>
      <c r="D39" s="23" t="str">
        <f t="shared" si="2"/>
        <v>#DIV/0!</v>
      </c>
      <c r="F39" s="27"/>
      <c r="H39" s="27"/>
      <c r="J39" s="27"/>
    </row>
    <row r="40">
      <c r="A40" s="22" t="s">
        <v>198</v>
      </c>
      <c r="B40" s="21" t="str">
        <f t="shared" si="1"/>
        <v>#DIV/0!</v>
      </c>
      <c r="C40" s="21" t="str">
        <f>VLOOKUP(A40, hash!A$2:B$500, 2, 0)</f>
        <v>650b446c63d8964b8e363b40</v>
      </c>
      <c r="D40" s="23" t="str">
        <f t="shared" si="2"/>
        <v>#DIV/0!</v>
      </c>
      <c r="F40" s="45"/>
      <c r="H40" s="45"/>
      <c r="J40" s="45"/>
    </row>
    <row r="41">
      <c r="A41" s="22" t="s">
        <v>146</v>
      </c>
      <c r="B41" s="21" t="str">
        <f t="shared" si="1"/>
        <v>#DIV/0!</v>
      </c>
      <c r="C41" s="21" t="str">
        <f>VLOOKUP(A41, hash!A$2:B$500, 2, 0)</f>
        <v>6502003d57ae167867eac21c</v>
      </c>
      <c r="D41" s="23" t="str">
        <f t="shared" si="2"/>
        <v>#DIV/0!</v>
      </c>
      <c r="F41" s="27"/>
      <c r="H41" s="27"/>
      <c r="J41" s="27"/>
    </row>
    <row r="42">
      <c r="A42" s="22" t="s">
        <v>89</v>
      </c>
      <c r="B42" s="21" t="str">
        <f t="shared" si="1"/>
        <v>#DIV/0!</v>
      </c>
      <c r="C42" s="21" t="str">
        <f>VLOOKUP(A42, hash!A$2:B$500, 2, 0)</f>
        <v>66e1e10cdb315cbd40043fc4</v>
      </c>
      <c r="D42" s="23" t="str">
        <f t="shared" si="2"/>
        <v>#DIV/0!</v>
      </c>
      <c r="F42" s="27"/>
      <c r="H42" s="27"/>
      <c r="J42" s="27"/>
    </row>
    <row r="43">
      <c r="A43" s="22" t="s">
        <v>234</v>
      </c>
      <c r="B43" s="21" t="str">
        <f t="shared" si="1"/>
        <v>#DIV/0!</v>
      </c>
      <c r="C43" s="21" t="str">
        <f>VLOOKUP(A43, hash!A$2:B$500, 2, 0)</f>
        <v>6595bf45b775f9fc5a64da54</v>
      </c>
      <c r="D43" s="23" t="str">
        <f t="shared" si="2"/>
        <v>#DIV/0!</v>
      </c>
      <c r="F43" s="27"/>
      <c r="H43" s="27"/>
      <c r="J43" s="27"/>
    </row>
    <row r="44">
      <c r="A44" s="22" t="s">
        <v>444</v>
      </c>
      <c r="B44" s="21" t="str">
        <f t="shared" si="1"/>
        <v>#DIV/0!</v>
      </c>
      <c r="C44" s="21" t="str">
        <f>VLOOKUP(A44, hash!A$2:B$500, 2, 0)</f>
        <v>63222123f382c17890e6a3de</v>
      </c>
      <c r="D44" s="23" t="str">
        <f t="shared" si="2"/>
        <v>#DIV/0!</v>
      </c>
      <c r="F44" s="27"/>
      <c r="H44" s="45"/>
      <c r="J44" s="27"/>
    </row>
    <row r="45">
      <c r="A45" s="22" t="s">
        <v>430</v>
      </c>
      <c r="B45" s="21" t="str">
        <f t="shared" si="1"/>
        <v>#DIV/0!</v>
      </c>
      <c r="C45" s="21" t="str">
        <f>VLOOKUP(A45, hash!A$2:B$500, 2, 0)</f>
        <v>63222011e6a618b2a0444361</v>
      </c>
      <c r="D45" s="23" t="str">
        <f t="shared" si="2"/>
        <v>#DIV/0!</v>
      </c>
      <c r="F45" s="27"/>
      <c r="H45" s="27"/>
      <c r="J45" s="27"/>
    </row>
    <row r="46">
      <c r="A46" s="22" t="s">
        <v>568</v>
      </c>
      <c r="B46" s="21" t="str">
        <f t="shared" si="1"/>
        <v>#DIV/0!</v>
      </c>
      <c r="C46" s="21" t="str">
        <f>VLOOKUP(A46, hash!A$2:B$500, 2, 0)</f>
        <v>#N/A</v>
      </c>
      <c r="D46" s="23" t="str">
        <f t="shared" si="2"/>
        <v>#DIV/0!</v>
      </c>
      <c r="F46" s="27"/>
      <c r="H46" s="27"/>
      <c r="J46" s="27"/>
    </row>
    <row r="47">
      <c r="A47" s="22" t="s">
        <v>569</v>
      </c>
      <c r="B47" s="21" t="str">
        <f t="shared" si="1"/>
        <v>#DIV/0!</v>
      </c>
      <c r="C47" s="21" t="str">
        <f>VLOOKUP(A47, hash!A$2:B$500, 2, 0)</f>
        <v>#N/A</v>
      </c>
      <c r="D47" s="23" t="str">
        <f t="shared" si="2"/>
        <v>#DIV/0!</v>
      </c>
      <c r="F47" s="27"/>
      <c r="H47" s="27"/>
      <c r="J47" s="27"/>
    </row>
    <row r="48">
      <c r="A48" s="22" t="s">
        <v>17</v>
      </c>
      <c r="B48" s="21" t="str">
        <f t="shared" si="1"/>
        <v>#DIV/0!</v>
      </c>
      <c r="C48" s="21" t="str">
        <f>VLOOKUP(A48, hash!A$2:B$500, 2, 0)</f>
        <v>65020bfc097ac3c9d063264d</v>
      </c>
      <c r="D48" s="23" t="str">
        <f t="shared" si="2"/>
        <v>#DIV/0!</v>
      </c>
      <c r="F48" s="27"/>
      <c r="H48" s="27"/>
      <c r="J48" s="27"/>
    </row>
    <row r="49">
      <c r="A49" s="22" t="s">
        <v>435</v>
      </c>
      <c r="B49" s="21" t="str">
        <f t="shared" si="1"/>
        <v>#DIV/0!</v>
      </c>
      <c r="C49" s="21" t="str">
        <f>VLOOKUP(A49, hash!A$2:B$500, 2, 0)</f>
        <v>63222a4c5bded5e4ff37ac1f</v>
      </c>
      <c r="D49" s="23" t="str">
        <f t="shared" si="2"/>
        <v>#DIV/0!</v>
      </c>
      <c r="F49" s="27"/>
      <c r="H49" s="27"/>
      <c r="J49" s="27"/>
    </row>
    <row r="50">
      <c r="A50" s="22" t="s">
        <v>298</v>
      </c>
      <c r="B50" s="21" t="str">
        <f t="shared" si="1"/>
        <v>#DIV/0!</v>
      </c>
      <c r="C50" s="21" t="str">
        <f>VLOOKUP(A50, hash!A$2:B$500, 2, 0)</f>
        <v>66e1e12be2fbdff8a0c35639</v>
      </c>
      <c r="D50" s="23" t="str">
        <f t="shared" si="2"/>
        <v>#DIV/0!</v>
      </c>
      <c r="F50" s="27"/>
      <c r="H50" s="27"/>
      <c r="J50" s="27"/>
    </row>
    <row r="51">
      <c r="A51" s="22" t="s">
        <v>61</v>
      </c>
      <c r="B51" s="21" t="str">
        <f t="shared" si="1"/>
        <v>#DIV/0!</v>
      </c>
      <c r="C51" s="21" t="str">
        <f>VLOOKUP(A51, hash!A$2:B$500, 2, 0)</f>
        <v>65020c0f8f2b101294bb3dae</v>
      </c>
      <c r="D51" s="23" t="str">
        <f t="shared" si="2"/>
        <v>#DIV/0!</v>
      </c>
      <c r="F51" s="27"/>
      <c r="H51" s="27"/>
      <c r="J51" s="27"/>
    </row>
    <row r="52">
      <c r="A52" s="22" t="s">
        <v>441</v>
      </c>
      <c r="B52" s="21" t="str">
        <f t="shared" si="1"/>
        <v>#DIV/0!</v>
      </c>
      <c r="C52" s="21" t="str">
        <f>VLOOKUP(A52, hash!A$2:B$500, 2, 0)</f>
        <v>632220596d021b5cf508ccd5</v>
      </c>
      <c r="D52" s="23" t="str">
        <f t="shared" si="2"/>
        <v>#DIV/0!</v>
      </c>
      <c r="F52" s="27"/>
      <c r="H52" s="27"/>
      <c r="J52" s="27"/>
    </row>
    <row r="53">
      <c r="A53" s="22" t="s">
        <v>442</v>
      </c>
      <c r="B53" s="21" t="str">
        <f t="shared" si="1"/>
        <v>#DIV/0!</v>
      </c>
      <c r="C53" s="21" t="str">
        <f>VLOOKUP(A53, hash!A$2:B$500, 2, 0)</f>
        <v>632220710aa8ba2dbc57c0ac</v>
      </c>
      <c r="D53" s="23" t="str">
        <f t="shared" si="2"/>
        <v>#DIV/0!</v>
      </c>
      <c r="F53" s="27"/>
      <c r="H53" s="27"/>
      <c r="J53" s="27"/>
    </row>
    <row r="54">
      <c r="A54" s="22" t="s">
        <v>434</v>
      </c>
      <c r="B54" s="21" t="str">
        <f t="shared" si="1"/>
        <v>#DIV/0!</v>
      </c>
      <c r="C54" s="21" t="str">
        <f>VLOOKUP(A54, hash!A$2:B$500, 2, 0)</f>
        <v>63222083cfccb655ce1f3a74</v>
      </c>
      <c r="D54" s="23" t="str">
        <f t="shared" si="2"/>
        <v>#DIV/0!</v>
      </c>
      <c r="F54" s="27"/>
      <c r="H54" s="27"/>
      <c r="J54" s="27"/>
    </row>
    <row r="55">
      <c r="A55" s="22" t="s">
        <v>570</v>
      </c>
      <c r="B55" s="21" t="str">
        <f t="shared" si="1"/>
        <v>#DIV/0!</v>
      </c>
      <c r="C55" s="21" t="str">
        <f>VLOOKUP(A55, hash!A$2:B$500, 2, 0)</f>
        <v>#N/A</v>
      </c>
      <c r="D55" s="23" t="str">
        <f t="shared" si="2"/>
        <v>#DIV/0!</v>
      </c>
      <c r="F55" s="45"/>
      <c r="H55" s="45"/>
      <c r="J55" s="45"/>
    </row>
    <row r="56">
      <c r="A56" s="24" t="s">
        <v>13</v>
      </c>
      <c r="B56" s="21" t="str">
        <f t="shared" si="1"/>
        <v>#DIV/0!</v>
      </c>
      <c r="C56" s="21" t="str">
        <f>VLOOKUP(A56, hash!A$2:B$500, 2, 0)</f>
        <v>65020be78f2b101294bb3da8</v>
      </c>
      <c r="D56" s="23" t="str">
        <f t="shared" si="2"/>
        <v>#DIV/0!</v>
      </c>
      <c r="F56" s="27"/>
      <c r="H56" s="27"/>
      <c r="J56" s="27"/>
    </row>
    <row r="57">
      <c r="A57" s="22" t="s">
        <v>39</v>
      </c>
      <c r="B57" s="21" t="str">
        <f t="shared" si="1"/>
        <v>#DIV/0!</v>
      </c>
      <c r="C57" s="21" t="str">
        <f>VLOOKUP(A57, hash!A$2:B$500, 2, 0)</f>
        <v>6594377be0f4f63927a8ce26</v>
      </c>
      <c r="D57" s="23" t="str">
        <f t="shared" si="2"/>
        <v>#DIV/0!</v>
      </c>
      <c r="F57" s="27"/>
      <c r="H57" s="27"/>
      <c r="J57" s="27"/>
    </row>
    <row r="58">
      <c r="A58" s="22" t="s">
        <v>86</v>
      </c>
      <c r="B58" s="21" t="str">
        <f t="shared" si="1"/>
        <v>#DIV/0!</v>
      </c>
      <c r="C58" s="21" t="str">
        <f>VLOOKUP(A58, hash!A$2:B$500, 2, 0)</f>
        <v>65020c05097ac3c9d0632651</v>
      </c>
      <c r="D58" s="23" t="str">
        <f t="shared" si="2"/>
        <v>#DIV/0!</v>
      </c>
      <c r="F58" s="27"/>
      <c r="H58" s="27"/>
      <c r="J58" s="27"/>
    </row>
    <row r="59">
      <c r="A59" s="22" t="s">
        <v>99</v>
      </c>
      <c r="B59" s="21" t="str">
        <f t="shared" si="1"/>
        <v>#DIV/0!</v>
      </c>
      <c r="C59" s="21" t="str">
        <f>VLOOKUP(A59, hash!A$2:B$500, 2, 0)</f>
        <v>66e1e1107315471e09f2b5b1</v>
      </c>
      <c r="D59" s="23" t="str">
        <f t="shared" si="2"/>
        <v>#DIV/0!</v>
      </c>
      <c r="F59" s="27"/>
      <c r="H59" s="27"/>
      <c r="J59" s="27"/>
    </row>
    <row r="60">
      <c r="A60" s="22" t="s">
        <v>293</v>
      </c>
      <c r="B60" s="21" t="str">
        <f t="shared" si="1"/>
        <v>#DIV/0!</v>
      </c>
      <c r="C60" s="21" t="str">
        <f>VLOOKUP(A60, hash!A$2:B$500, 2, 0)</f>
        <v>66e1e125e2fbdff8a0c35635</v>
      </c>
      <c r="D60" s="23" t="str">
        <f t="shared" si="2"/>
        <v>#DIV/0!</v>
      </c>
      <c r="F60" s="27"/>
      <c r="H60" s="27"/>
      <c r="J60" s="27"/>
    </row>
    <row r="61">
      <c r="A61" s="22" t="s">
        <v>303</v>
      </c>
      <c r="B61" s="21" t="str">
        <f t="shared" si="1"/>
        <v>#DIV/0!</v>
      </c>
      <c r="C61" s="21" t="str">
        <f>VLOOKUP(A61, hash!A$2:B$500, 2, 0)</f>
        <v>66e1e137db315cbd40043fc5</v>
      </c>
      <c r="D61" s="23" t="str">
        <f t="shared" si="2"/>
        <v>#DIV/0!</v>
      </c>
      <c r="F61" s="27"/>
      <c r="H61" s="27"/>
      <c r="J61" s="27"/>
    </row>
    <row r="62">
      <c r="A62" s="22" t="s">
        <v>305</v>
      </c>
      <c r="B62" s="21" t="str">
        <f t="shared" si="1"/>
        <v>#DIV/0!</v>
      </c>
      <c r="C62" s="21" t="str">
        <f>VLOOKUP(A62, hash!A$2:B$500, 2, 0)</f>
        <v>66e1e141f0db8f5922c91d90</v>
      </c>
      <c r="D62" s="23" t="str">
        <f t="shared" si="2"/>
        <v>#DIV/0!</v>
      </c>
      <c r="F62" s="27"/>
      <c r="H62" s="27"/>
      <c r="J62" s="27"/>
    </row>
    <row r="63">
      <c r="A63" s="22" t="s">
        <v>306</v>
      </c>
      <c r="B63" s="21" t="str">
        <f t="shared" si="1"/>
        <v>#DIV/0!</v>
      </c>
      <c r="C63" s="21" t="str">
        <f>VLOOKUP(A63, hash!A$2:B$500, 2, 0)</f>
        <v>66e1e143db315cbd40043fcb</v>
      </c>
      <c r="D63" s="23" t="str">
        <f t="shared" si="2"/>
        <v>#DIV/0!</v>
      </c>
      <c r="F63" s="27"/>
      <c r="H63" s="27"/>
      <c r="J63" s="27"/>
    </row>
    <row r="64">
      <c r="A64" s="22" t="s">
        <v>312</v>
      </c>
      <c r="B64" s="21" t="str">
        <f t="shared" si="1"/>
        <v>#DIV/0!</v>
      </c>
      <c r="C64" s="21" t="str">
        <f>VLOOKUP(A64, hash!A$2:B$500, 2, 0)</f>
        <v>66e1ed841129889a3e2c24a8</v>
      </c>
      <c r="D64" s="23" t="str">
        <f t="shared" si="2"/>
        <v>#DIV/0!</v>
      </c>
      <c r="F64" s="27"/>
      <c r="H64" s="27"/>
      <c r="J64" s="27"/>
    </row>
    <row r="65">
      <c r="A65" s="22" t="s">
        <v>346</v>
      </c>
      <c r="B65" s="21" t="str">
        <f t="shared" si="1"/>
        <v>#DIV/0!</v>
      </c>
      <c r="C65" s="21" t="str">
        <f>VLOOKUP(A65, hash!A$2:B$500, 2, 0)</f>
        <v>66eb1c19a526292217381272</v>
      </c>
      <c r="D65" s="23" t="str">
        <f t="shared" si="2"/>
        <v>#DIV/0!</v>
      </c>
      <c r="F65" s="27"/>
      <c r="H65" s="27"/>
      <c r="J65" s="27"/>
    </row>
    <row r="66">
      <c r="A66" s="22" t="s">
        <v>571</v>
      </c>
      <c r="B66" s="21" t="str">
        <f t="shared" si="1"/>
        <v>#DIV/0!</v>
      </c>
      <c r="C66" s="21" t="str">
        <f>VLOOKUP(A66, hash!A$2:B$500, 2, 0)</f>
        <v>#N/A</v>
      </c>
      <c r="D66" s="23" t="str">
        <f t="shared" si="2"/>
        <v>#DIV/0!</v>
      </c>
      <c r="F66" s="27"/>
      <c r="H66" s="27"/>
      <c r="J66" s="27"/>
    </row>
    <row r="67">
      <c r="A67" s="22" t="s">
        <v>437</v>
      </c>
      <c r="B67" s="21" t="str">
        <f t="shared" si="1"/>
        <v>#DIV/0!</v>
      </c>
      <c r="C67" s="21" t="str">
        <f>VLOOKUP(A67, hash!A$2:B$500, 2, 0)</f>
        <v>63221ff90aa8ba2dbc57c0a2</v>
      </c>
      <c r="D67" s="23" t="str">
        <f t="shared" si="2"/>
        <v>#DIV/0!</v>
      </c>
      <c r="F67" s="27"/>
      <c r="H67" s="27"/>
      <c r="J67" s="45"/>
    </row>
    <row r="68">
      <c r="A68" s="22" t="s">
        <v>438</v>
      </c>
      <c r="B68" s="21" t="str">
        <f t="shared" si="1"/>
        <v>#DIV/0!</v>
      </c>
      <c r="C68" s="21" t="str">
        <f>VLOOKUP(A68, hash!A$2:B$500, 2, 0)</f>
        <v>6322202f81b57daeeb478dd1</v>
      </c>
      <c r="D68" s="23" t="str">
        <f t="shared" si="2"/>
        <v>#DIV/0!</v>
      </c>
      <c r="F68" s="27"/>
      <c r="H68" s="27"/>
      <c r="J68" s="27"/>
    </row>
    <row r="69">
      <c r="A69" s="22" t="s">
        <v>439</v>
      </c>
      <c r="B69" s="21" t="str">
        <f t="shared" si="1"/>
        <v>#DIV/0!</v>
      </c>
      <c r="C69" s="21" t="str">
        <f>VLOOKUP(A69, hash!A$2:B$500, 2, 0)</f>
        <v>632220300aa8ba2dbc57c0a7</v>
      </c>
      <c r="D69" s="23" t="str">
        <f t="shared" si="2"/>
        <v>#DIV/0!</v>
      </c>
      <c r="F69" s="45"/>
      <c r="H69" s="45"/>
      <c r="J69" s="45"/>
    </row>
    <row r="70">
      <c r="A70" s="22" t="s">
        <v>433</v>
      </c>
      <c r="B70" s="21" t="str">
        <f t="shared" si="1"/>
        <v>#DIV/0!</v>
      </c>
      <c r="C70" s="21" t="str">
        <f>VLOOKUP(A70, hash!A$2:B$500, 2, 0)</f>
        <v>6322203581b57daeeb478dd2</v>
      </c>
      <c r="D70" s="23" t="str">
        <f t="shared" si="2"/>
        <v>#DIV/0!</v>
      </c>
      <c r="F70" s="45"/>
      <c r="H70" s="45"/>
      <c r="J70" s="45"/>
    </row>
    <row r="71">
      <c r="A71" s="22" t="s">
        <v>440</v>
      </c>
      <c r="B71" s="21" t="str">
        <f t="shared" si="1"/>
        <v>#DIV/0!</v>
      </c>
      <c r="C71" s="21" t="str">
        <f>VLOOKUP(A71, hash!A$2:B$500, 2, 0)</f>
        <v>632220580aa8ba2dbc57c0a9</v>
      </c>
      <c r="D71" s="23" t="str">
        <f t="shared" si="2"/>
        <v>#DIV/0!</v>
      </c>
      <c r="F71" s="45"/>
      <c r="H71" s="45"/>
      <c r="J71" s="45"/>
    </row>
    <row r="72">
      <c r="A72" s="22" t="s">
        <v>574</v>
      </c>
      <c r="B72" s="21" t="str">
        <f t="shared" si="1"/>
        <v>#DIV/0!</v>
      </c>
      <c r="C72" s="21" t="str">
        <f>VLOOKUP(A72, hash!A$2:B$500, 2, 0)</f>
        <v>#N/A</v>
      </c>
      <c r="D72" s="23" t="str">
        <f t="shared" si="2"/>
        <v>#DIV/0!</v>
      </c>
      <c r="F72" s="45"/>
      <c r="H72" s="45"/>
      <c r="J72" s="45"/>
    </row>
    <row r="73">
      <c r="A73" s="22" t="s">
        <v>575</v>
      </c>
      <c r="B73" s="21" t="str">
        <f t="shared" si="1"/>
        <v>#DIV/0!</v>
      </c>
      <c r="C73" s="21" t="str">
        <f>VLOOKUP(A73, hash!A$2:B$500, 2, 0)</f>
        <v>#N/A</v>
      </c>
      <c r="D73" s="23" t="str">
        <f t="shared" si="2"/>
        <v>#DIV/0!</v>
      </c>
      <c r="F73" s="27"/>
      <c r="H73" s="45"/>
      <c r="J73" s="45"/>
    </row>
    <row r="74">
      <c r="A74" s="22" t="s">
        <v>576</v>
      </c>
      <c r="B74" s="21" t="str">
        <f t="shared" si="1"/>
        <v>#DIV/0!</v>
      </c>
      <c r="C74" s="21" t="str">
        <f>VLOOKUP(A74, hash!A$2:B$500, 2, 0)</f>
        <v>#N/A</v>
      </c>
      <c r="D74" s="23" t="str">
        <f t="shared" si="2"/>
        <v>#DIV/0!</v>
      </c>
      <c r="F74" s="45"/>
      <c r="H74" s="45"/>
      <c r="J74" s="45"/>
    </row>
    <row r="75">
      <c r="A75" s="22" t="s">
        <v>577</v>
      </c>
      <c r="B75" s="21" t="str">
        <f t="shared" si="1"/>
        <v>#DIV/0!</v>
      </c>
      <c r="C75" s="21" t="str">
        <f>VLOOKUP(A75, hash!A$2:B$500, 2, 0)</f>
        <v>#N/A</v>
      </c>
      <c r="D75" s="23" t="str">
        <f t="shared" si="2"/>
        <v>#DIV/0!</v>
      </c>
      <c r="F75" s="45"/>
      <c r="H75" s="45"/>
      <c r="J75" s="45"/>
    </row>
    <row r="76">
      <c r="A76" s="22" t="s">
        <v>443</v>
      </c>
      <c r="B76" s="21" t="str">
        <f t="shared" si="1"/>
        <v>#DIV/0!</v>
      </c>
      <c r="C76" s="21" t="str">
        <f>VLOOKUP(A76, hash!A$2:B$500, 2, 0)</f>
        <v>6322211bf382c17890e6a3dd</v>
      </c>
      <c r="D76" s="23" t="str">
        <f t="shared" si="2"/>
        <v>#DIV/0!</v>
      </c>
      <c r="F76" s="45"/>
      <c r="H76" s="45"/>
      <c r="J76" s="45"/>
    </row>
    <row r="77">
      <c r="A77" s="22" t="s">
        <v>445</v>
      </c>
      <c r="B77" s="21" t="str">
        <f t="shared" si="1"/>
        <v>#DIV/0!</v>
      </c>
      <c r="C77" s="21" t="str">
        <f>VLOOKUP(A77, hash!A$2:B$500, 2, 0)</f>
        <v>632222c3f382c17890e6a3e0</v>
      </c>
      <c r="D77" s="23" t="str">
        <f t="shared" si="2"/>
        <v>#DIV/0!</v>
      </c>
      <c r="F77" s="45"/>
      <c r="H77" s="45"/>
      <c r="J77" s="45"/>
    </row>
    <row r="78">
      <c r="A78" s="22" t="s">
        <v>446</v>
      </c>
      <c r="B78" s="21" t="str">
        <f t="shared" si="1"/>
        <v>#DIV/0!</v>
      </c>
      <c r="C78" s="21" t="str">
        <f>VLOOKUP(A78, hash!A$2:B$500, 2, 0)</f>
        <v>63222372f382c17890e6a3e2</v>
      </c>
      <c r="D78" s="23" t="str">
        <f t="shared" si="2"/>
        <v>#DIV/0!</v>
      </c>
      <c r="F78" s="45"/>
      <c r="H78" s="45"/>
      <c r="J78" s="45"/>
    </row>
    <row r="79">
      <c r="A79" s="22" t="s">
        <v>447</v>
      </c>
      <c r="B79" s="21" t="str">
        <f t="shared" si="1"/>
        <v>#DIV/0!</v>
      </c>
      <c r="C79" s="21" t="str">
        <f>VLOOKUP(A79, hash!A$2:B$500, 2, 0)</f>
        <v>632223746d021b5cf508ccde</v>
      </c>
      <c r="D79" s="23" t="str">
        <f t="shared" si="2"/>
        <v>#DIV/0!</v>
      </c>
      <c r="F79" s="45"/>
      <c r="H79" s="45"/>
      <c r="J79" s="45"/>
    </row>
    <row r="80">
      <c r="A80" s="22" t="s">
        <v>448</v>
      </c>
      <c r="B80" s="21" t="str">
        <f t="shared" si="1"/>
        <v>#DIV/0!</v>
      </c>
      <c r="C80" s="21" t="str">
        <f>VLOOKUP(A80, hash!A$2:B$500, 2, 0)</f>
        <v>6322239b6d021b5cf508cce5</v>
      </c>
      <c r="D80" s="23" t="str">
        <f t="shared" si="2"/>
        <v>#DIV/0!</v>
      </c>
      <c r="F80" s="45"/>
      <c r="H80" s="45"/>
      <c r="J80" s="45"/>
    </row>
    <row r="81">
      <c r="A81" s="22" t="s">
        <v>449</v>
      </c>
      <c r="B81" s="21" t="str">
        <f t="shared" si="1"/>
        <v>#DIV/0!</v>
      </c>
      <c r="C81" s="21" t="str">
        <f>VLOOKUP(A81, hash!A$2:B$500, 2, 0)</f>
        <v>632223a1d53b2d7ef1d3746d</v>
      </c>
      <c r="D81" s="23" t="str">
        <f t="shared" si="2"/>
        <v>#DIV/0!</v>
      </c>
      <c r="F81" s="45"/>
      <c r="H81" s="45"/>
      <c r="J81" s="45"/>
    </row>
    <row r="82">
      <c r="A82" s="22" t="s">
        <v>450</v>
      </c>
      <c r="B82" s="21" t="str">
        <f t="shared" si="1"/>
        <v>#DIV/0!</v>
      </c>
      <c r="C82" s="21" t="str">
        <f>VLOOKUP(A82, hash!A$2:B$500, 2, 0)</f>
        <v>632223bdd53b2d7ef1d3746e</v>
      </c>
      <c r="D82" s="23" t="str">
        <f t="shared" si="2"/>
        <v>#DIV/0!</v>
      </c>
      <c r="F82" s="45"/>
      <c r="H82" s="45"/>
      <c r="J82" s="45"/>
    </row>
    <row r="83">
      <c r="A83" s="22" t="s">
        <v>451</v>
      </c>
      <c r="B83" s="21" t="str">
        <f t="shared" si="1"/>
        <v>#DIV/0!</v>
      </c>
      <c r="C83" s="21" t="str">
        <f>VLOOKUP(A83, hash!A$2:B$500, 2, 0)</f>
        <v>632223e585532e9bb23b7f01</v>
      </c>
      <c r="D83" s="23" t="str">
        <f t="shared" si="2"/>
        <v>#DIV/0!</v>
      </c>
      <c r="F83" s="45"/>
      <c r="H83" s="45"/>
      <c r="J83" s="45"/>
    </row>
    <row r="84">
      <c r="A84" s="22" t="s">
        <v>452</v>
      </c>
      <c r="B84" s="21" t="str">
        <f t="shared" si="1"/>
        <v>#DIV/0!</v>
      </c>
      <c r="C84" s="21" t="str">
        <f>VLOOKUP(A84, hash!A$2:B$500, 2, 0)</f>
        <v>632226f3d53b2d7ef1d37472</v>
      </c>
      <c r="D84" s="23" t="str">
        <f t="shared" si="2"/>
        <v>#DIV/0!</v>
      </c>
      <c r="F84" s="45"/>
      <c r="H84" s="45"/>
      <c r="J84" s="45"/>
    </row>
    <row r="85">
      <c r="A85" s="22" t="s">
        <v>453</v>
      </c>
      <c r="B85" s="21" t="str">
        <f t="shared" si="1"/>
        <v>#DIV/0!</v>
      </c>
      <c r="C85" s="21" t="str">
        <f>VLOOKUP(A85, hash!A$2:B$500, 2, 0)</f>
        <v>63222960d53b2d7ef1d37476</v>
      </c>
      <c r="D85" s="23" t="str">
        <f t="shared" si="2"/>
        <v>#DIV/0!</v>
      </c>
      <c r="F85" s="45"/>
      <c r="H85" s="45"/>
      <c r="J85" s="45"/>
    </row>
    <row r="86">
      <c r="A86" s="22" t="s">
        <v>578</v>
      </c>
      <c r="B86" s="21" t="str">
        <f t="shared" si="1"/>
        <v>#DIV/0!</v>
      </c>
      <c r="C86" s="21" t="str">
        <f>VLOOKUP(A86, hash!A$2:B$500, 2, 0)</f>
        <v>#N/A</v>
      </c>
      <c r="D86" s="23" t="str">
        <f t="shared" si="2"/>
        <v>#DIV/0!</v>
      </c>
      <c r="F86" s="27"/>
      <c r="H86" s="27"/>
      <c r="J86" s="27"/>
    </row>
    <row r="87">
      <c r="A87" s="22" t="s">
        <v>454</v>
      </c>
      <c r="B87" s="21" t="str">
        <f t="shared" si="1"/>
        <v>#DIV/0!</v>
      </c>
      <c r="C87" s="21" t="str">
        <f>VLOOKUP(A87, hash!A$2:B$500, 2, 0)</f>
        <v>632229c19832ea0dea0e2dcf</v>
      </c>
      <c r="D87" s="23" t="str">
        <f t="shared" si="2"/>
        <v>#DIV/0!</v>
      </c>
      <c r="F87" s="45"/>
      <c r="H87" s="45"/>
      <c r="J87" s="45"/>
    </row>
    <row r="88">
      <c r="A88" s="22" t="s">
        <v>455</v>
      </c>
      <c r="B88" s="21" t="str">
        <f t="shared" si="1"/>
        <v>#DIV/0!</v>
      </c>
      <c r="C88" s="21" t="str">
        <f>VLOOKUP(A88, hash!A$2:B$500, 2, 0)</f>
        <v>63222a025bded5e4ff37ac1e</v>
      </c>
      <c r="D88" s="23" t="str">
        <f t="shared" si="2"/>
        <v>#DIV/0!</v>
      </c>
      <c r="F88" s="45"/>
      <c r="H88" s="45"/>
      <c r="J88" s="45"/>
    </row>
    <row r="89">
      <c r="A89" s="22" t="s">
        <v>579</v>
      </c>
      <c r="B89" s="21" t="str">
        <f t="shared" si="1"/>
        <v>#DIV/0!</v>
      </c>
      <c r="C89" s="21" t="str">
        <f>VLOOKUP(A89, hash!A$2:B$500, 2, 0)</f>
        <v>#N/A</v>
      </c>
      <c r="D89" s="23" t="str">
        <f t="shared" si="2"/>
        <v>#DIV/0!</v>
      </c>
      <c r="F89" s="45"/>
      <c r="H89" s="45"/>
      <c r="J89" s="45"/>
    </row>
    <row r="90">
      <c r="A90" s="22" t="s">
        <v>580</v>
      </c>
      <c r="B90" s="21" t="str">
        <f t="shared" si="1"/>
        <v>#DIV/0!</v>
      </c>
      <c r="C90" s="21" t="str">
        <f>VLOOKUP(A90, hash!A$2:B$500, 2, 0)</f>
        <v>#N/A</v>
      </c>
      <c r="D90" s="23" t="str">
        <f t="shared" si="2"/>
        <v>#DIV/0!</v>
      </c>
      <c r="F90" s="45"/>
      <c r="H90" s="45"/>
      <c r="J90" s="45"/>
    </row>
    <row r="91">
      <c r="A91" s="22" t="s">
        <v>581</v>
      </c>
      <c r="B91" s="21" t="str">
        <f t="shared" si="1"/>
        <v>#DIV/0!</v>
      </c>
      <c r="C91" s="21" t="str">
        <f>VLOOKUP(A91, hash!A$2:B$500, 2, 0)</f>
        <v>#N/A</v>
      </c>
      <c r="D91" s="23" t="str">
        <f t="shared" si="2"/>
        <v>#DIV/0!</v>
      </c>
      <c r="F91" s="27"/>
      <c r="H91" s="27"/>
      <c r="J91" s="27"/>
    </row>
    <row r="92">
      <c r="A92" s="22" t="s">
        <v>456</v>
      </c>
      <c r="B92" s="21" t="str">
        <f t="shared" si="1"/>
        <v>#DIV/0!</v>
      </c>
      <c r="C92" s="21" t="str">
        <f>VLOOKUP(A92, hash!A$2:B$500, 2, 0)</f>
        <v>63222a9ced58d92b843f7cb0</v>
      </c>
      <c r="D92" s="23" t="str">
        <f t="shared" si="2"/>
        <v>#DIV/0!</v>
      </c>
      <c r="F92" s="45"/>
      <c r="H92" s="45"/>
      <c r="J92" s="45"/>
    </row>
    <row r="93">
      <c r="A93" s="22" t="s">
        <v>457</v>
      </c>
      <c r="B93" s="21" t="str">
        <f t="shared" si="1"/>
        <v>#DIV/0!</v>
      </c>
      <c r="C93" s="21" t="str">
        <f>VLOOKUP(A93, hash!A$2:B$500, 2, 0)</f>
        <v>63222ae4562da848b695b87f</v>
      </c>
      <c r="D93" s="23" t="str">
        <f t="shared" si="2"/>
        <v>#DIV/0!</v>
      </c>
      <c r="F93" s="45"/>
      <c r="H93" s="45"/>
      <c r="J93" s="45"/>
    </row>
    <row r="94">
      <c r="A94" s="22" t="s">
        <v>582</v>
      </c>
      <c r="B94" s="21" t="str">
        <f t="shared" si="1"/>
        <v>#DIV/0!</v>
      </c>
      <c r="C94" s="21" t="str">
        <f>VLOOKUP(A94, hash!A$2:B$500, 2, 0)</f>
        <v>#N/A</v>
      </c>
      <c r="D94" s="23" t="str">
        <f t="shared" si="2"/>
        <v>#DIV/0!</v>
      </c>
      <c r="F94" s="27"/>
      <c r="H94" s="27"/>
      <c r="J94" s="27"/>
    </row>
    <row r="95">
      <c r="A95" s="22" t="s">
        <v>583</v>
      </c>
      <c r="B95" s="21" t="str">
        <f t="shared" si="1"/>
        <v>#DIV/0!</v>
      </c>
      <c r="C95" s="21" t="str">
        <f>VLOOKUP(A95, hash!A$2:B$500, 2, 0)</f>
        <v>#N/A</v>
      </c>
      <c r="D95" s="23" t="str">
        <f t="shared" si="2"/>
        <v>#DIV/0!</v>
      </c>
      <c r="F95" s="45"/>
      <c r="H95" s="45"/>
      <c r="J95" s="45"/>
    </row>
    <row r="96">
      <c r="A96" s="22" t="s">
        <v>584</v>
      </c>
      <c r="B96" s="21" t="str">
        <f t="shared" si="1"/>
        <v>#DIV/0!</v>
      </c>
      <c r="C96" s="21" t="str">
        <f>VLOOKUP(A96, hash!A$2:B$500, 2, 0)</f>
        <v>#N/A</v>
      </c>
      <c r="D96" s="23" t="str">
        <f t="shared" si="2"/>
        <v>#DIV/0!</v>
      </c>
      <c r="F96" s="45"/>
      <c r="H96" s="45"/>
      <c r="J96" s="45"/>
    </row>
    <row r="97">
      <c r="A97" s="22" t="s">
        <v>34</v>
      </c>
      <c r="B97" s="21" t="str">
        <f t="shared" si="1"/>
        <v>#DIV/0!</v>
      </c>
      <c r="C97" s="21" t="str">
        <f>VLOOKUP(A97, hash!A$2:B$500, 2, 0)</f>
        <v>63222c2fed58d92b843f7cbf</v>
      </c>
      <c r="D97" s="23" t="str">
        <f t="shared" si="2"/>
        <v>#DIV/0!</v>
      </c>
      <c r="F97" s="27"/>
      <c r="H97" s="27"/>
      <c r="J97" s="27"/>
    </row>
    <row r="98">
      <c r="A98" s="22" t="s">
        <v>458</v>
      </c>
      <c r="B98" s="21" t="str">
        <f t="shared" si="1"/>
        <v>#DIV/0!</v>
      </c>
      <c r="C98" s="21" t="str">
        <f>VLOOKUP(A98, hash!A$2:B$500, 2, 0)</f>
        <v>63222d94ed58d92b843f7cc0</v>
      </c>
      <c r="D98" s="23" t="str">
        <f t="shared" si="2"/>
        <v>#DIV/0!</v>
      </c>
      <c r="F98" s="45"/>
      <c r="H98" s="45"/>
      <c r="J98" s="45"/>
    </row>
    <row r="99">
      <c r="A99" s="22" t="s">
        <v>459</v>
      </c>
      <c r="B99" s="21" t="str">
        <f t="shared" si="1"/>
        <v>#DIV/0!</v>
      </c>
      <c r="C99" s="21" t="str">
        <f>VLOOKUP(A99, hash!A$2:B$500, 2, 0)</f>
        <v>63222da4562da848b695b882</v>
      </c>
      <c r="D99" s="23" t="str">
        <f t="shared" si="2"/>
        <v>#DIV/0!</v>
      </c>
      <c r="F99" s="45"/>
      <c r="H99" s="45"/>
      <c r="J99" s="45"/>
    </row>
    <row r="100">
      <c r="A100" s="22" t="s">
        <v>585</v>
      </c>
      <c r="B100" s="21" t="str">
        <f t="shared" si="1"/>
        <v>#DIV/0!</v>
      </c>
      <c r="C100" s="21" t="str">
        <f>VLOOKUP(A100, hash!A$2:B$500, 2, 0)</f>
        <v>#N/A</v>
      </c>
      <c r="D100" s="23" t="str">
        <f t="shared" si="2"/>
        <v>#DIV/0!</v>
      </c>
      <c r="F100" s="45"/>
      <c r="H100" s="45"/>
      <c r="J100" s="45"/>
    </row>
    <row r="101">
      <c r="A101" s="22" t="s">
        <v>460</v>
      </c>
      <c r="B101" s="21" t="str">
        <f t="shared" si="1"/>
        <v>#DIV/0!</v>
      </c>
      <c r="C101" s="21" t="str">
        <f>VLOOKUP(A101, hash!A$2:B$500, 2, 0)</f>
        <v>63222dc6a729a8363c093b6b</v>
      </c>
      <c r="D101" s="23" t="str">
        <f t="shared" si="2"/>
        <v>#DIV/0!</v>
      </c>
      <c r="F101" s="45"/>
      <c r="H101" s="45"/>
      <c r="J101" s="45"/>
    </row>
    <row r="102">
      <c r="A102" s="22" t="s">
        <v>436</v>
      </c>
      <c r="B102" s="21" t="str">
        <f t="shared" si="1"/>
        <v>#DIV/0!</v>
      </c>
      <c r="C102" s="21" t="str">
        <f>VLOOKUP(A102, hash!A$2:B$500, 2, 0)</f>
        <v>63222dd4a729a8363c093b6d</v>
      </c>
      <c r="D102" s="23" t="str">
        <f t="shared" si="2"/>
        <v>#DIV/0!</v>
      </c>
      <c r="F102" s="45"/>
      <c r="H102" s="27"/>
      <c r="J102" s="27"/>
    </row>
    <row r="103">
      <c r="A103" s="22" t="s">
        <v>461</v>
      </c>
      <c r="B103" s="21" t="str">
        <f t="shared" si="1"/>
        <v>#DIV/0!</v>
      </c>
      <c r="C103" s="21" t="str">
        <f>VLOOKUP(A103, hash!A$2:B$500, 2, 0)</f>
        <v>63222dd7a729a8363c093b6e</v>
      </c>
      <c r="D103" s="23" t="str">
        <f t="shared" si="2"/>
        <v>#DIV/0!</v>
      </c>
      <c r="F103" s="45"/>
      <c r="H103" s="45"/>
      <c r="J103" s="45"/>
    </row>
    <row r="104">
      <c r="A104" s="22" t="s">
        <v>462</v>
      </c>
      <c r="B104" s="21" t="str">
        <f t="shared" si="1"/>
        <v>#DIV/0!</v>
      </c>
      <c r="C104" s="21" t="str">
        <f>VLOOKUP(A104, hash!A$2:B$500, 2, 0)</f>
        <v>63222deca729a8363c093b71</v>
      </c>
      <c r="D104" s="23" t="str">
        <f t="shared" si="2"/>
        <v>#DIV/0!</v>
      </c>
      <c r="F104" s="45"/>
      <c r="H104" s="45"/>
      <c r="J104" s="45"/>
    </row>
    <row r="105">
      <c r="A105" s="22" t="s">
        <v>463</v>
      </c>
      <c r="B105" s="21" t="str">
        <f t="shared" si="1"/>
        <v>#DIV/0!</v>
      </c>
      <c r="C105" s="21" t="str">
        <f>VLOOKUP(A105, hash!A$2:B$500, 2, 0)</f>
        <v>63222e10ed58d92b843f7cca</v>
      </c>
      <c r="D105" s="23" t="str">
        <f t="shared" si="2"/>
        <v>#DIV/0!</v>
      </c>
      <c r="F105" s="45"/>
      <c r="H105" s="45"/>
      <c r="J105" s="45"/>
    </row>
    <row r="106">
      <c r="A106" s="22" t="s">
        <v>464</v>
      </c>
      <c r="B106" s="21" t="str">
        <f t="shared" si="1"/>
        <v>#DIV/0!</v>
      </c>
      <c r="C106" s="21" t="str">
        <f>VLOOKUP(A106, hash!A$2:B$500, 2, 0)</f>
        <v>63222e35ed58d92b843f7ccd</v>
      </c>
      <c r="D106" s="23" t="str">
        <f t="shared" si="2"/>
        <v>#DIV/0!</v>
      </c>
      <c r="F106" s="45"/>
      <c r="H106" s="45"/>
      <c r="J106" s="45"/>
    </row>
    <row r="107">
      <c r="A107" s="22" t="s">
        <v>465</v>
      </c>
      <c r="B107" s="21" t="str">
        <f t="shared" si="1"/>
        <v>#DIV/0!</v>
      </c>
      <c r="C107" s="21" t="str">
        <f>VLOOKUP(A107, hash!A$2:B$500, 2, 0)</f>
        <v>63222e3a116f680d68804fa8</v>
      </c>
      <c r="D107" s="23" t="str">
        <f t="shared" si="2"/>
        <v>#DIV/0!</v>
      </c>
      <c r="F107" s="45"/>
      <c r="H107" s="45"/>
      <c r="J107" s="45"/>
    </row>
    <row r="108">
      <c r="A108" s="22" t="s">
        <v>466</v>
      </c>
      <c r="B108" s="21" t="str">
        <f t="shared" si="1"/>
        <v>#DIV/0!</v>
      </c>
      <c r="C108" s="21" t="str">
        <f>VLOOKUP(A108, hash!A$2:B$500, 2, 0)</f>
        <v>63222fa8562da848b695b887</v>
      </c>
      <c r="D108" s="23" t="str">
        <f t="shared" si="2"/>
        <v>#DIV/0!</v>
      </c>
      <c r="F108" s="45"/>
      <c r="H108" s="45"/>
      <c r="J108" s="45"/>
    </row>
    <row r="109">
      <c r="A109" s="22" t="s">
        <v>586</v>
      </c>
      <c r="B109" s="21" t="str">
        <f t="shared" si="1"/>
        <v>#DIV/0!</v>
      </c>
      <c r="C109" s="21" t="str">
        <f>VLOOKUP(A109, hash!A$2:B$500, 2, 0)</f>
        <v>#N/A</v>
      </c>
      <c r="D109" s="23" t="str">
        <f t="shared" si="2"/>
        <v>#DIV/0!</v>
      </c>
      <c r="F109" s="45"/>
      <c r="H109" s="45"/>
      <c r="J109" s="45"/>
    </row>
    <row r="110">
      <c r="A110" s="22" t="s">
        <v>467</v>
      </c>
      <c r="B110" s="21" t="str">
        <f t="shared" si="1"/>
        <v>#DIV/0!</v>
      </c>
      <c r="C110" s="21" t="str">
        <f>VLOOKUP(A110, hash!A$2:B$500, 2, 0)</f>
        <v>6329051b0c14e4fbd2ecace8</v>
      </c>
      <c r="D110" s="23" t="str">
        <f t="shared" si="2"/>
        <v>#DIV/0!</v>
      </c>
      <c r="F110" s="45"/>
      <c r="H110" s="45"/>
      <c r="J110" s="45"/>
    </row>
    <row r="111">
      <c r="A111" s="22" t="s">
        <v>468</v>
      </c>
      <c r="B111" s="21" t="str">
        <f t="shared" si="1"/>
        <v>#DIV/0!</v>
      </c>
      <c r="C111" s="21" t="str">
        <f>VLOOKUP(A111, hash!A$2:B$500, 2, 0)</f>
        <v>632b580f43e430c49f17d5dc</v>
      </c>
      <c r="D111" s="23" t="str">
        <f t="shared" si="2"/>
        <v>#DIV/0!</v>
      </c>
      <c r="F111" s="45"/>
      <c r="H111" s="45"/>
      <c r="J111" s="45"/>
    </row>
    <row r="112">
      <c r="A112" s="22" t="s">
        <v>469</v>
      </c>
      <c r="B112" s="21" t="str">
        <f t="shared" si="1"/>
        <v>#DIV/0!</v>
      </c>
      <c r="C112" s="21" t="str">
        <f>VLOOKUP(A112, hash!A$2:B$500, 2, 0)</f>
        <v>632b58290801926c6f0d9a37</v>
      </c>
      <c r="D112" s="23" t="str">
        <f t="shared" si="2"/>
        <v>#DIV/0!</v>
      </c>
      <c r="F112" s="45"/>
      <c r="H112" s="45"/>
      <c r="J112" s="45"/>
    </row>
    <row r="113">
      <c r="A113" s="22" t="s">
        <v>470</v>
      </c>
      <c r="B113" s="21" t="str">
        <f t="shared" si="1"/>
        <v>#DIV/0!</v>
      </c>
      <c r="C113" s="21" t="str">
        <f>VLOOKUP(A113, hash!A$2:B$500, 2, 0)</f>
        <v>632b5867c396d0088321be3a</v>
      </c>
      <c r="D113" s="23" t="str">
        <f t="shared" si="2"/>
        <v>#DIV/0!</v>
      </c>
      <c r="F113" s="45"/>
      <c r="H113" s="45"/>
      <c r="J113" s="45"/>
    </row>
    <row r="114">
      <c r="A114" s="22" t="s">
        <v>587</v>
      </c>
      <c r="B114" s="21" t="str">
        <f t="shared" si="1"/>
        <v>#DIV/0!</v>
      </c>
      <c r="C114" s="21" t="str">
        <f>VLOOKUP(A114, hash!A$2:B$500, 2, 0)</f>
        <v>#N/A</v>
      </c>
      <c r="D114" s="23" t="str">
        <f t="shared" si="2"/>
        <v>#DIV/0!</v>
      </c>
      <c r="F114" s="45"/>
      <c r="H114" s="45"/>
      <c r="J114" s="45"/>
    </row>
    <row r="115">
      <c r="A115" s="22" t="s">
        <v>471</v>
      </c>
      <c r="B115" s="21" t="str">
        <f t="shared" si="1"/>
        <v>#DIV/0!</v>
      </c>
      <c r="C115" s="21" t="str">
        <f>VLOOKUP(A115, hash!A$2:B$500, 2, 0)</f>
        <v>632b592764f599396d113b28</v>
      </c>
      <c r="D115" s="23" t="str">
        <f t="shared" si="2"/>
        <v>#DIV/0!</v>
      </c>
      <c r="F115" s="45"/>
      <c r="H115" s="45"/>
      <c r="J115" s="45"/>
    </row>
    <row r="116">
      <c r="A116" s="22" t="s">
        <v>588</v>
      </c>
      <c r="B116" s="21" t="str">
        <f t="shared" si="1"/>
        <v>#DIV/0!</v>
      </c>
      <c r="C116" s="21" t="str">
        <f>VLOOKUP(A116, hash!A$2:B$500, 2, 0)</f>
        <v>#N/A</v>
      </c>
      <c r="D116" s="23" t="str">
        <f t="shared" si="2"/>
        <v>#DIV/0!</v>
      </c>
      <c r="F116" s="45"/>
      <c r="H116" s="45"/>
      <c r="J116" s="45"/>
    </row>
    <row r="117">
      <c r="A117" s="22" t="s">
        <v>589</v>
      </c>
      <c r="B117" s="21" t="str">
        <f t="shared" si="1"/>
        <v>#DIV/0!</v>
      </c>
      <c r="C117" s="21" t="str">
        <f>VLOOKUP(A117, hash!A$2:B$500, 2, 0)</f>
        <v>#N/A</v>
      </c>
      <c r="D117" s="23" t="str">
        <f t="shared" si="2"/>
        <v>#DIV/0!</v>
      </c>
      <c r="F117" s="45"/>
      <c r="H117" s="45"/>
      <c r="J117" s="45"/>
    </row>
    <row r="118">
      <c r="A118" s="22" t="s">
        <v>590</v>
      </c>
      <c r="B118" s="21" t="str">
        <f t="shared" si="1"/>
        <v>#DIV/0!</v>
      </c>
      <c r="C118" s="21" t="str">
        <f>VLOOKUP(A118, hash!A$2:B$500, 2, 0)</f>
        <v>#N/A</v>
      </c>
      <c r="D118" s="23" t="str">
        <f t="shared" si="2"/>
        <v>#DIV/0!</v>
      </c>
      <c r="F118" s="45"/>
      <c r="H118" s="45"/>
      <c r="J118" s="45"/>
    </row>
    <row r="119">
      <c r="A119" s="22" t="s">
        <v>591</v>
      </c>
      <c r="B119" s="21" t="str">
        <f t="shared" si="1"/>
        <v>#DIV/0!</v>
      </c>
      <c r="C119" s="21" t="str">
        <f>VLOOKUP(A119, hash!A$2:B$500, 2, 0)</f>
        <v>#N/A</v>
      </c>
      <c r="D119" s="23" t="str">
        <f t="shared" si="2"/>
        <v>#DIV/0!</v>
      </c>
      <c r="F119" s="45"/>
      <c r="H119" s="45"/>
      <c r="J119" s="45"/>
    </row>
    <row r="120">
      <c r="A120" s="22" t="s">
        <v>592</v>
      </c>
      <c r="B120" s="21" t="str">
        <f t="shared" si="1"/>
        <v>#DIV/0!</v>
      </c>
      <c r="C120" s="21" t="str">
        <f>VLOOKUP(A120, hash!A$2:B$500, 2, 0)</f>
        <v>#N/A</v>
      </c>
      <c r="D120" s="23" t="str">
        <f t="shared" si="2"/>
        <v>#DIV/0!</v>
      </c>
      <c r="F120" s="45"/>
      <c r="H120" s="45"/>
      <c r="J120" s="45"/>
    </row>
    <row r="121">
      <c r="A121" s="22" t="s">
        <v>472</v>
      </c>
      <c r="B121" s="21" t="str">
        <f t="shared" si="1"/>
        <v>#DIV/0!</v>
      </c>
      <c r="C121" s="21" t="str">
        <f>VLOOKUP(A121, hash!A$2:B$500, 2, 0)</f>
        <v>632b659ebfb5f9d04c8cca40</v>
      </c>
      <c r="D121" s="23" t="str">
        <f t="shared" si="2"/>
        <v>#DIV/0!</v>
      </c>
      <c r="F121" s="45"/>
      <c r="H121" s="45"/>
      <c r="J121" s="45"/>
    </row>
    <row r="122">
      <c r="A122" s="22" t="s">
        <v>473</v>
      </c>
      <c r="B122" s="21" t="str">
        <f t="shared" si="1"/>
        <v>#DIV/0!</v>
      </c>
      <c r="C122" s="21" t="str">
        <f>VLOOKUP(A122, hash!A$2:B$500, 2, 0)</f>
        <v>63332820dde72043c98a24b0</v>
      </c>
      <c r="D122" s="23" t="str">
        <f t="shared" si="2"/>
        <v>#DIV/0!</v>
      </c>
      <c r="F122" s="45"/>
      <c r="H122" s="45"/>
      <c r="J122" s="45"/>
    </row>
    <row r="123">
      <c r="A123" s="22" t="s">
        <v>474</v>
      </c>
      <c r="B123" s="21" t="str">
        <f t="shared" si="1"/>
        <v>#DIV/0!</v>
      </c>
      <c r="C123" s="21" t="str">
        <f>VLOOKUP(A123, hash!A$2:B$500, 2, 0)</f>
        <v>6334930daf5a29e196628f54</v>
      </c>
      <c r="D123" s="23" t="str">
        <f t="shared" si="2"/>
        <v>#DIV/0!</v>
      </c>
      <c r="F123" s="45"/>
      <c r="H123" s="45"/>
      <c r="J123" s="45"/>
    </row>
    <row r="124">
      <c r="A124" s="22" t="s">
        <v>593</v>
      </c>
      <c r="B124" s="21" t="str">
        <f t="shared" si="1"/>
        <v>#DIV/0!</v>
      </c>
      <c r="C124" s="21" t="str">
        <f>VLOOKUP(A124, hash!A$2:B$500, 2, 0)</f>
        <v>#N/A</v>
      </c>
      <c r="D124" s="23" t="str">
        <f t="shared" si="2"/>
        <v>#DIV/0!</v>
      </c>
      <c r="F124" s="45"/>
      <c r="H124" s="45"/>
      <c r="J124" s="45"/>
    </row>
    <row r="125">
      <c r="A125" s="22" t="s">
        <v>510</v>
      </c>
      <c r="B125" s="21" t="str">
        <f t="shared" si="1"/>
        <v>#DIV/0!</v>
      </c>
      <c r="C125" s="21" t="str">
        <f>VLOOKUP(A125, hash!A$2:B$500, 2, 0)</f>
        <v>6334931c5db42318c75b941a</v>
      </c>
      <c r="D125" s="23" t="str">
        <f t="shared" si="2"/>
        <v>#DIV/0!</v>
      </c>
      <c r="F125" s="45"/>
      <c r="H125" s="45"/>
      <c r="J125" s="45"/>
    </row>
    <row r="126">
      <c r="A126" s="22" t="s">
        <v>475</v>
      </c>
      <c r="B126" s="21" t="str">
        <f t="shared" si="1"/>
        <v>#DIV/0!</v>
      </c>
      <c r="C126" s="21" t="str">
        <f>VLOOKUP(A126, hash!A$2:B$500, 2, 0)</f>
        <v>6334934ee801712b31d25536</v>
      </c>
      <c r="D126" s="23" t="str">
        <f t="shared" si="2"/>
        <v>#DIV/0!</v>
      </c>
      <c r="F126" s="45"/>
      <c r="H126" s="45"/>
      <c r="J126" s="45"/>
    </row>
    <row r="127">
      <c r="A127" s="22" t="s">
        <v>476</v>
      </c>
      <c r="B127" s="21" t="str">
        <f t="shared" si="1"/>
        <v>#DIV/0!</v>
      </c>
      <c r="C127" s="21" t="str">
        <f>VLOOKUP(A127, hash!A$2:B$500, 2, 0)</f>
        <v>63349f8e3a8dbca7ef791374</v>
      </c>
      <c r="D127" s="23" t="str">
        <f t="shared" si="2"/>
        <v>#DIV/0!</v>
      </c>
      <c r="F127" s="45"/>
      <c r="H127" s="45"/>
      <c r="J127" s="45"/>
    </row>
    <row r="128">
      <c r="A128" s="22" t="s">
        <v>594</v>
      </c>
      <c r="B128" s="21" t="str">
        <f t="shared" si="1"/>
        <v>#DIV/0!</v>
      </c>
      <c r="C128" s="21" t="str">
        <f>VLOOKUP(A128, hash!A$2:B$500, 2, 0)</f>
        <v>#N/A</v>
      </c>
      <c r="D128" s="23" t="str">
        <f t="shared" si="2"/>
        <v>#DIV/0!</v>
      </c>
      <c r="F128" s="27"/>
      <c r="H128" s="45"/>
      <c r="J128" s="45"/>
    </row>
    <row r="129">
      <c r="A129" s="22" t="s">
        <v>477</v>
      </c>
      <c r="B129" s="21" t="str">
        <f t="shared" si="1"/>
        <v>#DIV/0!</v>
      </c>
      <c r="C129" s="21" t="str">
        <f>VLOOKUP(A129, hash!A$2:B$500, 2, 0)</f>
        <v>63349f9a3a8dbca7ef791375</v>
      </c>
      <c r="D129" s="23" t="str">
        <f t="shared" si="2"/>
        <v>#DIV/0!</v>
      </c>
      <c r="F129" s="45"/>
      <c r="H129" s="45"/>
      <c r="J129" s="45"/>
    </row>
    <row r="130">
      <c r="A130" s="22" t="s">
        <v>478</v>
      </c>
      <c r="B130" s="21" t="str">
        <f t="shared" si="1"/>
        <v>#DIV/0!</v>
      </c>
      <c r="C130" s="21" t="str">
        <f>VLOOKUP(A130, hash!A$2:B$500, 2, 0)</f>
        <v>633b2944907d3b0ce904b02f</v>
      </c>
      <c r="D130" s="23" t="str">
        <f t="shared" si="2"/>
        <v>#DIV/0!</v>
      </c>
      <c r="F130" s="45"/>
      <c r="H130" s="45"/>
      <c r="J130" s="45"/>
    </row>
    <row r="131">
      <c r="A131" s="22" t="s">
        <v>595</v>
      </c>
      <c r="B131" s="21" t="str">
        <f t="shared" si="1"/>
        <v>#DIV/0!</v>
      </c>
      <c r="C131" s="21" t="str">
        <f>VLOOKUP(A131, hash!A$2:B$500, 2, 0)</f>
        <v>#N/A</v>
      </c>
      <c r="D131" s="23" t="str">
        <f t="shared" si="2"/>
        <v>#DIV/0!</v>
      </c>
      <c r="F131" s="45"/>
      <c r="H131" s="45"/>
      <c r="J131" s="45"/>
    </row>
    <row r="132">
      <c r="A132" s="22" t="s">
        <v>479</v>
      </c>
      <c r="B132" s="21" t="str">
        <f t="shared" si="1"/>
        <v>#DIV/0!</v>
      </c>
      <c r="C132" s="21" t="str">
        <f>VLOOKUP(A132, hash!A$2:B$500, 2, 0)</f>
        <v>633b296e907d3b0ce904b03b</v>
      </c>
      <c r="D132" s="23" t="str">
        <f t="shared" si="2"/>
        <v>#DIV/0!</v>
      </c>
      <c r="F132" s="45"/>
      <c r="H132" s="45"/>
      <c r="J132" s="45"/>
    </row>
    <row r="133">
      <c r="A133" s="22" t="s">
        <v>596</v>
      </c>
      <c r="B133" s="21" t="str">
        <f t="shared" si="1"/>
        <v>#DIV/0!</v>
      </c>
      <c r="C133" s="21" t="str">
        <f>VLOOKUP(A133, hash!A$2:B$500, 2, 0)</f>
        <v>#N/A</v>
      </c>
      <c r="D133" s="23" t="str">
        <f t="shared" si="2"/>
        <v>#DIV/0!</v>
      </c>
      <c r="F133" s="45"/>
      <c r="H133" s="45"/>
      <c r="J133" s="27"/>
    </row>
    <row r="134">
      <c r="A134" s="22" t="s">
        <v>480</v>
      </c>
      <c r="B134" s="21" t="str">
        <f t="shared" si="1"/>
        <v>#DIV/0!</v>
      </c>
      <c r="C134" s="21" t="str">
        <f>VLOOKUP(A134, hash!A$2:B$500, 2, 0)</f>
        <v>633b33dde2076b371abb58dd</v>
      </c>
      <c r="D134" s="23" t="str">
        <f t="shared" si="2"/>
        <v>#DIV/0!</v>
      </c>
      <c r="F134" s="45"/>
      <c r="H134" s="45"/>
      <c r="J134" s="45"/>
    </row>
    <row r="135">
      <c r="A135" s="22" t="s">
        <v>481</v>
      </c>
      <c r="B135" s="21" t="str">
        <f t="shared" si="1"/>
        <v>#DIV/0!</v>
      </c>
      <c r="C135" s="21" t="str">
        <f>VLOOKUP(A135, hash!A$2:B$500, 2, 0)</f>
        <v>633b36b4e2076b371abb58ed</v>
      </c>
      <c r="D135" s="23" t="str">
        <f t="shared" si="2"/>
        <v>#DIV/0!</v>
      </c>
      <c r="F135" s="45"/>
      <c r="H135" s="45"/>
      <c r="J135" s="45"/>
    </row>
    <row r="136">
      <c r="A136" s="22" t="s">
        <v>597</v>
      </c>
      <c r="B136" s="21" t="str">
        <f t="shared" si="1"/>
        <v>#DIV/0!</v>
      </c>
      <c r="C136" s="21" t="str">
        <f>VLOOKUP(A136, hash!A$2:B$500, 2, 0)</f>
        <v>#N/A</v>
      </c>
      <c r="D136" s="23" t="str">
        <f t="shared" si="2"/>
        <v>#DIV/0!</v>
      </c>
      <c r="F136" s="45"/>
      <c r="H136" s="45"/>
      <c r="J136" s="45"/>
    </row>
    <row r="137">
      <c r="A137" s="22" t="s">
        <v>598</v>
      </c>
      <c r="B137" s="21" t="str">
        <f t="shared" si="1"/>
        <v>#DIV/0!</v>
      </c>
      <c r="C137" s="21" t="str">
        <f>VLOOKUP(A137, hash!A$2:B$500, 2, 0)</f>
        <v>#N/A</v>
      </c>
      <c r="D137" s="23" t="str">
        <f t="shared" si="2"/>
        <v>#DIV/0!</v>
      </c>
      <c r="F137" s="45"/>
      <c r="H137" s="45"/>
      <c r="J137" s="45"/>
    </row>
    <row r="138">
      <c r="A138" s="22" t="s">
        <v>599</v>
      </c>
      <c r="B138" s="21" t="str">
        <f t="shared" si="1"/>
        <v>#DIV/0!</v>
      </c>
      <c r="C138" s="21" t="str">
        <f>VLOOKUP(A138, hash!A$2:B$500, 2, 0)</f>
        <v>#N/A</v>
      </c>
      <c r="D138" s="23" t="str">
        <f t="shared" si="2"/>
        <v>#DIV/0!</v>
      </c>
      <c r="F138" s="45"/>
      <c r="H138" s="45"/>
      <c r="J138" s="45"/>
    </row>
    <row r="139">
      <c r="A139" s="22" t="s">
        <v>600</v>
      </c>
      <c r="B139" s="21" t="str">
        <f t="shared" si="1"/>
        <v>#DIV/0!</v>
      </c>
      <c r="C139" s="21" t="str">
        <f>VLOOKUP(A139, hash!A$2:B$500, 2, 0)</f>
        <v>#N/A</v>
      </c>
      <c r="D139" s="23" t="str">
        <f t="shared" si="2"/>
        <v>#DIV/0!</v>
      </c>
      <c r="F139" s="45"/>
      <c r="H139" s="45"/>
      <c r="J139" s="45"/>
    </row>
    <row r="140">
      <c r="A140" s="22" t="s">
        <v>601</v>
      </c>
      <c r="B140" s="21" t="str">
        <f t="shared" si="1"/>
        <v>#DIV/0!</v>
      </c>
      <c r="C140" s="21" t="str">
        <f>VLOOKUP(A140, hash!A$2:B$500, 2, 0)</f>
        <v>#N/A</v>
      </c>
      <c r="D140" s="23" t="str">
        <f t="shared" si="2"/>
        <v>#DIV/0!</v>
      </c>
      <c r="F140" s="45"/>
      <c r="H140" s="45"/>
      <c r="J140" s="45"/>
    </row>
    <row r="141">
      <c r="A141" s="22" t="s">
        <v>482</v>
      </c>
      <c r="B141" s="21" t="str">
        <f t="shared" si="1"/>
        <v>#DIV/0!</v>
      </c>
      <c r="C141" s="21" t="str">
        <f>VLOOKUP(A141, hash!A$2:B$500, 2, 0)</f>
        <v>634ebd057dcff4d8aaf60ecd</v>
      </c>
      <c r="D141" s="23" t="str">
        <f t="shared" si="2"/>
        <v>#DIV/0!</v>
      </c>
      <c r="F141" s="45"/>
      <c r="H141" s="45"/>
      <c r="J141" s="45"/>
    </row>
    <row r="142">
      <c r="A142" s="22" t="s">
        <v>483</v>
      </c>
      <c r="B142" s="21" t="str">
        <f t="shared" si="1"/>
        <v>#DIV/0!</v>
      </c>
      <c r="C142" s="21" t="str">
        <f>VLOOKUP(A142, hash!A$2:B$500, 2, 0)</f>
        <v>6350260e6b84e6835b7bdb10</v>
      </c>
      <c r="D142" s="23" t="str">
        <f t="shared" si="2"/>
        <v>#DIV/0!</v>
      </c>
      <c r="F142" s="45"/>
      <c r="H142" s="45"/>
      <c r="J142" s="45"/>
    </row>
    <row r="143">
      <c r="A143" s="22" t="s">
        <v>484</v>
      </c>
      <c r="B143" s="21" t="str">
        <f t="shared" si="1"/>
        <v>#DIV/0!</v>
      </c>
      <c r="C143" s="21" t="str">
        <f>VLOOKUP(A143, hash!A$2:B$500, 2, 0)</f>
        <v>635041d40aaa9d7642b16a2a</v>
      </c>
      <c r="D143" s="23" t="str">
        <f t="shared" si="2"/>
        <v>#DIV/0!</v>
      </c>
      <c r="F143" s="45"/>
      <c r="H143" s="45"/>
      <c r="J143" s="45"/>
    </row>
    <row r="144">
      <c r="A144" s="22" t="s">
        <v>485</v>
      </c>
      <c r="B144" s="21" t="str">
        <f t="shared" si="1"/>
        <v>#DIV/0!</v>
      </c>
      <c r="C144" s="21" t="str">
        <f>VLOOKUP(A144, hash!A$2:B$500, 2, 0)</f>
        <v>63504cfc4e941e57f7932609</v>
      </c>
      <c r="D144" s="23" t="str">
        <f t="shared" si="2"/>
        <v>#DIV/0!</v>
      </c>
      <c r="F144" s="45"/>
      <c r="H144" s="45"/>
      <c r="J144" s="45"/>
    </row>
    <row r="145">
      <c r="A145" s="22" t="s">
        <v>486</v>
      </c>
      <c r="B145" s="21" t="str">
        <f t="shared" si="1"/>
        <v>#DIV/0!</v>
      </c>
      <c r="C145" s="21" t="str">
        <f>VLOOKUP(A145, hash!A$2:B$500, 2, 0)</f>
        <v>63504d21680a31686694f409</v>
      </c>
      <c r="D145" s="23" t="str">
        <f t="shared" si="2"/>
        <v>#DIV/0!</v>
      </c>
      <c r="F145" s="45"/>
      <c r="H145" s="45"/>
      <c r="J145" s="45"/>
    </row>
    <row r="146">
      <c r="A146" s="22" t="s">
        <v>487</v>
      </c>
      <c r="B146" s="21" t="str">
        <f t="shared" si="1"/>
        <v>#DIV/0!</v>
      </c>
      <c r="C146" s="21" t="str">
        <f>VLOOKUP(A146, hash!A$2:B$500, 2, 0)</f>
        <v>63504d993b59fc8152ddcd16</v>
      </c>
      <c r="D146" s="23" t="str">
        <f t="shared" si="2"/>
        <v>#DIV/0!</v>
      </c>
      <c r="F146" s="45"/>
      <c r="H146" s="45"/>
      <c r="J146" s="45"/>
    </row>
    <row r="147">
      <c r="A147" s="22" t="s">
        <v>488</v>
      </c>
      <c r="B147" s="21" t="str">
        <f t="shared" si="1"/>
        <v>#DIV/0!</v>
      </c>
      <c r="C147" s="21" t="str">
        <f>VLOOKUP(A147, hash!A$2:B$500, 2, 0)</f>
        <v>63504f2bf3c9b5fc221a8b0b</v>
      </c>
      <c r="D147" s="23" t="str">
        <f t="shared" si="2"/>
        <v>#DIV/0!</v>
      </c>
      <c r="F147" s="45"/>
      <c r="H147" s="45"/>
      <c r="J147" s="45"/>
    </row>
    <row r="148">
      <c r="A148" s="22" t="s">
        <v>489</v>
      </c>
      <c r="B148" s="21" t="str">
        <f t="shared" si="1"/>
        <v>#DIV/0!</v>
      </c>
      <c r="C148" s="21" t="str">
        <f>VLOOKUP(A148, hash!A$2:B$500, 2, 0)</f>
        <v>63505039f3c9b5fc221a8b11</v>
      </c>
      <c r="D148" s="23" t="str">
        <f t="shared" si="2"/>
        <v>#DIV/0!</v>
      </c>
      <c r="F148" s="45"/>
      <c r="H148" s="45"/>
      <c r="J148" s="45"/>
    </row>
    <row r="149">
      <c r="A149" s="22" t="s">
        <v>490</v>
      </c>
      <c r="B149" s="21" t="str">
        <f t="shared" si="1"/>
        <v>#DIV/0!</v>
      </c>
      <c r="C149" s="21" t="str">
        <f>VLOOKUP(A149, hash!A$2:B$500, 2, 0)</f>
        <v>6350508cf3c9b5fc221a8b14</v>
      </c>
      <c r="D149" s="23" t="str">
        <f t="shared" si="2"/>
        <v>#DIV/0!</v>
      </c>
      <c r="F149" s="45"/>
      <c r="H149" s="45"/>
      <c r="J149" s="45"/>
    </row>
    <row r="150">
      <c r="A150" s="22" t="s">
        <v>491</v>
      </c>
      <c r="B150" s="21" t="str">
        <f t="shared" si="1"/>
        <v>#DIV/0!</v>
      </c>
      <c r="C150" s="21" t="str">
        <f>VLOOKUP(A150, hash!A$2:B$500, 2, 0)</f>
        <v>635052bcd5280881c6468696</v>
      </c>
      <c r="D150" s="23" t="str">
        <f t="shared" si="2"/>
        <v>#DIV/0!</v>
      </c>
      <c r="F150" s="45"/>
      <c r="H150" s="45"/>
      <c r="J150" s="45"/>
    </row>
    <row r="151">
      <c r="A151" s="22" t="s">
        <v>492</v>
      </c>
      <c r="B151" s="21" t="str">
        <f t="shared" si="1"/>
        <v>#DIV/0!</v>
      </c>
      <c r="C151" s="21" t="str">
        <f>VLOOKUP(A151, hash!A$2:B$500, 2, 0)</f>
        <v>635053873b59fc8152ddcd3f</v>
      </c>
      <c r="D151" s="23" t="str">
        <f t="shared" si="2"/>
        <v>#DIV/0!</v>
      </c>
      <c r="F151" s="45"/>
      <c r="H151" s="45"/>
      <c r="J151" s="45"/>
    </row>
    <row r="152">
      <c r="A152" s="22" t="s">
        <v>493</v>
      </c>
      <c r="B152" s="21" t="str">
        <f t="shared" si="1"/>
        <v>#DIV/0!</v>
      </c>
      <c r="C152" s="21" t="str">
        <f>VLOOKUP(A152, hash!A$2:B$500, 2, 0)</f>
        <v>6350549ca87d74ab21f25e75</v>
      </c>
      <c r="D152" s="23" t="str">
        <f t="shared" si="2"/>
        <v>#DIV/0!</v>
      </c>
      <c r="F152" s="45"/>
      <c r="H152" s="45"/>
      <c r="J152" s="45"/>
    </row>
    <row r="153">
      <c r="A153" s="22" t="s">
        <v>602</v>
      </c>
      <c r="B153" s="21" t="str">
        <f t="shared" si="1"/>
        <v>#DIV/0!</v>
      </c>
      <c r="C153" s="21" t="str">
        <f>VLOOKUP(A153, hash!A$2:B$500, 2, 0)</f>
        <v>#N/A</v>
      </c>
      <c r="D153" s="23" t="str">
        <f t="shared" si="2"/>
        <v>#DIV/0!</v>
      </c>
      <c r="F153" s="45"/>
      <c r="H153" s="45"/>
      <c r="J153" s="45"/>
    </row>
    <row r="154">
      <c r="A154" s="22" t="s">
        <v>494</v>
      </c>
      <c r="B154" s="21" t="str">
        <f t="shared" si="1"/>
        <v>#DIV/0!</v>
      </c>
      <c r="C154" s="21" t="str">
        <f>VLOOKUP(A154, hash!A$2:B$500, 2, 0)</f>
        <v>63529e993c9eeacf2b95884e</v>
      </c>
      <c r="D154" s="23" t="str">
        <f t="shared" si="2"/>
        <v>#DIV/0!</v>
      </c>
      <c r="F154" s="45"/>
      <c r="H154" s="45"/>
      <c r="J154" s="45"/>
    </row>
    <row r="155">
      <c r="A155" s="22" t="s">
        <v>495</v>
      </c>
      <c r="B155" s="21" t="str">
        <f t="shared" si="1"/>
        <v>#DIV/0!</v>
      </c>
      <c r="C155" s="21" t="str">
        <f>VLOOKUP(A155, hash!A$2:B$500, 2, 0)</f>
        <v>63597cb9a9e578282a60ad9d</v>
      </c>
      <c r="D155" s="23" t="str">
        <f t="shared" si="2"/>
        <v>#DIV/0!</v>
      </c>
      <c r="F155" s="45"/>
      <c r="H155" s="45"/>
      <c r="J155" s="45"/>
    </row>
    <row r="156">
      <c r="A156" s="22" t="s">
        <v>603</v>
      </c>
      <c r="B156" s="21" t="str">
        <f t="shared" si="1"/>
        <v>#DIV/0!</v>
      </c>
      <c r="C156" s="21" t="str">
        <f>VLOOKUP(A156, hash!A$2:B$500, 2, 0)</f>
        <v>#N/A</v>
      </c>
      <c r="D156" s="23" t="str">
        <f t="shared" si="2"/>
        <v>#DIV/0!</v>
      </c>
      <c r="F156" s="45"/>
      <c r="H156" s="45"/>
      <c r="J156" s="45"/>
    </row>
    <row r="157">
      <c r="A157" s="22" t="s">
        <v>101</v>
      </c>
      <c r="B157" s="21" t="str">
        <f t="shared" si="1"/>
        <v>#DIV/0!</v>
      </c>
      <c r="C157" s="21" t="str">
        <f>VLOOKUP(A157, hash!A$2:B$500, 2, 0)</f>
        <v>6362864bd6615019231bd3fc</v>
      </c>
      <c r="D157" s="23" t="str">
        <f t="shared" si="2"/>
        <v>#DIV/0!</v>
      </c>
      <c r="F157" s="45"/>
      <c r="H157" s="45"/>
      <c r="J157" s="45"/>
    </row>
    <row r="158">
      <c r="A158" s="22" t="s">
        <v>102</v>
      </c>
      <c r="B158" s="21" t="str">
        <f t="shared" si="1"/>
        <v>#DIV/0!</v>
      </c>
      <c r="C158" s="21" t="str">
        <f>VLOOKUP(A158, hash!A$2:B$500, 2, 0)</f>
        <v>6362b77fe777ad6bbb240412</v>
      </c>
      <c r="D158" s="23" t="str">
        <f t="shared" si="2"/>
        <v>#DIV/0!</v>
      </c>
      <c r="F158" s="45"/>
      <c r="H158" s="45"/>
      <c r="J158" s="45"/>
    </row>
    <row r="159">
      <c r="A159" s="22" t="s">
        <v>604</v>
      </c>
      <c r="B159" s="21" t="str">
        <f t="shared" si="1"/>
        <v>#DIV/0!</v>
      </c>
      <c r="C159" s="21" t="str">
        <f>VLOOKUP(A159, hash!A$2:B$500, 2, 0)</f>
        <v>#N/A</v>
      </c>
      <c r="D159" s="23" t="str">
        <f t="shared" si="2"/>
        <v>#DIV/0!</v>
      </c>
      <c r="F159" s="45"/>
      <c r="H159" s="45"/>
      <c r="J159" s="45"/>
    </row>
    <row r="160">
      <c r="A160" s="22" t="s">
        <v>103</v>
      </c>
      <c r="B160" s="21" t="str">
        <f t="shared" si="1"/>
        <v>#DIV/0!</v>
      </c>
      <c r="C160" s="21" t="str">
        <f>VLOOKUP(A160, hash!A$2:B$500, 2, 0)</f>
        <v>6376b58661fba9785d07416f</v>
      </c>
      <c r="D160" s="23" t="str">
        <f t="shared" si="2"/>
        <v>#DIV/0!</v>
      </c>
      <c r="F160" s="45"/>
      <c r="H160" s="45"/>
      <c r="J160" s="45"/>
    </row>
    <row r="161">
      <c r="A161" s="22" t="s">
        <v>605</v>
      </c>
      <c r="B161" s="21" t="str">
        <f t="shared" si="1"/>
        <v>#DIV/0!</v>
      </c>
      <c r="C161" s="21" t="str">
        <f>VLOOKUP(A161, hash!A$2:B$500, 2, 0)</f>
        <v>#N/A</v>
      </c>
      <c r="D161" s="23" t="str">
        <f t="shared" si="2"/>
        <v>#DIV/0!</v>
      </c>
      <c r="F161" s="45"/>
      <c r="H161" s="45"/>
      <c r="J161" s="45"/>
    </row>
    <row r="162">
      <c r="A162" s="22" t="s">
        <v>606</v>
      </c>
      <c r="B162" s="21" t="str">
        <f t="shared" si="1"/>
        <v>#DIV/0!</v>
      </c>
      <c r="C162" s="21" t="str">
        <f>VLOOKUP(A162, hash!A$2:B$500, 2, 0)</f>
        <v>#N/A</v>
      </c>
      <c r="D162" s="23" t="str">
        <f t="shared" si="2"/>
        <v>#DIV/0!</v>
      </c>
      <c r="F162" s="45"/>
      <c r="H162" s="45"/>
      <c r="J162" s="45"/>
    </row>
    <row r="163">
      <c r="A163" s="22" t="s">
        <v>104</v>
      </c>
      <c r="B163" s="21" t="str">
        <f t="shared" si="1"/>
        <v>#DIV/0!</v>
      </c>
      <c r="C163" s="21" t="str">
        <f>VLOOKUP(A163, hash!A$2:B$500, 2, 0)</f>
        <v>6387bb73c1e51a839dd5a996</v>
      </c>
      <c r="D163" s="23" t="str">
        <f t="shared" si="2"/>
        <v>#DIV/0!</v>
      </c>
      <c r="F163" s="45"/>
      <c r="H163" s="45"/>
      <c r="J163" s="45"/>
    </row>
    <row r="164">
      <c r="A164" s="22" t="s">
        <v>105</v>
      </c>
      <c r="B164" s="21" t="str">
        <f t="shared" si="1"/>
        <v>#DIV/0!</v>
      </c>
      <c r="C164" s="21" t="str">
        <f>VLOOKUP(A164, hash!A$2:B$500, 2, 0)</f>
        <v>6387bbc6c1e51a839dd5a9a4</v>
      </c>
      <c r="D164" s="23" t="str">
        <f t="shared" si="2"/>
        <v>#DIV/0!</v>
      </c>
      <c r="F164" s="45"/>
      <c r="H164" s="45"/>
      <c r="J164" s="45"/>
    </row>
    <row r="165">
      <c r="A165" s="22" t="s">
        <v>106</v>
      </c>
      <c r="B165" s="21" t="str">
        <f t="shared" si="1"/>
        <v>#DIV/0!</v>
      </c>
      <c r="C165" s="21" t="str">
        <f>VLOOKUP(A165, hash!A$2:B$500, 2, 0)</f>
        <v>639a2e9e3b748bad962c153c</v>
      </c>
      <c r="D165" s="23" t="str">
        <f t="shared" si="2"/>
        <v>#DIV/0!</v>
      </c>
      <c r="F165" s="45"/>
      <c r="H165" s="45"/>
      <c r="J165" s="45"/>
    </row>
    <row r="166">
      <c r="A166" s="22" t="s">
        <v>107</v>
      </c>
      <c r="B166" s="21" t="str">
        <f t="shared" si="1"/>
        <v>#DIV/0!</v>
      </c>
      <c r="C166" s="21" t="str">
        <f>VLOOKUP(A166, hash!A$2:B$500, 2, 0)</f>
        <v>63b5d35a964a47f092354843</v>
      </c>
      <c r="D166" s="23" t="str">
        <f t="shared" si="2"/>
        <v>#DIV/0!</v>
      </c>
      <c r="F166" s="45"/>
      <c r="H166" s="45"/>
      <c r="J166" s="45"/>
    </row>
    <row r="167">
      <c r="A167" s="22" t="s">
        <v>108</v>
      </c>
      <c r="B167" s="21" t="str">
        <f t="shared" si="1"/>
        <v>#DIV/0!</v>
      </c>
      <c r="C167" s="21" t="str">
        <f>VLOOKUP(A167, hash!A$2:B$500, 2, 0)</f>
        <v>63c833ef38ef4ba2f7bbe919</v>
      </c>
      <c r="D167" s="23" t="str">
        <f t="shared" si="2"/>
        <v>#DIV/0!</v>
      </c>
      <c r="F167" s="45"/>
      <c r="H167" s="45"/>
      <c r="J167" s="45"/>
    </row>
    <row r="168">
      <c r="A168" s="22" t="s">
        <v>109</v>
      </c>
      <c r="B168" s="21" t="str">
        <f t="shared" si="1"/>
        <v>#DIV/0!</v>
      </c>
      <c r="C168" s="21" t="str">
        <f>VLOOKUP(A168, hash!A$2:B$500, 2, 0)</f>
        <v>63c8473f511ce7e89481b00b</v>
      </c>
      <c r="D168" s="23" t="str">
        <f t="shared" si="2"/>
        <v>#DIV/0!</v>
      </c>
      <c r="F168" s="45"/>
      <c r="H168" s="45"/>
      <c r="J168" s="45"/>
    </row>
    <row r="169">
      <c r="A169" s="22" t="s">
        <v>110</v>
      </c>
      <c r="B169" s="21" t="str">
        <f t="shared" si="1"/>
        <v>#DIV/0!</v>
      </c>
      <c r="C169" s="21" t="str">
        <f>VLOOKUP(A169, hash!A$2:B$500, 2, 0)</f>
        <v>63c8477b67bbb48b24b073b9</v>
      </c>
      <c r="D169" s="23" t="str">
        <f t="shared" si="2"/>
        <v>#DIV/0!</v>
      </c>
      <c r="F169" s="45"/>
      <c r="H169" s="45"/>
      <c r="J169" s="45"/>
    </row>
    <row r="170">
      <c r="A170" s="22" t="s">
        <v>607</v>
      </c>
      <c r="B170" s="21" t="str">
        <f t="shared" si="1"/>
        <v>#DIV/0!</v>
      </c>
      <c r="C170" s="21" t="str">
        <f>VLOOKUP(A170, hash!A$2:B$500, 2, 0)</f>
        <v>#N/A</v>
      </c>
      <c r="D170" s="23" t="str">
        <f t="shared" si="2"/>
        <v>#DIV/0!</v>
      </c>
      <c r="F170" s="45"/>
      <c r="H170" s="45"/>
      <c r="J170" s="45"/>
    </row>
    <row r="171">
      <c r="A171" s="22" t="s">
        <v>608</v>
      </c>
      <c r="B171" s="21" t="str">
        <f t="shared" si="1"/>
        <v>#DIV/0!</v>
      </c>
      <c r="C171" s="21" t="str">
        <f>VLOOKUP(A171, hash!A$2:B$500, 2, 0)</f>
        <v>#N/A</v>
      </c>
      <c r="D171" s="23" t="str">
        <f t="shared" si="2"/>
        <v>#DIV/0!</v>
      </c>
      <c r="F171" s="45"/>
      <c r="H171" s="45"/>
      <c r="J171" s="45"/>
    </row>
    <row r="172">
      <c r="A172" s="22" t="s">
        <v>111</v>
      </c>
      <c r="B172" s="21" t="str">
        <f t="shared" si="1"/>
        <v>#DIV/0!</v>
      </c>
      <c r="C172" s="21" t="str">
        <f>VLOOKUP(A172, hash!A$2:B$500, 2, 0)</f>
        <v>63dabd0663f6b9aef34df313</v>
      </c>
      <c r="D172" s="23" t="str">
        <f t="shared" si="2"/>
        <v>#DIV/0!</v>
      </c>
      <c r="F172" s="45"/>
      <c r="H172" s="45"/>
      <c r="J172" s="45"/>
    </row>
    <row r="173">
      <c r="A173" s="22" t="s">
        <v>112</v>
      </c>
      <c r="B173" s="21" t="str">
        <f t="shared" si="1"/>
        <v>#DIV/0!</v>
      </c>
      <c r="C173" s="21" t="str">
        <f>VLOOKUP(A173, hash!A$2:B$500, 2, 0)</f>
        <v>63dabd3d9dab57a89c8ed2ec</v>
      </c>
      <c r="D173" s="23" t="str">
        <f t="shared" si="2"/>
        <v>#DIV/0!</v>
      </c>
      <c r="F173" s="45"/>
      <c r="H173" s="45"/>
      <c r="J173" s="45"/>
    </row>
    <row r="174">
      <c r="A174" s="22" t="s">
        <v>609</v>
      </c>
      <c r="B174" s="21" t="str">
        <f t="shared" si="1"/>
        <v>#DIV/0!</v>
      </c>
      <c r="C174" s="21" t="str">
        <f>VLOOKUP(A174, hash!A$2:B$500, 2, 0)</f>
        <v>#N/A</v>
      </c>
      <c r="D174" s="23" t="str">
        <f t="shared" si="2"/>
        <v>#DIV/0!</v>
      </c>
      <c r="F174" s="45"/>
      <c r="H174" s="45"/>
      <c r="J174" s="45"/>
    </row>
    <row r="175">
      <c r="A175" s="22" t="s">
        <v>113</v>
      </c>
      <c r="B175" s="21" t="str">
        <f t="shared" si="1"/>
        <v>#DIV/0!</v>
      </c>
      <c r="C175" s="21" t="str">
        <f>VLOOKUP(A175, hash!A$2:B$500, 2, 0)</f>
        <v>63ddd5541cf7a4a53455fa2b</v>
      </c>
      <c r="D175" s="23" t="str">
        <f t="shared" si="2"/>
        <v>#DIV/0!</v>
      </c>
      <c r="F175" s="45"/>
      <c r="H175" s="45"/>
      <c r="J175" s="45"/>
    </row>
    <row r="176">
      <c r="A176" s="22" t="s">
        <v>610</v>
      </c>
      <c r="B176" s="21" t="str">
        <f t="shared" si="1"/>
        <v>#DIV/0!</v>
      </c>
      <c r="C176" s="21" t="str">
        <f>VLOOKUP(A176, hash!A$2:B$500, 2, 0)</f>
        <v>#N/A</v>
      </c>
      <c r="D176" s="23" t="str">
        <f t="shared" si="2"/>
        <v>#DIV/0!</v>
      </c>
      <c r="F176" s="45"/>
      <c r="H176" s="45"/>
      <c r="J176" s="45"/>
    </row>
    <row r="177">
      <c r="A177" s="22" t="s">
        <v>114</v>
      </c>
      <c r="B177" s="21" t="str">
        <f t="shared" si="1"/>
        <v>#DIV/0!</v>
      </c>
      <c r="C177" s="21" t="str">
        <f>VLOOKUP(A177, hash!A$2:B$500, 2, 0)</f>
        <v>63ed3c20ba3040bfda3dc990</v>
      </c>
      <c r="D177" s="23" t="str">
        <f t="shared" si="2"/>
        <v>#DIV/0!</v>
      </c>
      <c r="F177" s="45"/>
      <c r="H177" s="45"/>
      <c r="J177" s="45"/>
    </row>
    <row r="178">
      <c r="A178" s="22" t="s">
        <v>115</v>
      </c>
      <c r="B178" s="21" t="str">
        <f t="shared" si="1"/>
        <v>#DIV/0!</v>
      </c>
      <c r="C178" s="21" t="str">
        <f>VLOOKUP(A178, hash!A$2:B$500, 2, 0)</f>
        <v>63f67889c8ff9ace793384df</v>
      </c>
      <c r="D178" s="23" t="str">
        <f t="shared" si="2"/>
        <v>#DIV/0!</v>
      </c>
      <c r="F178" s="45"/>
      <c r="H178" s="45"/>
      <c r="J178" s="45"/>
    </row>
    <row r="179">
      <c r="A179" s="22" t="s">
        <v>116</v>
      </c>
      <c r="B179" s="21" t="str">
        <f t="shared" si="1"/>
        <v>#DIV/0!</v>
      </c>
      <c r="C179" s="21" t="str">
        <f>VLOOKUP(A179, hash!A$2:B$500, 2, 0)</f>
        <v>63f67911eb2d54539e475aef</v>
      </c>
      <c r="D179" s="23" t="str">
        <f t="shared" si="2"/>
        <v>#DIV/0!</v>
      </c>
      <c r="F179" s="45"/>
      <c r="H179" s="45"/>
      <c r="J179" s="45"/>
    </row>
    <row r="180">
      <c r="A180" s="22" t="s">
        <v>611</v>
      </c>
      <c r="B180" s="21" t="str">
        <f t="shared" si="1"/>
        <v>#DIV/0!</v>
      </c>
      <c r="C180" s="21" t="str">
        <f>VLOOKUP(A180, hash!A$2:B$500, 2, 0)</f>
        <v>#N/A</v>
      </c>
      <c r="D180" s="23" t="str">
        <f t="shared" si="2"/>
        <v>#DIV/0!</v>
      </c>
      <c r="F180" s="45"/>
      <c r="H180" s="45"/>
      <c r="J180" s="45"/>
    </row>
    <row r="181">
      <c r="A181" s="22" t="s">
        <v>612</v>
      </c>
      <c r="B181" s="21" t="str">
        <f t="shared" si="1"/>
        <v>#DIV/0!</v>
      </c>
      <c r="C181" s="21" t="str">
        <f>VLOOKUP(A181, hash!A$2:B$500, 2, 0)</f>
        <v>#N/A</v>
      </c>
      <c r="D181" s="23" t="str">
        <f t="shared" si="2"/>
        <v>#DIV/0!</v>
      </c>
      <c r="F181" s="45"/>
      <c r="H181" s="45"/>
      <c r="J181" s="45"/>
    </row>
    <row r="182">
      <c r="A182" s="22" t="s">
        <v>117</v>
      </c>
      <c r="B182" s="21" t="str">
        <f t="shared" si="1"/>
        <v>#DIV/0!</v>
      </c>
      <c r="C182" s="21" t="str">
        <f>VLOOKUP(A182, hash!A$2:B$500, 2, 0)</f>
        <v>64120eb5cd7bcbc0e50f33da</v>
      </c>
      <c r="D182" s="23" t="str">
        <f t="shared" si="2"/>
        <v>#DIV/0!</v>
      </c>
      <c r="F182" s="45"/>
      <c r="H182" s="45"/>
      <c r="J182" s="45"/>
    </row>
    <row r="183">
      <c r="A183" s="22" t="s">
        <v>118</v>
      </c>
      <c r="B183" s="21" t="str">
        <f t="shared" si="1"/>
        <v>#DIV/0!</v>
      </c>
      <c r="C183" s="21" t="str">
        <f>VLOOKUP(A183, hash!A$2:B$500, 2, 0)</f>
        <v>64403390f40f176b87a687a7</v>
      </c>
      <c r="D183" s="23" t="str">
        <f t="shared" si="2"/>
        <v>#DIV/0!</v>
      </c>
      <c r="F183" s="45"/>
      <c r="H183" s="45"/>
      <c r="J183" s="45"/>
    </row>
    <row r="184">
      <c r="A184" s="22" t="s">
        <v>119</v>
      </c>
      <c r="B184" s="21" t="str">
        <f t="shared" si="1"/>
        <v>#DIV/0!</v>
      </c>
      <c r="C184" s="21" t="str">
        <f>VLOOKUP(A184, hash!A$2:B$500, 2, 0)</f>
        <v>64403395ea1fa9a912edb699</v>
      </c>
      <c r="D184" s="23" t="str">
        <f t="shared" si="2"/>
        <v>#DIV/0!</v>
      </c>
      <c r="F184" s="45"/>
      <c r="H184" s="45"/>
      <c r="J184" s="51"/>
    </row>
    <row r="185">
      <c r="A185" s="22" t="s">
        <v>120</v>
      </c>
      <c r="B185" s="21" t="str">
        <f t="shared" si="1"/>
        <v>#DIV/0!</v>
      </c>
      <c r="C185" s="21" t="str">
        <f>VLOOKUP(A185, hash!A$2:B$500, 2, 0)</f>
        <v>64403399ea1fa9a912edb69a</v>
      </c>
      <c r="D185" s="23" t="str">
        <f t="shared" si="2"/>
        <v>#DIV/0!</v>
      </c>
      <c r="F185" s="45"/>
      <c r="H185" s="45"/>
      <c r="J185" s="45"/>
    </row>
    <row r="186">
      <c r="A186" s="22" t="s">
        <v>121</v>
      </c>
      <c r="B186" s="21" t="str">
        <f t="shared" si="1"/>
        <v>#DIV/0!</v>
      </c>
      <c r="C186" s="21" t="str">
        <f>VLOOKUP(A186, hash!A$2:B$500, 2, 0)</f>
        <v>644033a6ea1fa9a912edb69b</v>
      </c>
      <c r="D186" s="23" t="str">
        <f t="shared" si="2"/>
        <v>#DIV/0!</v>
      </c>
      <c r="F186" s="45"/>
      <c r="H186" s="45"/>
      <c r="J186" s="45"/>
    </row>
    <row r="187">
      <c r="A187" s="22" t="s">
        <v>122</v>
      </c>
      <c r="B187" s="21" t="str">
        <f t="shared" si="1"/>
        <v>#DIV/0!</v>
      </c>
      <c r="C187" s="21" t="str">
        <f>VLOOKUP(A187, hash!A$2:B$500, 2, 0)</f>
        <v>6440343c3d99f5a46dd56558</v>
      </c>
      <c r="D187" s="23" t="str">
        <f t="shared" si="2"/>
        <v>#DIV/0!</v>
      </c>
      <c r="F187" s="45"/>
      <c r="H187" s="45"/>
      <c r="J187" s="45"/>
    </row>
    <row r="188">
      <c r="A188" s="22" t="s">
        <v>123</v>
      </c>
      <c r="B188" s="21" t="str">
        <f t="shared" si="1"/>
        <v>#DIV/0!</v>
      </c>
      <c r="C188" s="21" t="str">
        <f>VLOOKUP(A188, hash!A$2:B$500, 2, 0)</f>
        <v>644034954fa829a66b219e95</v>
      </c>
      <c r="D188" s="23" t="str">
        <f t="shared" si="2"/>
        <v>#DIV/0!</v>
      </c>
      <c r="F188" s="45"/>
      <c r="H188" s="45"/>
      <c r="J188" s="45"/>
    </row>
    <row r="189">
      <c r="A189" s="22" t="s">
        <v>124</v>
      </c>
      <c r="B189" s="21" t="str">
        <f t="shared" si="1"/>
        <v>#DIV/0!</v>
      </c>
      <c r="C189" s="21" t="str">
        <f>VLOOKUP(A189, hash!A$2:B$500, 2, 0)</f>
        <v>6451565d77ece8ad709943e6</v>
      </c>
      <c r="D189" s="23" t="str">
        <f t="shared" si="2"/>
        <v>#DIV/0!</v>
      </c>
      <c r="F189" s="45"/>
      <c r="H189" s="45"/>
      <c r="J189" s="45"/>
    </row>
    <row r="190">
      <c r="A190" s="22" t="s">
        <v>125</v>
      </c>
      <c r="B190" s="21" t="str">
        <f t="shared" si="1"/>
        <v>#DIV/0!</v>
      </c>
      <c r="C190" s="21" t="str">
        <f>VLOOKUP(A190, hash!A$2:B$500, 2, 0)</f>
        <v>6451566b3e57b23a771eb77e</v>
      </c>
      <c r="D190" s="23" t="str">
        <f t="shared" si="2"/>
        <v>#DIV/0!</v>
      </c>
      <c r="F190" s="45"/>
      <c r="H190" s="45"/>
      <c r="J190" s="45"/>
    </row>
    <row r="191">
      <c r="A191" s="22" t="s">
        <v>126</v>
      </c>
      <c r="B191" s="21" t="str">
        <f t="shared" si="1"/>
        <v>#DIV/0!</v>
      </c>
      <c r="C191" s="21" t="str">
        <f>VLOOKUP(A191, hash!A$2:B$500, 2, 0)</f>
        <v>64515f40d1db94b82bde4768</v>
      </c>
      <c r="D191" s="23" t="str">
        <f t="shared" si="2"/>
        <v>#DIV/0!</v>
      </c>
      <c r="F191" s="45"/>
      <c r="H191" s="45"/>
      <c r="J191" s="45"/>
    </row>
    <row r="192">
      <c r="A192" s="22" t="s">
        <v>56</v>
      </c>
      <c r="B192" s="21" t="str">
        <f t="shared" si="1"/>
        <v>#DIV/0!</v>
      </c>
      <c r="C192" s="21" t="str">
        <f>VLOOKUP(A192, hash!A$2:B$500, 2, 0)</f>
        <v>64515f804c53122bd367c958</v>
      </c>
      <c r="D192" s="23" t="str">
        <f t="shared" si="2"/>
        <v>#DIV/0!</v>
      </c>
      <c r="F192" s="27"/>
      <c r="H192" s="27"/>
      <c r="J192" s="27"/>
    </row>
    <row r="193">
      <c r="A193" s="22" t="s">
        <v>613</v>
      </c>
      <c r="B193" s="21" t="str">
        <f t="shared" si="1"/>
        <v>#DIV/0!</v>
      </c>
      <c r="C193" s="21" t="str">
        <f>VLOOKUP(A193, hash!A$2:B$500, 2, 0)</f>
        <v>#N/A</v>
      </c>
      <c r="D193" s="23" t="str">
        <f t="shared" si="2"/>
        <v>#DIV/0!</v>
      </c>
      <c r="F193" s="45"/>
      <c r="H193" s="45"/>
      <c r="J193" s="45"/>
    </row>
    <row r="194">
      <c r="A194" s="22" t="s">
        <v>127</v>
      </c>
      <c r="B194" s="21" t="str">
        <f t="shared" si="1"/>
        <v>#DIV/0!</v>
      </c>
      <c r="C194" s="21" t="str">
        <f>VLOOKUP(A194, hash!A$2:B$500, 2, 0)</f>
        <v>6501ffd91d8cbbbd315ad51c</v>
      </c>
      <c r="D194" s="23" t="str">
        <f t="shared" si="2"/>
        <v>#DIV/0!</v>
      </c>
      <c r="F194" s="45"/>
      <c r="H194" s="45"/>
      <c r="J194" s="45"/>
    </row>
    <row r="195">
      <c r="A195" s="22" t="s">
        <v>128</v>
      </c>
      <c r="B195" s="21" t="str">
        <f t="shared" si="1"/>
        <v>#DIV/0!</v>
      </c>
      <c r="C195" s="21" t="str">
        <f>VLOOKUP(A195, hash!A$2:B$500, 2, 0)</f>
        <v>6501ffe41d8cbbbd315ad51d</v>
      </c>
      <c r="D195" s="23" t="str">
        <f t="shared" si="2"/>
        <v>#DIV/0!</v>
      </c>
      <c r="F195" s="45"/>
      <c r="H195" s="45"/>
      <c r="J195" s="45"/>
    </row>
    <row r="196">
      <c r="A196" s="22" t="s">
        <v>129</v>
      </c>
      <c r="B196" s="21" t="str">
        <f t="shared" si="1"/>
        <v>#DIV/0!</v>
      </c>
      <c r="C196" s="21" t="str">
        <f>VLOOKUP(A196, hash!A$2:B$500, 2, 0)</f>
        <v>6501fff01d8cbbbd315ad51f</v>
      </c>
      <c r="D196" s="23" t="str">
        <f t="shared" si="2"/>
        <v>#DIV/0!</v>
      </c>
      <c r="F196" s="45"/>
      <c r="H196" s="45"/>
      <c r="J196" s="45"/>
    </row>
    <row r="197">
      <c r="A197" s="22" t="s">
        <v>130</v>
      </c>
      <c r="B197" s="21" t="str">
        <f t="shared" si="1"/>
        <v>#DIV/0!</v>
      </c>
      <c r="C197" s="21" t="str">
        <f>VLOOKUP(A197, hash!A$2:B$500, 2, 0)</f>
        <v>6501fff296a576d9fa03f986</v>
      </c>
      <c r="D197" s="23" t="str">
        <f t="shared" si="2"/>
        <v>#DIV/0!</v>
      </c>
      <c r="F197" s="45"/>
      <c r="H197" s="45"/>
      <c r="J197" s="45"/>
    </row>
    <row r="198">
      <c r="A198" s="22" t="s">
        <v>131</v>
      </c>
      <c r="B198" s="21" t="str">
        <f t="shared" si="1"/>
        <v>#DIV/0!</v>
      </c>
      <c r="C198" s="21" t="str">
        <f>VLOOKUP(A198, hash!A$2:B$500, 2, 0)</f>
        <v>6501fffc96a576d9fa03f988</v>
      </c>
      <c r="D198" s="23" t="str">
        <f t="shared" si="2"/>
        <v>#DIV/0!</v>
      </c>
      <c r="F198" s="45"/>
      <c r="H198" s="45"/>
      <c r="J198" s="45"/>
    </row>
    <row r="199">
      <c r="A199" s="22" t="s">
        <v>132</v>
      </c>
      <c r="B199" s="21" t="str">
        <f t="shared" si="1"/>
        <v>#DIV/0!</v>
      </c>
      <c r="C199" s="21" t="str">
        <f>VLOOKUP(A199, hash!A$2:B$500, 2, 0)</f>
        <v>6501fffd96a576d9fa03f989</v>
      </c>
      <c r="D199" s="23" t="str">
        <f t="shared" si="2"/>
        <v>#DIV/0!</v>
      </c>
      <c r="F199" s="45"/>
      <c r="H199" s="45"/>
      <c r="J199" s="45"/>
    </row>
    <row r="200">
      <c r="A200" s="22" t="s">
        <v>133</v>
      </c>
      <c r="B200" s="21" t="str">
        <f t="shared" si="1"/>
        <v>#DIV/0!</v>
      </c>
      <c r="C200" s="21" t="str">
        <f>VLOOKUP(A200, hash!A$2:B$500, 2, 0)</f>
        <v>6502000096a576d9fa03f98a</v>
      </c>
      <c r="D200" s="23" t="str">
        <f t="shared" si="2"/>
        <v>#DIV/0!</v>
      </c>
      <c r="F200" s="45"/>
      <c r="H200" s="45"/>
      <c r="J200" s="45"/>
    </row>
    <row r="201">
      <c r="A201" s="22" t="s">
        <v>134</v>
      </c>
      <c r="B201" s="21" t="str">
        <f t="shared" si="1"/>
        <v>#DIV/0!</v>
      </c>
      <c r="C201" s="21" t="str">
        <f>VLOOKUP(A201, hash!A$2:B$500, 2, 0)</f>
        <v>6502000196a576d9fa03f98b</v>
      </c>
      <c r="D201" s="23" t="str">
        <f t="shared" si="2"/>
        <v>#DIV/0!</v>
      </c>
      <c r="F201" s="27"/>
      <c r="H201" s="27"/>
      <c r="J201" s="27"/>
    </row>
    <row r="202">
      <c r="A202" s="22" t="s">
        <v>135</v>
      </c>
      <c r="B202" s="21" t="str">
        <f t="shared" si="1"/>
        <v>#DIV/0!</v>
      </c>
      <c r="C202" s="21" t="str">
        <f>VLOOKUP(A202, hash!A$2:B$500, 2, 0)</f>
        <v>65020008540ba7cc68909a94</v>
      </c>
      <c r="D202" s="23" t="str">
        <f t="shared" si="2"/>
        <v>#DIV/0!</v>
      </c>
      <c r="F202" s="45"/>
      <c r="H202" s="45"/>
      <c r="J202" s="45"/>
    </row>
    <row r="203">
      <c r="A203" s="22" t="s">
        <v>136</v>
      </c>
      <c r="B203" s="21" t="str">
        <f t="shared" si="1"/>
        <v>#DIV/0!</v>
      </c>
      <c r="C203" s="21" t="str">
        <f>VLOOKUP(A203, hash!A$2:B$500, 2, 0)</f>
        <v>6502000b1d8cbbbd315ad521</v>
      </c>
      <c r="D203" s="23" t="str">
        <f t="shared" si="2"/>
        <v>#DIV/0!</v>
      </c>
      <c r="F203" s="45"/>
      <c r="H203" s="45"/>
      <c r="J203" s="45"/>
    </row>
    <row r="204">
      <c r="A204" s="22" t="s">
        <v>137</v>
      </c>
      <c r="B204" s="21" t="str">
        <f t="shared" si="1"/>
        <v>#DIV/0!</v>
      </c>
      <c r="C204" s="21" t="str">
        <f>VLOOKUP(A204, hash!A$2:B$500, 2, 0)</f>
        <v>65020010540ba7cc68909a95</v>
      </c>
      <c r="D204" s="23" t="str">
        <f t="shared" si="2"/>
        <v>#DIV/0!</v>
      </c>
      <c r="F204" s="45"/>
      <c r="H204" s="45"/>
      <c r="J204" s="45"/>
    </row>
    <row r="205">
      <c r="A205" s="22" t="s">
        <v>138</v>
      </c>
      <c r="B205" s="21" t="str">
        <f t="shared" si="1"/>
        <v>#DIV/0!</v>
      </c>
      <c r="C205" s="21" t="str">
        <f>VLOOKUP(A205, hash!A$2:B$500, 2, 0)</f>
        <v>6502001196a576d9fa03f98c</v>
      </c>
      <c r="D205" s="23" t="str">
        <f t="shared" si="2"/>
        <v>#DIV/0!</v>
      </c>
      <c r="F205" s="45"/>
      <c r="H205" s="45"/>
      <c r="J205" s="45"/>
    </row>
    <row r="206">
      <c r="A206" s="22" t="s">
        <v>139</v>
      </c>
      <c r="B206" s="21" t="str">
        <f t="shared" si="1"/>
        <v>#DIV/0!</v>
      </c>
      <c r="C206" s="21" t="str">
        <f>VLOOKUP(A206, hash!A$2:B$500, 2, 0)</f>
        <v>6502001196a576d9fa03f98d</v>
      </c>
      <c r="D206" s="23" t="str">
        <f t="shared" si="2"/>
        <v>#DIV/0!</v>
      </c>
      <c r="F206" s="45"/>
      <c r="H206" s="45"/>
      <c r="J206" s="45"/>
    </row>
    <row r="207">
      <c r="A207" s="22" t="s">
        <v>141</v>
      </c>
      <c r="B207" s="21" t="str">
        <f t="shared" si="1"/>
        <v>#DIV/0!</v>
      </c>
      <c r="C207" s="21" t="str">
        <f>VLOOKUP(A207, hash!A$2:B$500, 2, 0)</f>
        <v>6502001d540ba7cc68909a96</v>
      </c>
      <c r="D207" s="23" t="str">
        <f t="shared" si="2"/>
        <v>#DIV/0!</v>
      </c>
      <c r="F207" s="45"/>
      <c r="H207" s="45"/>
      <c r="J207" s="45"/>
    </row>
    <row r="208">
      <c r="A208" s="22" t="s">
        <v>142</v>
      </c>
      <c r="B208" s="21" t="str">
        <f t="shared" si="1"/>
        <v>#DIV/0!</v>
      </c>
      <c r="C208" s="21" t="str">
        <f>VLOOKUP(A208, hash!A$2:B$500, 2, 0)</f>
        <v>6502001f96a576d9fa03f991</v>
      </c>
      <c r="D208" s="23" t="str">
        <f t="shared" si="2"/>
        <v>#DIV/0!</v>
      </c>
      <c r="F208" s="45"/>
      <c r="H208" s="45"/>
      <c r="J208" s="45"/>
    </row>
    <row r="209">
      <c r="A209" s="22" t="s">
        <v>143</v>
      </c>
      <c r="B209" s="21" t="str">
        <f t="shared" si="1"/>
        <v>#DIV/0!</v>
      </c>
      <c r="C209" s="21" t="str">
        <f>VLOOKUP(A209, hash!A$2:B$500, 2, 0)</f>
        <v>6502002296a576d9fa03f993</v>
      </c>
      <c r="D209" s="23" t="str">
        <f t="shared" si="2"/>
        <v>#DIV/0!</v>
      </c>
      <c r="F209" s="45"/>
      <c r="H209" s="45"/>
      <c r="J209" s="45"/>
    </row>
    <row r="210">
      <c r="A210" s="22" t="s">
        <v>144</v>
      </c>
      <c r="B210" s="21" t="str">
        <f t="shared" si="1"/>
        <v>#DIV/0!</v>
      </c>
      <c r="C210" s="21" t="str">
        <f>VLOOKUP(A210, hash!A$2:B$500, 2, 0)</f>
        <v>6502002396a576d9fa03f994</v>
      </c>
      <c r="D210" s="23" t="str">
        <f t="shared" si="2"/>
        <v>#DIV/0!</v>
      </c>
      <c r="F210" s="45"/>
      <c r="H210" s="45"/>
      <c r="J210" s="45"/>
    </row>
    <row r="211">
      <c r="A211" s="22" t="s">
        <v>94</v>
      </c>
      <c r="B211" s="21" t="str">
        <f t="shared" si="1"/>
        <v>#DIV/0!</v>
      </c>
      <c r="C211" s="21" t="str">
        <f>VLOOKUP(A211, hash!A$2:B$500, 2, 0)</f>
        <v>6502002b1d8cbbbd315ad524</v>
      </c>
      <c r="D211" s="23" t="str">
        <f t="shared" si="2"/>
        <v>#DIV/0!</v>
      </c>
      <c r="F211" s="45"/>
      <c r="H211" s="45"/>
      <c r="J211" s="45"/>
    </row>
    <row r="212">
      <c r="A212" s="22" t="s">
        <v>145</v>
      </c>
      <c r="B212" s="21" t="str">
        <f t="shared" si="1"/>
        <v>#DIV/0!</v>
      </c>
      <c r="C212" s="21" t="str">
        <f>VLOOKUP(A212, hash!A$2:B$500, 2, 0)</f>
        <v>6502003c96a576d9fa03f99d</v>
      </c>
      <c r="D212" s="23" t="str">
        <f t="shared" si="2"/>
        <v>#DIV/0!</v>
      </c>
      <c r="F212" s="45"/>
      <c r="H212" s="45"/>
      <c r="J212" s="45"/>
    </row>
    <row r="213">
      <c r="A213" s="22" t="s">
        <v>614</v>
      </c>
      <c r="B213" s="21" t="str">
        <f t="shared" si="1"/>
        <v>#DIV/0!</v>
      </c>
      <c r="C213" s="21" t="str">
        <f>VLOOKUP(A213, hash!A$2:B$500, 2, 0)</f>
        <v>#N/A</v>
      </c>
      <c r="D213" s="23" t="str">
        <f t="shared" si="2"/>
        <v>#DIV/0!</v>
      </c>
      <c r="F213" s="45"/>
      <c r="H213" s="45"/>
      <c r="J213" s="45"/>
    </row>
    <row r="214">
      <c r="A214" s="22" t="s">
        <v>147</v>
      </c>
      <c r="B214" s="21" t="str">
        <f t="shared" si="1"/>
        <v>#DIV/0!</v>
      </c>
      <c r="C214" s="21" t="str">
        <f>VLOOKUP(A214, hash!A$2:B$500, 2, 0)</f>
        <v>65020041540ba7cc68909aa3</v>
      </c>
      <c r="D214" s="23" t="str">
        <f t="shared" si="2"/>
        <v>#DIV/0!</v>
      </c>
      <c r="F214" s="45"/>
      <c r="H214" s="45"/>
      <c r="J214" s="45"/>
    </row>
    <row r="215">
      <c r="A215" s="22" t="s">
        <v>615</v>
      </c>
      <c r="B215" s="21" t="str">
        <f t="shared" si="1"/>
        <v>#DIV/0!</v>
      </c>
      <c r="C215" s="21" t="str">
        <f>VLOOKUP(A215, hash!A$2:B$500, 2, 0)</f>
        <v>#N/A</v>
      </c>
      <c r="D215" s="23" t="str">
        <f t="shared" si="2"/>
        <v>#DIV/0!</v>
      </c>
      <c r="F215" s="45"/>
      <c r="H215" s="45"/>
      <c r="J215" s="45"/>
    </row>
    <row r="216">
      <c r="A216" s="22" t="s">
        <v>148</v>
      </c>
      <c r="B216" s="21" t="str">
        <f t="shared" si="1"/>
        <v>#DIV/0!</v>
      </c>
      <c r="C216" s="21" t="str">
        <f>VLOOKUP(A216, hash!A$2:B$500, 2, 0)</f>
        <v>650200481d8cbbbd315ad528</v>
      </c>
      <c r="D216" s="23" t="str">
        <f t="shared" si="2"/>
        <v>#DIV/0!</v>
      </c>
      <c r="F216" s="45"/>
      <c r="H216" s="45"/>
      <c r="J216" s="45"/>
    </row>
    <row r="217">
      <c r="A217" s="22" t="s">
        <v>149</v>
      </c>
      <c r="B217" s="21" t="str">
        <f t="shared" si="1"/>
        <v>#DIV/0!</v>
      </c>
      <c r="C217" s="21" t="str">
        <f>VLOOKUP(A217, hash!A$2:B$500, 2, 0)</f>
        <v>6502004f1d8cbbbd315ad52a</v>
      </c>
      <c r="D217" s="23" t="str">
        <f t="shared" si="2"/>
        <v>#DIV/0!</v>
      </c>
      <c r="F217" s="45"/>
      <c r="H217" s="45"/>
      <c r="J217" s="45"/>
    </row>
    <row r="218">
      <c r="A218" s="22" t="s">
        <v>616</v>
      </c>
      <c r="B218" s="21" t="str">
        <f t="shared" si="1"/>
        <v>#DIV/0!</v>
      </c>
      <c r="C218" s="21" t="str">
        <f>VLOOKUP(A218, hash!A$2:B$500, 2, 0)</f>
        <v>#N/A</v>
      </c>
      <c r="D218" s="23" t="str">
        <f t="shared" si="2"/>
        <v>#DIV/0!</v>
      </c>
      <c r="F218" s="45"/>
      <c r="H218" s="45"/>
      <c r="J218" s="45"/>
    </row>
    <row r="219">
      <c r="A219" s="22" t="s">
        <v>150</v>
      </c>
      <c r="B219" s="21" t="str">
        <f t="shared" si="1"/>
        <v>#DIV/0!</v>
      </c>
      <c r="C219" s="21" t="str">
        <f>VLOOKUP(A219, hash!A$2:B$500, 2, 0)</f>
        <v>6502005118c31aadb7469b1a</v>
      </c>
      <c r="D219" s="23" t="str">
        <f t="shared" si="2"/>
        <v>#DIV/0!</v>
      </c>
      <c r="F219" s="27"/>
      <c r="H219" s="27"/>
      <c r="J219" s="27"/>
    </row>
    <row r="220">
      <c r="A220" s="22" t="s">
        <v>151</v>
      </c>
      <c r="B220" s="21" t="str">
        <f t="shared" si="1"/>
        <v>#DIV/0!</v>
      </c>
      <c r="C220" s="21" t="str">
        <f>VLOOKUP(A220, hash!A$2:B$500, 2, 0)</f>
        <v>650200601d8cbbbd315ad52d</v>
      </c>
      <c r="D220" s="23" t="str">
        <f t="shared" si="2"/>
        <v>#DIV/0!</v>
      </c>
      <c r="F220" s="45"/>
      <c r="H220" s="45"/>
      <c r="J220" s="45"/>
    </row>
    <row r="221">
      <c r="A221" s="22" t="s">
        <v>152</v>
      </c>
      <c r="B221" s="21" t="str">
        <f t="shared" si="1"/>
        <v>#DIV/0!</v>
      </c>
      <c r="C221" s="21" t="str">
        <f>VLOOKUP(A221, hash!A$2:B$500, 2, 0)</f>
        <v>6502007218c31aadb7469b1d</v>
      </c>
      <c r="D221" s="23" t="str">
        <f t="shared" si="2"/>
        <v>#DIV/0!</v>
      </c>
      <c r="F221" s="45"/>
      <c r="H221" s="45"/>
      <c r="J221" s="45"/>
    </row>
    <row r="222">
      <c r="A222" s="22" t="s">
        <v>19</v>
      </c>
      <c r="B222" s="21" t="str">
        <f t="shared" si="1"/>
        <v>#DIV/0!</v>
      </c>
      <c r="C222" s="21" t="str">
        <f>VLOOKUP(A222, hash!A$2:B$500, 2, 0)</f>
        <v>6502007357ae167867eac223</v>
      </c>
      <c r="D222" s="23" t="str">
        <f t="shared" si="2"/>
        <v>#DIV/0!</v>
      </c>
      <c r="F222" s="27"/>
      <c r="H222" s="27"/>
      <c r="J222" s="27"/>
    </row>
    <row r="223">
      <c r="A223" s="22" t="s">
        <v>153</v>
      </c>
      <c r="B223" s="21" t="str">
        <f t="shared" si="1"/>
        <v>#DIV/0!</v>
      </c>
      <c r="C223" s="21" t="str">
        <f>VLOOKUP(A223, hash!A$2:B$500, 2, 0)</f>
        <v>6502007618c31aadb7469b1f</v>
      </c>
      <c r="D223" s="23" t="str">
        <f t="shared" si="2"/>
        <v>#DIV/0!</v>
      </c>
      <c r="F223" s="45"/>
      <c r="H223" s="45"/>
      <c r="J223" s="45"/>
    </row>
    <row r="224">
      <c r="A224" s="22" t="s">
        <v>617</v>
      </c>
      <c r="B224" s="21" t="str">
        <f t="shared" si="1"/>
        <v>#DIV/0!</v>
      </c>
      <c r="C224" s="21" t="str">
        <f>VLOOKUP(A224, hash!A$2:B$500, 2, 0)</f>
        <v>#N/A</v>
      </c>
      <c r="D224" s="23" t="str">
        <f t="shared" si="2"/>
        <v>#DIV/0!</v>
      </c>
      <c r="F224" s="45"/>
      <c r="H224" s="45"/>
      <c r="J224" s="45"/>
    </row>
    <row r="225">
      <c r="A225" s="22" t="s">
        <v>154</v>
      </c>
      <c r="B225" s="21" t="str">
        <f t="shared" si="1"/>
        <v>#DIV/0!</v>
      </c>
      <c r="C225" s="21" t="str">
        <f>VLOOKUP(A225, hash!A$2:B$500, 2, 0)</f>
        <v>6502008357ae167867eac228</v>
      </c>
      <c r="D225" s="23" t="str">
        <f t="shared" si="2"/>
        <v>#DIV/0!</v>
      </c>
      <c r="F225" s="45"/>
      <c r="H225" s="45"/>
      <c r="J225" s="45"/>
    </row>
    <row r="226">
      <c r="A226" s="22" t="s">
        <v>155</v>
      </c>
      <c r="B226" s="21" t="str">
        <f t="shared" si="1"/>
        <v>#DIV/0!</v>
      </c>
      <c r="C226" s="21" t="str">
        <f>VLOOKUP(A226, hash!A$2:B$500, 2, 0)</f>
        <v>650200931d8cbbbd315ad536</v>
      </c>
      <c r="D226" s="23" t="str">
        <f t="shared" si="2"/>
        <v>#DIV/0!</v>
      </c>
      <c r="F226" s="45"/>
      <c r="H226" s="45"/>
      <c r="J226" s="45"/>
    </row>
    <row r="227">
      <c r="A227" s="22" t="s">
        <v>156</v>
      </c>
      <c r="B227" s="21" t="str">
        <f t="shared" si="1"/>
        <v>#DIV/0!</v>
      </c>
      <c r="C227" s="21" t="str">
        <f>VLOOKUP(A227, hash!A$2:B$500, 2, 0)</f>
        <v>65020bcc03dd812a55d3a1fd</v>
      </c>
      <c r="D227" s="23" t="str">
        <f t="shared" si="2"/>
        <v>#DIV/0!</v>
      </c>
      <c r="F227" s="45"/>
      <c r="H227" s="45"/>
      <c r="J227" s="45"/>
    </row>
    <row r="228">
      <c r="A228" s="22" t="s">
        <v>157</v>
      </c>
      <c r="B228" s="21" t="str">
        <f t="shared" si="1"/>
        <v>#DIV/0!</v>
      </c>
      <c r="C228" s="21" t="str">
        <f>VLOOKUP(A228, hash!A$2:B$500, 2, 0)</f>
        <v>65020bcd03dd812a55d3a1fe</v>
      </c>
      <c r="D228" s="23" t="str">
        <f t="shared" si="2"/>
        <v>#DIV/0!</v>
      </c>
      <c r="F228" s="45"/>
      <c r="H228" s="45"/>
      <c r="J228" s="45"/>
    </row>
    <row r="229">
      <c r="A229" s="22" t="s">
        <v>158</v>
      </c>
      <c r="B229" s="21" t="str">
        <f t="shared" si="1"/>
        <v>#DIV/0!</v>
      </c>
      <c r="C229" s="21" t="str">
        <f>VLOOKUP(A229, hash!A$2:B$500, 2, 0)</f>
        <v>65020bcf8f2b101294bb3da0</v>
      </c>
      <c r="D229" s="23" t="str">
        <f t="shared" si="2"/>
        <v>#DIV/0!</v>
      </c>
      <c r="F229" s="45"/>
      <c r="H229" s="45"/>
      <c r="J229" s="45"/>
    </row>
    <row r="230">
      <c r="A230" s="22" t="s">
        <v>159</v>
      </c>
      <c r="B230" s="21" t="str">
        <f t="shared" si="1"/>
        <v>#DIV/0!</v>
      </c>
      <c r="C230" s="21" t="str">
        <f>VLOOKUP(A230, hash!A$2:B$500, 2, 0)</f>
        <v>65020bd28f2b101294bb3da1</v>
      </c>
      <c r="D230" s="23" t="str">
        <f t="shared" si="2"/>
        <v>#DIV/0!</v>
      </c>
      <c r="F230" s="45"/>
      <c r="H230" s="45"/>
      <c r="J230" s="45"/>
    </row>
    <row r="231">
      <c r="A231" s="22" t="s">
        <v>160</v>
      </c>
      <c r="B231" s="21" t="str">
        <f t="shared" si="1"/>
        <v>#DIV/0!</v>
      </c>
      <c r="C231" s="21" t="str">
        <f>VLOOKUP(A231, hash!A$2:B$500, 2, 0)</f>
        <v>65020bd203dd812a55d3a1ff</v>
      </c>
      <c r="D231" s="23" t="str">
        <f t="shared" si="2"/>
        <v>#DIV/0!</v>
      </c>
      <c r="F231" s="45"/>
      <c r="H231" s="45"/>
      <c r="J231" s="45"/>
    </row>
    <row r="232">
      <c r="A232" s="22" t="s">
        <v>161</v>
      </c>
      <c r="B232" s="21" t="str">
        <f t="shared" si="1"/>
        <v>#DIV/0!</v>
      </c>
      <c r="C232" s="21" t="str">
        <f>VLOOKUP(A232, hash!A$2:B$500, 2, 0)</f>
        <v>65020bd2967e3c86d1681e9e</v>
      </c>
      <c r="D232" s="23" t="str">
        <f t="shared" si="2"/>
        <v>#DIV/0!</v>
      </c>
      <c r="F232" s="45"/>
      <c r="H232" s="45"/>
      <c r="J232" s="45"/>
    </row>
    <row r="233">
      <c r="A233" s="22" t="s">
        <v>93</v>
      </c>
      <c r="B233" s="21" t="str">
        <f t="shared" si="1"/>
        <v>#DIV/0!</v>
      </c>
      <c r="C233" s="21" t="str">
        <f>VLOOKUP(A233, hash!A$2:B$500, 2, 0)</f>
        <v>65020bd203dd812a55d3a200</v>
      </c>
      <c r="D233" s="23" t="str">
        <f t="shared" si="2"/>
        <v>#DIV/0!</v>
      </c>
      <c r="F233" s="27"/>
      <c r="H233" s="27"/>
      <c r="J233" s="27"/>
    </row>
    <row r="234">
      <c r="A234" s="22" t="s">
        <v>162</v>
      </c>
      <c r="B234" s="21" t="str">
        <f t="shared" si="1"/>
        <v>#DIV/0!</v>
      </c>
      <c r="C234" s="21" t="str">
        <f>VLOOKUP(A234, hash!A$2:B$500, 2, 0)</f>
        <v>65020bdb03dd812a55d3a202</v>
      </c>
      <c r="D234" s="23" t="str">
        <f t="shared" si="2"/>
        <v>#DIV/0!</v>
      </c>
      <c r="F234" s="45"/>
      <c r="H234" s="45"/>
      <c r="J234" s="45"/>
    </row>
    <row r="235">
      <c r="A235" s="22" t="s">
        <v>163</v>
      </c>
      <c r="B235" s="21" t="str">
        <f t="shared" si="1"/>
        <v>#DIV/0!</v>
      </c>
      <c r="C235" s="21" t="str">
        <f>VLOOKUP(A235, hash!A$2:B$500, 2, 0)</f>
        <v>65020bde03dd812a55d3a203</v>
      </c>
      <c r="D235" s="23" t="str">
        <f t="shared" si="2"/>
        <v>#DIV/0!</v>
      </c>
      <c r="F235" s="45"/>
      <c r="H235" s="45"/>
      <c r="J235" s="45"/>
    </row>
    <row r="236">
      <c r="A236" s="22" t="s">
        <v>164</v>
      </c>
      <c r="B236" s="21" t="str">
        <f t="shared" si="1"/>
        <v>#DIV/0!</v>
      </c>
      <c r="C236" s="21" t="str">
        <f>VLOOKUP(A236, hash!A$2:B$500, 2, 0)</f>
        <v>65020be303dd812a55d3a205</v>
      </c>
      <c r="D236" s="23" t="str">
        <f t="shared" si="2"/>
        <v>#DIV/0!</v>
      </c>
      <c r="F236" s="45"/>
      <c r="H236" s="45"/>
      <c r="J236" s="45"/>
    </row>
    <row r="237">
      <c r="A237" s="22" t="s">
        <v>165</v>
      </c>
      <c r="B237" s="21" t="str">
        <f t="shared" si="1"/>
        <v>#DIV/0!</v>
      </c>
      <c r="C237" s="21" t="str">
        <f>VLOOKUP(A237, hash!A$2:B$500, 2, 0)</f>
        <v>65020be48f2b101294bb3da4</v>
      </c>
      <c r="D237" s="23" t="str">
        <f t="shared" si="2"/>
        <v>#DIV/0!</v>
      </c>
      <c r="F237" s="45"/>
      <c r="H237" s="45"/>
      <c r="J237" s="45"/>
    </row>
    <row r="238">
      <c r="A238" s="22" t="s">
        <v>166</v>
      </c>
      <c r="B238" s="21" t="str">
        <f t="shared" si="1"/>
        <v>#DIV/0!</v>
      </c>
      <c r="C238" s="21" t="str">
        <f>VLOOKUP(A238, hash!A$2:B$500, 2, 0)</f>
        <v>65020be58f2b101294bb3da6</v>
      </c>
      <c r="D238" s="23" t="str">
        <f t="shared" si="2"/>
        <v>#DIV/0!</v>
      </c>
      <c r="F238" s="45"/>
      <c r="H238" s="45"/>
      <c r="J238" s="45"/>
    </row>
    <row r="239">
      <c r="A239" s="22" t="s">
        <v>167</v>
      </c>
      <c r="B239" s="21" t="str">
        <f t="shared" si="1"/>
        <v>#DIV/0!</v>
      </c>
      <c r="C239" s="21" t="str">
        <f>VLOOKUP(A239, hash!A$2:B$500, 2, 0)</f>
        <v>65020be68f2b101294bb3da7</v>
      </c>
      <c r="D239" s="23" t="str">
        <f t="shared" si="2"/>
        <v>#DIV/0!</v>
      </c>
      <c r="F239" s="45"/>
      <c r="H239" s="45"/>
      <c r="J239" s="45"/>
    </row>
    <row r="240">
      <c r="A240" s="24" t="s">
        <v>618</v>
      </c>
      <c r="B240" s="21" t="str">
        <f t="shared" si="1"/>
        <v>#DIV/0!</v>
      </c>
      <c r="C240" s="21" t="str">
        <f>VLOOKUP(A240, hash!A$2:B$500, 2, 0)</f>
        <v>#N/A</v>
      </c>
      <c r="D240" s="23" t="str">
        <f t="shared" si="2"/>
        <v>#DIV/0!</v>
      </c>
      <c r="F240" s="45"/>
      <c r="H240" s="45"/>
      <c r="J240" s="45"/>
    </row>
    <row r="241">
      <c r="A241" s="22" t="s">
        <v>168</v>
      </c>
      <c r="B241" s="21" t="str">
        <f t="shared" si="1"/>
        <v>#DIV/0!</v>
      </c>
      <c r="C241" s="21" t="str">
        <f>VLOOKUP(A241, hash!A$2:B$500, 2, 0)</f>
        <v>65020bec8f2b101294bb3da9</v>
      </c>
      <c r="D241" s="23" t="str">
        <f t="shared" si="2"/>
        <v>#DIV/0!</v>
      </c>
      <c r="F241" s="45"/>
      <c r="H241" s="45"/>
      <c r="J241" s="45"/>
    </row>
    <row r="242">
      <c r="A242" s="22" t="s">
        <v>169</v>
      </c>
      <c r="B242" s="21" t="str">
        <f t="shared" si="1"/>
        <v>#DIV/0!</v>
      </c>
      <c r="C242" s="21" t="str">
        <f>VLOOKUP(A242, hash!A$2:B$500, 2, 0)</f>
        <v>65020bf103dd812a55d3a208</v>
      </c>
      <c r="D242" s="23" t="str">
        <f t="shared" si="2"/>
        <v>#DIV/0!</v>
      </c>
      <c r="F242" s="45"/>
      <c r="H242" s="45"/>
      <c r="J242" s="45"/>
    </row>
    <row r="243">
      <c r="A243" s="22" t="s">
        <v>170</v>
      </c>
      <c r="B243" s="21" t="str">
        <f t="shared" si="1"/>
        <v>#DIV/0!</v>
      </c>
      <c r="C243" s="21" t="str">
        <f>VLOOKUP(A243, hash!A$2:B$500, 2, 0)</f>
        <v>65020bf203dd812a55d3a209</v>
      </c>
      <c r="D243" s="23" t="str">
        <f t="shared" si="2"/>
        <v>#DIV/0!</v>
      </c>
      <c r="F243" s="45"/>
      <c r="H243" s="45"/>
      <c r="J243" s="45"/>
    </row>
    <row r="244">
      <c r="A244" s="22" t="s">
        <v>171</v>
      </c>
      <c r="B244" s="21" t="str">
        <f t="shared" si="1"/>
        <v>#DIV/0!</v>
      </c>
      <c r="C244" s="21" t="str">
        <f>VLOOKUP(A244, hash!A$2:B$500, 2, 0)</f>
        <v>65020bf603dd812a55d3a20a</v>
      </c>
      <c r="D244" s="23" t="str">
        <f t="shared" si="2"/>
        <v>#DIV/0!</v>
      </c>
      <c r="F244" s="45"/>
      <c r="H244" s="45"/>
      <c r="J244" s="45"/>
    </row>
    <row r="245">
      <c r="A245" s="22" t="s">
        <v>172</v>
      </c>
      <c r="B245" s="21" t="str">
        <f t="shared" si="1"/>
        <v>#DIV/0!</v>
      </c>
      <c r="C245" s="21" t="str">
        <f>VLOOKUP(A245, hash!A$2:B$500, 2, 0)</f>
        <v>65020bf8097ac3c9d063264a</v>
      </c>
      <c r="D245" s="23" t="str">
        <f t="shared" si="2"/>
        <v>#DIV/0!</v>
      </c>
      <c r="F245" s="45"/>
      <c r="H245" s="45"/>
      <c r="J245" s="45"/>
    </row>
    <row r="246">
      <c r="A246" s="22" t="s">
        <v>619</v>
      </c>
      <c r="B246" s="21" t="str">
        <f t="shared" si="1"/>
        <v>#DIV/0!</v>
      </c>
      <c r="C246" s="21" t="str">
        <f>VLOOKUP(A246, hash!A$2:B$500, 2, 0)</f>
        <v>#N/A</v>
      </c>
      <c r="D246" s="23" t="str">
        <f t="shared" si="2"/>
        <v>#DIV/0!</v>
      </c>
      <c r="F246" s="45"/>
      <c r="H246" s="45"/>
      <c r="J246" s="45"/>
    </row>
    <row r="247">
      <c r="A247" s="22" t="s">
        <v>173</v>
      </c>
      <c r="B247" s="21" t="str">
        <f t="shared" si="1"/>
        <v>#DIV/0!</v>
      </c>
      <c r="C247" s="21" t="str">
        <f>VLOOKUP(A247, hash!A$2:B$500, 2, 0)</f>
        <v>65020bfb097ac3c9d063264c</v>
      </c>
      <c r="D247" s="23" t="str">
        <f t="shared" si="2"/>
        <v>#DIV/0!</v>
      </c>
      <c r="F247" s="27"/>
      <c r="H247" s="27"/>
      <c r="J247" s="27"/>
    </row>
    <row r="248">
      <c r="A248" s="22" t="s">
        <v>174</v>
      </c>
      <c r="B248" s="21" t="str">
        <f t="shared" si="1"/>
        <v>#DIV/0!</v>
      </c>
      <c r="C248" s="21" t="str">
        <f>VLOOKUP(A248, hash!A$2:B$500, 2, 0)</f>
        <v>65020bfc097ac3c9d063264e</v>
      </c>
      <c r="D248" s="23" t="str">
        <f t="shared" si="2"/>
        <v>#DIV/0!</v>
      </c>
      <c r="F248" s="45"/>
      <c r="H248" s="45"/>
      <c r="J248" s="45"/>
    </row>
    <row r="249">
      <c r="A249" s="22" t="s">
        <v>175</v>
      </c>
      <c r="B249" s="21" t="str">
        <f t="shared" si="1"/>
        <v>#DIV/0!</v>
      </c>
      <c r="C249" s="21" t="str">
        <f>VLOOKUP(A249, hash!A$2:B$500, 2, 0)</f>
        <v>65020c00097ac3c9d0632650</v>
      </c>
      <c r="D249" s="23" t="str">
        <f t="shared" si="2"/>
        <v>#DIV/0!</v>
      </c>
      <c r="F249" s="45"/>
      <c r="H249" s="45"/>
      <c r="J249" s="45"/>
    </row>
    <row r="250">
      <c r="A250" s="22" t="s">
        <v>176</v>
      </c>
      <c r="B250" s="21" t="str">
        <f t="shared" si="1"/>
        <v>#DIV/0!</v>
      </c>
      <c r="C250" s="21" t="str">
        <f>VLOOKUP(A250, hash!A$2:B$500, 2, 0)</f>
        <v>65020c058f2b101294bb3daa</v>
      </c>
      <c r="D250" s="23" t="str">
        <f t="shared" si="2"/>
        <v>#DIV/0!</v>
      </c>
      <c r="F250" s="45"/>
      <c r="H250" s="45"/>
      <c r="J250" s="45"/>
    </row>
    <row r="251">
      <c r="A251" s="22" t="s">
        <v>177</v>
      </c>
      <c r="B251" s="21" t="str">
        <f t="shared" si="1"/>
        <v>#DIV/0!</v>
      </c>
      <c r="C251" s="21" t="str">
        <f>VLOOKUP(A251, hash!A$2:B$500, 2, 0)</f>
        <v>65020c068f2b101294bb3dab</v>
      </c>
      <c r="D251" s="23" t="str">
        <f t="shared" si="2"/>
        <v>#DIV/0!</v>
      </c>
      <c r="F251" s="45"/>
      <c r="H251" s="45"/>
      <c r="J251" s="45"/>
    </row>
    <row r="252">
      <c r="A252" s="22" t="s">
        <v>178</v>
      </c>
      <c r="B252" s="21" t="str">
        <f t="shared" si="1"/>
        <v>#DIV/0!</v>
      </c>
      <c r="C252" s="21" t="str">
        <f>VLOOKUP(A252, hash!A$2:B$500, 2, 0)</f>
        <v>65020c06097ac3c9d0632652</v>
      </c>
      <c r="D252" s="23" t="str">
        <f t="shared" si="2"/>
        <v>#DIV/0!</v>
      </c>
      <c r="F252" s="45"/>
      <c r="H252" s="45"/>
      <c r="J252" s="45"/>
    </row>
    <row r="253">
      <c r="A253" s="22" t="s">
        <v>179</v>
      </c>
      <c r="B253" s="21" t="str">
        <f t="shared" si="1"/>
        <v>#DIV/0!</v>
      </c>
      <c r="C253" s="21" t="str">
        <f>VLOOKUP(A253, hash!A$2:B$500, 2, 0)</f>
        <v>65020c088f2b101294bb3dad</v>
      </c>
      <c r="D253" s="23" t="str">
        <f t="shared" si="2"/>
        <v>#DIV/0!</v>
      </c>
      <c r="F253" s="27"/>
      <c r="H253" s="27"/>
      <c r="J253" s="27"/>
    </row>
    <row r="254">
      <c r="A254" s="22" t="s">
        <v>180</v>
      </c>
      <c r="B254" s="21" t="str">
        <f t="shared" si="1"/>
        <v>#DIV/0!</v>
      </c>
      <c r="C254" s="21" t="str">
        <f>VLOOKUP(A254, hash!A$2:B$500, 2, 0)</f>
        <v>65020c0f03dd812a55d3a20d</v>
      </c>
      <c r="D254" s="23" t="str">
        <f t="shared" si="2"/>
        <v>#DIV/0!</v>
      </c>
      <c r="F254" s="45"/>
      <c r="H254" s="45"/>
      <c r="J254" s="45"/>
    </row>
    <row r="255">
      <c r="A255" s="22" t="s">
        <v>181</v>
      </c>
      <c r="B255" s="21" t="str">
        <f t="shared" si="1"/>
        <v>#DIV/0!</v>
      </c>
      <c r="C255" s="21" t="str">
        <f>VLOOKUP(A255, hash!A$2:B$500, 2, 0)</f>
        <v>65020c158f2b101294bb3daf</v>
      </c>
      <c r="D255" s="23" t="str">
        <f t="shared" si="2"/>
        <v>#DIV/0!</v>
      </c>
      <c r="F255" s="45"/>
      <c r="H255" s="45"/>
      <c r="J255" s="45"/>
    </row>
    <row r="256">
      <c r="A256" s="22" t="s">
        <v>182</v>
      </c>
      <c r="B256" s="21" t="str">
        <f t="shared" si="1"/>
        <v>#DIV/0!</v>
      </c>
      <c r="C256" s="21" t="str">
        <f>VLOOKUP(A256, hash!A$2:B$500, 2, 0)</f>
        <v>65020c188f2b101294bb3db0</v>
      </c>
      <c r="D256" s="23" t="str">
        <f t="shared" si="2"/>
        <v>#DIV/0!</v>
      </c>
      <c r="F256" s="45"/>
      <c r="H256" s="45"/>
      <c r="J256" s="45"/>
    </row>
    <row r="257">
      <c r="A257" s="22" t="s">
        <v>620</v>
      </c>
      <c r="B257" s="21" t="str">
        <f t="shared" si="1"/>
        <v>#DIV/0!</v>
      </c>
      <c r="C257" s="21" t="str">
        <f>VLOOKUP(A257, hash!A$2:B$500, 2, 0)</f>
        <v>#N/A</v>
      </c>
      <c r="D257" s="23" t="str">
        <f t="shared" si="2"/>
        <v>#DIV/0!</v>
      </c>
      <c r="F257" s="45"/>
      <c r="H257" s="45"/>
      <c r="J257" s="45"/>
    </row>
    <row r="258">
      <c r="A258" s="22" t="s">
        <v>183</v>
      </c>
      <c r="B258" s="21" t="str">
        <f t="shared" si="1"/>
        <v>#DIV/0!</v>
      </c>
      <c r="C258" s="21" t="str">
        <f>VLOOKUP(A258, hash!A$2:B$500, 2, 0)</f>
        <v>65020c5b097ac3c9d0632661</v>
      </c>
      <c r="D258" s="23" t="str">
        <f t="shared" si="2"/>
        <v>#DIV/0!</v>
      </c>
      <c r="F258" s="45"/>
      <c r="H258" s="45"/>
      <c r="J258" s="45"/>
    </row>
    <row r="259">
      <c r="A259" s="22" t="s">
        <v>184</v>
      </c>
      <c r="B259" s="21" t="str">
        <f t="shared" si="1"/>
        <v>#DIV/0!</v>
      </c>
      <c r="C259" s="21" t="str">
        <f>VLOOKUP(A259, hash!A$2:B$500, 2, 0)</f>
        <v>65020cea8f2b101294bb3dbe</v>
      </c>
      <c r="D259" s="23" t="str">
        <f t="shared" si="2"/>
        <v>#DIV/0!</v>
      </c>
      <c r="F259" s="45"/>
      <c r="H259" s="45"/>
      <c r="J259" s="45"/>
    </row>
    <row r="260">
      <c r="A260" s="22" t="s">
        <v>185</v>
      </c>
      <c r="B260" s="21" t="str">
        <f t="shared" si="1"/>
        <v>#DIV/0!</v>
      </c>
      <c r="C260" s="21" t="str">
        <f>VLOOKUP(A260, hash!A$2:B$500, 2, 0)</f>
        <v>65020d4b097ac3c9d063266a</v>
      </c>
      <c r="D260" s="23" t="str">
        <f t="shared" si="2"/>
        <v>#DIV/0!</v>
      </c>
      <c r="F260" s="45"/>
      <c r="H260" s="45"/>
      <c r="J260" s="45"/>
    </row>
    <row r="261">
      <c r="A261" s="22" t="s">
        <v>186</v>
      </c>
      <c r="B261" s="21" t="str">
        <f t="shared" si="1"/>
        <v>#DIV/0!</v>
      </c>
      <c r="C261" s="21" t="str">
        <f>VLOOKUP(A261, hash!A$2:B$500, 2, 0)</f>
        <v>65044a78c61c6a809dc7166a</v>
      </c>
      <c r="D261" s="23" t="str">
        <f t="shared" si="2"/>
        <v>#DIV/0!</v>
      </c>
      <c r="F261" s="45"/>
      <c r="H261" s="45"/>
      <c r="J261" s="45"/>
    </row>
    <row r="262">
      <c r="A262" s="22" t="s">
        <v>187</v>
      </c>
      <c r="B262" s="21" t="str">
        <f t="shared" si="1"/>
        <v>#DIV/0!</v>
      </c>
      <c r="C262" s="21" t="str">
        <f>VLOOKUP(A262, hash!A$2:B$500, 2, 0)</f>
        <v>650b3a05831593811cfcd7a6</v>
      </c>
      <c r="D262" s="23" t="str">
        <f t="shared" si="2"/>
        <v>#DIV/0!</v>
      </c>
      <c r="F262" s="45"/>
      <c r="H262" s="45"/>
      <c r="J262" s="45"/>
    </row>
    <row r="263">
      <c r="A263" s="22" t="s">
        <v>188</v>
      </c>
      <c r="B263" s="21" t="str">
        <f t="shared" si="1"/>
        <v>#DIV/0!</v>
      </c>
      <c r="C263" s="21" t="str">
        <f>VLOOKUP(A263, hash!A$2:B$500, 2, 0)</f>
        <v>650b3a079d801acd9fe283a1</v>
      </c>
      <c r="D263" s="23" t="str">
        <f t="shared" si="2"/>
        <v>#DIV/0!</v>
      </c>
      <c r="F263" s="45"/>
      <c r="H263" s="45"/>
      <c r="J263" s="45"/>
    </row>
    <row r="264">
      <c r="A264" s="22" t="s">
        <v>189</v>
      </c>
      <c r="B264" s="21" t="str">
        <f t="shared" si="1"/>
        <v>#DIV/0!</v>
      </c>
      <c r="C264" s="21" t="str">
        <f>VLOOKUP(A264, hash!A$2:B$500, 2, 0)</f>
        <v>650b3a09ed7955a527757145</v>
      </c>
      <c r="D264" s="23" t="str">
        <f t="shared" si="2"/>
        <v>#DIV/0!</v>
      </c>
      <c r="F264" s="45"/>
      <c r="H264" s="45"/>
      <c r="J264" s="45"/>
    </row>
    <row r="265">
      <c r="A265" s="22" t="s">
        <v>190</v>
      </c>
      <c r="B265" s="21" t="str">
        <f t="shared" si="1"/>
        <v>#DIV/0!</v>
      </c>
      <c r="C265" s="21" t="str">
        <f>VLOOKUP(A265, hash!A$2:B$500, 2, 0)</f>
        <v>650b3a0ded7955a527757147</v>
      </c>
      <c r="D265" s="23" t="str">
        <f t="shared" si="2"/>
        <v>#DIV/0!</v>
      </c>
      <c r="F265" s="45"/>
      <c r="H265" s="45"/>
      <c r="J265" s="45"/>
    </row>
    <row r="266">
      <c r="A266" s="22" t="s">
        <v>191</v>
      </c>
      <c r="B266" s="21" t="str">
        <f t="shared" si="1"/>
        <v>#DIV/0!</v>
      </c>
      <c r="C266" s="21" t="str">
        <f>VLOOKUP(A266, hash!A$2:B$500, 2, 0)</f>
        <v>650b3a0eacb6c663527423b7</v>
      </c>
      <c r="D266" s="23" t="str">
        <f t="shared" si="2"/>
        <v>#DIV/0!</v>
      </c>
      <c r="F266" s="45"/>
      <c r="H266" s="45"/>
      <c r="J266" s="45"/>
    </row>
    <row r="267">
      <c r="A267" s="22" t="s">
        <v>192</v>
      </c>
      <c r="B267" s="21" t="str">
        <f t="shared" si="1"/>
        <v>#DIV/0!</v>
      </c>
      <c r="C267" s="21" t="str">
        <f>VLOOKUP(A267, hash!A$2:B$500, 2, 0)</f>
        <v>650b3a0e9d801acd9fe283a2</v>
      </c>
      <c r="D267" s="23" t="str">
        <f t="shared" si="2"/>
        <v>#DIV/0!</v>
      </c>
      <c r="F267" s="45"/>
      <c r="H267" s="45"/>
      <c r="J267" s="45"/>
    </row>
    <row r="268">
      <c r="A268" s="22" t="s">
        <v>193</v>
      </c>
      <c r="B268" s="21" t="str">
        <f t="shared" si="1"/>
        <v>#DIV/0!</v>
      </c>
      <c r="C268" s="21" t="str">
        <f>VLOOKUP(A268, hash!A$2:B$500, 2, 0)</f>
        <v>650b3a15ed7955a527757149</v>
      </c>
      <c r="D268" s="23" t="str">
        <f t="shared" si="2"/>
        <v>#DIV/0!</v>
      </c>
      <c r="F268" s="45"/>
      <c r="H268" s="45"/>
      <c r="J268" s="45"/>
    </row>
    <row r="269">
      <c r="A269" s="22" t="s">
        <v>194</v>
      </c>
      <c r="B269" s="21" t="str">
        <f t="shared" si="1"/>
        <v>#DIV/0!</v>
      </c>
      <c r="C269" s="21" t="str">
        <f>VLOOKUP(A269, hash!A$2:B$500, 2, 0)</f>
        <v>650b3a1ced7955a52775714b</v>
      </c>
      <c r="D269" s="23" t="str">
        <f t="shared" si="2"/>
        <v>#DIV/0!</v>
      </c>
      <c r="F269" s="45"/>
      <c r="H269" s="45"/>
      <c r="J269" s="45"/>
    </row>
    <row r="270">
      <c r="A270" s="22" t="s">
        <v>195</v>
      </c>
      <c r="B270" s="21" t="str">
        <f t="shared" si="1"/>
        <v>#DIV/0!</v>
      </c>
      <c r="C270" s="21" t="str">
        <f>VLOOKUP(A270, hash!A$2:B$500, 2, 0)</f>
        <v>650b3a9e41c634acd2e8f3d0</v>
      </c>
      <c r="D270" s="23" t="str">
        <f t="shared" si="2"/>
        <v>#DIV/0!</v>
      </c>
      <c r="F270" s="45"/>
      <c r="H270" s="45"/>
      <c r="J270" s="45"/>
    </row>
    <row r="271">
      <c r="A271" s="22" t="s">
        <v>196</v>
      </c>
      <c r="B271" s="21" t="str">
        <f t="shared" si="1"/>
        <v>#DIV/0!</v>
      </c>
      <c r="C271" s="21" t="str">
        <f>VLOOKUP(A271, hash!A$2:B$500, 2, 0)</f>
        <v>650b40c463d8964b8e363b3b</v>
      </c>
      <c r="D271" s="23" t="str">
        <f t="shared" si="2"/>
        <v>#DIV/0!</v>
      </c>
      <c r="F271" s="45"/>
      <c r="H271" s="45"/>
      <c r="J271" s="45"/>
    </row>
    <row r="272">
      <c r="A272" s="22" t="s">
        <v>197</v>
      </c>
      <c r="B272" s="21" t="str">
        <f t="shared" si="1"/>
        <v>#DIV/0!</v>
      </c>
      <c r="C272" s="21" t="str">
        <f>VLOOKUP(A272, hash!A$2:B$500, 2, 0)</f>
        <v>650b40ce63d8964b8e363b3d</v>
      </c>
      <c r="D272" s="23" t="str">
        <f t="shared" si="2"/>
        <v>#DIV/0!</v>
      </c>
      <c r="F272" s="45"/>
      <c r="H272" s="45"/>
      <c r="J272" s="45"/>
    </row>
    <row r="273">
      <c r="A273" s="22" t="s">
        <v>199</v>
      </c>
      <c r="B273" s="21" t="str">
        <f t="shared" si="1"/>
        <v>#DIV/0!</v>
      </c>
      <c r="C273" s="21" t="str">
        <f>VLOOKUP(A273, hash!A$2:B$500, 2, 0)</f>
        <v>650b44847b17d110a03d7208</v>
      </c>
      <c r="D273" s="23" t="str">
        <f t="shared" si="2"/>
        <v>#DIV/0!</v>
      </c>
      <c r="F273" s="45"/>
      <c r="H273" s="45"/>
      <c r="J273" s="45"/>
    </row>
    <row r="274">
      <c r="A274" s="22" t="s">
        <v>200</v>
      </c>
      <c r="B274" s="21" t="str">
        <f t="shared" si="1"/>
        <v>#DIV/0!</v>
      </c>
      <c r="C274" s="21" t="str">
        <f>VLOOKUP(A274, hash!A$2:B$500, 2, 0)</f>
        <v>650b44997b17d110a03d7209</v>
      </c>
      <c r="D274" s="23" t="str">
        <f t="shared" si="2"/>
        <v>#DIV/0!</v>
      </c>
      <c r="F274" s="45"/>
      <c r="H274" s="45"/>
      <c r="J274" s="45"/>
    </row>
    <row r="275">
      <c r="A275" s="22" t="s">
        <v>201</v>
      </c>
      <c r="B275" s="21" t="str">
        <f t="shared" si="1"/>
        <v>#DIV/0!</v>
      </c>
      <c r="C275" s="21" t="str">
        <f>VLOOKUP(A275, hash!A$2:B$500, 2, 0)</f>
        <v>650b45dd0df4236622e51063</v>
      </c>
      <c r="D275" s="23" t="str">
        <f t="shared" si="2"/>
        <v>#DIV/0!</v>
      </c>
      <c r="F275" s="45"/>
      <c r="H275" s="45"/>
      <c r="J275" s="45"/>
    </row>
    <row r="276">
      <c r="A276" s="22" t="s">
        <v>202</v>
      </c>
      <c r="B276" s="21" t="str">
        <f t="shared" si="1"/>
        <v>#DIV/0!</v>
      </c>
      <c r="C276" s="21" t="str">
        <f>VLOOKUP(A276, hash!A$2:B$500, 2, 0)</f>
        <v>650b461a1798582bd25e6f14</v>
      </c>
      <c r="D276" s="23" t="str">
        <f t="shared" si="2"/>
        <v>#DIV/0!</v>
      </c>
      <c r="F276" s="45"/>
      <c r="H276" s="45"/>
      <c r="J276" s="45"/>
    </row>
    <row r="277">
      <c r="A277" s="22" t="s">
        <v>203</v>
      </c>
      <c r="B277" s="21" t="str">
        <f t="shared" si="1"/>
        <v>#DIV/0!</v>
      </c>
      <c r="C277" s="21" t="str">
        <f>VLOOKUP(A277, hash!A$2:B$500, 2, 0)</f>
        <v>650b466f0ebdcd576cc45c6f</v>
      </c>
      <c r="D277" s="23" t="str">
        <f t="shared" si="2"/>
        <v>#DIV/0!</v>
      </c>
      <c r="F277" s="45"/>
      <c r="H277" s="45"/>
      <c r="J277" s="45"/>
    </row>
    <row r="278">
      <c r="A278" s="22" t="s">
        <v>204</v>
      </c>
      <c r="B278" s="21" t="str">
        <f t="shared" si="1"/>
        <v>#DIV/0!</v>
      </c>
      <c r="C278" s="21" t="str">
        <f>VLOOKUP(A278, hash!A$2:B$500, 2, 0)</f>
        <v>650b46820ebdcd576cc45c70</v>
      </c>
      <c r="D278" s="23" t="str">
        <f t="shared" si="2"/>
        <v>#DIV/0!</v>
      </c>
      <c r="F278" s="45"/>
      <c r="H278" s="45"/>
      <c r="J278" s="45"/>
    </row>
    <row r="279">
      <c r="A279" s="22" t="s">
        <v>205</v>
      </c>
      <c r="B279" s="21" t="str">
        <f t="shared" si="1"/>
        <v>#DIV/0!</v>
      </c>
      <c r="C279" s="21" t="str">
        <f>VLOOKUP(A279, hash!A$2:B$500, 2, 0)</f>
        <v>650b477d7b17d110a03d7221</v>
      </c>
      <c r="D279" s="23" t="str">
        <f t="shared" si="2"/>
        <v>#DIV/0!</v>
      </c>
      <c r="F279" s="45"/>
      <c r="H279" s="45"/>
      <c r="J279" s="45"/>
    </row>
    <row r="280">
      <c r="A280" s="22" t="s">
        <v>621</v>
      </c>
      <c r="B280" s="21" t="str">
        <f t="shared" si="1"/>
        <v>#DIV/0!</v>
      </c>
      <c r="C280" s="21" t="str">
        <f>VLOOKUP(A280, hash!A$2:B$500, 2, 0)</f>
        <v>#N/A</v>
      </c>
      <c r="D280" s="23" t="str">
        <f t="shared" si="2"/>
        <v>#DIV/0!</v>
      </c>
      <c r="F280" s="45"/>
      <c r="H280" s="45"/>
      <c r="J280" s="45"/>
    </row>
    <row r="281">
      <c r="A281" s="22" t="s">
        <v>206</v>
      </c>
      <c r="B281" s="21" t="str">
        <f t="shared" si="1"/>
        <v>#DIV/0!</v>
      </c>
      <c r="C281" s="21" t="str">
        <f>VLOOKUP(A281, hash!A$2:B$500, 2, 0)</f>
        <v>651473b073ba37322a56bc86</v>
      </c>
      <c r="D281" s="23" t="str">
        <f t="shared" si="2"/>
        <v>#DIV/0!</v>
      </c>
      <c r="F281" s="45"/>
      <c r="H281" s="45"/>
      <c r="J281" s="45"/>
    </row>
    <row r="282">
      <c r="A282" s="22" t="s">
        <v>207</v>
      </c>
      <c r="B282" s="21" t="str">
        <f t="shared" si="1"/>
        <v>#DIV/0!</v>
      </c>
      <c r="C282" s="21" t="str">
        <f>VLOOKUP(A282, hash!A$2:B$500, 2, 0)</f>
        <v>6514746bcb3856acbe2e045e</v>
      </c>
      <c r="D282" s="23" t="str">
        <f t="shared" si="2"/>
        <v>#DIV/0!</v>
      </c>
      <c r="F282" s="45"/>
      <c r="H282" s="45"/>
      <c r="J282" s="45"/>
    </row>
    <row r="283">
      <c r="A283" s="22" t="s">
        <v>208</v>
      </c>
      <c r="B283" s="21" t="str">
        <f t="shared" si="1"/>
        <v>#DIV/0!</v>
      </c>
      <c r="C283" s="21" t="str">
        <f>VLOOKUP(A283, hash!A$2:B$500, 2, 0)</f>
        <v>651474adbad0d569bbd8c620</v>
      </c>
      <c r="D283" s="23" t="str">
        <f t="shared" si="2"/>
        <v>#DIV/0!</v>
      </c>
      <c r="F283" s="45"/>
      <c r="H283" s="45"/>
      <c r="J283" s="45"/>
    </row>
    <row r="284">
      <c r="A284" s="22" t="s">
        <v>622</v>
      </c>
      <c r="B284" s="21" t="str">
        <f t="shared" si="1"/>
        <v>#DIV/0!</v>
      </c>
      <c r="C284" s="21" t="str">
        <f>VLOOKUP(A284, hash!A$2:B$500, 2, 0)</f>
        <v>#N/A</v>
      </c>
      <c r="D284" s="23" t="str">
        <f t="shared" si="2"/>
        <v>#DIV/0!</v>
      </c>
      <c r="F284" s="45"/>
      <c r="H284" s="45"/>
      <c r="J284" s="45"/>
    </row>
    <row r="285">
      <c r="A285" s="22" t="s">
        <v>209</v>
      </c>
      <c r="B285" s="21" t="str">
        <f t="shared" si="1"/>
        <v>#DIV/0!</v>
      </c>
      <c r="C285" s="21" t="str">
        <f>VLOOKUP(A285, hash!A$2:B$500, 2, 0)</f>
        <v>651480e5b25a8777756c8277</v>
      </c>
      <c r="D285" s="23" t="str">
        <f t="shared" si="2"/>
        <v>#DIV/0!</v>
      </c>
      <c r="F285" s="45"/>
      <c r="H285" s="45"/>
      <c r="J285" s="45"/>
    </row>
    <row r="286">
      <c r="A286" s="22" t="s">
        <v>210</v>
      </c>
      <c r="B286" s="21" t="str">
        <f t="shared" si="1"/>
        <v>#DIV/0!</v>
      </c>
      <c r="C286" s="21" t="str">
        <f>VLOOKUP(A286, hash!A$2:B$500, 2, 0)</f>
        <v>651621a7755b5ba7402891b3</v>
      </c>
      <c r="D286" s="23" t="str">
        <f t="shared" si="2"/>
        <v>#DIV/0!</v>
      </c>
      <c r="F286" s="45"/>
      <c r="H286" s="45"/>
      <c r="J286" s="45"/>
    </row>
    <row r="287">
      <c r="A287" s="22" t="s">
        <v>12</v>
      </c>
      <c r="B287" s="21" t="str">
        <f t="shared" si="1"/>
        <v>#DIV/0!</v>
      </c>
      <c r="C287" s="21" t="str">
        <f>VLOOKUP(A287, hash!A$2:B$500, 2, 0)</f>
        <v>651dadf4a69631c34bde617f</v>
      </c>
      <c r="D287" s="23" t="str">
        <f t="shared" si="2"/>
        <v>#DIV/0!</v>
      </c>
      <c r="E287" s="14">
        <v>0.0</v>
      </c>
      <c r="F287" s="27">
        <v>0.0</v>
      </c>
      <c r="G287" s="14">
        <v>0.0</v>
      </c>
      <c r="H287" s="27">
        <v>0.0</v>
      </c>
      <c r="I287" s="14">
        <v>0.0</v>
      </c>
      <c r="J287" s="27">
        <v>0.0</v>
      </c>
    </row>
    <row r="288">
      <c r="A288" s="22" t="s">
        <v>211</v>
      </c>
      <c r="B288" s="21" t="str">
        <f t="shared" si="1"/>
        <v>#DIV/0!</v>
      </c>
      <c r="C288" s="21" t="str">
        <f>VLOOKUP(A288, hash!A$2:B$500, 2, 0)</f>
        <v>651daf0edc9060f76fe584c7</v>
      </c>
      <c r="D288" s="23" t="str">
        <f t="shared" si="2"/>
        <v>#DIV/0!</v>
      </c>
      <c r="F288" s="45"/>
      <c r="H288" s="45"/>
      <c r="J288" s="45"/>
    </row>
    <row r="289">
      <c r="A289" s="22" t="s">
        <v>212</v>
      </c>
      <c r="B289" s="21" t="str">
        <f t="shared" si="1"/>
        <v>#DIV/0!</v>
      </c>
      <c r="C289" s="21" t="str">
        <f>VLOOKUP(A289, hash!A$2:B$500, 2, 0)</f>
        <v>651db9af9dea57c7cb020129</v>
      </c>
      <c r="D289" s="23" t="str">
        <f t="shared" si="2"/>
        <v>#DIV/0!</v>
      </c>
      <c r="F289" s="27"/>
      <c r="H289" s="27"/>
      <c r="J289" s="27"/>
    </row>
    <row r="290">
      <c r="A290" s="22" t="s">
        <v>213</v>
      </c>
      <c r="B290" s="21" t="str">
        <f t="shared" si="1"/>
        <v>#DIV/0!</v>
      </c>
      <c r="C290" s="21" t="str">
        <f>VLOOKUP(A290, hash!A$2:B$500, 2, 0)</f>
        <v>651dbad69dea57c7cb020139</v>
      </c>
      <c r="D290" s="23" t="str">
        <f t="shared" si="2"/>
        <v>#DIV/0!</v>
      </c>
      <c r="F290" s="45"/>
      <c r="H290" s="45"/>
      <c r="J290" s="45"/>
    </row>
    <row r="291">
      <c r="A291" s="22" t="s">
        <v>214</v>
      </c>
      <c r="B291" s="21" t="str">
        <f t="shared" si="1"/>
        <v>#DIV/0!</v>
      </c>
      <c r="C291" s="21" t="str">
        <f>VLOOKUP(A291, hash!A$2:B$500, 2, 0)</f>
        <v>651dbae7d54b632818878f41</v>
      </c>
      <c r="D291" s="23" t="str">
        <f t="shared" si="2"/>
        <v>#DIV/0!</v>
      </c>
      <c r="F291" s="45"/>
      <c r="H291" s="45"/>
      <c r="J291" s="45"/>
    </row>
    <row r="292">
      <c r="A292" s="22" t="s">
        <v>215</v>
      </c>
      <c r="B292" s="21" t="str">
        <f t="shared" si="1"/>
        <v>#DIV/0!</v>
      </c>
      <c r="C292" s="21" t="str">
        <f>VLOOKUP(A292, hash!A$2:B$500, 2, 0)</f>
        <v>651dbb15d54b632818878f43</v>
      </c>
      <c r="D292" s="23" t="str">
        <f t="shared" si="2"/>
        <v>#DIV/0!</v>
      </c>
      <c r="F292" s="45"/>
      <c r="H292" s="45"/>
      <c r="J292" s="45"/>
    </row>
    <row r="293">
      <c r="A293" s="22" t="s">
        <v>216</v>
      </c>
      <c r="B293" s="21" t="str">
        <f t="shared" si="1"/>
        <v>#DIV/0!</v>
      </c>
      <c r="C293" s="21" t="str">
        <f>VLOOKUP(A293, hash!A$2:B$500, 2, 0)</f>
        <v>651dbb299dea57c7cb020142</v>
      </c>
      <c r="D293" s="23" t="str">
        <f t="shared" si="2"/>
        <v>#DIV/0!</v>
      </c>
      <c r="F293" s="45"/>
      <c r="H293" s="45"/>
      <c r="J293" s="45"/>
    </row>
    <row r="294">
      <c r="A294" s="22" t="s">
        <v>217</v>
      </c>
      <c r="B294" s="21" t="str">
        <f t="shared" si="1"/>
        <v>#DIV/0!</v>
      </c>
      <c r="C294" s="21" t="str">
        <f>VLOOKUP(A294, hash!A$2:B$500, 2, 0)</f>
        <v>651dbb3f9dea57c7cb020143</v>
      </c>
      <c r="D294" s="23" t="str">
        <f t="shared" si="2"/>
        <v>#DIV/0!</v>
      </c>
      <c r="F294" s="45"/>
      <c r="H294" s="45"/>
      <c r="J294" s="45"/>
    </row>
    <row r="295">
      <c r="A295" s="22" t="s">
        <v>218</v>
      </c>
      <c r="B295" s="21" t="str">
        <f t="shared" si="1"/>
        <v>#DIV/0!</v>
      </c>
      <c r="C295" s="21" t="str">
        <f>VLOOKUP(A295, hash!A$2:B$500, 2, 0)</f>
        <v>651dbc99ca156cc80367f4eb</v>
      </c>
      <c r="D295" s="23" t="str">
        <f t="shared" si="2"/>
        <v>#DIV/0!</v>
      </c>
      <c r="F295" s="45"/>
      <c r="H295" s="45"/>
      <c r="J295" s="45"/>
    </row>
    <row r="296">
      <c r="A296" s="22" t="s">
        <v>623</v>
      </c>
      <c r="B296" s="21" t="str">
        <f t="shared" si="1"/>
        <v>#DIV/0!</v>
      </c>
      <c r="C296" s="21" t="str">
        <f>VLOOKUP(A296, hash!A$2:B$500, 2, 0)</f>
        <v>#N/A</v>
      </c>
      <c r="D296" s="23" t="str">
        <f t="shared" si="2"/>
        <v>#DIV/0!</v>
      </c>
      <c r="F296" s="45"/>
      <c r="H296" s="45"/>
      <c r="J296" s="45"/>
    </row>
    <row r="297">
      <c r="A297" s="22" t="s">
        <v>219</v>
      </c>
      <c r="B297" s="21" t="str">
        <f t="shared" si="1"/>
        <v>#DIV/0!</v>
      </c>
      <c r="C297" s="21" t="str">
        <f>VLOOKUP(A297, hash!A$2:B$500, 2, 0)</f>
        <v>652403893fc5d4c9ab851009</v>
      </c>
      <c r="D297" s="23" t="str">
        <f t="shared" si="2"/>
        <v>#DIV/0!</v>
      </c>
      <c r="F297" s="27"/>
      <c r="H297" s="27"/>
      <c r="J297" s="27"/>
    </row>
    <row r="298">
      <c r="A298" s="22" t="s">
        <v>220</v>
      </c>
      <c r="B298" s="21" t="str">
        <f t="shared" si="1"/>
        <v>#DIV/0!</v>
      </c>
      <c r="C298" s="21" t="str">
        <f>VLOOKUP(A298, hash!A$2:B$500, 2, 0)</f>
        <v>6530232bcf7c5adcfb301ec7</v>
      </c>
      <c r="D298" s="23" t="str">
        <f t="shared" si="2"/>
        <v>#DIV/0!</v>
      </c>
      <c r="F298" s="45"/>
      <c r="H298" s="45"/>
      <c r="J298" s="45"/>
    </row>
    <row r="299">
      <c r="A299" s="22" t="s">
        <v>221</v>
      </c>
      <c r="B299" s="21" t="str">
        <f t="shared" si="1"/>
        <v>#DIV/0!</v>
      </c>
      <c r="C299" s="21" t="str">
        <f>VLOOKUP(A299, hash!A$2:B$500, 2, 0)</f>
        <v>65302e080e286366617e4629</v>
      </c>
      <c r="D299" s="23" t="str">
        <f t="shared" si="2"/>
        <v>#DIV/0!</v>
      </c>
      <c r="F299" s="45"/>
      <c r="H299" s="45"/>
      <c r="J299" s="45"/>
    </row>
    <row r="300">
      <c r="A300" s="22" t="s">
        <v>222</v>
      </c>
      <c r="B300" s="21" t="str">
        <f t="shared" si="1"/>
        <v>#DIV/0!</v>
      </c>
      <c r="C300" s="21" t="str">
        <f>VLOOKUP(A300, hash!A$2:B$500, 2, 0)</f>
        <v>65395d6799af0b0f3444fd51</v>
      </c>
      <c r="D300" s="23" t="str">
        <f t="shared" si="2"/>
        <v>#DIV/0!</v>
      </c>
      <c r="F300" s="27"/>
      <c r="H300" s="27"/>
      <c r="J300" s="27"/>
    </row>
    <row r="301">
      <c r="A301" s="22" t="s">
        <v>223</v>
      </c>
      <c r="B301" s="21" t="str">
        <f t="shared" si="1"/>
        <v>#DIV/0!</v>
      </c>
      <c r="C301" s="21" t="str">
        <f>VLOOKUP(A301, hash!A$2:B$500, 2, 0)</f>
        <v>6539689ac8f6bb22aba878d1</v>
      </c>
      <c r="D301" s="23" t="str">
        <f t="shared" si="2"/>
        <v>#DIV/0!</v>
      </c>
      <c r="F301" s="45"/>
      <c r="H301" s="45"/>
      <c r="J301" s="45"/>
    </row>
    <row r="302">
      <c r="A302" s="22" t="s">
        <v>224</v>
      </c>
      <c r="B302" s="21" t="str">
        <f t="shared" si="1"/>
        <v>#DIV/0!</v>
      </c>
      <c r="C302" s="21" t="str">
        <f>VLOOKUP(A302, hash!A$2:B$500, 2, 0)</f>
        <v>6542987e2bee7559f37bee8d</v>
      </c>
      <c r="D302" s="23" t="str">
        <f t="shared" si="2"/>
        <v>#DIV/0!</v>
      </c>
      <c r="F302" s="45"/>
      <c r="H302" s="45"/>
      <c r="J302" s="45"/>
    </row>
    <row r="303">
      <c r="A303" s="22" t="s">
        <v>225</v>
      </c>
      <c r="B303" s="21" t="str">
        <f t="shared" si="1"/>
        <v>#DIV/0!</v>
      </c>
      <c r="C303" s="21" t="str">
        <f>VLOOKUP(A303, hash!A$2:B$500, 2, 0)</f>
        <v>65429927208c9c77b87ab693</v>
      </c>
      <c r="D303" s="23" t="str">
        <f t="shared" si="2"/>
        <v>#DIV/0!</v>
      </c>
      <c r="F303" s="45"/>
      <c r="H303" s="45"/>
      <c r="J303" s="45"/>
    </row>
    <row r="304">
      <c r="A304" s="22" t="s">
        <v>226</v>
      </c>
      <c r="B304" s="21" t="str">
        <f t="shared" si="1"/>
        <v>#DIV/0!</v>
      </c>
      <c r="C304" s="21" t="str">
        <f>VLOOKUP(A304, hash!A$2:B$500, 2, 0)</f>
        <v>654a6fba5f40f5f7b7c97164</v>
      </c>
      <c r="D304" s="23" t="str">
        <f t="shared" si="2"/>
        <v>#DIV/0!</v>
      </c>
      <c r="F304" s="45"/>
      <c r="H304" s="45"/>
      <c r="J304" s="45"/>
    </row>
    <row r="305">
      <c r="A305" s="22" t="s">
        <v>227</v>
      </c>
      <c r="B305" s="21" t="str">
        <f t="shared" si="1"/>
        <v>#DIV/0!</v>
      </c>
      <c r="C305" s="21" t="str">
        <f>VLOOKUP(A305, hash!A$2:B$500, 2, 0)</f>
        <v>65551bef3234b9c505dd527e</v>
      </c>
      <c r="D305" s="23" t="str">
        <f t="shared" si="2"/>
        <v>#DIV/0!</v>
      </c>
      <c r="F305" s="45"/>
      <c r="H305" s="45"/>
      <c r="J305" s="45"/>
    </row>
    <row r="306">
      <c r="A306" s="22" t="s">
        <v>228</v>
      </c>
      <c r="B306" s="21" t="str">
        <f t="shared" si="1"/>
        <v>#DIV/0!</v>
      </c>
      <c r="C306" s="21" t="str">
        <f>VLOOKUP(A306, hash!A$2:B$500, 2, 0)</f>
        <v>655528e7b6dffbe82fb08e97</v>
      </c>
      <c r="D306" s="23" t="str">
        <f t="shared" si="2"/>
        <v>#DIV/0!</v>
      </c>
      <c r="F306" s="45"/>
      <c r="H306" s="45"/>
      <c r="J306" s="45"/>
    </row>
    <row r="307">
      <c r="A307" s="22" t="s">
        <v>624</v>
      </c>
      <c r="B307" s="21" t="str">
        <f t="shared" si="1"/>
        <v>#DIV/0!</v>
      </c>
      <c r="C307" s="21" t="str">
        <f>VLOOKUP(A307, hash!A$2:B$500, 2, 0)</f>
        <v>#N/A</v>
      </c>
      <c r="D307" s="23" t="str">
        <f t="shared" si="2"/>
        <v>#DIV/0!</v>
      </c>
      <c r="F307" s="45"/>
      <c r="H307" s="45"/>
      <c r="J307" s="45"/>
    </row>
    <row r="308">
      <c r="A308" s="22" t="s">
        <v>229</v>
      </c>
      <c r="B308" s="21" t="str">
        <f t="shared" si="1"/>
        <v>#DIV/0!</v>
      </c>
      <c r="C308" s="21" t="str">
        <f>VLOOKUP(A308, hash!A$2:B$500, 2, 0)</f>
        <v>655bb33eff8d447e7d019f70</v>
      </c>
      <c r="D308" s="23" t="str">
        <f t="shared" si="2"/>
        <v>#DIV/0!</v>
      </c>
      <c r="F308" s="45"/>
      <c r="H308" s="45"/>
      <c r="J308" s="45"/>
    </row>
    <row r="309">
      <c r="A309" s="22" t="s">
        <v>230</v>
      </c>
      <c r="B309" s="21" t="str">
        <f t="shared" si="1"/>
        <v>#DIV/0!</v>
      </c>
      <c r="C309" s="21" t="str">
        <f>VLOOKUP(A309, hash!A$2:B$500, 2, 0)</f>
        <v>655bc0057093eb94b1c6cc92</v>
      </c>
      <c r="D309" s="23" t="str">
        <f t="shared" si="2"/>
        <v>#DIV/0!</v>
      </c>
      <c r="F309" s="45"/>
      <c r="H309" s="45"/>
      <c r="J309" s="45"/>
    </row>
    <row r="310">
      <c r="A310" s="22" t="s">
        <v>231</v>
      </c>
      <c r="B310" s="21" t="str">
        <f t="shared" si="1"/>
        <v>#DIV/0!</v>
      </c>
      <c r="C310" s="21" t="str">
        <f>VLOOKUP(A310, hash!A$2:B$500, 2, 0)</f>
        <v>655bc0097093eb94b1c6cc93</v>
      </c>
      <c r="D310" s="23" t="str">
        <f t="shared" si="2"/>
        <v>#DIV/0!</v>
      </c>
      <c r="F310" s="45"/>
      <c r="H310" s="45"/>
      <c r="J310" s="45"/>
    </row>
    <row r="311">
      <c r="A311" s="22" t="s">
        <v>625</v>
      </c>
      <c r="B311" s="21" t="str">
        <f t="shared" si="1"/>
        <v>#DIV/0!</v>
      </c>
      <c r="C311" s="21" t="str">
        <f>VLOOKUP(A311, hash!A$2:B$500, 2, 0)</f>
        <v>#N/A</v>
      </c>
      <c r="D311" s="23" t="str">
        <f t="shared" si="2"/>
        <v>#DIV/0!</v>
      </c>
      <c r="F311" s="45"/>
      <c r="H311" s="45"/>
      <c r="J311" s="45"/>
    </row>
    <row r="312">
      <c r="A312" s="22" t="s">
        <v>232</v>
      </c>
      <c r="B312" s="21" t="str">
        <f t="shared" si="1"/>
        <v>#DIV/0!</v>
      </c>
      <c r="C312" s="21" t="str">
        <f>VLOOKUP(A312, hash!A$2:B$500, 2, 0)</f>
        <v>6595977fb46b00d2f83c52c5</v>
      </c>
      <c r="D312" s="23" t="str">
        <f t="shared" si="2"/>
        <v>#DIV/0!</v>
      </c>
      <c r="F312" s="45"/>
      <c r="H312" s="45"/>
      <c r="J312" s="45"/>
    </row>
    <row r="313">
      <c r="A313" s="22" t="s">
        <v>233</v>
      </c>
      <c r="B313" s="21" t="str">
        <f t="shared" si="1"/>
        <v>#DIV/0!</v>
      </c>
      <c r="C313" s="21" t="str">
        <f>VLOOKUP(A313, hash!A$2:B$500, 2, 0)</f>
        <v>6595b65ec49a903206004ba0</v>
      </c>
      <c r="D313" s="23" t="str">
        <f t="shared" si="2"/>
        <v>#DIV/0!</v>
      </c>
      <c r="F313" s="45"/>
      <c r="H313" s="45"/>
      <c r="J313" s="45"/>
    </row>
    <row r="314">
      <c r="A314" s="22" t="s">
        <v>235</v>
      </c>
      <c r="B314" s="21" t="str">
        <f t="shared" si="1"/>
        <v>#DIV/0!</v>
      </c>
      <c r="C314" s="21" t="str">
        <f>VLOOKUP(A314, hash!A$2:B$500, 2, 0)</f>
        <v>6595c208b775f9fc5a64da66</v>
      </c>
      <c r="D314" s="23" t="str">
        <f t="shared" si="2"/>
        <v>#DIV/0!</v>
      </c>
      <c r="F314" s="45"/>
      <c r="H314" s="45"/>
      <c r="J314" s="45"/>
    </row>
    <row r="315">
      <c r="A315" s="22" t="s">
        <v>236</v>
      </c>
      <c r="B315" s="21" t="str">
        <f t="shared" si="1"/>
        <v>#DIV/0!</v>
      </c>
      <c r="C315" s="21" t="str">
        <f>VLOOKUP(A315, hash!A$2:B$500, 2, 0)</f>
        <v>6595c23e2fa1031babec0ce3</v>
      </c>
      <c r="D315" s="23" t="str">
        <f t="shared" si="2"/>
        <v>#DIV/0!</v>
      </c>
      <c r="F315" s="45"/>
      <c r="H315" s="45"/>
      <c r="J315" s="45"/>
    </row>
    <row r="316">
      <c r="A316" s="22" t="s">
        <v>237</v>
      </c>
      <c r="B316" s="21" t="str">
        <f t="shared" si="1"/>
        <v>#DIV/0!</v>
      </c>
      <c r="C316" s="21" t="str">
        <f>VLOOKUP(A316, hash!A$2:B$500, 2, 0)</f>
        <v>6595c391cd5b972b6b680d1b</v>
      </c>
      <c r="D316" s="23" t="str">
        <f t="shared" si="2"/>
        <v>#DIV/0!</v>
      </c>
      <c r="F316" s="45"/>
      <c r="H316" s="45"/>
      <c r="J316" s="45"/>
    </row>
    <row r="317">
      <c r="A317" s="22" t="s">
        <v>626</v>
      </c>
      <c r="B317" s="21" t="str">
        <f t="shared" si="1"/>
        <v>#DIV/0!</v>
      </c>
      <c r="C317" s="21" t="str">
        <f>VLOOKUP(A317, hash!A$2:B$500, 2, 0)</f>
        <v>#N/A</v>
      </c>
      <c r="D317" s="23" t="str">
        <f t="shared" si="2"/>
        <v>#DIV/0!</v>
      </c>
      <c r="F317" s="45"/>
      <c r="H317" s="45"/>
      <c r="J317" s="45"/>
    </row>
    <row r="318">
      <c r="A318" s="22" t="s">
        <v>627</v>
      </c>
      <c r="B318" s="21" t="str">
        <f t="shared" si="1"/>
        <v>#DIV/0!</v>
      </c>
      <c r="C318" s="21" t="str">
        <f>VLOOKUP(A318, hash!A$2:B$500, 2, 0)</f>
        <v>#N/A</v>
      </c>
      <c r="D318" s="23" t="str">
        <f t="shared" si="2"/>
        <v>#DIV/0!</v>
      </c>
      <c r="F318" s="45"/>
      <c r="H318" s="45"/>
      <c r="J318" s="45"/>
    </row>
    <row r="319">
      <c r="A319" s="22" t="s">
        <v>628</v>
      </c>
      <c r="B319" s="21" t="str">
        <f t="shared" si="1"/>
        <v>#DIV/0!</v>
      </c>
      <c r="C319" s="21" t="str">
        <f>VLOOKUP(A319, hash!A$2:B$500, 2, 0)</f>
        <v>#N/A</v>
      </c>
      <c r="D319" s="23" t="str">
        <f t="shared" si="2"/>
        <v>#DIV/0!</v>
      </c>
      <c r="F319" s="45"/>
      <c r="H319" s="45"/>
      <c r="J319" s="45"/>
    </row>
    <row r="320">
      <c r="A320" s="22" t="s">
        <v>238</v>
      </c>
      <c r="B320" s="21" t="str">
        <f t="shared" si="1"/>
        <v>#DIV/0!</v>
      </c>
      <c r="C320" s="21" t="str">
        <f>VLOOKUP(A320, hash!A$2:B$500, 2, 0)</f>
        <v>65ba9f33f33e907d7c81d87a</v>
      </c>
      <c r="D320" s="23" t="str">
        <f t="shared" si="2"/>
        <v>#DIV/0!</v>
      </c>
      <c r="F320" s="45"/>
      <c r="H320" s="45"/>
      <c r="J320" s="45"/>
    </row>
    <row r="321">
      <c r="A321" s="22" t="s">
        <v>239</v>
      </c>
      <c r="B321" s="21" t="str">
        <f t="shared" si="1"/>
        <v>#DIV/0!</v>
      </c>
      <c r="C321" s="21" t="str">
        <f>VLOOKUP(A321, hash!A$2:B$500, 2, 0)</f>
        <v>65baa01d2b367c7ed72fe8b9</v>
      </c>
      <c r="D321" s="23" t="str">
        <f t="shared" si="2"/>
        <v>#DIV/0!</v>
      </c>
      <c r="F321" s="45"/>
      <c r="H321" s="45"/>
      <c r="J321" s="45"/>
    </row>
    <row r="322">
      <c r="A322" s="22" t="s">
        <v>629</v>
      </c>
      <c r="B322" s="21" t="str">
        <f t="shared" si="1"/>
        <v>#DIV/0!</v>
      </c>
      <c r="C322" s="21" t="str">
        <f>VLOOKUP(A322, hash!A$2:B$500, 2, 0)</f>
        <v>#N/A</v>
      </c>
      <c r="D322" s="23" t="str">
        <f t="shared" si="2"/>
        <v>#DIV/0!</v>
      </c>
      <c r="F322" s="45"/>
      <c r="H322" s="45"/>
      <c r="J322" s="45"/>
    </row>
    <row r="323">
      <c r="A323" s="22" t="s">
        <v>240</v>
      </c>
      <c r="B323" s="21" t="str">
        <f t="shared" si="1"/>
        <v>#DIV/0!</v>
      </c>
      <c r="C323" s="21" t="str">
        <f>VLOOKUP(A323, hash!A$2:B$500, 2, 0)</f>
        <v>65baa01e2b367c7ed72fe8bb</v>
      </c>
      <c r="D323" s="23" t="str">
        <f t="shared" si="2"/>
        <v>#DIV/0!</v>
      </c>
      <c r="F323" s="45"/>
      <c r="H323" s="45"/>
      <c r="J323" s="45"/>
    </row>
    <row r="324">
      <c r="A324" s="22" t="s">
        <v>630</v>
      </c>
      <c r="B324" s="21" t="str">
        <f t="shared" si="1"/>
        <v>#DIV/0!</v>
      </c>
      <c r="C324" s="21" t="str">
        <f>VLOOKUP(A324, hash!A$2:B$500, 2, 0)</f>
        <v>#N/A</v>
      </c>
      <c r="D324" s="23" t="str">
        <f t="shared" si="2"/>
        <v>#DIV/0!</v>
      </c>
      <c r="F324" s="45"/>
      <c r="H324" s="45"/>
      <c r="J324" s="45"/>
    </row>
    <row r="325">
      <c r="A325" s="22" t="s">
        <v>631</v>
      </c>
      <c r="B325" s="21" t="str">
        <f t="shared" si="1"/>
        <v>#DIV/0!</v>
      </c>
      <c r="C325" s="21" t="str">
        <f>VLOOKUP(A325, hash!A$2:B$500, 2, 0)</f>
        <v>#N/A</v>
      </c>
      <c r="D325" s="23" t="str">
        <f t="shared" si="2"/>
        <v>#DIV/0!</v>
      </c>
      <c r="F325" s="45"/>
      <c r="H325" s="45"/>
      <c r="J325" s="45"/>
    </row>
    <row r="326">
      <c r="A326" s="22" t="s">
        <v>241</v>
      </c>
      <c r="B326" s="21" t="str">
        <f t="shared" si="1"/>
        <v>#DIV/0!</v>
      </c>
      <c r="C326" s="21" t="str">
        <f>VLOOKUP(A326, hash!A$2:B$500, 2, 0)</f>
        <v>65baa03da330104d5ca80be5</v>
      </c>
      <c r="D326" s="23" t="str">
        <f t="shared" si="2"/>
        <v>#DIV/0!</v>
      </c>
      <c r="F326" s="45"/>
      <c r="H326" s="45"/>
      <c r="J326" s="45"/>
    </row>
    <row r="327">
      <c r="A327" s="22" t="s">
        <v>632</v>
      </c>
      <c r="B327" s="21" t="str">
        <f t="shared" si="1"/>
        <v>#DIV/0!</v>
      </c>
      <c r="C327" s="21" t="str">
        <f>VLOOKUP(A327, hash!A$2:B$500, 2, 0)</f>
        <v>#N/A</v>
      </c>
      <c r="D327" s="23" t="str">
        <f t="shared" si="2"/>
        <v>#DIV/0!</v>
      </c>
      <c r="F327" s="45"/>
      <c r="H327" s="45"/>
      <c r="J327" s="45"/>
    </row>
    <row r="328">
      <c r="A328" s="22" t="s">
        <v>633</v>
      </c>
      <c r="B328" s="21" t="str">
        <f t="shared" si="1"/>
        <v>#DIV/0!</v>
      </c>
      <c r="C328" s="21" t="str">
        <f>VLOOKUP(A328, hash!A$2:B$500, 2, 0)</f>
        <v>#N/A</v>
      </c>
      <c r="D328" s="23" t="str">
        <f t="shared" si="2"/>
        <v>#DIV/0!</v>
      </c>
      <c r="F328" s="45"/>
      <c r="H328" s="45"/>
      <c r="J328" s="45"/>
    </row>
    <row r="329">
      <c r="A329" s="22" t="s">
        <v>242</v>
      </c>
      <c r="B329" s="21" t="str">
        <f t="shared" si="1"/>
        <v>#DIV/0!</v>
      </c>
      <c r="C329" s="21" t="str">
        <f>VLOOKUP(A329, hash!A$2:B$500, 2, 0)</f>
        <v>65baadabac6fa639d08b8070</v>
      </c>
      <c r="D329" s="23" t="str">
        <f t="shared" si="2"/>
        <v>#DIV/0!</v>
      </c>
      <c r="F329" s="45"/>
      <c r="H329" s="45"/>
      <c r="J329" s="45"/>
    </row>
    <row r="330">
      <c r="A330" s="22" t="s">
        <v>243</v>
      </c>
      <c r="B330" s="21" t="str">
        <f t="shared" si="1"/>
        <v>#DIV/0!</v>
      </c>
      <c r="C330" s="21" t="str">
        <f>VLOOKUP(A330, hash!A$2:B$500, 2, 0)</f>
        <v>65baadd90004ffbc54b03ece</v>
      </c>
      <c r="D330" s="23" t="str">
        <f t="shared" si="2"/>
        <v>#DIV/0!</v>
      </c>
      <c r="F330" s="45"/>
      <c r="H330" s="45"/>
      <c r="J330" s="45"/>
    </row>
    <row r="331">
      <c r="A331" s="22" t="s">
        <v>244</v>
      </c>
      <c r="B331" s="21" t="str">
        <f t="shared" si="1"/>
        <v>#DIV/0!</v>
      </c>
      <c r="C331" s="21" t="str">
        <f>VLOOKUP(A331, hash!A$2:B$500, 2, 0)</f>
        <v>65baadf10004ffbc54b03ed0</v>
      </c>
      <c r="D331" s="23" t="str">
        <f t="shared" si="2"/>
        <v>#DIV/0!</v>
      </c>
      <c r="F331" s="45"/>
      <c r="H331" s="45"/>
      <c r="J331" s="45"/>
    </row>
    <row r="332">
      <c r="A332" s="22" t="s">
        <v>245</v>
      </c>
      <c r="B332" s="21" t="str">
        <f t="shared" si="1"/>
        <v>#DIV/0!</v>
      </c>
      <c r="C332" s="21" t="str">
        <f>VLOOKUP(A332, hash!A$2:B$500, 2, 0)</f>
        <v>65bab1380004ffbc54b03ee7</v>
      </c>
      <c r="D332" s="23" t="str">
        <f t="shared" si="2"/>
        <v>#DIV/0!</v>
      </c>
      <c r="F332" s="45"/>
      <c r="H332" s="45"/>
      <c r="J332" s="45"/>
    </row>
    <row r="333">
      <c r="A333" s="22" t="s">
        <v>246</v>
      </c>
      <c r="B333" s="21" t="str">
        <f t="shared" si="1"/>
        <v>#DIV/0!</v>
      </c>
      <c r="C333" s="21" t="str">
        <f>VLOOKUP(A333, hash!A$2:B$500, 2, 0)</f>
        <v>65bab52de7bd7da7ace0d1c3</v>
      </c>
      <c r="D333" s="23" t="str">
        <f t="shared" si="2"/>
        <v>#DIV/0!</v>
      </c>
      <c r="F333" s="45"/>
      <c r="H333" s="45"/>
      <c r="J333" s="45"/>
    </row>
    <row r="334">
      <c r="A334" s="22" t="s">
        <v>247</v>
      </c>
      <c r="B334" s="21" t="str">
        <f t="shared" si="1"/>
        <v>#DIV/0!</v>
      </c>
      <c r="C334" s="21" t="str">
        <f>VLOOKUP(A334, hash!A$2:B$500, 2, 0)</f>
        <v>65bb2c752930129875dd966e</v>
      </c>
      <c r="D334" s="23" t="str">
        <f t="shared" si="2"/>
        <v>#DIV/0!</v>
      </c>
      <c r="F334" s="45"/>
      <c r="H334" s="45"/>
      <c r="J334" s="45"/>
    </row>
    <row r="335">
      <c r="A335" s="22" t="s">
        <v>248</v>
      </c>
      <c r="B335" s="21" t="str">
        <f t="shared" si="1"/>
        <v>#DIV/0!</v>
      </c>
      <c r="C335" s="21" t="str">
        <f>VLOOKUP(A335, hash!A$2:B$500, 2, 0)</f>
        <v>65c3d9c7d68ebf8c5aaf9473</v>
      </c>
      <c r="D335" s="23" t="str">
        <f t="shared" si="2"/>
        <v>#DIV/0!</v>
      </c>
      <c r="F335" s="45"/>
      <c r="H335" s="45"/>
      <c r="J335" s="45"/>
    </row>
    <row r="336">
      <c r="A336" s="22" t="s">
        <v>249</v>
      </c>
      <c r="B336" s="21" t="str">
        <f t="shared" si="1"/>
        <v>#DIV/0!</v>
      </c>
      <c r="C336" s="21" t="str">
        <f>VLOOKUP(A336, hash!A$2:B$500, 2, 0)</f>
        <v>65c3db43dc2e959b628fb2d3</v>
      </c>
      <c r="D336" s="23" t="str">
        <f t="shared" si="2"/>
        <v>#DIV/0!</v>
      </c>
      <c r="F336" s="45"/>
      <c r="H336" s="45"/>
      <c r="J336" s="45"/>
    </row>
    <row r="337">
      <c r="A337" s="22" t="s">
        <v>250</v>
      </c>
      <c r="B337" s="21" t="str">
        <f t="shared" si="1"/>
        <v>#DIV/0!</v>
      </c>
      <c r="C337" s="21" t="str">
        <f>VLOOKUP(A337, hash!A$2:B$500, 2, 0)</f>
        <v>65c3e17176cb308ec1a40c91</v>
      </c>
      <c r="D337" s="23" t="str">
        <f t="shared" si="2"/>
        <v>#DIV/0!</v>
      </c>
      <c r="F337" s="45"/>
      <c r="H337" s="45"/>
      <c r="J337" s="45"/>
    </row>
    <row r="338">
      <c r="A338" s="22" t="s">
        <v>251</v>
      </c>
      <c r="B338" s="21" t="str">
        <f t="shared" si="1"/>
        <v>#DIV/0!</v>
      </c>
      <c r="C338" s="21" t="str">
        <f>VLOOKUP(A338, hash!A$2:B$500, 2, 0)</f>
        <v>65c3e474f24067cac00a6560</v>
      </c>
      <c r="D338" s="23" t="str">
        <f t="shared" si="2"/>
        <v>#DIV/0!</v>
      </c>
      <c r="F338" s="45"/>
      <c r="H338" s="45"/>
      <c r="J338" s="45"/>
    </row>
    <row r="339">
      <c r="A339" s="22" t="s">
        <v>252</v>
      </c>
      <c r="B339" s="21" t="str">
        <f t="shared" si="1"/>
        <v>#DIV/0!</v>
      </c>
      <c r="C339" s="21" t="str">
        <f>VLOOKUP(A339, hash!A$2:B$500, 2, 0)</f>
        <v>65c3e7519c89c663f1bf9f3a</v>
      </c>
      <c r="D339" s="23" t="str">
        <f t="shared" si="2"/>
        <v>#DIV/0!</v>
      </c>
      <c r="F339" s="45"/>
      <c r="H339" s="45"/>
      <c r="J339" s="45"/>
    </row>
    <row r="340">
      <c r="A340" s="22" t="s">
        <v>253</v>
      </c>
      <c r="B340" s="21" t="str">
        <f t="shared" si="1"/>
        <v>#DIV/0!</v>
      </c>
      <c r="C340" s="21" t="str">
        <f>VLOOKUP(A340, hash!A$2:B$500, 2, 0)</f>
        <v>65c404d5adbf166dfd681f4c</v>
      </c>
      <c r="D340" s="23" t="str">
        <f t="shared" si="2"/>
        <v>#DIV/0!</v>
      </c>
      <c r="F340" s="45"/>
      <c r="H340" s="45"/>
      <c r="J340" s="45"/>
    </row>
    <row r="341">
      <c r="A341" s="22" t="s">
        <v>254</v>
      </c>
      <c r="B341" s="21" t="str">
        <f t="shared" si="1"/>
        <v>#DIV/0!</v>
      </c>
      <c r="C341" s="21" t="str">
        <f>VLOOKUP(A341, hash!A$2:B$500, 2, 0)</f>
        <v>65c452c7bdf2b49b06b9f1e8</v>
      </c>
      <c r="D341" s="23" t="str">
        <f t="shared" si="2"/>
        <v>#DIV/0!</v>
      </c>
      <c r="F341" s="45"/>
      <c r="H341" s="45"/>
      <c r="J341" s="45"/>
    </row>
    <row r="342">
      <c r="A342" s="22" t="s">
        <v>634</v>
      </c>
      <c r="B342" s="21" t="str">
        <f t="shared" si="1"/>
        <v>#DIV/0!</v>
      </c>
      <c r="C342" s="21" t="str">
        <f>VLOOKUP(A342, hash!A$2:B$500, 2, 0)</f>
        <v>#N/A</v>
      </c>
      <c r="D342" s="23" t="str">
        <f t="shared" si="2"/>
        <v>#DIV/0!</v>
      </c>
      <c r="F342" s="45"/>
      <c r="H342" s="45"/>
      <c r="J342" s="45"/>
    </row>
    <row r="343">
      <c r="A343" s="22" t="s">
        <v>635</v>
      </c>
      <c r="B343" s="21" t="str">
        <f t="shared" si="1"/>
        <v>#DIV/0!</v>
      </c>
      <c r="C343" s="21" t="str">
        <f>VLOOKUP(A343, hash!A$2:B$500, 2, 0)</f>
        <v>#N/A</v>
      </c>
      <c r="D343" s="23" t="str">
        <f t="shared" si="2"/>
        <v>#DIV/0!</v>
      </c>
      <c r="F343" s="45"/>
      <c r="H343" s="45"/>
      <c r="J343" s="45"/>
    </row>
    <row r="344">
      <c r="A344" s="22" t="s">
        <v>636</v>
      </c>
      <c r="B344" s="21" t="str">
        <f t="shared" si="1"/>
        <v>#DIV/0!</v>
      </c>
      <c r="C344" s="21" t="str">
        <f>VLOOKUP(A344, hash!A$2:B$500, 2, 0)</f>
        <v>#N/A</v>
      </c>
      <c r="D344" s="23" t="str">
        <f t="shared" si="2"/>
        <v>#DIV/0!</v>
      </c>
      <c r="F344" s="45"/>
      <c r="H344" s="45"/>
      <c r="J344" s="45"/>
    </row>
    <row r="345">
      <c r="A345" s="22" t="s">
        <v>637</v>
      </c>
      <c r="B345" s="21" t="str">
        <f t="shared" si="1"/>
        <v>#DIV/0!</v>
      </c>
      <c r="C345" s="21" t="str">
        <f>VLOOKUP(A345, hash!A$2:B$500, 2, 0)</f>
        <v>#N/A</v>
      </c>
      <c r="D345" s="23" t="str">
        <f t="shared" si="2"/>
        <v>#DIV/0!</v>
      </c>
      <c r="F345" s="45"/>
      <c r="H345" s="45"/>
      <c r="J345" s="45"/>
    </row>
    <row r="346">
      <c r="A346" s="22" t="s">
        <v>255</v>
      </c>
      <c r="B346" s="21" t="str">
        <f t="shared" si="1"/>
        <v>#DIV/0!</v>
      </c>
      <c r="C346" s="21" t="str">
        <f>VLOOKUP(A346, hash!A$2:B$500, 2, 0)</f>
        <v>65cd13d251407ce2e1c4e690</v>
      </c>
      <c r="D346" s="23" t="str">
        <f t="shared" si="2"/>
        <v>#DIV/0!</v>
      </c>
      <c r="F346" s="45"/>
      <c r="H346" s="45"/>
      <c r="J346" s="45"/>
    </row>
    <row r="347">
      <c r="A347" s="22" t="s">
        <v>256</v>
      </c>
      <c r="B347" s="21" t="str">
        <f t="shared" si="1"/>
        <v>#DIV/0!</v>
      </c>
      <c r="C347" s="21" t="str">
        <f>VLOOKUP(A347, hash!A$2:B$500, 2, 0)</f>
        <v>65cd13f6adf37a1fed1cd455</v>
      </c>
      <c r="D347" s="23" t="str">
        <f t="shared" si="2"/>
        <v>#DIV/0!</v>
      </c>
      <c r="F347" s="45"/>
      <c r="H347" s="45"/>
      <c r="J347" s="45"/>
    </row>
    <row r="348">
      <c r="A348" s="22" t="s">
        <v>638</v>
      </c>
      <c r="B348" s="21" t="str">
        <f t="shared" si="1"/>
        <v>#DIV/0!</v>
      </c>
      <c r="C348" s="21" t="str">
        <f>VLOOKUP(A348, hash!A$2:B$500, 2, 0)</f>
        <v>#N/A</v>
      </c>
      <c r="D348" s="23" t="str">
        <f t="shared" si="2"/>
        <v>#DIV/0!</v>
      </c>
      <c r="F348" s="45"/>
      <c r="H348" s="45"/>
      <c r="J348" s="45"/>
    </row>
    <row r="349">
      <c r="A349" s="22" t="s">
        <v>257</v>
      </c>
      <c r="B349" s="21" t="str">
        <f t="shared" si="1"/>
        <v>#DIV/0!</v>
      </c>
      <c r="C349" s="21" t="str">
        <f>VLOOKUP(A349, hash!A$2:B$500, 2, 0)</f>
        <v>65cd2a48c6e20b3c3d4798b8</v>
      </c>
      <c r="D349" s="23" t="str">
        <f t="shared" si="2"/>
        <v>#DIV/0!</v>
      </c>
      <c r="F349" s="45"/>
      <c r="H349" s="45"/>
      <c r="J349" s="45"/>
    </row>
    <row r="350">
      <c r="A350" s="22" t="s">
        <v>258</v>
      </c>
      <c r="B350" s="21" t="str">
        <f t="shared" si="1"/>
        <v>#DIV/0!</v>
      </c>
      <c r="C350" s="21" t="str">
        <f>VLOOKUP(A350, hash!A$2:B$500, 2, 0)</f>
        <v>65d65a5fe2aa0ab4944e133f</v>
      </c>
      <c r="D350" s="23" t="str">
        <f t="shared" si="2"/>
        <v>#DIV/0!</v>
      </c>
      <c r="F350" s="45"/>
      <c r="H350" s="45"/>
      <c r="J350" s="45"/>
    </row>
    <row r="351">
      <c r="A351" s="22" t="s">
        <v>259</v>
      </c>
      <c r="B351" s="21" t="str">
        <f t="shared" si="1"/>
        <v>#DIV/0!</v>
      </c>
      <c r="C351" s="21" t="str">
        <f>VLOOKUP(A351, hash!A$2:B$500, 2, 0)</f>
        <v>65d65b94ec98c933c1065a3c</v>
      </c>
      <c r="D351" s="23" t="str">
        <f t="shared" si="2"/>
        <v>#DIV/0!</v>
      </c>
      <c r="F351" s="45"/>
      <c r="H351" s="45"/>
      <c r="J351" s="45"/>
    </row>
    <row r="352">
      <c r="A352" s="22" t="s">
        <v>260</v>
      </c>
      <c r="B352" s="21" t="str">
        <f t="shared" si="1"/>
        <v>#DIV/0!</v>
      </c>
      <c r="C352" s="21" t="str">
        <f>VLOOKUP(A352, hash!A$2:B$500, 2, 0)</f>
        <v>65d65bdbec98c933c1065a41</v>
      </c>
      <c r="D352" s="23" t="str">
        <f t="shared" si="2"/>
        <v>#DIV/0!</v>
      </c>
      <c r="F352" s="45"/>
      <c r="H352" s="45"/>
      <c r="J352" s="45"/>
    </row>
    <row r="353">
      <c r="A353" s="22" t="s">
        <v>261</v>
      </c>
      <c r="B353" s="21" t="str">
        <f t="shared" si="1"/>
        <v>#DIV/0!</v>
      </c>
      <c r="C353" s="21" t="str">
        <f>VLOOKUP(A353, hash!A$2:B$500, 2, 0)</f>
        <v>65d65beaec98c933c1065a42</v>
      </c>
      <c r="D353" s="23" t="str">
        <f t="shared" si="2"/>
        <v>#DIV/0!</v>
      </c>
      <c r="F353" s="45"/>
      <c r="H353" s="45"/>
      <c r="J353" s="45"/>
    </row>
    <row r="354">
      <c r="A354" s="22" t="s">
        <v>262</v>
      </c>
      <c r="B354" s="21" t="str">
        <f t="shared" si="1"/>
        <v>#DIV/0!</v>
      </c>
      <c r="C354" s="21" t="str">
        <f>VLOOKUP(A354, hash!A$2:B$500, 2, 0)</f>
        <v>65d65befec98c933c1065a43</v>
      </c>
      <c r="D354" s="23" t="str">
        <f t="shared" si="2"/>
        <v>#DIV/0!</v>
      </c>
      <c r="F354" s="45"/>
      <c r="H354" s="45"/>
      <c r="J354" s="45"/>
    </row>
    <row r="355">
      <c r="A355" s="22" t="s">
        <v>263</v>
      </c>
      <c r="B355" s="21" t="str">
        <f t="shared" si="1"/>
        <v>#DIV/0!</v>
      </c>
      <c r="C355" s="21" t="str">
        <f>VLOOKUP(A355, hash!A$2:B$500, 2, 0)</f>
        <v>65fb2f31f305810d3c392009</v>
      </c>
      <c r="D355" s="23" t="str">
        <f t="shared" si="2"/>
        <v>#DIV/0!</v>
      </c>
      <c r="F355" s="45"/>
      <c r="H355" s="45"/>
      <c r="J355" s="45"/>
    </row>
    <row r="356">
      <c r="A356" s="22" t="s">
        <v>639</v>
      </c>
      <c r="B356" s="21" t="str">
        <f t="shared" si="1"/>
        <v>#DIV/0!</v>
      </c>
      <c r="C356" s="21" t="str">
        <f>VLOOKUP(A356, hash!A$2:B$500, 2, 0)</f>
        <v>#N/A</v>
      </c>
      <c r="D356" s="23" t="str">
        <f t="shared" si="2"/>
        <v>#DIV/0!</v>
      </c>
      <c r="F356" s="45"/>
      <c r="H356" s="45"/>
      <c r="J356" s="45"/>
    </row>
    <row r="357">
      <c r="A357" s="22" t="s">
        <v>264</v>
      </c>
      <c r="B357" s="21" t="str">
        <f t="shared" si="1"/>
        <v>#DIV/0!</v>
      </c>
      <c r="C357" s="21" t="str">
        <f>VLOOKUP(A357, hash!A$2:B$500, 2, 0)</f>
        <v>661437cbd0884a240a6505ae</v>
      </c>
      <c r="D357" s="23" t="str">
        <f t="shared" si="2"/>
        <v>#DIV/0!</v>
      </c>
      <c r="F357" s="45"/>
      <c r="H357" s="45"/>
      <c r="J357" s="45"/>
    </row>
    <row r="358">
      <c r="A358" s="22" t="s">
        <v>265</v>
      </c>
      <c r="B358" s="21" t="str">
        <f t="shared" si="1"/>
        <v>#DIV/0!</v>
      </c>
      <c r="C358" s="21" t="str">
        <f>VLOOKUP(A358, hash!A$2:B$500, 2, 0)</f>
        <v>66144853927e0e420e0cbc96</v>
      </c>
      <c r="D358" s="23" t="str">
        <f t="shared" si="2"/>
        <v>#DIV/0!</v>
      </c>
      <c r="F358" s="45"/>
      <c r="H358" s="45"/>
      <c r="J358" s="45"/>
    </row>
    <row r="359">
      <c r="A359" s="22" t="s">
        <v>266</v>
      </c>
      <c r="B359" s="21" t="str">
        <f t="shared" si="1"/>
        <v>#DIV/0!</v>
      </c>
      <c r="C359" s="21" t="str">
        <f>VLOOKUP(A359, hash!A$2:B$500, 2, 0)</f>
        <v>6614485b927e0e420e0cbc97</v>
      </c>
      <c r="D359" s="23" t="str">
        <f t="shared" si="2"/>
        <v>#DIV/0!</v>
      </c>
      <c r="F359" s="45"/>
      <c r="H359" s="45"/>
      <c r="J359" s="45"/>
    </row>
    <row r="360">
      <c r="A360" s="22" t="s">
        <v>267</v>
      </c>
      <c r="B360" s="21" t="str">
        <f t="shared" si="1"/>
        <v>#DIV/0!</v>
      </c>
      <c r="C360" s="21" t="str">
        <f>VLOOKUP(A360, hash!A$2:B$500, 2, 0)</f>
        <v>6614485f927e0e420e0cbc99</v>
      </c>
      <c r="D360" s="23" t="str">
        <f t="shared" si="2"/>
        <v>#DIV/0!</v>
      </c>
      <c r="F360" s="45"/>
      <c r="H360" s="45"/>
      <c r="J360" s="45"/>
    </row>
    <row r="361">
      <c r="A361" s="22" t="s">
        <v>640</v>
      </c>
      <c r="B361" s="21" t="str">
        <f t="shared" si="1"/>
        <v>#DIV/0!</v>
      </c>
      <c r="C361" s="21" t="str">
        <f>VLOOKUP(A361, hash!A$2:B$500, 2, 0)</f>
        <v>#N/A</v>
      </c>
      <c r="D361" s="23" t="str">
        <f t="shared" si="2"/>
        <v>#DIV/0!</v>
      </c>
      <c r="F361" s="45"/>
      <c r="H361" s="45"/>
      <c r="J361" s="45"/>
    </row>
    <row r="362">
      <c r="A362" s="22" t="s">
        <v>641</v>
      </c>
      <c r="B362" s="21" t="str">
        <f t="shared" si="1"/>
        <v>#DIV/0!</v>
      </c>
      <c r="C362" s="21" t="str">
        <f>VLOOKUP(A362, hash!A$2:B$500, 2, 0)</f>
        <v>#N/A</v>
      </c>
      <c r="D362" s="23" t="str">
        <f t="shared" si="2"/>
        <v>#DIV/0!</v>
      </c>
      <c r="F362" s="45"/>
      <c r="H362" s="45"/>
      <c r="J362" s="45"/>
    </row>
    <row r="363">
      <c r="A363" s="22" t="s">
        <v>268</v>
      </c>
      <c r="B363" s="21" t="str">
        <f t="shared" si="1"/>
        <v>#DIV/0!</v>
      </c>
      <c r="C363" s="21" t="str">
        <f>VLOOKUP(A363, hash!A$2:B$500, 2, 0)</f>
        <v>662950e951eb7e9e714289d0</v>
      </c>
      <c r="D363" s="23" t="str">
        <f t="shared" si="2"/>
        <v>#DIV/0!</v>
      </c>
      <c r="F363" s="45"/>
      <c r="H363" s="45"/>
      <c r="J363" s="45"/>
    </row>
    <row r="364">
      <c r="A364" s="22" t="s">
        <v>269</v>
      </c>
      <c r="B364" s="21" t="str">
        <f t="shared" si="1"/>
        <v>#DIV/0!</v>
      </c>
      <c r="C364" s="21" t="str">
        <f>VLOOKUP(A364, hash!A$2:B$500, 2, 0)</f>
        <v>66328a4fa55f727a8c1b9f8b</v>
      </c>
      <c r="D364" s="23" t="str">
        <f t="shared" si="2"/>
        <v>#DIV/0!</v>
      </c>
      <c r="F364" s="45"/>
      <c r="H364" s="45"/>
      <c r="J364" s="45"/>
    </row>
    <row r="365">
      <c r="A365" s="22" t="s">
        <v>270</v>
      </c>
      <c r="B365" s="21" t="str">
        <f t="shared" si="1"/>
        <v>#DIV/0!</v>
      </c>
      <c r="C365" s="21" t="str">
        <f>VLOOKUP(A365, hash!A$2:B$500, 2, 0)</f>
        <v>66328a501875b701f3af072f</v>
      </c>
      <c r="D365" s="23" t="str">
        <f t="shared" si="2"/>
        <v>#DIV/0!</v>
      </c>
      <c r="F365" s="45"/>
      <c r="H365" s="45"/>
      <c r="J365" s="45"/>
    </row>
    <row r="366">
      <c r="A366" s="22" t="s">
        <v>271</v>
      </c>
      <c r="B366" s="21" t="str">
        <f t="shared" si="1"/>
        <v>#DIV/0!</v>
      </c>
      <c r="C366" s="21" t="str">
        <f>VLOOKUP(A366, hash!A$2:B$500, 2, 0)</f>
        <v>663a810cfd55cc6d42fc3373</v>
      </c>
      <c r="D366" s="23" t="str">
        <f t="shared" si="2"/>
        <v>#DIV/0!</v>
      </c>
      <c r="F366" s="45"/>
      <c r="H366" s="45"/>
      <c r="J366" s="45"/>
    </row>
    <row r="367">
      <c r="A367" s="22" t="s">
        <v>272</v>
      </c>
      <c r="B367" s="21" t="str">
        <f t="shared" si="1"/>
        <v>#DIV/0!</v>
      </c>
      <c r="C367" s="21" t="str">
        <f>VLOOKUP(A367, hash!A$2:B$500, 2, 0)</f>
        <v>66450a83df126c7d8f1e547c</v>
      </c>
      <c r="D367" s="23" t="str">
        <f t="shared" si="2"/>
        <v>#DIV/0!</v>
      </c>
      <c r="F367" s="27"/>
      <c r="H367" s="27"/>
      <c r="J367" s="27"/>
    </row>
    <row r="368">
      <c r="A368" s="22" t="s">
        <v>273</v>
      </c>
      <c r="B368" s="21" t="str">
        <f t="shared" si="1"/>
        <v>#DIV/0!</v>
      </c>
      <c r="C368" s="21" t="str">
        <f>VLOOKUP(A368, hash!A$2:B$500, 2, 0)</f>
        <v>664e3a49317dec867b3ddb30</v>
      </c>
      <c r="D368" s="23" t="str">
        <f t="shared" si="2"/>
        <v>#DIV/0!</v>
      </c>
      <c r="F368" s="45"/>
      <c r="H368" s="45"/>
      <c r="J368" s="45"/>
    </row>
    <row r="369">
      <c r="A369" s="22" t="s">
        <v>274</v>
      </c>
      <c r="B369" s="21" t="str">
        <f t="shared" si="1"/>
        <v>#DIV/0!</v>
      </c>
      <c r="C369" s="21" t="str">
        <f>VLOOKUP(A369, hash!A$2:B$500, 2, 0)</f>
        <v>664e45f07cadce18e9e94600</v>
      </c>
      <c r="D369" s="23" t="str">
        <f t="shared" si="2"/>
        <v>#DIV/0!</v>
      </c>
      <c r="F369" s="45"/>
      <c r="H369" s="45"/>
      <c r="J369" s="45"/>
    </row>
    <row r="370">
      <c r="A370" s="22" t="s">
        <v>275</v>
      </c>
      <c r="B370" s="21" t="str">
        <f t="shared" si="1"/>
        <v>#DIV/0!</v>
      </c>
      <c r="C370" s="21" t="str">
        <f>VLOOKUP(A370, hash!A$2:B$500, 2, 0)</f>
        <v>665773d4af4d86d206115ffb</v>
      </c>
      <c r="D370" s="23" t="str">
        <f t="shared" si="2"/>
        <v>#DIV/0!</v>
      </c>
      <c r="F370" s="45"/>
      <c r="H370" s="45"/>
      <c r="J370" s="45"/>
    </row>
    <row r="371">
      <c r="A371" s="22" t="s">
        <v>642</v>
      </c>
      <c r="B371" s="21" t="str">
        <f t="shared" si="1"/>
        <v>#DIV/0!</v>
      </c>
      <c r="C371" s="21" t="str">
        <f>VLOOKUP(A371, hash!A$2:B$500, 2, 0)</f>
        <v>#N/A</v>
      </c>
      <c r="D371" s="23" t="str">
        <f t="shared" si="2"/>
        <v>#DIV/0!</v>
      </c>
      <c r="F371" s="45"/>
      <c r="H371" s="45"/>
      <c r="J371" s="45"/>
    </row>
    <row r="372">
      <c r="A372" s="22" t="s">
        <v>643</v>
      </c>
      <c r="B372" s="21" t="str">
        <f t="shared" si="1"/>
        <v>#DIV/0!</v>
      </c>
      <c r="C372" s="21" t="str">
        <f>VLOOKUP(A372, hash!A$2:B$500, 2, 0)</f>
        <v>#N/A</v>
      </c>
      <c r="D372" s="23" t="str">
        <f t="shared" si="2"/>
        <v>#DIV/0!</v>
      </c>
      <c r="F372" s="45"/>
      <c r="H372" s="45"/>
      <c r="J372" s="45"/>
    </row>
    <row r="373">
      <c r="A373" s="22" t="s">
        <v>276</v>
      </c>
      <c r="B373" s="21" t="str">
        <f t="shared" si="1"/>
        <v>#DIV/0!</v>
      </c>
      <c r="C373" s="21" t="str">
        <f>VLOOKUP(A373, hash!A$2:B$500, 2, 0)</f>
        <v>66cac517e3728ef7a173d5b4</v>
      </c>
      <c r="D373" s="23" t="str">
        <f t="shared" si="2"/>
        <v>#DIV/0!</v>
      </c>
      <c r="F373" s="45"/>
      <c r="H373" s="45"/>
      <c r="J373" s="45"/>
    </row>
    <row r="374">
      <c r="A374" s="22" t="s">
        <v>277</v>
      </c>
      <c r="B374" s="21" t="str">
        <f t="shared" si="1"/>
        <v>#DIV/0!</v>
      </c>
      <c r="C374" s="21" t="str">
        <f>VLOOKUP(A374, hash!A$2:B$500, 2, 0)</f>
        <v>66d4dfe22c49b6570be6d76d</v>
      </c>
      <c r="D374" s="23" t="str">
        <f t="shared" si="2"/>
        <v>#DIV/0!</v>
      </c>
      <c r="F374" s="27"/>
      <c r="H374" s="27"/>
      <c r="J374" s="27"/>
    </row>
    <row r="375">
      <c r="A375" s="22" t="s">
        <v>278</v>
      </c>
      <c r="B375" s="21" t="str">
        <f t="shared" si="1"/>
        <v>#DIV/0!</v>
      </c>
      <c r="C375" s="21" t="str">
        <f>VLOOKUP(A375, hash!A$2:B$500, 2, 0)</f>
        <v>66db0378ada861be3f1186a3</v>
      </c>
      <c r="D375" s="23" t="str">
        <f t="shared" si="2"/>
        <v>#DIV/0!</v>
      </c>
      <c r="F375" s="45"/>
      <c r="H375" s="45"/>
      <c r="J375" s="45"/>
    </row>
    <row r="376">
      <c r="A376" s="22" t="s">
        <v>279</v>
      </c>
      <c r="B376" s="21" t="str">
        <f t="shared" si="1"/>
        <v>#DIV/0!</v>
      </c>
      <c r="C376" s="21" t="str">
        <f>VLOOKUP(A376, hash!A$2:B$500, 2, 0)</f>
        <v>66dfaa6ed25069720af3c493</v>
      </c>
      <c r="D376" s="23" t="str">
        <f t="shared" si="2"/>
        <v>#DIV/0!</v>
      </c>
      <c r="F376" s="27"/>
      <c r="H376" s="27"/>
      <c r="J376" s="27"/>
    </row>
    <row r="377">
      <c r="A377" s="22" t="s">
        <v>280</v>
      </c>
      <c r="B377" s="21" t="str">
        <f t="shared" si="1"/>
        <v>#DIV/0!</v>
      </c>
      <c r="C377" s="21" t="str">
        <f>VLOOKUP(A377, hash!A$2:B$500, 2, 0)</f>
        <v>66e1e0ef855f2a7e8fb837e2</v>
      </c>
      <c r="D377" s="23" t="str">
        <f t="shared" si="2"/>
        <v>#DIV/0!</v>
      </c>
      <c r="F377" s="45"/>
      <c r="H377" s="45"/>
      <c r="J377" s="45"/>
    </row>
    <row r="378">
      <c r="A378" s="22" t="s">
        <v>281</v>
      </c>
      <c r="B378" s="21" t="str">
        <f t="shared" si="1"/>
        <v>#DIV/0!</v>
      </c>
      <c r="C378" s="21" t="str">
        <f>VLOOKUP(A378, hash!A$2:B$500, 2, 0)</f>
        <v>66e1e0fe855f2a7e8fb837e3</v>
      </c>
      <c r="D378" s="23" t="str">
        <f t="shared" si="2"/>
        <v>#DIV/0!</v>
      </c>
      <c r="F378" s="45"/>
      <c r="H378" s="45"/>
      <c r="J378" s="45"/>
    </row>
    <row r="379">
      <c r="A379" s="22" t="s">
        <v>282</v>
      </c>
      <c r="B379" s="21" t="str">
        <f t="shared" si="1"/>
        <v>#DIV/0!</v>
      </c>
      <c r="C379" s="21" t="str">
        <f>VLOOKUP(A379, hash!A$2:B$500, 2, 0)</f>
        <v>66e1e105a61e89c7c68f6e30</v>
      </c>
      <c r="D379" s="23" t="str">
        <f t="shared" si="2"/>
        <v>#DIV/0!</v>
      </c>
      <c r="F379" s="45"/>
      <c r="H379" s="45"/>
      <c r="J379" s="45"/>
    </row>
    <row r="380">
      <c r="A380" s="22" t="s">
        <v>283</v>
      </c>
      <c r="B380" s="21" t="str">
        <f t="shared" si="1"/>
        <v>#DIV/0!</v>
      </c>
      <c r="C380" s="21" t="str">
        <f>VLOOKUP(A380, hash!A$2:B$500, 2, 0)</f>
        <v>66e1e10bdb315cbd40043fc3</v>
      </c>
      <c r="D380" s="23" t="str">
        <f t="shared" si="2"/>
        <v>#DIV/0!</v>
      </c>
      <c r="F380" s="45"/>
      <c r="H380" s="45"/>
      <c r="J380" s="45"/>
    </row>
    <row r="381">
      <c r="A381" s="22" t="s">
        <v>284</v>
      </c>
      <c r="B381" s="21" t="str">
        <f t="shared" si="1"/>
        <v>#DIV/0!</v>
      </c>
      <c r="C381" s="21" t="str">
        <f>VLOOKUP(A381, hash!A$2:B$500, 2, 0)</f>
        <v>66e1e111f0db8f5922c91d81</v>
      </c>
      <c r="D381" s="23" t="str">
        <f t="shared" si="2"/>
        <v>#DIV/0!</v>
      </c>
      <c r="F381" s="45"/>
      <c r="H381" s="45"/>
      <c r="J381" s="45"/>
    </row>
    <row r="382">
      <c r="A382" s="22" t="s">
        <v>285</v>
      </c>
      <c r="B382" s="21" t="str">
        <f t="shared" si="1"/>
        <v>#DIV/0!</v>
      </c>
      <c r="C382" s="21" t="str">
        <f>VLOOKUP(A382, hash!A$2:B$500, 2, 0)</f>
        <v>66e1e116f0db8f5922c91d82</v>
      </c>
      <c r="D382" s="23" t="str">
        <f t="shared" si="2"/>
        <v>#DIV/0!</v>
      </c>
      <c r="F382" s="45"/>
      <c r="H382" s="45"/>
      <c r="J382" s="45"/>
    </row>
    <row r="383">
      <c r="A383" s="22" t="s">
        <v>286</v>
      </c>
      <c r="B383" s="21" t="str">
        <f t="shared" si="1"/>
        <v>#DIV/0!</v>
      </c>
      <c r="C383" s="21" t="str">
        <f>VLOOKUP(A383, hash!A$2:B$500, 2, 0)</f>
        <v>66e1e1187a8e6dc2aed3a63d</v>
      </c>
      <c r="D383" s="23" t="str">
        <f t="shared" si="2"/>
        <v>#DIV/0!</v>
      </c>
      <c r="F383" s="45"/>
      <c r="H383" s="45"/>
      <c r="J383" s="45"/>
    </row>
    <row r="384">
      <c r="A384" s="22" t="s">
        <v>287</v>
      </c>
      <c r="B384" s="21" t="str">
        <f t="shared" si="1"/>
        <v>#DIV/0!</v>
      </c>
      <c r="C384" s="21" t="str">
        <f>VLOOKUP(A384, hash!A$2:B$500, 2, 0)</f>
        <v>66e1e119f0db8f5922c91d83</v>
      </c>
      <c r="D384" s="23" t="str">
        <f t="shared" si="2"/>
        <v>#DIV/0!</v>
      </c>
      <c r="F384" s="45"/>
      <c r="H384" s="45"/>
      <c r="J384" s="45"/>
    </row>
    <row r="385">
      <c r="A385" s="22" t="s">
        <v>288</v>
      </c>
      <c r="B385" s="21" t="str">
        <f t="shared" si="1"/>
        <v>#DIV/0!</v>
      </c>
      <c r="C385" s="21" t="str">
        <f>VLOOKUP(A385, hash!A$2:B$500, 2, 0)</f>
        <v>66e1e11f45950d34f313912f</v>
      </c>
      <c r="D385" s="23" t="str">
        <f t="shared" si="2"/>
        <v>#DIV/0!</v>
      </c>
      <c r="F385" s="45"/>
      <c r="H385" s="45"/>
      <c r="J385" s="45"/>
    </row>
    <row r="386">
      <c r="A386" s="22" t="s">
        <v>100</v>
      </c>
      <c r="B386" s="21" t="str">
        <f t="shared" si="1"/>
        <v>#DIV/0!</v>
      </c>
      <c r="C386" s="21" t="str">
        <f>VLOOKUP(A386, hash!A$2:B$500, 2, 0)</f>
        <v>66e1e1207a8e6dc2aed3a63e</v>
      </c>
      <c r="D386" s="23" t="str">
        <f t="shared" si="2"/>
        <v>#DIV/0!</v>
      </c>
      <c r="F386" s="27"/>
      <c r="H386" s="27"/>
      <c r="J386" s="27"/>
    </row>
    <row r="387">
      <c r="A387" s="22" t="s">
        <v>289</v>
      </c>
      <c r="B387" s="21" t="str">
        <f t="shared" si="1"/>
        <v>#DIV/0!</v>
      </c>
      <c r="C387" s="21" t="str">
        <f>VLOOKUP(A387, hash!A$2:B$500, 2, 0)</f>
        <v>66e1e1217a8e6dc2aed3a63f</v>
      </c>
      <c r="D387" s="23" t="str">
        <f t="shared" si="2"/>
        <v>#DIV/0!</v>
      </c>
      <c r="F387" s="45"/>
      <c r="H387" s="45"/>
      <c r="J387" s="45"/>
    </row>
    <row r="388">
      <c r="A388" s="22" t="s">
        <v>290</v>
      </c>
      <c r="B388" s="21" t="str">
        <f t="shared" si="1"/>
        <v>#DIV/0!</v>
      </c>
      <c r="C388" s="21" t="str">
        <f>VLOOKUP(A388, hash!A$2:B$500, 2, 0)</f>
        <v>66e1e1227a8e6dc2aed3a640</v>
      </c>
      <c r="D388" s="23" t="str">
        <f t="shared" si="2"/>
        <v>#DIV/0!</v>
      </c>
      <c r="F388" s="27"/>
      <c r="H388" s="27"/>
      <c r="J388" s="27"/>
    </row>
    <row r="389">
      <c r="A389" s="22" t="s">
        <v>291</v>
      </c>
      <c r="B389" s="21" t="str">
        <f t="shared" si="1"/>
        <v>#DIV/0!</v>
      </c>
      <c r="C389" s="21" t="str">
        <f>VLOOKUP(A389, hash!A$2:B$500, 2, 0)</f>
        <v>66e1e122e2fbdff8a0c35634</v>
      </c>
      <c r="D389" s="23" t="str">
        <f t="shared" si="2"/>
        <v>#DIV/0!</v>
      </c>
      <c r="F389" s="27"/>
      <c r="H389" s="27"/>
      <c r="J389" s="27"/>
    </row>
    <row r="390">
      <c r="A390" s="22" t="s">
        <v>292</v>
      </c>
      <c r="B390" s="21" t="str">
        <f t="shared" si="1"/>
        <v>#DIV/0!</v>
      </c>
      <c r="C390" s="21" t="str">
        <f>VLOOKUP(A390, hash!A$2:B$500, 2, 0)</f>
        <v>66e1e1257a8e6dc2aed3a643</v>
      </c>
      <c r="D390" s="23" t="str">
        <f t="shared" si="2"/>
        <v>#DIV/0!</v>
      </c>
      <c r="F390" s="45"/>
      <c r="H390" s="45"/>
      <c r="J390" s="45"/>
    </row>
    <row r="391">
      <c r="A391" s="22" t="s">
        <v>44</v>
      </c>
      <c r="B391" s="21" t="str">
        <f t="shared" si="1"/>
        <v>#DIV/0!</v>
      </c>
      <c r="C391" s="21" t="str">
        <f>VLOOKUP(A391, hash!A$2:B$500, 2, 0)</f>
        <v>66e1e125f0db8f5922c91d84</v>
      </c>
      <c r="D391" s="23" t="str">
        <f t="shared" si="2"/>
        <v>#DIV/0!</v>
      </c>
      <c r="E391" s="14">
        <v>0.0</v>
      </c>
      <c r="F391" s="27">
        <v>0.0</v>
      </c>
      <c r="G391" s="14">
        <v>0.0</v>
      </c>
      <c r="H391" s="27">
        <v>0.0</v>
      </c>
      <c r="I391" s="14">
        <v>0.0</v>
      </c>
      <c r="J391" s="27">
        <v>0.0</v>
      </c>
    </row>
    <row r="392">
      <c r="A392" s="22" t="s">
        <v>16</v>
      </c>
      <c r="B392" s="21" t="str">
        <f t="shared" si="1"/>
        <v>#DIV/0!</v>
      </c>
      <c r="C392" s="21" t="str">
        <f>VLOOKUP(A392, hash!A$2:B$500, 2, 0)</f>
        <v>66e1e1267a8e6dc2aed3a644</v>
      </c>
      <c r="D392" s="23" t="str">
        <f t="shared" si="2"/>
        <v>#DIV/0!</v>
      </c>
      <c r="F392" s="45"/>
      <c r="H392" s="45"/>
      <c r="J392" s="45"/>
    </row>
    <row r="393">
      <c r="A393" s="22" t="s">
        <v>294</v>
      </c>
      <c r="B393" s="21" t="str">
        <f t="shared" si="1"/>
        <v>#DIV/0!</v>
      </c>
      <c r="C393" s="21" t="str">
        <f>VLOOKUP(A393, hash!A$2:B$500, 2, 0)</f>
        <v>66e1e127e2fbdff8a0c35636</v>
      </c>
      <c r="D393" s="23" t="str">
        <f t="shared" si="2"/>
        <v>#DIV/0!</v>
      </c>
      <c r="F393" s="45"/>
      <c r="H393" s="45"/>
      <c r="J393" s="45"/>
    </row>
    <row r="394">
      <c r="A394" s="22" t="s">
        <v>295</v>
      </c>
      <c r="B394" s="21" t="str">
        <f t="shared" si="1"/>
        <v>#DIV/0!</v>
      </c>
      <c r="C394" s="21" t="str">
        <f>VLOOKUP(A394, hash!A$2:B$500, 2, 0)</f>
        <v>66e1e128f0db8f5922c91d86</v>
      </c>
      <c r="D394" s="23" t="str">
        <f t="shared" si="2"/>
        <v>#DIV/0!</v>
      </c>
      <c r="F394" s="45"/>
      <c r="H394" s="45"/>
      <c r="J394" s="45"/>
    </row>
    <row r="395">
      <c r="A395" s="22" t="s">
        <v>296</v>
      </c>
      <c r="B395" s="21" t="str">
        <f t="shared" si="1"/>
        <v>#DIV/0!</v>
      </c>
      <c r="C395" s="21" t="str">
        <f>VLOOKUP(A395, hash!A$2:B$500, 2, 0)</f>
        <v>66e1e129f0db8f5922c91d87</v>
      </c>
      <c r="D395" s="23" t="str">
        <f t="shared" si="2"/>
        <v>#DIV/0!</v>
      </c>
      <c r="F395" s="45"/>
      <c r="H395" s="45"/>
      <c r="J395" s="45"/>
    </row>
    <row r="396">
      <c r="A396" s="22" t="s">
        <v>62</v>
      </c>
      <c r="B396" s="21" t="str">
        <f t="shared" si="1"/>
        <v>#DIV/0!</v>
      </c>
      <c r="C396" s="21" t="str">
        <f>VLOOKUP(A396, hash!A$2:B$500, 2, 0)</f>
        <v>66e1e12a45950d34f3139132</v>
      </c>
      <c r="D396" s="23" t="str">
        <f t="shared" si="2"/>
        <v>#DIV/0!</v>
      </c>
      <c r="F396" s="45"/>
      <c r="H396" s="45"/>
      <c r="J396" s="45"/>
    </row>
    <row r="397">
      <c r="A397" s="22" t="s">
        <v>297</v>
      </c>
      <c r="B397" s="21" t="str">
        <f t="shared" si="1"/>
        <v>#DIV/0!</v>
      </c>
      <c r="C397" s="21" t="str">
        <f>VLOOKUP(A397, hash!A$2:B$500, 2, 0)</f>
        <v>66e1e12bf0db8f5922c91d88</v>
      </c>
      <c r="D397" s="23" t="str">
        <f t="shared" si="2"/>
        <v>#DIV/0!</v>
      </c>
      <c r="F397" s="27"/>
      <c r="H397" s="27"/>
      <c r="J397" s="27"/>
    </row>
    <row r="398">
      <c r="A398" s="22" t="s">
        <v>299</v>
      </c>
      <c r="B398" s="21" t="str">
        <f t="shared" si="1"/>
        <v>#DIV/0!</v>
      </c>
      <c r="C398" s="21" t="str">
        <f>VLOOKUP(A398, hash!A$2:B$500, 2, 0)</f>
        <v>66e1e12c68fa766abf5d11d7</v>
      </c>
      <c r="D398" s="23" t="str">
        <f t="shared" si="2"/>
        <v>#DIV/0!</v>
      </c>
      <c r="E398" s="14">
        <v>0.0</v>
      </c>
      <c r="F398" s="27">
        <v>0.0</v>
      </c>
      <c r="G398" s="14">
        <v>0.0</v>
      </c>
      <c r="H398" s="27">
        <v>0.0</v>
      </c>
      <c r="I398" s="14">
        <v>0.0</v>
      </c>
      <c r="J398" s="27">
        <v>0.0</v>
      </c>
    </row>
    <row r="399">
      <c r="A399" s="22" t="s">
        <v>300</v>
      </c>
      <c r="B399" s="21" t="str">
        <f t="shared" si="1"/>
        <v>#DIV/0!</v>
      </c>
      <c r="C399" s="21" t="str">
        <f>VLOOKUP(A399, hash!A$2:B$500, 2, 0)</f>
        <v>66e1e12df0db8f5922c91d8a</v>
      </c>
      <c r="D399" s="23" t="str">
        <f t="shared" si="2"/>
        <v>#DIV/0!</v>
      </c>
      <c r="F399" s="27"/>
      <c r="H399" s="27"/>
      <c r="J399" s="27"/>
    </row>
    <row r="400">
      <c r="A400" s="22" t="s">
        <v>301</v>
      </c>
      <c r="B400" s="21" t="str">
        <f t="shared" si="1"/>
        <v>#DIV/0!</v>
      </c>
      <c r="C400" s="21" t="str">
        <f>VLOOKUP(A400, hash!A$2:B$500, 2, 0)</f>
        <v>66e1e12ee2fbdff8a0c3563a</v>
      </c>
      <c r="D400" s="23" t="str">
        <f t="shared" si="2"/>
        <v>#DIV/0!</v>
      </c>
      <c r="F400" s="45"/>
      <c r="H400" s="45"/>
      <c r="J400" s="45"/>
    </row>
    <row r="401">
      <c r="A401" s="22" t="s">
        <v>302</v>
      </c>
      <c r="B401" s="21" t="str">
        <f t="shared" si="1"/>
        <v>#DIV/0!</v>
      </c>
      <c r="C401" s="21" t="str">
        <f>VLOOKUP(A401, hash!A$2:B$500, 2, 0)</f>
        <v>66e1e12f7a8e6dc2aed3a646</v>
      </c>
      <c r="D401" s="23" t="str">
        <f t="shared" si="2"/>
        <v>#DIV/0!</v>
      </c>
      <c r="F401" s="27"/>
      <c r="H401" s="27"/>
      <c r="J401" s="27"/>
    </row>
    <row r="402">
      <c r="A402" s="22" t="s">
        <v>304</v>
      </c>
      <c r="B402" s="21" t="str">
        <f t="shared" si="1"/>
        <v>#DIV/0!</v>
      </c>
      <c r="C402" s="21" t="str">
        <f>VLOOKUP(A402, hash!A$2:B$500, 2, 0)</f>
        <v>66e1e139f0db8f5922c91d8d</v>
      </c>
      <c r="D402" s="23" t="str">
        <f t="shared" si="2"/>
        <v>#DIV/0!</v>
      </c>
      <c r="F402" s="45"/>
      <c r="H402" s="45"/>
      <c r="J402" s="45"/>
    </row>
    <row r="403">
      <c r="A403" s="22" t="s">
        <v>31</v>
      </c>
      <c r="B403" s="21" t="str">
        <f t="shared" si="1"/>
        <v>#DIV/0!</v>
      </c>
      <c r="C403" s="21" t="str">
        <f>VLOOKUP(A403, hash!A$2:B$500, 2, 0)</f>
        <v>66e1e13fdb315cbd40043fca</v>
      </c>
      <c r="D403" s="23" t="str">
        <f t="shared" si="2"/>
        <v>#DIV/0!</v>
      </c>
      <c r="F403" s="45"/>
      <c r="H403" s="45"/>
      <c r="J403" s="45"/>
    </row>
    <row r="404">
      <c r="A404" s="22" t="s">
        <v>307</v>
      </c>
      <c r="B404" s="21" t="str">
        <f t="shared" si="1"/>
        <v>#DIV/0!</v>
      </c>
      <c r="C404" s="21" t="str">
        <f>VLOOKUP(A404, hash!A$2:B$500, 2, 0)</f>
        <v>66e1e14b7a8e6dc2aed3a649</v>
      </c>
      <c r="D404" s="23" t="str">
        <f t="shared" si="2"/>
        <v>#DIV/0!</v>
      </c>
      <c r="F404" s="45"/>
      <c r="H404" s="45"/>
      <c r="J404" s="45"/>
    </row>
    <row r="405">
      <c r="A405" s="22" t="s">
        <v>308</v>
      </c>
      <c r="B405" s="21" t="str">
        <f t="shared" si="1"/>
        <v>#DIV/0!</v>
      </c>
      <c r="C405" s="21" t="str">
        <f>VLOOKUP(A405, hash!A$2:B$500, 2, 0)</f>
        <v>66e1e14cf0db8f5922c91d94</v>
      </c>
      <c r="D405" s="23" t="str">
        <f t="shared" si="2"/>
        <v>#DIV/0!</v>
      </c>
      <c r="F405" s="45"/>
      <c r="H405" s="45"/>
      <c r="J405" s="45"/>
    </row>
    <row r="406">
      <c r="A406" s="22" t="s">
        <v>309</v>
      </c>
      <c r="B406" s="21" t="str">
        <f t="shared" si="1"/>
        <v>#DIV/0!</v>
      </c>
      <c r="C406" s="21" t="str">
        <f>VLOOKUP(A406, hash!A$2:B$500, 2, 0)</f>
        <v>66e1e200bbd279710a4f25a0</v>
      </c>
      <c r="D406" s="23" t="str">
        <f t="shared" si="2"/>
        <v>#DIV/0!</v>
      </c>
      <c r="F406" s="27"/>
      <c r="H406" s="27"/>
      <c r="J406" s="27"/>
    </row>
    <row r="407">
      <c r="A407" s="22" t="s">
        <v>38</v>
      </c>
      <c r="B407" s="21" t="str">
        <f t="shared" si="1"/>
        <v>#DIV/0!</v>
      </c>
      <c r="C407" s="21" t="str">
        <f>VLOOKUP(A407, hash!A$2:B$500, 2, 0)</f>
        <v>66e1e295c67d6a88d4309dde</v>
      </c>
      <c r="D407" s="23" t="str">
        <f t="shared" si="2"/>
        <v>#DIV/0!</v>
      </c>
      <c r="E407" s="14">
        <v>0.0</v>
      </c>
      <c r="F407" s="27">
        <v>0.0</v>
      </c>
      <c r="G407" s="14">
        <v>0.0</v>
      </c>
      <c r="H407" s="27">
        <v>0.0</v>
      </c>
      <c r="I407" s="14">
        <v>0.0</v>
      </c>
      <c r="J407" s="27">
        <v>0.0</v>
      </c>
    </row>
    <row r="408">
      <c r="A408" s="22" t="s">
        <v>310</v>
      </c>
      <c r="B408" s="21" t="str">
        <f t="shared" si="1"/>
        <v>#DIV/0!</v>
      </c>
      <c r="C408" s="21" t="str">
        <f>VLOOKUP(A408, hash!A$2:B$500, 2, 0)</f>
        <v>66e1ed7ce62f650d943808d3</v>
      </c>
      <c r="D408" s="23" t="str">
        <f t="shared" si="2"/>
        <v>#DIV/0!</v>
      </c>
      <c r="F408" s="45"/>
      <c r="H408" s="45"/>
      <c r="J408" s="45"/>
    </row>
    <row r="409">
      <c r="A409" s="22" t="s">
        <v>311</v>
      </c>
      <c r="B409" s="21" t="str">
        <f t="shared" si="1"/>
        <v>#DIV/0!</v>
      </c>
      <c r="C409" s="21" t="str">
        <f>VLOOKUP(A409, hash!A$2:B$500, 2, 0)</f>
        <v>66e1ed80e62f650d943808d4</v>
      </c>
      <c r="D409" s="23" t="str">
        <f t="shared" si="2"/>
        <v>#DIV/0!</v>
      </c>
      <c r="F409" s="45"/>
      <c r="H409" s="45"/>
      <c r="J409" s="45"/>
    </row>
    <row r="410">
      <c r="A410" s="22" t="s">
        <v>313</v>
      </c>
      <c r="B410" s="21" t="str">
        <f t="shared" si="1"/>
        <v>#DIV/0!</v>
      </c>
      <c r="C410" s="21" t="str">
        <f>VLOOKUP(A410, hash!A$2:B$500, 2, 0)</f>
        <v>66e1ed8677e929b3df889a0a</v>
      </c>
      <c r="D410" s="23" t="str">
        <f t="shared" si="2"/>
        <v>#DIV/0!</v>
      </c>
      <c r="F410" s="27"/>
      <c r="H410" s="27"/>
      <c r="J410" s="27"/>
    </row>
    <row r="411">
      <c r="A411" s="22" t="s">
        <v>314</v>
      </c>
      <c r="B411" s="21" t="str">
        <f t="shared" si="1"/>
        <v>#DIV/0!</v>
      </c>
      <c r="C411" s="21" t="str">
        <f>VLOOKUP(A411, hash!A$2:B$500, 2, 0)</f>
        <v>66e1ed871129889a3e2c24a9</v>
      </c>
      <c r="D411" s="23" t="str">
        <f t="shared" si="2"/>
        <v>#DIV/0!</v>
      </c>
      <c r="F411" s="45"/>
      <c r="H411" s="45"/>
      <c r="J411" s="45"/>
    </row>
    <row r="412">
      <c r="A412" s="22" t="s">
        <v>64</v>
      </c>
      <c r="B412" s="21" t="str">
        <f t="shared" si="1"/>
        <v>#DIV/0!</v>
      </c>
      <c r="C412" s="21" t="str">
        <f>VLOOKUP(A412, hash!A$2:B$500, 2, 0)</f>
        <v>66e1ed8c1129889a3e2c24aa</v>
      </c>
      <c r="D412" s="23" t="str">
        <f t="shared" si="2"/>
        <v>#DIV/0!</v>
      </c>
      <c r="F412" s="27"/>
      <c r="H412" s="27"/>
      <c r="J412" s="27"/>
    </row>
    <row r="413">
      <c r="A413" s="22" t="s">
        <v>315</v>
      </c>
      <c r="B413" s="21" t="str">
        <f t="shared" si="1"/>
        <v>#DIV/0!</v>
      </c>
      <c r="C413" s="21" t="str">
        <f>VLOOKUP(A413, hash!A$2:B$500, 2, 0)</f>
        <v>66e1ed901129889a3e2c24ac</v>
      </c>
      <c r="D413" s="23" t="str">
        <f t="shared" si="2"/>
        <v>#DIV/0!</v>
      </c>
      <c r="F413" s="45"/>
      <c r="H413" s="45"/>
      <c r="J413" s="45"/>
    </row>
    <row r="414">
      <c r="A414" s="22" t="s">
        <v>316</v>
      </c>
      <c r="B414" s="21" t="str">
        <f t="shared" si="1"/>
        <v>#DIV/0!</v>
      </c>
      <c r="C414" s="21" t="str">
        <f>VLOOKUP(A414, hash!A$2:B$500, 2, 0)</f>
        <v>66e1ed9207067318cc1e18cb</v>
      </c>
      <c r="D414" s="23" t="str">
        <f t="shared" si="2"/>
        <v>#DIV/0!</v>
      </c>
      <c r="F414" s="45"/>
      <c r="H414" s="45"/>
      <c r="J414" s="45"/>
    </row>
    <row r="415">
      <c r="A415" s="22" t="s">
        <v>317</v>
      </c>
      <c r="B415" s="21" t="str">
        <f t="shared" si="1"/>
        <v>#DIV/0!</v>
      </c>
      <c r="C415" s="21" t="str">
        <f>VLOOKUP(A415, hash!A$2:B$500, 2, 0)</f>
        <v>66e1ed9207067318cc1e18cc</v>
      </c>
      <c r="D415" s="23" t="str">
        <f t="shared" si="2"/>
        <v>#DIV/0!</v>
      </c>
      <c r="F415" s="45"/>
      <c r="H415" s="45"/>
      <c r="J415" s="45"/>
    </row>
    <row r="416">
      <c r="A416" s="22" t="s">
        <v>318</v>
      </c>
      <c r="B416" s="21" t="str">
        <f t="shared" si="1"/>
        <v>#DIV/0!</v>
      </c>
      <c r="C416" s="21" t="str">
        <f>VLOOKUP(A416, hash!A$2:B$500, 2, 0)</f>
        <v>66e1ed9407067318cc1e18cd</v>
      </c>
      <c r="D416" s="23" t="str">
        <f t="shared" si="2"/>
        <v>#DIV/0!</v>
      </c>
      <c r="F416" s="45"/>
      <c r="H416" s="45"/>
      <c r="J416" s="45"/>
    </row>
    <row r="417">
      <c r="A417" s="22" t="s">
        <v>319</v>
      </c>
      <c r="B417" s="21" t="str">
        <f t="shared" si="1"/>
        <v>#DIV/0!</v>
      </c>
      <c r="C417" s="21" t="str">
        <f>VLOOKUP(A417, hash!A$2:B$500, 2, 0)</f>
        <v>66e1ed96e62f650d943808d5</v>
      </c>
      <c r="D417" s="23" t="str">
        <f t="shared" si="2"/>
        <v>#DIV/0!</v>
      </c>
      <c r="F417" s="45"/>
      <c r="H417" s="45"/>
      <c r="J417" s="45"/>
    </row>
    <row r="418">
      <c r="A418" s="22" t="s">
        <v>320</v>
      </c>
      <c r="B418" s="21" t="str">
        <f t="shared" si="1"/>
        <v>#DIV/0!</v>
      </c>
      <c r="C418" s="21" t="str">
        <f>VLOOKUP(A418, hash!A$2:B$500, 2, 0)</f>
        <v>66e1ed97e62f650d943808d6</v>
      </c>
      <c r="D418" s="23" t="str">
        <f t="shared" si="2"/>
        <v>#DIV/0!</v>
      </c>
      <c r="F418" s="27"/>
      <c r="H418" s="27"/>
      <c r="J418" s="27"/>
    </row>
    <row r="419">
      <c r="A419" s="22" t="s">
        <v>321</v>
      </c>
      <c r="B419" s="21" t="str">
        <f t="shared" si="1"/>
        <v>#DIV/0!</v>
      </c>
      <c r="C419" s="21" t="str">
        <f>VLOOKUP(A419, hash!A$2:B$500, 2, 0)</f>
        <v>66e1ed9877e929b3df889a0b</v>
      </c>
      <c r="D419" s="23" t="str">
        <f t="shared" si="2"/>
        <v>#DIV/0!</v>
      </c>
      <c r="F419" s="27"/>
      <c r="H419" s="27"/>
      <c r="J419" s="27"/>
    </row>
    <row r="420">
      <c r="A420" s="22" t="s">
        <v>322</v>
      </c>
      <c r="B420" s="21" t="str">
        <f t="shared" si="1"/>
        <v>#DIV/0!</v>
      </c>
      <c r="C420" s="21" t="str">
        <f>VLOOKUP(A420, hash!A$2:B$500, 2, 0)</f>
        <v>66e1ed9877e929b3df889a0c</v>
      </c>
      <c r="D420" s="23" t="str">
        <f t="shared" si="2"/>
        <v>#DIV/0!</v>
      </c>
      <c r="F420" s="45"/>
      <c r="H420" s="45"/>
      <c r="J420" s="45"/>
    </row>
    <row r="421">
      <c r="A421" s="22" t="s">
        <v>323</v>
      </c>
      <c r="B421" s="21" t="str">
        <f t="shared" si="1"/>
        <v>#DIV/0!</v>
      </c>
      <c r="C421" s="21" t="str">
        <f>VLOOKUP(A421, hash!A$2:B$500, 2, 0)</f>
        <v>66e1ed98e62f650d943808d7</v>
      </c>
      <c r="D421" s="23" t="str">
        <f t="shared" si="2"/>
        <v>#DIV/0!</v>
      </c>
      <c r="F421" s="45"/>
      <c r="H421" s="45"/>
      <c r="J421" s="45"/>
    </row>
    <row r="422">
      <c r="A422" s="22" t="s">
        <v>324</v>
      </c>
      <c r="B422" s="21" t="str">
        <f t="shared" si="1"/>
        <v>#DIV/0!</v>
      </c>
      <c r="C422" s="21" t="str">
        <f>VLOOKUP(A422, hash!A$2:B$500, 2, 0)</f>
        <v>66e1ed9b535f0d0c02349bed</v>
      </c>
      <c r="D422" s="23" t="str">
        <f t="shared" si="2"/>
        <v>#DIV/0!</v>
      </c>
      <c r="F422" s="45"/>
      <c r="H422" s="45"/>
      <c r="J422" s="45"/>
    </row>
    <row r="423">
      <c r="A423" s="22" t="s">
        <v>325</v>
      </c>
      <c r="B423" s="21" t="str">
        <f t="shared" si="1"/>
        <v>#DIV/0!</v>
      </c>
      <c r="C423" s="21" t="str">
        <f>VLOOKUP(A423, hash!A$2:B$500, 2, 0)</f>
        <v>66e1ed9c07067318cc1e18ce</v>
      </c>
      <c r="D423" s="23" t="str">
        <f t="shared" si="2"/>
        <v>#DIV/0!</v>
      </c>
      <c r="F423" s="27"/>
      <c r="H423" s="27"/>
      <c r="J423" s="27"/>
    </row>
    <row r="424">
      <c r="A424" s="22" t="s">
        <v>326</v>
      </c>
      <c r="B424" s="21" t="str">
        <f t="shared" si="1"/>
        <v>#DIV/0!</v>
      </c>
      <c r="C424" s="21" t="str">
        <f>VLOOKUP(A424, hash!A$2:B$500, 2, 0)</f>
        <v>66e1ed9e07067318cc1e18cf</v>
      </c>
      <c r="D424" s="23" t="str">
        <f t="shared" si="2"/>
        <v>#DIV/0!</v>
      </c>
      <c r="F424" s="45"/>
      <c r="H424" s="45"/>
      <c r="J424" s="45"/>
    </row>
    <row r="425">
      <c r="A425" s="22" t="s">
        <v>327</v>
      </c>
      <c r="B425" s="21" t="str">
        <f t="shared" si="1"/>
        <v>#DIV/0!</v>
      </c>
      <c r="C425" s="21" t="str">
        <f>VLOOKUP(A425, hash!A$2:B$500, 2, 0)</f>
        <v>66e1ed9f07067318cc1e18d0</v>
      </c>
      <c r="D425" s="23" t="str">
        <f t="shared" si="2"/>
        <v>#DIV/0!</v>
      </c>
      <c r="F425" s="45"/>
      <c r="H425" s="45"/>
      <c r="J425" s="45"/>
    </row>
    <row r="426">
      <c r="A426" s="22" t="s">
        <v>328</v>
      </c>
      <c r="B426" s="21" t="str">
        <f t="shared" si="1"/>
        <v>#DIV/0!</v>
      </c>
      <c r="C426" s="21" t="str">
        <f>VLOOKUP(A426, hash!A$2:B$500, 2, 0)</f>
        <v>66e1eda007067318cc1e18d1</v>
      </c>
      <c r="D426" s="23" t="str">
        <f t="shared" si="2"/>
        <v>#DIV/0!</v>
      </c>
      <c r="F426" s="45"/>
      <c r="H426" s="45"/>
      <c r="J426" s="45"/>
    </row>
    <row r="427">
      <c r="A427" s="22" t="s">
        <v>329</v>
      </c>
      <c r="B427" s="21" t="str">
        <f t="shared" si="1"/>
        <v>#DIV/0!</v>
      </c>
      <c r="C427" s="21" t="str">
        <f>VLOOKUP(A427, hash!A$2:B$500, 2, 0)</f>
        <v>66e1eda1535f0d0c02349bee</v>
      </c>
      <c r="D427" s="23" t="str">
        <f t="shared" si="2"/>
        <v>#DIV/0!</v>
      </c>
      <c r="F427" s="45"/>
      <c r="H427" s="45"/>
      <c r="J427" s="45"/>
    </row>
    <row r="428">
      <c r="A428" s="22" t="s">
        <v>330</v>
      </c>
      <c r="B428" s="21" t="str">
        <f t="shared" si="1"/>
        <v>#DIV/0!</v>
      </c>
      <c r="C428" s="21" t="str">
        <f>VLOOKUP(A428, hash!A$2:B$500, 2, 0)</f>
        <v>66e1eda5535f0d0c02349bef</v>
      </c>
      <c r="D428" s="23" t="str">
        <f t="shared" si="2"/>
        <v>#DIV/0!</v>
      </c>
      <c r="F428" s="45"/>
      <c r="H428" s="45"/>
      <c r="J428" s="27"/>
    </row>
    <row r="429">
      <c r="A429" s="22" t="s">
        <v>331</v>
      </c>
      <c r="B429" s="21" t="str">
        <f t="shared" si="1"/>
        <v>#DIV/0!</v>
      </c>
      <c r="C429" s="21" t="str">
        <f>VLOOKUP(A429, hash!A$2:B$500, 2, 0)</f>
        <v>66e1eda6535f0d0c02349bf0</v>
      </c>
      <c r="D429" s="23" t="str">
        <f t="shared" si="2"/>
        <v>#DIV/0!</v>
      </c>
      <c r="F429" s="45"/>
      <c r="H429" s="45"/>
      <c r="J429" s="45"/>
    </row>
    <row r="430">
      <c r="A430" s="22" t="s">
        <v>97</v>
      </c>
      <c r="B430" s="21" t="str">
        <f t="shared" si="1"/>
        <v>#DIV/0!</v>
      </c>
      <c r="C430" s="21" t="str">
        <f>VLOOKUP(A430, hash!A$2:B$500, 2, 0)</f>
        <v>66e1eda71129889a3e2c24ae</v>
      </c>
      <c r="D430" s="23" t="str">
        <f t="shared" si="2"/>
        <v>#DIV/0!</v>
      </c>
      <c r="F430" s="45"/>
      <c r="H430" s="45"/>
      <c r="J430" s="45"/>
    </row>
    <row r="431">
      <c r="A431" s="22" t="s">
        <v>332</v>
      </c>
      <c r="B431" s="21" t="str">
        <f t="shared" si="1"/>
        <v>#DIV/0!</v>
      </c>
      <c r="C431" s="21" t="str">
        <f>VLOOKUP(A431, hash!A$2:B$500, 2, 0)</f>
        <v>66e1eda81129889a3e2c24af</v>
      </c>
      <c r="D431" s="23" t="str">
        <f t="shared" si="2"/>
        <v>#DIV/0!</v>
      </c>
      <c r="F431" s="27"/>
      <c r="H431" s="27"/>
      <c r="J431" s="27"/>
    </row>
    <row r="432">
      <c r="A432" s="22" t="s">
        <v>333</v>
      </c>
      <c r="B432" s="21" t="str">
        <f t="shared" si="1"/>
        <v>#DIV/0!</v>
      </c>
      <c r="C432" s="21" t="str">
        <f>VLOOKUP(A432, hash!A$2:B$500, 2, 0)</f>
        <v>66e1eda807067318cc1e18d2</v>
      </c>
      <c r="D432" s="23" t="str">
        <f t="shared" si="2"/>
        <v>#DIV/0!</v>
      </c>
      <c r="F432" s="45"/>
      <c r="H432" s="45"/>
      <c r="J432" s="45"/>
    </row>
    <row r="433">
      <c r="A433" s="22" t="s">
        <v>90</v>
      </c>
      <c r="B433" s="21" t="str">
        <f t="shared" si="1"/>
        <v>#DIV/0!</v>
      </c>
      <c r="C433" s="21" t="str">
        <f>VLOOKUP(A433, hash!A$2:B$500, 2, 0)</f>
        <v>66e1edab07067318cc1e18d3</v>
      </c>
      <c r="D433" s="23" t="str">
        <f t="shared" si="2"/>
        <v>#DIV/0!</v>
      </c>
      <c r="F433" s="45"/>
      <c r="H433" s="45"/>
      <c r="J433" s="45"/>
    </row>
    <row r="434">
      <c r="A434" s="22" t="s">
        <v>334</v>
      </c>
      <c r="B434" s="21" t="str">
        <f t="shared" si="1"/>
        <v>#DIV/0!</v>
      </c>
      <c r="C434" s="21" t="str">
        <f>VLOOKUP(A434, hash!A$2:B$500, 2, 0)</f>
        <v>66e1edbc07067318cc1e18d8</v>
      </c>
      <c r="D434" s="23" t="str">
        <f t="shared" si="2"/>
        <v>#DIV/0!</v>
      </c>
      <c r="F434" s="45"/>
      <c r="H434" s="45"/>
      <c r="J434" s="45"/>
    </row>
    <row r="435">
      <c r="A435" s="22" t="s">
        <v>335</v>
      </c>
      <c r="B435" s="21" t="str">
        <f t="shared" si="1"/>
        <v>#DIV/0!</v>
      </c>
      <c r="C435" s="21" t="str">
        <f>VLOOKUP(A435, hash!A$2:B$500, 2, 0)</f>
        <v>66e1edd11129889a3e2c24ba</v>
      </c>
      <c r="D435" s="23" t="str">
        <f t="shared" si="2"/>
        <v>#DIV/0!</v>
      </c>
      <c r="F435" s="45"/>
      <c r="H435" s="45"/>
      <c r="J435" s="45"/>
    </row>
    <row r="436">
      <c r="A436" s="22" t="s">
        <v>336</v>
      </c>
      <c r="B436" s="21" t="str">
        <f t="shared" si="1"/>
        <v>#DIV/0!</v>
      </c>
      <c r="C436" s="21" t="str">
        <f>VLOOKUP(A436, hash!A$2:B$500, 2, 0)</f>
        <v>66e1ee9d77e929b3df889a14</v>
      </c>
      <c r="D436" s="23" t="str">
        <f t="shared" si="2"/>
        <v>#DIV/0!</v>
      </c>
      <c r="F436" s="27"/>
      <c r="H436" s="27"/>
      <c r="J436" s="27"/>
    </row>
    <row r="437">
      <c r="A437" s="22" t="s">
        <v>337</v>
      </c>
      <c r="B437" s="21" t="str">
        <f t="shared" si="1"/>
        <v>#DIV/0!</v>
      </c>
      <c r="C437" s="21" t="str">
        <f>VLOOKUP(A437, hash!A$2:B$500, 2, 0)</f>
        <v>66e1f36e97e3bb4b1a02d659</v>
      </c>
      <c r="D437" s="23" t="str">
        <f t="shared" si="2"/>
        <v>#DIV/0!</v>
      </c>
      <c r="F437" s="45"/>
      <c r="H437" s="45"/>
      <c r="J437" s="45"/>
    </row>
    <row r="438">
      <c r="A438" s="22" t="s">
        <v>98</v>
      </c>
      <c r="B438" s="21" t="str">
        <f t="shared" si="1"/>
        <v>#DIV/0!</v>
      </c>
      <c r="C438" s="21" t="str">
        <f>VLOOKUP(A438, hash!A$2:B$500, 2, 0)</f>
        <v>66e4659d317cf70a1c31109e</v>
      </c>
      <c r="D438" s="23" t="str">
        <f t="shared" si="2"/>
        <v>#DIV/0!</v>
      </c>
      <c r="F438" s="27"/>
      <c r="H438" s="27"/>
      <c r="J438" s="27"/>
    </row>
    <row r="439">
      <c r="A439" s="22" t="s">
        <v>338</v>
      </c>
      <c r="B439" s="21" t="str">
        <f t="shared" si="1"/>
        <v>#DIV/0!</v>
      </c>
      <c r="C439" s="21" t="str">
        <f>VLOOKUP(A439, hash!A$2:B$500, 2, 0)</f>
        <v>66ea1f306b0b246c2372bbac</v>
      </c>
      <c r="D439" s="23" t="str">
        <f t="shared" si="2"/>
        <v>#DIV/0!</v>
      </c>
      <c r="F439" s="45"/>
      <c r="H439" s="45"/>
      <c r="J439" s="45"/>
    </row>
    <row r="440">
      <c r="A440" s="22" t="s">
        <v>35</v>
      </c>
      <c r="B440" s="21" t="str">
        <f t="shared" si="1"/>
        <v>#DIV/0!</v>
      </c>
      <c r="C440" s="21" t="str">
        <f>VLOOKUP(A440, hash!A$2:B$500, 2, 0)</f>
        <v>66eb1b4237edf2b32f9fc2ec</v>
      </c>
      <c r="D440" s="23" t="str">
        <f t="shared" si="2"/>
        <v>#DIV/0!</v>
      </c>
      <c r="F440" s="45"/>
      <c r="H440" s="45"/>
      <c r="J440" s="45"/>
    </row>
    <row r="441">
      <c r="A441" s="22" t="s">
        <v>339</v>
      </c>
      <c r="B441" s="21" t="str">
        <f t="shared" si="1"/>
        <v>#DIV/0!</v>
      </c>
      <c r="C441" s="21" t="str">
        <f>VLOOKUP(A441, hash!A$2:B$500, 2, 0)</f>
        <v>66eb1bdf61b31c87a7ea090e</v>
      </c>
      <c r="D441" s="23" t="str">
        <f t="shared" si="2"/>
        <v>#DIV/0!</v>
      </c>
      <c r="F441" s="45"/>
      <c r="H441" s="45"/>
      <c r="J441" s="45"/>
    </row>
    <row r="442">
      <c r="A442" s="22" t="s">
        <v>340</v>
      </c>
      <c r="B442" s="21" t="str">
        <f t="shared" si="1"/>
        <v>#DIV/0!</v>
      </c>
      <c r="C442" s="21" t="str">
        <f>VLOOKUP(A442, hash!A$2:B$500, 2, 0)</f>
        <v>66eb1bedcb6c430d242f37c4</v>
      </c>
      <c r="D442" s="23" t="str">
        <f t="shared" si="2"/>
        <v>#DIV/0!</v>
      </c>
      <c r="F442" s="45"/>
      <c r="H442" s="45"/>
      <c r="J442" s="45"/>
    </row>
    <row r="443">
      <c r="A443" s="22" t="s">
        <v>341</v>
      </c>
      <c r="B443" s="21" t="str">
        <f t="shared" si="1"/>
        <v>#DIV/0!</v>
      </c>
      <c r="C443" s="21" t="str">
        <f>VLOOKUP(A443, hash!A$2:B$500, 2, 0)</f>
        <v>66eb1bf21132636931fb1927</v>
      </c>
      <c r="D443" s="23" t="str">
        <f t="shared" si="2"/>
        <v>#DIV/0!</v>
      </c>
      <c r="F443" s="27"/>
      <c r="H443" s="27"/>
      <c r="J443" s="27"/>
    </row>
    <row r="444">
      <c r="A444" s="22" t="s">
        <v>342</v>
      </c>
      <c r="B444" s="21" t="str">
        <f t="shared" si="1"/>
        <v>#DIV/0!</v>
      </c>
      <c r="C444" s="21" t="str">
        <f>VLOOKUP(A444, hash!A$2:B$500, 2, 0)</f>
        <v>66eb1bf5cb6c430d242f37c7</v>
      </c>
      <c r="D444" s="23" t="str">
        <f t="shared" si="2"/>
        <v>#DIV/0!</v>
      </c>
      <c r="F444" s="45"/>
      <c r="H444" s="45"/>
      <c r="J444" s="45"/>
    </row>
    <row r="445">
      <c r="A445" s="22" t="s">
        <v>343</v>
      </c>
      <c r="B445" s="21" t="str">
        <f t="shared" si="1"/>
        <v>#DIV/0!</v>
      </c>
      <c r="C445" s="21" t="str">
        <f>VLOOKUP(A445, hash!A$2:B$500, 2, 0)</f>
        <v>66eb1bf91132636931fb1929</v>
      </c>
      <c r="D445" s="23" t="str">
        <f t="shared" si="2"/>
        <v>#DIV/0!</v>
      </c>
      <c r="F445" s="45"/>
      <c r="H445" s="45"/>
      <c r="J445" s="45"/>
    </row>
    <row r="446">
      <c r="A446" s="22" t="s">
        <v>344</v>
      </c>
      <c r="B446" s="21" t="str">
        <f t="shared" si="1"/>
        <v>#DIV/0!</v>
      </c>
      <c r="C446" s="21" t="str">
        <f>VLOOKUP(A446, hash!A$2:B$500, 2, 0)</f>
        <v>66eb1bff8647681e6a2afbde</v>
      </c>
      <c r="D446" s="23" t="str">
        <f t="shared" si="2"/>
        <v>#DIV/0!</v>
      </c>
      <c r="F446" s="45"/>
      <c r="H446" s="45"/>
      <c r="J446" s="45"/>
    </row>
    <row r="447">
      <c r="A447" s="22" t="s">
        <v>345</v>
      </c>
      <c r="B447" s="21" t="str">
        <f t="shared" si="1"/>
        <v>#DIV/0!</v>
      </c>
      <c r="C447" s="21" t="str">
        <f>VLOOKUP(A447, hash!A$2:B$500, 2, 0)</f>
        <v>66eb1c00a52629221738126a</v>
      </c>
      <c r="D447" s="23" t="str">
        <f t="shared" si="2"/>
        <v>#DIV/0!</v>
      </c>
      <c r="F447" s="45"/>
      <c r="H447" s="45"/>
      <c r="J447" s="45"/>
    </row>
    <row r="448">
      <c r="A448" s="22" t="s">
        <v>347</v>
      </c>
      <c r="B448" s="21" t="str">
        <f t="shared" si="1"/>
        <v>#DIV/0!</v>
      </c>
      <c r="C448" s="21" t="str">
        <f>VLOOKUP(A448, hash!A$2:B$500, 2, 0)</f>
        <v>66eb1c248647681e6a2afbe7</v>
      </c>
      <c r="D448" s="23" t="str">
        <f t="shared" si="2"/>
        <v>#DIV/0!</v>
      </c>
      <c r="F448" s="45"/>
      <c r="H448" s="45"/>
      <c r="J448" s="45"/>
    </row>
    <row r="449">
      <c r="A449" s="22" t="s">
        <v>348</v>
      </c>
      <c r="B449" s="21" t="str">
        <f t="shared" si="1"/>
        <v>#DIV/0!</v>
      </c>
      <c r="C449" s="21" t="str">
        <f>VLOOKUP(A449, hash!A$2:B$500, 2, 0)</f>
        <v>66eb1c2ba526292217381274</v>
      </c>
      <c r="D449" s="23" t="str">
        <f t="shared" si="2"/>
        <v>#DIV/0!</v>
      </c>
      <c r="F449" s="45"/>
      <c r="H449" s="45"/>
      <c r="J449" s="45"/>
    </row>
    <row r="450">
      <c r="A450" s="22" t="s">
        <v>349</v>
      </c>
      <c r="B450" s="21" t="str">
        <f t="shared" si="1"/>
        <v>#DIV/0!</v>
      </c>
      <c r="C450" s="21" t="str">
        <f>VLOOKUP(A450, hash!A$2:B$500, 2, 0)</f>
        <v>66eb1c2b8647681e6a2afbe8</v>
      </c>
      <c r="D450" s="23" t="str">
        <f t="shared" si="2"/>
        <v>#DIV/0!</v>
      </c>
      <c r="F450" s="45"/>
      <c r="H450" s="45"/>
      <c r="J450" s="45"/>
    </row>
    <row r="451">
      <c r="A451" s="22" t="s">
        <v>350</v>
      </c>
      <c r="B451" s="21" t="str">
        <f t="shared" si="1"/>
        <v>#DIV/0!</v>
      </c>
      <c r="C451" s="21" t="str">
        <f>VLOOKUP(A451, hash!A$2:B$500, 2, 0)</f>
        <v>66eb1c33cb6c430d242f37d2</v>
      </c>
      <c r="D451" s="23" t="str">
        <f t="shared" si="2"/>
        <v>#DIV/0!</v>
      </c>
      <c r="F451" s="45"/>
      <c r="H451" s="45"/>
      <c r="J451" s="45"/>
    </row>
    <row r="452">
      <c r="A452" s="22" t="s">
        <v>351</v>
      </c>
      <c r="B452" s="21" t="str">
        <f t="shared" si="1"/>
        <v>#DIV/0!</v>
      </c>
      <c r="C452" s="21" t="str">
        <f>VLOOKUP(A452, hash!A$2:B$500, 2, 0)</f>
        <v>66eb1c341132636931fb192f</v>
      </c>
      <c r="D452" s="23" t="str">
        <f t="shared" si="2"/>
        <v>#DIV/0!</v>
      </c>
      <c r="F452" s="45"/>
      <c r="H452" s="45"/>
      <c r="J452" s="45"/>
    </row>
    <row r="453">
      <c r="A453" s="22" t="s">
        <v>352</v>
      </c>
      <c r="B453" s="21" t="str">
        <f t="shared" si="1"/>
        <v>#DIV/0!</v>
      </c>
      <c r="C453" s="21" t="str">
        <f>VLOOKUP(A453, hash!A$2:B$500, 2, 0)</f>
        <v>66eb1c681132636931fb1934</v>
      </c>
      <c r="D453" s="23" t="str">
        <f t="shared" si="2"/>
        <v>#DIV/0!</v>
      </c>
      <c r="F453" s="45"/>
      <c r="H453" s="45"/>
      <c r="J453" s="45"/>
    </row>
    <row r="454">
      <c r="A454" s="22" t="s">
        <v>353</v>
      </c>
      <c r="B454" s="21" t="str">
        <f t="shared" si="1"/>
        <v>#DIV/0!</v>
      </c>
      <c r="C454" s="21" t="str">
        <f>VLOOKUP(A454, hash!A$2:B$500, 2, 0)</f>
        <v>66eb1c6ecb6c430d242f37d9</v>
      </c>
      <c r="D454" s="23" t="str">
        <f t="shared" si="2"/>
        <v>#DIV/0!</v>
      </c>
      <c r="F454" s="45"/>
      <c r="H454" s="45"/>
      <c r="J454" s="45"/>
    </row>
    <row r="455">
      <c r="A455" s="22" t="s">
        <v>354</v>
      </c>
      <c r="B455" s="21" t="str">
        <f t="shared" si="1"/>
        <v>#DIV/0!</v>
      </c>
      <c r="C455" s="21" t="str">
        <f>VLOOKUP(A455, hash!A$2:B$500, 2, 0)</f>
        <v>66eb1c79cb6c430d242f37da</v>
      </c>
      <c r="D455" s="23" t="str">
        <f t="shared" si="2"/>
        <v>#DIV/0!</v>
      </c>
      <c r="F455" s="45"/>
      <c r="H455" s="45"/>
      <c r="J455" s="45"/>
    </row>
    <row r="456">
      <c r="A456" s="22" t="s">
        <v>355</v>
      </c>
      <c r="B456" s="21" t="str">
        <f t="shared" si="1"/>
        <v>#DIV/0!</v>
      </c>
      <c r="C456" s="21" t="str">
        <f>VLOOKUP(A456, hash!A$2:B$500, 2, 0)</f>
        <v>66eb1c7e1132636931fb1938</v>
      </c>
      <c r="D456" s="23" t="str">
        <f t="shared" si="2"/>
        <v>#DIV/0!</v>
      </c>
      <c r="F456" s="45"/>
      <c r="H456" s="45"/>
      <c r="J456" s="45"/>
    </row>
    <row r="457">
      <c r="A457" s="22" t="s">
        <v>356</v>
      </c>
      <c r="B457" s="21" t="str">
        <f t="shared" si="1"/>
        <v>#DIV/0!</v>
      </c>
      <c r="C457" s="21" t="str">
        <f>VLOOKUP(A457, hash!A$2:B$500, 2, 0)</f>
        <v>66eb1cb28647681e6a2afbec</v>
      </c>
      <c r="D457" s="23" t="str">
        <f t="shared" si="2"/>
        <v>#DIV/0!</v>
      </c>
      <c r="F457" s="45"/>
      <c r="H457" s="45"/>
      <c r="J457" s="45"/>
    </row>
    <row r="458">
      <c r="A458" s="22" t="s">
        <v>357</v>
      </c>
      <c r="B458" s="21" t="str">
        <f t="shared" si="1"/>
        <v>#DIV/0!</v>
      </c>
      <c r="C458" s="21" t="str">
        <f>VLOOKUP(A458, hash!A$2:B$500, 2, 0)</f>
        <v>66eb1ce18647681e6a2afbed</v>
      </c>
      <c r="D458" s="23" t="str">
        <f t="shared" si="2"/>
        <v>#DIV/0!</v>
      </c>
      <c r="F458" s="45"/>
      <c r="H458" s="45"/>
      <c r="J458" s="45"/>
    </row>
    <row r="459">
      <c r="A459" s="22" t="s">
        <v>358</v>
      </c>
      <c r="B459" s="21" t="str">
        <f t="shared" si="1"/>
        <v>#DIV/0!</v>
      </c>
      <c r="C459" s="21" t="str">
        <f>VLOOKUP(A459, hash!A$2:B$500, 2, 0)</f>
        <v>66eb26e01132636931fb1948</v>
      </c>
      <c r="D459" s="23" t="str">
        <f t="shared" si="2"/>
        <v>#DIV/0!</v>
      </c>
      <c r="F459" s="45"/>
      <c r="H459" s="45"/>
      <c r="J459" s="45"/>
    </row>
    <row r="460">
      <c r="A460" s="22" t="s">
        <v>359</v>
      </c>
      <c r="B460" s="21" t="str">
        <f t="shared" si="1"/>
        <v>#DIV/0!</v>
      </c>
      <c r="C460" s="21" t="str">
        <f>VLOOKUP(A460, hash!A$2:B$500, 2, 0)</f>
        <v>66eb2791f5cf341f2cef5f68</v>
      </c>
      <c r="D460" s="23" t="str">
        <f t="shared" si="2"/>
        <v>#DIV/0!</v>
      </c>
      <c r="F460" s="45"/>
      <c r="H460" s="45"/>
      <c r="J460" s="45"/>
    </row>
    <row r="461">
      <c r="A461" s="22" t="s">
        <v>360</v>
      </c>
      <c r="B461" s="21" t="str">
        <f t="shared" si="1"/>
        <v>#DIV/0!</v>
      </c>
      <c r="C461" s="21" t="str">
        <f>VLOOKUP(A461, hash!A$2:B$500, 2, 0)</f>
        <v>66eb283093ca556f981967dc</v>
      </c>
      <c r="D461" s="23" t="str">
        <f t="shared" si="2"/>
        <v>#DIV/0!</v>
      </c>
      <c r="F461" s="45"/>
      <c r="H461" s="45"/>
      <c r="J461" s="45"/>
    </row>
    <row r="462">
      <c r="A462" s="24" t="s">
        <v>361</v>
      </c>
      <c r="B462" s="21" t="str">
        <f t="shared" si="1"/>
        <v>#DIV/0!</v>
      </c>
      <c r="C462" s="21" t="str">
        <f>VLOOKUP(A462, hash!A$2:B$500, 2, 0)</f>
        <v>66eb283593ca556f981967de</v>
      </c>
      <c r="D462" s="23" t="str">
        <f t="shared" si="2"/>
        <v>#DIV/0!</v>
      </c>
      <c r="F462" s="45"/>
      <c r="H462" s="45"/>
      <c r="J462" s="45"/>
    </row>
    <row r="463">
      <c r="A463" s="22" t="s">
        <v>362</v>
      </c>
      <c r="B463" s="21" t="str">
        <f t="shared" si="1"/>
        <v>#DIV/0!</v>
      </c>
      <c r="C463" s="21" t="str">
        <f>VLOOKUP(A463, hash!A$2:B$500, 2, 0)</f>
        <v>66eb28586bd7ab0d5c9d8c1c</v>
      </c>
      <c r="D463" s="23" t="str">
        <f t="shared" si="2"/>
        <v>#DIV/0!</v>
      </c>
      <c r="F463" s="45"/>
      <c r="H463" s="45"/>
      <c r="J463" s="45"/>
    </row>
    <row r="464">
      <c r="A464" s="22" t="s">
        <v>644</v>
      </c>
      <c r="B464" s="21" t="str">
        <f t="shared" si="1"/>
        <v>#DIV/0!</v>
      </c>
      <c r="C464" s="21" t="str">
        <f>VLOOKUP(A464, hash!A$2:B$500, 2, 0)</f>
        <v>#N/A</v>
      </c>
      <c r="D464" s="23" t="str">
        <f t="shared" si="2"/>
        <v>#DIV/0!</v>
      </c>
      <c r="F464" s="45"/>
      <c r="H464" s="45"/>
      <c r="J464" s="45"/>
    </row>
    <row r="465">
      <c r="A465" s="22" t="s">
        <v>363</v>
      </c>
      <c r="B465" s="21" t="str">
        <f t="shared" si="1"/>
        <v>#DIV/0!</v>
      </c>
      <c r="C465" s="21" t="str">
        <f>VLOOKUP(A465, hash!A$2:B$500, 2, 0)</f>
        <v>66eb28b493ca556f981967e8</v>
      </c>
      <c r="D465" s="23" t="str">
        <f t="shared" si="2"/>
        <v>#DIV/0!</v>
      </c>
      <c r="F465" s="45"/>
      <c r="H465" s="45"/>
      <c r="J465" s="45"/>
    </row>
    <row r="466">
      <c r="A466" s="22" t="s">
        <v>364</v>
      </c>
      <c r="B466" s="21" t="str">
        <f t="shared" si="1"/>
        <v>#DIV/0!</v>
      </c>
      <c r="C466" s="21" t="str">
        <f>VLOOKUP(A466, hash!A$2:B$500, 2, 0)</f>
        <v>66eb293393ca556f981967ec</v>
      </c>
      <c r="D466" s="23" t="str">
        <f t="shared" si="2"/>
        <v>#DIV/0!</v>
      </c>
      <c r="F466" s="45"/>
      <c r="H466" s="45"/>
      <c r="J466" s="45"/>
    </row>
    <row r="467">
      <c r="A467" s="22" t="s">
        <v>365</v>
      </c>
      <c r="B467" s="21" t="str">
        <f t="shared" si="1"/>
        <v>#DIV/0!</v>
      </c>
      <c r="C467" s="21" t="str">
        <f>VLOOKUP(A467, hash!A$2:B$500, 2, 0)</f>
        <v>66eb295cf5cf341f2cef5f6e</v>
      </c>
      <c r="D467" s="23" t="str">
        <f t="shared" si="2"/>
        <v>#DIV/0!</v>
      </c>
      <c r="F467" s="45"/>
      <c r="H467" s="45"/>
      <c r="J467" s="45"/>
    </row>
    <row r="468">
      <c r="A468" s="22" t="s">
        <v>366</v>
      </c>
      <c r="B468" s="21" t="str">
        <f t="shared" si="1"/>
        <v>#DIV/0!</v>
      </c>
      <c r="C468" s="21" t="str">
        <f>VLOOKUP(A468, hash!A$2:B$500, 2, 0)</f>
        <v>66ec5f65155b01592e9cc06d</v>
      </c>
      <c r="D468" s="23" t="str">
        <f t="shared" si="2"/>
        <v>#DIV/0!</v>
      </c>
      <c r="F468" s="45"/>
      <c r="H468" s="45"/>
      <c r="J468" s="45"/>
    </row>
    <row r="469">
      <c r="A469" s="14" t="s">
        <v>381</v>
      </c>
      <c r="B469" s="21" t="str">
        <f t="shared" si="1"/>
        <v>#DIV/0!</v>
      </c>
      <c r="C469" s="21" t="str">
        <f>VLOOKUP(A469, hash!A$2:B$500, 2, 0)</f>
        <v>673394857b0fd6243000d5bb</v>
      </c>
      <c r="D469" s="23" t="str">
        <f t="shared" si="2"/>
        <v>#DIV/0!</v>
      </c>
      <c r="E469" s="35"/>
      <c r="F469" s="38"/>
      <c r="G469" s="38"/>
      <c r="H469" s="35"/>
      <c r="I469" s="38"/>
      <c r="J469" s="38"/>
    </row>
    <row r="470">
      <c r="A470" s="14" t="s">
        <v>325</v>
      </c>
      <c r="B470" s="21" t="str">
        <f t="shared" si="1"/>
        <v>#DIV/0!</v>
      </c>
      <c r="C470" s="21" t="str">
        <f>VLOOKUP(A470, hash!A$2:B$500, 2, 0)</f>
        <v>66e1ed9c07067318cc1e18ce</v>
      </c>
      <c r="D470" s="23" t="str">
        <f t="shared" si="2"/>
        <v>#DIV/0!</v>
      </c>
      <c r="E470" s="35"/>
      <c r="F470" s="35"/>
      <c r="G470" s="35"/>
      <c r="H470" s="35"/>
      <c r="I470" s="35"/>
      <c r="J470" s="35"/>
    </row>
    <row r="471">
      <c r="A471" s="14"/>
      <c r="E471" s="35"/>
      <c r="F471" s="38"/>
      <c r="G471" s="38"/>
      <c r="H471" s="38"/>
      <c r="I471" s="38"/>
      <c r="J471" s="38"/>
    </row>
  </sheetData>
  <autoFilter ref="$A$1:$J$1000">
    <sortState ref="A1:J1000">
      <sortCondition descending="1" ref="B1:B1000"/>
    </sortState>
  </autoFilter>
  <conditionalFormatting sqref="E2:J1000">
    <cfRule type="cellIs" dxfId="0" priority="1" operator="equal">
      <formula>1</formula>
    </cfRule>
  </conditionalFormatting>
  <conditionalFormatting sqref="E2:J1000">
    <cfRule type="cellIs" dxfId="1" priority="2" operator="equal">
      <formula>0</formula>
    </cfRule>
  </conditionalFormatting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 ht="15.75" customHeight="1">
      <c r="A1" s="14" t="s">
        <v>1</v>
      </c>
      <c r="B1" s="14" t="s">
        <v>499</v>
      </c>
      <c r="C1" s="14" t="s">
        <v>500</v>
      </c>
      <c r="D1" s="20" t="s">
        <v>501</v>
      </c>
      <c r="E1" s="14" t="s">
        <v>502</v>
      </c>
      <c r="F1" s="27" t="s">
        <v>503</v>
      </c>
      <c r="G1" s="14" t="s">
        <v>504</v>
      </c>
      <c r="H1" s="27" t="s">
        <v>505</v>
      </c>
      <c r="I1" s="14" t="s">
        <v>506</v>
      </c>
      <c r="J1" s="27" t="s">
        <v>507</v>
      </c>
      <c r="L1" s="46" t="s">
        <v>508</v>
      </c>
      <c r="M1" s="25">
        <f t="array" ref="M1">sum(large(D2:D469,column(indirect("$A$1:" &amp;ADDRESS( 1, 12)))))/12</f>
        <v>8.359333382</v>
      </c>
      <c r="N1" s="47"/>
      <c r="O1" s="47"/>
      <c r="P1" s="47"/>
      <c r="Q1" s="47"/>
      <c r="R1" s="47"/>
    </row>
    <row r="2">
      <c r="A2" s="22" t="s">
        <v>8</v>
      </c>
      <c r="B2" s="21">
        <f>D2/M$1*2000</f>
        <v>5053.131256</v>
      </c>
      <c r="C2" s="21" t="str">
        <f>VLOOKUP(A2, hash!A$2:B$500, 2, 0)</f>
        <v>6322202c0aa8ba2dbc57c0a6</v>
      </c>
      <c r="D2" s="23">
        <f t="shared" ref="D2:D469" si="1">SUMPRODUCT(E2:J2,$M$4:$R$4)</f>
        <v>21.1204044</v>
      </c>
      <c r="E2" s="14">
        <v>1.0</v>
      </c>
      <c r="F2" s="27">
        <v>1.0</v>
      </c>
      <c r="G2" s="14">
        <v>1.0</v>
      </c>
      <c r="H2" s="27">
        <v>1.0</v>
      </c>
      <c r="I2" s="14">
        <v>1.0</v>
      </c>
      <c r="J2" s="27">
        <v>1.0</v>
      </c>
      <c r="L2" s="47"/>
      <c r="M2" s="47" t="s">
        <v>502</v>
      </c>
      <c r="N2" s="47" t="s">
        <v>503</v>
      </c>
      <c r="O2" s="47" t="s">
        <v>504</v>
      </c>
      <c r="P2" s="47" t="s">
        <v>505</v>
      </c>
      <c r="Q2" s="47" t="s">
        <v>506</v>
      </c>
      <c r="R2" s="47" t="s">
        <v>507</v>
      </c>
    </row>
    <row r="3">
      <c r="A3" s="22" t="s">
        <v>558</v>
      </c>
      <c r="B3" s="14">
        <v>3477.309594</v>
      </c>
      <c r="C3" s="21" t="str">
        <f>VLOOKUP(A3, hash!A$2:B$500, 2, 0)</f>
        <v>#N/A</v>
      </c>
      <c r="D3" s="23">
        <f t="shared" si="1"/>
        <v>0</v>
      </c>
      <c r="F3" s="45"/>
      <c r="H3" s="27"/>
      <c r="J3" s="45"/>
      <c r="L3" s="47" t="s">
        <v>559</v>
      </c>
      <c r="M3" s="25">
        <f t="shared" ref="M3:R3" si="2">SUM(E:E)</f>
        <v>35</v>
      </c>
      <c r="N3" s="25">
        <f t="shared" si="2"/>
        <v>15</v>
      </c>
      <c r="O3" s="25">
        <f t="shared" si="2"/>
        <v>8</v>
      </c>
      <c r="P3" s="25">
        <f t="shared" si="2"/>
        <v>7</v>
      </c>
      <c r="Q3" s="25">
        <f t="shared" si="2"/>
        <v>4</v>
      </c>
      <c r="R3" s="25">
        <f t="shared" si="2"/>
        <v>1</v>
      </c>
    </row>
    <row r="4">
      <c r="A4" s="22" t="s">
        <v>560</v>
      </c>
      <c r="B4" s="14">
        <v>3477.309594</v>
      </c>
      <c r="C4" s="21" t="str">
        <f>VLOOKUP(A4, hash!A$2:B$500, 2, 0)</f>
        <v>#N/A</v>
      </c>
      <c r="D4" s="23">
        <f t="shared" si="1"/>
        <v>0</v>
      </c>
      <c r="F4" s="45"/>
      <c r="H4" s="45"/>
      <c r="J4" s="27"/>
      <c r="L4" s="47" t="s">
        <v>561</v>
      </c>
      <c r="M4" s="25">
        <f t="shared" ref="M4:R4" si="3">1+LN($M$8/M3)</f>
        <v>1.910560057</v>
      </c>
      <c r="N4" s="25">
        <f t="shared" si="3"/>
        <v>2.757857918</v>
      </c>
      <c r="O4" s="25">
        <f t="shared" si="3"/>
        <v>3.386466577</v>
      </c>
      <c r="P4" s="25">
        <f t="shared" si="3"/>
        <v>3.51999797</v>
      </c>
      <c r="Q4" s="25">
        <f t="shared" si="3"/>
        <v>4.079613758</v>
      </c>
      <c r="R4" s="25">
        <f t="shared" si="3"/>
        <v>5.465908119</v>
      </c>
    </row>
    <row r="5">
      <c r="A5" s="22" t="s">
        <v>562</v>
      </c>
      <c r="B5" s="21">
        <f t="shared" ref="B5:B469" si="4">D5/M$1*2000</f>
        <v>2769.331475</v>
      </c>
      <c r="C5" s="21" t="str">
        <f>VLOOKUP(A5, hash!A$2:B$500, 2, 0)</f>
        <v>#N/A</v>
      </c>
      <c r="D5" s="23">
        <f t="shared" si="1"/>
        <v>11.57488252</v>
      </c>
      <c r="E5" s="14">
        <v>1.0</v>
      </c>
      <c r="F5" s="27">
        <v>1.0</v>
      </c>
      <c r="G5" s="14">
        <v>1.0</v>
      </c>
      <c r="H5" s="27">
        <v>1.0</v>
      </c>
      <c r="I5" s="14">
        <v>0.0</v>
      </c>
      <c r="J5" s="27">
        <v>0.0</v>
      </c>
      <c r="L5" s="46"/>
      <c r="M5" s="25"/>
      <c r="N5" s="25"/>
      <c r="O5" s="25"/>
      <c r="P5" s="25"/>
      <c r="Q5" s="25"/>
      <c r="R5" s="25"/>
    </row>
    <row r="6">
      <c r="A6" s="22" t="s">
        <v>9</v>
      </c>
      <c r="B6" s="21">
        <f t="shared" si="4"/>
        <v>2092.997451</v>
      </c>
      <c r="C6" s="21" t="str">
        <f>VLOOKUP(A6, hash!A$2:B$500, 2, 0)</f>
        <v>66e1e1237a8e6dc2aed3a642</v>
      </c>
      <c r="D6" s="23">
        <f t="shared" si="1"/>
        <v>8.748031732</v>
      </c>
      <c r="E6" s="14">
        <v>1.0</v>
      </c>
      <c r="F6" s="27">
        <v>1.0</v>
      </c>
      <c r="G6" s="14">
        <v>0.0</v>
      </c>
      <c r="H6" s="27">
        <v>0.0</v>
      </c>
      <c r="I6" s="14">
        <v>1.0</v>
      </c>
      <c r="J6" s="27">
        <v>0.0</v>
      </c>
      <c r="L6" s="47"/>
      <c r="M6" s="25"/>
      <c r="N6" s="25"/>
      <c r="O6" s="25"/>
      <c r="P6" s="25"/>
      <c r="Q6" s="48"/>
      <c r="R6" s="25"/>
    </row>
    <row r="7">
      <c r="A7" s="22" t="s">
        <v>563</v>
      </c>
      <c r="B7" s="21">
        <f t="shared" si="4"/>
        <v>1927.159543</v>
      </c>
      <c r="C7" s="21" t="str">
        <f>VLOOKUP(A7, hash!A$2:B$500, 2, 0)</f>
        <v>#N/A</v>
      </c>
      <c r="D7" s="23">
        <f t="shared" si="1"/>
        <v>8.054884552</v>
      </c>
      <c r="E7" s="14">
        <v>1.0</v>
      </c>
      <c r="F7" s="27">
        <v>1.0</v>
      </c>
      <c r="G7" s="14">
        <v>1.0</v>
      </c>
      <c r="H7" s="27">
        <v>0.0</v>
      </c>
      <c r="J7" s="45"/>
      <c r="L7" s="47"/>
      <c r="M7" s="49" t="s">
        <v>564</v>
      </c>
      <c r="N7" s="25"/>
      <c r="O7" s="25"/>
      <c r="P7" s="25"/>
      <c r="Q7" s="50"/>
      <c r="R7" s="25"/>
    </row>
    <row r="8">
      <c r="A8" s="22" t="s">
        <v>10</v>
      </c>
      <c r="B8" s="21">
        <f t="shared" si="4"/>
        <v>1927.159543</v>
      </c>
      <c r="C8" s="21" t="str">
        <f>VLOOKUP(A8, hash!A$2:B$500, 2, 0)</f>
        <v>632220270aa8ba2dbc57c0a4</v>
      </c>
      <c r="D8" s="23">
        <f t="shared" si="1"/>
        <v>8.054884552</v>
      </c>
      <c r="E8" s="14">
        <v>1.0</v>
      </c>
      <c r="F8" s="27">
        <v>1.0</v>
      </c>
      <c r="G8" s="14">
        <v>1.0</v>
      </c>
      <c r="H8" s="27">
        <v>0.0</v>
      </c>
      <c r="I8" s="14">
        <v>0.0</v>
      </c>
      <c r="J8" s="27">
        <v>0.0</v>
      </c>
      <c r="M8" s="14">
        <f>COUNTA(E2:E500)</f>
        <v>87</v>
      </c>
    </row>
    <row r="9">
      <c r="A9" s="22" t="s">
        <v>565</v>
      </c>
      <c r="B9" s="21">
        <f t="shared" si="4"/>
        <v>1927.159543</v>
      </c>
      <c r="C9" s="21" t="str">
        <f>VLOOKUP(A9, hash!A$2:B$500, 2, 0)</f>
        <v>#N/A</v>
      </c>
      <c r="D9" s="23">
        <f t="shared" si="1"/>
        <v>8.054884552</v>
      </c>
      <c r="E9" s="14">
        <v>1.0</v>
      </c>
      <c r="F9" s="27">
        <v>1.0</v>
      </c>
      <c r="G9" s="14">
        <v>1.0</v>
      </c>
      <c r="H9" s="27">
        <v>0.0</v>
      </c>
      <c r="I9" s="14">
        <v>0.0</v>
      </c>
      <c r="J9" s="27">
        <v>0.0</v>
      </c>
    </row>
    <row r="10">
      <c r="A10" s="22" t="s">
        <v>30</v>
      </c>
      <c r="B10" s="21">
        <f t="shared" si="4"/>
        <v>1786.286057</v>
      </c>
      <c r="C10" s="21" t="str">
        <f>VLOOKUP(A10, hash!A$2:B$500, 2, 0)</f>
        <v>6322236ef382c17890e6a3e1</v>
      </c>
      <c r="D10" s="23">
        <f t="shared" si="1"/>
        <v>7.466080335</v>
      </c>
      <c r="E10" s="14">
        <v>0.0</v>
      </c>
      <c r="F10" s="27">
        <v>0.0</v>
      </c>
      <c r="G10" s="14">
        <v>1.0</v>
      </c>
      <c r="H10" s="27">
        <v>0.0</v>
      </c>
      <c r="I10" s="14">
        <v>1.0</v>
      </c>
      <c r="J10" s="27">
        <v>0.0</v>
      </c>
    </row>
    <row r="11">
      <c r="A11" s="22" t="s">
        <v>18</v>
      </c>
      <c r="B11" s="21">
        <f t="shared" si="4"/>
        <v>1501.999167</v>
      </c>
      <c r="C11" s="21" t="str">
        <f>VLOOKUP(A11, hash!A$2:B$500, 2, 0)</f>
        <v>6502003d1d8cbbbd315ad525</v>
      </c>
      <c r="D11" s="23">
        <f t="shared" si="1"/>
        <v>6.277855887</v>
      </c>
      <c r="E11" s="14">
        <v>0.0</v>
      </c>
      <c r="F11" s="27">
        <v>1.0</v>
      </c>
      <c r="G11" s="14">
        <v>0.0</v>
      </c>
      <c r="H11" s="27">
        <v>1.0</v>
      </c>
      <c r="I11" s="14">
        <v>0.0</v>
      </c>
      <c r="J11" s="27">
        <v>0.0</v>
      </c>
    </row>
    <row r="12">
      <c r="A12" s="22" t="s">
        <v>566</v>
      </c>
      <c r="B12" s="21">
        <f t="shared" si="4"/>
        <v>1299.280165</v>
      </c>
      <c r="C12" s="21" t="str">
        <f>VLOOKUP(A12, hash!A$2:B$500, 2, 0)</f>
        <v>#N/A</v>
      </c>
      <c r="D12" s="23">
        <f t="shared" si="1"/>
        <v>5.430558027</v>
      </c>
      <c r="E12" s="14">
        <v>1.0</v>
      </c>
      <c r="F12" s="27">
        <v>0.0</v>
      </c>
      <c r="G12" s="14">
        <v>0.0</v>
      </c>
      <c r="H12" s="27">
        <v>1.0</v>
      </c>
      <c r="I12" s="14">
        <v>0.0</v>
      </c>
      <c r="J12" s="27">
        <v>0.0</v>
      </c>
    </row>
    <row r="13">
      <c r="A13" s="22" t="s">
        <v>92</v>
      </c>
      <c r="B13" s="21">
        <f t="shared" si="4"/>
        <v>1299.280165</v>
      </c>
      <c r="C13" s="21" t="str">
        <f>VLOOKUP(A13, hash!A$2:B$500, 2, 0)</f>
        <v>66e1e12ae2fbdff8a0c35638</v>
      </c>
      <c r="D13" s="23">
        <f t="shared" si="1"/>
        <v>5.430558027</v>
      </c>
      <c r="E13" s="14">
        <v>1.0</v>
      </c>
      <c r="F13" s="27">
        <v>0.0</v>
      </c>
      <c r="G13" s="14">
        <v>0.0</v>
      </c>
      <c r="H13" s="27">
        <v>1.0</v>
      </c>
      <c r="I13" s="14">
        <v>0.0</v>
      </c>
      <c r="J13" s="27">
        <v>0.0</v>
      </c>
    </row>
    <row r="14">
      <c r="A14" s="22" t="s">
        <v>15</v>
      </c>
      <c r="B14" s="21">
        <f t="shared" si="4"/>
        <v>1299.280165</v>
      </c>
      <c r="C14" s="21" t="str">
        <f>VLOOKUP(A14, hash!A$2:B$500, 2, 0)</f>
        <v>65020037540ba7cc68909a9b</v>
      </c>
      <c r="D14" s="23">
        <f t="shared" si="1"/>
        <v>5.430558027</v>
      </c>
      <c r="E14" s="14">
        <v>1.0</v>
      </c>
      <c r="F14" s="27">
        <v>0.0</v>
      </c>
      <c r="G14" s="14">
        <v>0.0</v>
      </c>
      <c r="H14" s="27">
        <v>1.0</v>
      </c>
      <c r="I14" s="14">
        <v>0.0</v>
      </c>
      <c r="J14" s="27">
        <v>0.0</v>
      </c>
      <c r="M14" s="14" t="s">
        <v>567</v>
      </c>
    </row>
    <row r="15">
      <c r="A15" s="22" t="s">
        <v>430</v>
      </c>
      <c r="B15" s="21">
        <f t="shared" si="4"/>
        <v>1116.935469</v>
      </c>
      <c r="C15" s="21" t="str">
        <f>VLOOKUP(A15, hash!A$2:B$500, 2, 0)</f>
        <v>63222011e6a618b2a0444361</v>
      </c>
      <c r="D15" s="23">
        <f t="shared" si="1"/>
        <v>4.668417975</v>
      </c>
      <c r="E15" s="14">
        <v>1.0</v>
      </c>
      <c r="F15" s="27">
        <v>1.0</v>
      </c>
      <c r="G15" s="14">
        <v>0.0</v>
      </c>
      <c r="H15" s="27">
        <v>0.0</v>
      </c>
      <c r="I15" s="14">
        <v>0.0</v>
      </c>
      <c r="J15" s="27">
        <v>0.0</v>
      </c>
      <c r="M15" s="21">
        <f>SUM(E2:J15)/12</f>
        <v>2.833333333</v>
      </c>
    </row>
    <row r="16">
      <c r="A16" s="22" t="s">
        <v>568</v>
      </c>
      <c r="B16" s="21">
        <f t="shared" si="4"/>
        <v>1116.935469</v>
      </c>
      <c r="C16" s="21" t="str">
        <f>VLOOKUP(A16, hash!A$2:B$500, 2, 0)</f>
        <v>#N/A</v>
      </c>
      <c r="D16" s="23">
        <f t="shared" si="1"/>
        <v>4.668417975</v>
      </c>
      <c r="E16" s="14">
        <v>1.0</v>
      </c>
      <c r="F16" s="27">
        <v>1.0</v>
      </c>
      <c r="H16" s="45"/>
      <c r="J16" s="45"/>
    </row>
    <row r="17">
      <c r="A17" s="22" t="s">
        <v>569</v>
      </c>
      <c r="B17" s="21">
        <f t="shared" si="4"/>
        <v>1116.935469</v>
      </c>
      <c r="C17" s="21" t="str">
        <f>VLOOKUP(A17, hash!A$2:B$500, 2, 0)</f>
        <v>#N/A</v>
      </c>
      <c r="D17" s="23">
        <f t="shared" si="1"/>
        <v>4.668417975</v>
      </c>
      <c r="E17" s="14">
        <v>1.0</v>
      </c>
      <c r="F17" s="27">
        <v>1.0</v>
      </c>
      <c r="G17" s="14">
        <v>0.0</v>
      </c>
      <c r="H17" s="27">
        <v>0.0</v>
      </c>
      <c r="I17" s="14">
        <v>0.0</v>
      </c>
      <c r="J17" s="27">
        <v>0.0</v>
      </c>
    </row>
    <row r="18">
      <c r="A18" s="22" t="s">
        <v>17</v>
      </c>
      <c r="B18" s="21">
        <f t="shared" si="4"/>
        <v>1116.935469</v>
      </c>
      <c r="C18" s="21" t="str">
        <f>VLOOKUP(A18, hash!A$2:B$500, 2, 0)</f>
        <v>65020bfc097ac3c9d063264d</v>
      </c>
      <c r="D18" s="23">
        <f t="shared" si="1"/>
        <v>4.668417975</v>
      </c>
      <c r="E18" s="14">
        <v>1.0</v>
      </c>
      <c r="F18" s="27">
        <v>1.0</v>
      </c>
      <c r="H18" s="45"/>
      <c r="J18" s="45"/>
    </row>
    <row r="19">
      <c r="A19" s="22" t="s">
        <v>435</v>
      </c>
      <c r="B19" s="21">
        <f t="shared" si="4"/>
        <v>1116.935469</v>
      </c>
      <c r="C19" s="21" t="str">
        <f>VLOOKUP(A19, hash!A$2:B$500, 2, 0)</f>
        <v>63222a4c5bded5e4ff37ac1f</v>
      </c>
      <c r="D19" s="23">
        <f t="shared" si="1"/>
        <v>4.668417975</v>
      </c>
      <c r="E19" s="14">
        <v>1.0</v>
      </c>
      <c r="F19" s="27">
        <v>1.0</v>
      </c>
      <c r="G19" s="14">
        <v>0.0</v>
      </c>
      <c r="H19" s="27">
        <v>0.0</v>
      </c>
      <c r="I19" s="14">
        <v>0.0</v>
      </c>
      <c r="J19" s="27">
        <v>0.0</v>
      </c>
    </row>
    <row r="20">
      <c r="A20" s="22" t="s">
        <v>11</v>
      </c>
      <c r="B20" s="21">
        <f t="shared" si="4"/>
        <v>1116.935469</v>
      </c>
      <c r="C20" s="21" t="str">
        <f>VLOOKUP(A20, hash!A$2:B$500, 2, 0)</f>
        <v>6502005e1d8cbbbd315ad52c</v>
      </c>
      <c r="D20" s="23">
        <f t="shared" si="1"/>
        <v>4.668417975</v>
      </c>
      <c r="E20" s="14">
        <v>1.0</v>
      </c>
      <c r="F20" s="27">
        <v>1.0</v>
      </c>
      <c r="G20" s="14">
        <v>0.0</v>
      </c>
      <c r="H20" s="27">
        <v>0.0</v>
      </c>
      <c r="I20" s="14">
        <v>0.0</v>
      </c>
      <c r="J20" s="27">
        <v>0.0</v>
      </c>
    </row>
    <row r="21">
      <c r="A21" s="22" t="s">
        <v>45</v>
      </c>
      <c r="B21" s="21">
        <f t="shared" si="4"/>
        <v>976.0619827</v>
      </c>
      <c r="C21" s="21" t="str">
        <f>VLOOKUP(A21, hash!A$2:B$500, 2, 0)</f>
        <v>66e1ed8d1129889a3e2c24ab</v>
      </c>
      <c r="D21" s="23">
        <f t="shared" si="1"/>
        <v>4.079613758</v>
      </c>
      <c r="E21" s="14">
        <v>0.0</v>
      </c>
      <c r="F21" s="27">
        <v>0.0</v>
      </c>
      <c r="G21" s="14">
        <v>0.0</v>
      </c>
      <c r="H21" s="27">
        <v>0.0</v>
      </c>
      <c r="I21" s="14">
        <v>1.0</v>
      </c>
      <c r="J21" s="27">
        <v>0.0</v>
      </c>
    </row>
    <row r="22">
      <c r="A22" s="22" t="s">
        <v>298</v>
      </c>
      <c r="B22" s="21">
        <f t="shared" si="4"/>
        <v>842.1719314</v>
      </c>
      <c r="C22" s="21" t="str">
        <f>VLOOKUP(A22, hash!A$2:B$500, 2, 0)</f>
        <v>66e1e12be2fbdff8a0c35639</v>
      </c>
      <c r="D22" s="23">
        <f t="shared" si="1"/>
        <v>3.51999797</v>
      </c>
      <c r="E22" s="14">
        <v>0.0</v>
      </c>
      <c r="F22" s="27">
        <v>0.0</v>
      </c>
      <c r="G22" s="14">
        <v>0.0</v>
      </c>
      <c r="H22" s="27">
        <v>1.0</v>
      </c>
      <c r="I22" s="14">
        <v>0.0</v>
      </c>
      <c r="J22" s="27">
        <v>0.0</v>
      </c>
    </row>
    <row r="23">
      <c r="A23" s="22" t="s">
        <v>432</v>
      </c>
      <c r="B23" s="21">
        <f t="shared" si="4"/>
        <v>810.2240746</v>
      </c>
      <c r="C23" s="21" t="str">
        <f>VLOOKUP(A23, hash!A$2:B$500, 2, 0)</f>
        <v>632220620aa8ba2dbc57c0ab</v>
      </c>
      <c r="D23" s="23">
        <f t="shared" si="1"/>
        <v>3.386466577</v>
      </c>
      <c r="E23" s="14">
        <v>0.0</v>
      </c>
      <c r="F23" s="27">
        <v>0.0</v>
      </c>
      <c r="G23" s="14">
        <v>1.0</v>
      </c>
      <c r="H23" s="27">
        <v>0.0</v>
      </c>
      <c r="I23" s="14">
        <v>0.0</v>
      </c>
      <c r="J23" s="27">
        <v>0.0</v>
      </c>
      <c r="L23" s="47"/>
      <c r="M23" s="25"/>
      <c r="N23" s="25"/>
      <c r="O23" s="25"/>
      <c r="P23" s="25"/>
      <c r="Q23" s="25"/>
      <c r="R23" s="25"/>
    </row>
    <row r="24">
      <c r="A24" s="22" t="s">
        <v>14</v>
      </c>
      <c r="B24" s="21">
        <f t="shared" si="4"/>
        <v>810.2240746</v>
      </c>
      <c r="C24" s="21" t="str">
        <f>VLOOKUP(A24, hash!A$2:B$500, 2, 0)</f>
        <v>66e1e10f7a8e6dc2aed3a63c</v>
      </c>
      <c r="D24" s="23">
        <f t="shared" si="1"/>
        <v>3.386466577</v>
      </c>
      <c r="E24" s="14">
        <v>0.0</v>
      </c>
      <c r="F24" s="27">
        <v>0.0</v>
      </c>
      <c r="G24" s="14">
        <v>1.0</v>
      </c>
      <c r="H24" s="27">
        <v>0.0</v>
      </c>
      <c r="I24" s="14">
        <v>0.0</v>
      </c>
      <c r="J24" s="27">
        <v>0.0</v>
      </c>
    </row>
    <row r="25">
      <c r="A25" s="22" t="s">
        <v>61</v>
      </c>
      <c r="B25" s="21">
        <f t="shared" si="4"/>
        <v>659.8272354</v>
      </c>
      <c r="C25" s="21" t="str">
        <f>VLOOKUP(A25, hash!A$2:B$500, 2, 0)</f>
        <v>65020c0f8f2b101294bb3dae</v>
      </c>
      <c r="D25" s="23">
        <f t="shared" si="1"/>
        <v>2.757857918</v>
      </c>
      <c r="E25" s="14">
        <v>0.0</v>
      </c>
      <c r="F25" s="27">
        <v>1.0</v>
      </c>
      <c r="G25" s="14">
        <v>0.0</v>
      </c>
      <c r="H25" s="27">
        <v>0.0</v>
      </c>
      <c r="I25" s="14">
        <v>0.0</v>
      </c>
      <c r="J25" s="27">
        <v>0.0</v>
      </c>
    </row>
    <row r="26">
      <c r="A26" s="22" t="s">
        <v>441</v>
      </c>
      <c r="B26" s="21">
        <f t="shared" si="4"/>
        <v>659.8272354</v>
      </c>
      <c r="C26" s="21" t="str">
        <f>VLOOKUP(A26, hash!A$2:B$500, 2, 0)</f>
        <v>632220596d021b5cf508ccd5</v>
      </c>
      <c r="D26" s="23">
        <f t="shared" si="1"/>
        <v>2.757857918</v>
      </c>
      <c r="E26" s="14">
        <v>0.0</v>
      </c>
      <c r="F26" s="27">
        <v>1.0</v>
      </c>
      <c r="G26" s="14">
        <v>0.0</v>
      </c>
      <c r="H26" s="27">
        <v>0.0</v>
      </c>
      <c r="I26" s="14">
        <v>0.0</v>
      </c>
      <c r="J26" s="27">
        <v>0.0</v>
      </c>
    </row>
    <row r="27">
      <c r="A27" s="22" t="s">
        <v>442</v>
      </c>
      <c r="B27" s="21">
        <f t="shared" si="4"/>
        <v>457.1082334</v>
      </c>
      <c r="C27" s="21" t="str">
        <f>VLOOKUP(A27, hash!A$2:B$500, 2, 0)</f>
        <v>632220710aa8ba2dbc57c0ac</v>
      </c>
      <c r="D27" s="23">
        <f t="shared" si="1"/>
        <v>1.910560057</v>
      </c>
      <c r="E27" s="14">
        <v>1.0</v>
      </c>
      <c r="F27" s="27">
        <v>0.0</v>
      </c>
      <c r="G27" s="14">
        <v>0.0</v>
      </c>
      <c r="H27" s="27">
        <v>0.0</v>
      </c>
      <c r="I27" s="14">
        <v>0.0</v>
      </c>
      <c r="J27" s="27">
        <v>0.0</v>
      </c>
    </row>
    <row r="28">
      <c r="A28" s="22" t="s">
        <v>434</v>
      </c>
      <c r="B28" s="21">
        <f t="shared" si="4"/>
        <v>457.1082334</v>
      </c>
      <c r="C28" s="21" t="str">
        <f>VLOOKUP(A28, hash!A$2:B$500, 2, 0)</f>
        <v>63222083cfccb655ce1f3a74</v>
      </c>
      <c r="D28" s="23">
        <f t="shared" si="1"/>
        <v>1.910560057</v>
      </c>
      <c r="E28" s="14">
        <v>1.0</v>
      </c>
      <c r="F28" s="27">
        <v>0.0</v>
      </c>
      <c r="G28" s="14">
        <v>0.0</v>
      </c>
      <c r="H28" s="27">
        <v>0.0</v>
      </c>
      <c r="I28" s="14">
        <v>0.0</v>
      </c>
      <c r="J28" s="27">
        <v>0.0</v>
      </c>
    </row>
    <row r="29">
      <c r="A29" s="22" t="s">
        <v>570</v>
      </c>
      <c r="B29" s="21">
        <f t="shared" si="4"/>
        <v>457.1082334</v>
      </c>
      <c r="C29" s="21" t="str">
        <f>VLOOKUP(A29, hash!A$2:B$500, 2, 0)</f>
        <v>#N/A</v>
      </c>
      <c r="D29" s="23">
        <f t="shared" si="1"/>
        <v>1.910560057</v>
      </c>
      <c r="E29" s="14">
        <v>1.0</v>
      </c>
      <c r="F29" s="45"/>
      <c r="H29" s="45"/>
      <c r="J29" s="45"/>
    </row>
    <row r="30">
      <c r="A30" s="24" t="s">
        <v>13</v>
      </c>
      <c r="B30" s="21">
        <f t="shared" si="4"/>
        <v>457.1082334</v>
      </c>
      <c r="C30" s="21" t="str">
        <f>VLOOKUP(A30, hash!A$2:B$500, 2, 0)</f>
        <v>65020be78f2b101294bb3da8</v>
      </c>
      <c r="D30" s="23">
        <f t="shared" si="1"/>
        <v>1.910560057</v>
      </c>
      <c r="E30" s="14">
        <v>1.0</v>
      </c>
      <c r="F30" s="27">
        <v>0.0</v>
      </c>
      <c r="G30" s="14">
        <v>0.0</v>
      </c>
      <c r="H30" s="27">
        <v>0.0</v>
      </c>
      <c r="I30" s="14">
        <v>0.0</v>
      </c>
      <c r="J30" s="27">
        <v>0.0</v>
      </c>
    </row>
    <row r="31">
      <c r="A31" s="22" t="s">
        <v>39</v>
      </c>
      <c r="B31" s="21">
        <f t="shared" si="4"/>
        <v>457.1082334</v>
      </c>
      <c r="C31" s="21" t="str">
        <f>VLOOKUP(A31, hash!A$2:B$500, 2, 0)</f>
        <v>6594377be0f4f63927a8ce26</v>
      </c>
      <c r="D31" s="23">
        <f t="shared" si="1"/>
        <v>1.910560057</v>
      </c>
      <c r="E31" s="14">
        <v>1.0</v>
      </c>
      <c r="F31" s="27">
        <v>0.0</v>
      </c>
      <c r="G31" s="14">
        <v>0.0</v>
      </c>
      <c r="H31" s="27">
        <v>0.0</v>
      </c>
      <c r="I31" s="14">
        <v>0.0</v>
      </c>
      <c r="J31" s="27">
        <v>0.0</v>
      </c>
    </row>
    <row r="32">
      <c r="A32" s="22" t="s">
        <v>29</v>
      </c>
      <c r="B32" s="21">
        <f t="shared" si="4"/>
        <v>457.1082334</v>
      </c>
      <c r="C32" s="21" t="str">
        <f>VLOOKUP(A32, hash!A$2:B$500, 2, 0)</f>
        <v>66e1e1659bdd593ffcd624e6</v>
      </c>
      <c r="D32" s="23">
        <f t="shared" si="1"/>
        <v>1.910560057</v>
      </c>
      <c r="E32" s="14">
        <v>1.0</v>
      </c>
      <c r="F32" s="45"/>
      <c r="H32" s="45"/>
      <c r="J32" s="45"/>
    </row>
    <row r="33">
      <c r="A33" s="22" t="s">
        <v>40</v>
      </c>
      <c r="B33" s="21">
        <f t="shared" si="4"/>
        <v>457.1082334</v>
      </c>
      <c r="C33" s="21" t="str">
        <f>VLOOKUP(A33, hash!A$2:B$500, 2, 0)</f>
        <v>65020bed03dd812a55d3a207</v>
      </c>
      <c r="D33" s="23">
        <f t="shared" si="1"/>
        <v>1.910560057</v>
      </c>
      <c r="E33" s="14">
        <v>1.0</v>
      </c>
      <c r="F33" s="27">
        <v>0.0</v>
      </c>
      <c r="G33" s="14">
        <v>0.0</v>
      </c>
      <c r="H33" s="27">
        <v>0.0</v>
      </c>
      <c r="I33" s="14">
        <v>0.0</v>
      </c>
      <c r="J33" s="27">
        <v>0.0</v>
      </c>
    </row>
    <row r="34">
      <c r="A34" s="22" t="s">
        <v>86</v>
      </c>
      <c r="B34" s="21">
        <f t="shared" si="4"/>
        <v>457.1082334</v>
      </c>
      <c r="C34" s="21" t="str">
        <f>VLOOKUP(A34, hash!A$2:B$500, 2, 0)</f>
        <v>65020c05097ac3c9d0632651</v>
      </c>
      <c r="D34" s="23">
        <f t="shared" si="1"/>
        <v>1.910560057</v>
      </c>
      <c r="E34" s="14">
        <v>1.0</v>
      </c>
      <c r="F34" s="45"/>
      <c r="H34" s="45"/>
      <c r="J34" s="45"/>
    </row>
    <row r="35">
      <c r="A35" s="22" t="s">
        <v>42</v>
      </c>
      <c r="B35" s="21">
        <f t="shared" si="4"/>
        <v>457.1082334</v>
      </c>
      <c r="C35" s="21" t="str">
        <f>VLOOKUP(A35, hash!A$2:B$500, 2, 0)</f>
        <v>66e1e102a61e89c7c68f6e2f</v>
      </c>
      <c r="D35" s="23">
        <f t="shared" si="1"/>
        <v>1.910560057</v>
      </c>
      <c r="E35" s="14">
        <v>1.0</v>
      </c>
      <c r="F35" s="45"/>
      <c r="H35" s="45"/>
      <c r="J35" s="45"/>
    </row>
    <row r="36">
      <c r="A36" s="22" t="s">
        <v>21</v>
      </c>
      <c r="B36" s="21">
        <f t="shared" si="4"/>
        <v>457.1082334</v>
      </c>
      <c r="C36" s="21" t="str">
        <f>VLOOKUP(A36, hash!A$2:B$500, 2, 0)</f>
        <v>63222da0116f680d68804fa7</v>
      </c>
      <c r="D36" s="23">
        <f t="shared" si="1"/>
        <v>1.910560057</v>
      </c>
      <c r="E36" s="14">
        <v>1.0</v>
      </c>
      <c r="F36" s="27">
        <v>0.0</v>
      </c>
      <c r="G36" s="14">
        <v>0.0</v>
      </c>
      <c r="H36" s="27">
        <v>0.0</v>
      </c>
      <c r="I36" s="14">
        <v>0.0</v>
      </c>
      <c r="J36" s="27">
        <v>0.0</v>
      </c>
    </row>
    <row r="37">
      <c r="A37" s="22" t="s">
        <v>99</v>
      </c>
      <c r="B37" s="21">
        <f t="shared" si="4"/>
        <v>457.1082334</v>
      </c>
      <c r="C37" s="21" t="str">
        <f>VLOOKUP(A37, hash!A$2:B$500, 2, 0)</f>
        <v>66e1e1107315471e09f2b5b1</v>
      </c>
      <c r="D37" s="23">
        <f t="shared" si="1"/>
        <v>1.910560057</v>
      </c>
      <c r="E37" s="14">
        <v>1.0</v>
      </c>
      <c r="F37" s="27">
        <v>0.0</v>
      </c>
      <c r="G37" s="14">
        <v>0.0</v>
      </c>
      <c r="H37" s="27">
        <v>0.0</v>
      </c>
      <c r="I37" s="14">
        <v>0.0</v>
      </c>
      <c r="J37" s="27">
        <v>0.0</v>
      </c>
    </row>
    <row r="38">
      <c r="A38" s="22" t="s">
        <v>293</v>
      </c>
      <c r="B38" s="21">
        <f t="shared" si="4"/>
        <v>457.1082334</v>
      </c>
      <c r="C38" s="21" t="str">
        <f>VLOOKUP(A38, hash!A$2:B$500, 2, 0)</f>
        <v>66e1e125e2fbdff8a0c35635</v>
      </c>
      <c r="D38" s="23">
        <f t="shared" si="1"/>
        <v>1.910560057</v>
      </c>
      <c r="E38" s="14">
        <v>1.0</v>
      </c>
      <c r="F38" s="27">
        <v>0.0</v>
      </c>
      <c r="G38" s="14">
        <v>0.0</v>
      </c>
      <c r="H38" s="27">
        <v>0.0</v>
      </c>
      <c r="I38" s="14">
        <v>0.0</v>
      </c>
      <c r="J38" s="27">
        <v>0.0</v>
      </c>
    </row>
    <row r="39">
      <c r="A39" s="22" t="s">
        <v>303</v>
      </c>
      <c r="B39" s="21">
        <f t="shared" si="4"/>
        <v>457.1082334</v>
      </c>
      <c r="C39" s="21" t="str">
        <f>VLOOKUP(A39, hash!A$2:B$500, 2, 0)</f>
        <v>66e1e137db315cbd40043fc5</v>
      </c>
      <c r="D39" s="23">
        <f t="shared" si="1"/>
        <v>1.910560057</v>
      </c>
      <c r="E39" s="14">
        <v>1.0</v>
      </c>
      <c r="F39" s="27">
        <v>0.0</v>
      </c>
      <c r="G39" s="14">
        <v>0.0</v>
      </c>
      <c r="H39" s="27">
        <v>0.0</v>
      </c>
      <c r="I39" s="14">
        <v>0.0</v>
      </c>
      <c r="J39" s="27">
        <v>0.0</v>
      </c>
    </row>
    <row r="40">
      <c r="A40" s="22" t="s">
        <v>305</v>
      </c>
      <c r="B40" s="21">
        <f t="shared" si="4"/>
        <v>457.1082334</v>
      </c>
      <c r="C40" s="21" t="str">
        <f>VLOOKUP(A40, hash!A$2:B$500, 2, 0)</f>
        <v>66e1e141f0db8f5922c91d90</v>
      </c>
      <c r="D40" s="23">
        <f t="shared" si="1"/>
        <v>1.910560057</v>
      </c>
      <c r="E40" s="14">
        <v>1.0</v>
      </c>
      <c r="F40" s="27">
        <v>0.0</v>
      </c>
      <c r="G40" s="14">
        <v>0.0</v>
      </c>
      <c r="H40" s="27">
        <v>0.0</v>
      </c>
      <c r="I40" s="14">
        <v>0.0</v>
      </c>
      <c r="J40" s="27">
        <v>0.0</v>
      </c>
    </row>
    <row r="41">
      <c r="A41" s="22" t="s">
        <v>306</v>
      </c>
      <c r="B41" s="21">
        <f t="shared" si="4"/>
        <v>457.1082334</v>
      </c>
      <c r="C41" s="21" t="str">
        <f>VLOOKUP(A41, hash!A$2:B$500, 2, 0)</f>
        <v>66e1e143db315cbd40043fcb</v>
      </c>
      <c r="D41" s="23">
        <f t="shared" si="1"/>
        <v>1.910560057</v>
      </c>
      <c r="E41" s="14">
        <v>1.0</v>
      </c>
      <c r="F41" s="27">
        <v>0.0</v>
      </c>
      <c r="G41" s="14">
        <v>0.0</v>
      </c>
      <c r="H41" s="27">
        <v>0.0</v>
      </c>
      <c r="I41" s="14">
        <v>0.0</v>
      </c>
      <c r="J41" s="27">
        <v>0.0</v>
      </c>
    </row>
    <row r="42">
      <c r="A42" s="22" t="s">
        <v>312</v>
      </c>
      <c r="B42" s="21">
        <f t="shared" si="4"/>
        <v>457.1082334</v>
      </c>
      <c r="C42" s="21" t="str">
        <f>VLOOKUP(A42, hash!A$2:B$500, 2, 0)</f>
        <v>66e1ed841129889a3e2c24a8</v>
      </c>
      <c r="D42" s="23">
        <f t="shared" si="1"/>
        <v>1.910560057</v>
      </c>
      <c r="E42" s="14">
        <v>1.0</v>
      </c>
      <c r="F42" s="27">
        <v>0.0</v>
      </c>
      <c r="G42" s="14">
        <v>0.0</v>
      </c>
      <c r="H42" s="27">
        <v>0.0</v>
      </c>
      <c r="I42" s="14">
        <v>0.0</v>
      </c>
      <c r="J42" s="27">
        <v>0.0</v>
      </c>
    </row>
    <row r="43">
      <c r="A43" s="22" t="s">
        <v>346</v>
      </c>
      <c r="B43" s="21">
        <f t="shared" si="4"/>
        <v>457.1082334</v>
      </c>
      <c r="C43" s="21" t="str">
        <f>VLOOKUP(A43, hash!A$2:B$500, 2, 0)</f>
        <v>66eb1c19a526292217381272</v>
      </c>
      <c r="D43" s="23">
        <f t="shared" si="1"/>
        <v>1.910560057</v>
      </c>
      <c r="E43" s="14">
        <v>1.0</v>
      </c>
      <c r="F43" s="27">
        <v>0.0</v>
      </c>
      <c r="G43" s="14">
        <v>0.0</v>
      </c>
      <c r="H43" s="27">
        <v>0.0</v>
      </c>
      <c r="I43" s="14">
        <v>0.0</v>
      </c>
      <c r="J43" s="27">
        <v>0.0</v>
      </c>
    </row>
    <row r="44">
      <c r="A44" s="22" t="s">
        <v>140</v>
      </c>
      <c r="B44" s="21">
        <f t="shared" si="4"/>
        <v>457.1082334</v>
      </c>
      <c r="C44" s="21" t="str">
        <f>VLOOKUP(A44, hash!A$2:B$500, 2, 0)</f>
        <v>6502001596a576d9fa03f98e</v>
      </c>
      <c r="D44" s="23">
        <f t="shared" si="1"/>
        <v>1.910560057</v>
      </c>
      <c r="E44" s="14">
        <v>1.0</v>
      </c>
      <c r="F44" s="27">
        <v>0.0</v>
      </c>
      <c r="G44" s="14">
        <v>0.0</v>
      </c>
      <c r="H44" s="27">
        <v>0.0</v>
      </c>
      <c r="I44" s="14">
        <v>0.0</v>
      </c>
      <c r="J44" s="27">
        <v>0.0</v>
      </c>
    </row>
    <row r="45">
      <c r="A45" s="22" t="s">
        <v>96</v>
      </c>
      <c r="B45" s="21">
        <f t="shared" si="4"/>
        <v>457.1082334</v>
      </c>
      <c r="C45" s="21" t="str">
        <f>VLOOKUP(A45, hash!A$2:B$500, 2, 0)</f>
        <v>65020be28f2b101294bb3da3</v>
      </c>
      <c r="D45" s="23">
        <f t="shared" si="1"/>
        <v>1.910560057</v>
      </c>
      <c r="E45" s="14">
        <v>1.0</v>
      </c>
      <c r="F45" s="27">
        <v>0.0</v>
      </c>
      <c r="G45" s="14">
        <v>0.0</v>
      </c>
      <c r="H45" s="27">
        <v>0.0</v>
      </c>
      <c r="I45" s="14">
        <v>0.0</v>
      </c>
      <c r="J45" s="27">
        <v>0.0</v>
      </c>
    </row>
    <row r="46">
      <c r="A46" s="22" t="s">
        <v>571</v>
      </c>
      <c r="B46" s="21">
        <f t="shared" si="4"/>
        <v>0</v>
      </c>
      <c r="C46" s="21" t="str">
        <f>VLOOKUP(A46, hash!A$2:B$500, 2, 0)</f>
        <v>#N/A</v>
      </c>
      <c r="D46" s="23">
        <f t="shared" si="1"/>
        <v>0</v>
      </c>
      <c r="E46" s="14">
        <v>0.0</v>
      </c>
      <c r="F46" s="27">
        <v>0.0</v>
      </c>
      <c r="H46" s="45"/>
      <c r="J46" s="45"/>
    </row>
    <row r="47">
      <c r="A47" s="22" t="s">
        <v>572</v>
      </c>
      <c r="B47" s="21">
        <f t="shared" si="4"/>
        <v>0</v>
      </c>
      <c r="C47" s="21" t="str">
        <f>VLOOKUP(A47, hash!A$2:B$500, 2, 0)</f>
        <v>#N/A</v>
      </c>
      <c r="D47" s="23">
        <f t="shared" si="1"/>
        <v>0</v>
      </c>
      <c r="E47" s="14">
        <v>0.0</v>
      </c>
      <c r="F47" s="27">
        <v>0.0</v>
      </c>
      <c r="G47" s="14">
        <v>0.0</v>
      </c>
      <c r="H47" s="27">
        <v>0.0</v>
      </c>
      <c r="I47" s="14">
        <v>0.0</v>
      </c>
      <c r="J47" s="27">
        <v>0.0</v>
      </c>
    </row>
    <row r="48">
      <c r="A48" s="22" t="s">
        <v>573</v>
      </c>
      <c r="B48" s="21">
        <f t="shared" si="4"/>
        <v>0</v>
      </c>
      <c r="C48" s="21" t="str">
        <f>VLOOKUP(A48, hash!A$2:B$500, 2, 0)</f>
        <v>#N/A</v>
      </c>
      <c r="D48" s="23">
        <f t="shared" si="1"/>
        <v>0</v>
      </c>
      <c r="E48" s="14">
        <v>0.0</v>
      </c>
      <c r="F48" s="45"/>
      <c r="H48" s="27"/>
      <c r="J48" s="45"/>
    </row>
    <row r="49">
      <c r="A49" s="22" t="s">
        <v>437</v>
      </c>
      <c r="B49" s="21">
        <f t="shared" si="4"/>
        <v>0</v>
      </c>
      <c r="C49" s="21" t="str">
        <f>VLOOKUP(A49, hash!A$2:B$500, 2, 0)</f>
        <v>63221ff90aa8ba2dbc57c0a2</v>
      </c>
      <c r="D49" s="23">
        <f t="shared" si="1"/>
        <v>0</v>
      </c>
      <c r="F49" s="27"/>
      <c r="H49" s="27"/>
      <c r="J49" s="45"/>
    </row>
    <row r="50">
      <c r="A50" s="22" t="s">
        <v>431</v>
      </c>
      <c r="B50" s="21">
        <f t="shared" si="4"/>
        <v>0</v>
      </c>
      <c r="C50" s="21" t="str">
        <f>VLOOKUP(A50, hash!A$2:B$500, 2, 0)</f>
        <v>6322202a0aa8ba2dbc57c0a5</v>
      </c>
      <c r="D50" s="23">
        <f t="shared" si="1"/>
        <v>0</v>
      </c>
      <c r="E50" s="14">
        <v>0.0</v>
      </c>
      <c r="F50" s="45"/>
      <c r="H50" s="45"/>
      <c r="J50" s="45"/>
    </row>
    <row r="51">
      <c r="A51" s="22" t="s">
        <v>438</v>
      </c>
      <c r="B51" s="21">
        <f t="shared" si="4"/>
        <v>0</v>
      </c>
      <c r="C51" s="21" t="str">
        <f>VLOOKUP(A51, hash!A$2:B$500, 2, 0)</f>
        <v>6322202f81b57daeeb478dd1</v>
      </c>
      <c r="D51" s="23">
        <f t="shared" si="1"/>
        <v>0</v>
      </c>
      <c r="E51" s="14">
        <v>0.0</v>
      </c>
      <c r="F51" s="27">
        <v>0.0</v>
      </c>
      <c r="G51" s="14">
        <v>0.0</v>
      </c>
      <c r="H51" s="27">
        <v>0.0</v>
      </c>
      <c r="I51" s="14">
        <v>0.0</v>
      </c>
      <c r="J51" s="27">
        <v>0.0</v>
      </c>
    </row>
    <row r="52">
      <c r="A52" s="22" t="s">
        <v>439</v>
      </c>
      <c r="B52" s="21">
        <f t="shared" si="4"/>
        <v>0</v>
      </c>
      <c r="C52" s="21" t="str">
        <f>VLOOKUP(A52, hash!A$2:B$500, 2, 0)</f>
        <v>632220300aa8ba2dbc57c0a7</v>
      </c>
      <c r="D52" s="23">
        <f t="shared" si="1"/>
        <v>0</v>
      </c>
      <c r="F52" s="45"/>
      <c r="H52" s="45"/>
      <c r="J52" s="45"/>
    </row>
    <row r="53">
      <c r="A53" s="22" t="s">
        <v>433</v>
      </c>
      <c r="B53" s="21">
        <f t="shared" si="4"/>
        <v>0</v>
      </c>
      <c r="C53" s="21" t="str">
        <f>VLOOKUP(A53, hash!A$2:B$500, 2, 0)</f>
        <v>6322203581b57daeeb478dd2</v>
      </c>
      <c r="D53" s="23">
        <f t="shared" si="1"/>
        <v>0</v>
      </c>
      <c r="F53" s="45"/>
      <c r="H53" s="45"/>
      <c r="J53" s="45"/>
    </row>
    <row r="54">
      <c r="A54" s="22" t="s">
        <v>440</v>
      </c>
      <c r="B54" s="21">
        <f t="shared" si="4"/>
        <v>0</v>
      </c>
      <c r="C54" s="21" t="str">
        <f>VLOOKUP(A54, hash!A$2:B$500, 2, 0)</f>
        <v>632220580aa8ba2dbc57c0a9</v>
      </c>
      <c r="D54" s="23">
        <f t="shared" si="1"/>
        <v>0</v>
      </c>
      <c r="F54" s="45"/>
      <c r="H54" s="45"/>
      <c r="J54" s="45"/>
    </row>
    <row r="55">
      <c r="A55" s="22" t="s">
        <v>574</v>
      </c>
      <c r="B55" s="21">
        <f t="shared" si="4"/>
        <v>0</v>
      </c>
      <c r="C55" s="21" t="str">
        <f>VLOOKUP(A55, hash!A$2:B$500, 2, 0)</f>
        <v>#N/A</v>
      </c>
      <c r="D55" s="23">
        <f t="shared" si="1"/>
        <v>0</v>
      </c>
      <c r="F55" s="45"/>
      <c r="H55" s="45"/>
      <c r="J55" s="45"/>
    </row>
    <row r="56">
      <c r="A56" s="22" t="s">
        <v>575</v>
      </c>
      <c r="B56" s="21">
        <f t="shared" si="4"/>
        <v>0</v>
      </c>
      <c r="C56" s="21" t="str">
        <f>VLOOKUP(A56, hash!A$2:B$500, 2, 0)</f>
        <v>#N/A</v>
      </c>
      <c r="D56" s="23">
        <f t="shared" si="1"/>
        <v>0</v>
      </c>
      <c r="F56" s="27"/>
      <c r="H56" s="45"/>
      <c r="J56" s="45"/>
    </row>
    <row r="57">
      <c r="A57" s="22" t="s">
        <v>576</v>
      </c>
      <c r="B57" s="21">
        <f t="shared" si="4"/>
        <v>0</v>
      </c>
      <c r="C57" s="21" t="str">
        <f>VLOOKUP(A57, hash!A$2:B$500, 2, 0)</f>
        <v>#N/A</v>
      </c>
      <c r="D57" s="23">
        <f t="shared" si="1"/>
        <v>0</v>
      </c>
      <c r="F57" s="45"/>
      <c r="H57" s="45"/>
      <c r="J57" s="45"/>
    </row>
    <row r="58">
      <c r="A58" s="22" t="s">
        <v>577</v>
      </c>
      <c r="B58" s="21">
        <f t="shared" si="4"/>
        <v>0</v>
      </c>
      <c r="C58" s="21" t="str">
        <f>VLOOKUP(A58, hash!A$2:B$500, 2, 0)</f>
        <v>#N/A</v>
      </c>
      <c r="D58" s="23">
        <f t="shared" si="1"/>
        <v>0</v>
      </c>
      <c r="F58" s="45"/>
      <c r="H58" s="45"/>
      <c r="J58" s="45"/>
    </row>
    <row r="59">
      <c r="A59" s="22" t="s">
        <v>443</v>
      </c>
      <c r="B59" s="21">
        <f t="shared" si="4"/>
        <v>0</v>
      </c>
      <c r="C59" s="21" t="str">
        <f>VLOOKUP(A59, hash!A$2:B$500, 2, 0)</f>
        <v>6322211bf382c17890e6a3dd</v>
      </c>
      <c r="D59" s="23">
        <f t="shared" si="1"/>
        <v>0</v>
      </c>
      <c r="F59" s="45"/>
      <c r="H59" s="45"/>
      <c r="J59" s="45"/>
    </row>
    <row r="60">
      <c r="A60" s="22" t="s">
        <v>444</v>
      </c>
      <c r="B60" s="21">
        <f t="shared" si="4"/>
        <v>0</v>
      </c>
      <c r="C60" s="21" t="str">
        <f>VLOOKUP(A60, hash!A$2:B$500, 2, 0)</f>
        <v>63222123f382c17890e6a3de</v>
      </c>
      <c r="D60" s="23">
        <f t="shared" si="1"/>
        <v>0</v>
      </c>
      <c r="F60" s="45"/>
      <c r="H60" s="45"/>
      <c r="J60" s="45"/>
    </row>
    <row r="61">
      <c r="A61" s="22" t="s">
        <v>445</v>
      </c>
      <c r="B61" s="21">
        <f t="shared" si="4"/>
        <v>0</v>
      </c>
      <c r="C61" s="21" t="str">
        <f>VLOOKUP(A61, hash!A$2:B$500, 2, 0)</f>
        <v>632222c3f382c17890e6a3e0</v>
      </c>
      <c r="D61" s="23">
        <f t="shared" si="1"/>
        <v>0</v>
      </c>
      <c r="F61" s="45"/>
      <c r="H61" s="45"/>
      <c r="J61" s="45"/>
    </row>
    <row r="62">
      <c r="A62" s="22" t="s">
        <v>446</v>
      </c>
      <c r="B62" s="21">
        <f t="shared" si="4"/>
        <v>0</v>
      </c>
      <c r="C62" s="21" t="str">
        <f>VLOOKUP(A62, hash!A$2:B$500, 2, 0)</f>
        <v>63222372f382c17890e6a3e2</v>
      </c>
      <c r="D62" s="23">
        <f t="shared" si="1"/>
        <v>0</v>
      </c>
      <c r="F62" s="45"/>
      <c r="H62" s="45"/>
      <c r="J62" s="45"/>
    </row>
    <row r="63">
      <c r="A63" s="22" t="s">
        <v>447</v>
      </c>
      <c r="B63" s="21">
        <f t="shared" si="4"/>
        <v>0</v>
      </c>
      <c r="C63" s="21" t="str">
        <f>VLOOKUP(A63, hash!A$2:B$500, 2, 0)</f>
        <v>632223746d021b5cf508ccde</v>
      </c>
      <c r="D63" s="23">
        <f t="shared" si="1"/>
        <v>0</v>
      </c>
      <c r="F63" s="45"/>
      <c r="H63" s="45"/>
      <c r="J63" s="45"/>
    </row>
    <row r="64">
      <c r="A64" s="22" t="s">
        <v>448</v>
      </c>
      <c r="B64" s="21">
        <f t="shared" si="4"/>
        <v>0</v>
      </c>
      <c r="C64" s="21" t="str">
        <f>VLOOKUP(A64, hash!A$2:B$500, 2, 0)</f>
        <v>6322239b6d021b5cf508cce5</v>
      </c>
      <c r="D64" s="23">
        <f t="shared" si="1"/>
        <v>0</v>
      </c>
      <c r="F64" s="45"/>
      <c r="H64" s="45"/>
      <c r="J64" s="45"/>
    </row>
    <row r="65">
      <c r="A65" s="22" t="s">
        <v>449</v>
      </c>
      <c r="B65" s="21">
        <f t="shared" si="4"/>
        <v>0</v>
      </c>
      <c r="C65" s="21" t="str">
        <f>VLOOKUP(A65, hash!A$2:B$500, 2, 0)</f>
        <v>632223a1d53b2d7ef1d3746d</v>
      </c>
      <c r="D65" s="23">
        <f t="shared" si="1"/>
        <v>0</v>
      </c>
      <c r="F65" s="45"/>
      <c r="H65" s="45"/>
      <c r="J65" s="45"/>
    </row>
    <row r="66">
      <c r="A66" s="22" t="s">
        <v>450</v>
      </c>
      <c r="B66" s="21">
        <f t="shared" si="4"/>
        <v>0</v>
      </c>
      <c r="C66" s="21" t="str">
        <f>VLOOKUP(A66, hash!A$2:B$500, 2, 0)</f>
        <v>632223bdd53b2d7ef1d3746e</v>
      </c>
      <c r="D66" s="23">
        <f t="shared" si="1"/>
        <v>0</v>
      </c>
      <c r="F66" s="45"/>
      <c r="H66" s="45"/>
      <c r="J66" s="45"/>
    </row>
    <row r="67">
      <c r="A67" s="22" t="s">
        <v>451</v>
      </c>
      <c r="B67" s="21">
        <f t="shared" si="4"/>
        <v>0</v>
      </c>
      <c r="C67" s="21" t="str">
        <f>VLOOKUP(A67, hash!A$2:B$500, 2, 0)</f>
        <v>632223e585532e9bb23b7f01</v>
      </c>
      <c r="D67" s="23">
        <f t="shared" si="1"/>
        <v>0</v>
      </c>
      <c r="F67" s="45"/>
      <c r="H67" s="45"/>
      <c r="J67" s="45"/>
    </row>
    <row r="68">
      <c r="A68" s="22" t="s">
        <v>452</v>
      </c>
      <c r="B68" s="21">
        <f t="shared" si="4"/>
        <v>0</v>
      </c>
      <c r="C68" s="21" t="str">
        <f>VLOOKUP(A68, hash!A$2:B$500, 2, 0)</f>
        <v>632226f3d53b2d7ef1d37472</v>
      </c>
      <c r="D68" s="23">
        <f t="shared" si="1"/>
        <v>0</v>
      </c>
      <c r="F68" s="45"/>
      <c r="H68" s="45"/>
      <c r="J68" s="45"/>
    </row>
    <row r="69">
      <c r="A69" s="22" t="s">
        <v>453</v>
      </c>
      <c r="B69" s="21">
        <f t="shared" si="4"/>
        <v>0</v>
      </c>
      <c r="C69" s="21" t="str">
        <f>VLOOKUP(A69, hash!A$2:B$500, 2, 0)</f>
        <v>63222960d53b2d7ef1d37476</v>
      </c>
      <c r="D69" s="23">
        <f t="shared" si="1"/>
        <v>0</v>
      </c>
      <c r="F69" s="45"/>
      <c r="H69" s="45"/>
      <c r="J69" s="45"/>
    </row>
    <row r="70">
      <c r="A70" s="22" t="s">
        <v>578</v>
      </c>
      <c r="B70" s="21">
        <f t="shared" si="4"/>
        <v>0</v>
      </c>
      <c r="C70" s="21" t="str">
        <f>VLOOKUP(A70, hash!A$2:B$500, 2, 0)</f>
        <v>#N/A</v>
      </c>
      <c r="D70" s="23">
        <f t="shared" si="1"/>
        <v>0</v>
      </c>
      <c r="E70" s="14">
        <v>0.0</v>
      </c>
      <c r="F70" s="27">
        <v>0.0</v>
      </c>
      <c r="G70" s="14">
        <v>0.0</v>
      </c>
      <c r="H70" s="27">
        <v>0.0</v>
      </c>
      <c r="I70" s="14">
        <v>0.0</v>
      </c>
      <c r="J70" s="27">
        <v>0.0</v>
      </c>
    </row>
    <row r="71">
      <c r="A71" s="22" t="s">
        <v>454</v>
      </c>
      <c r="B71" s="21">
        <f t="shared" si="4"/>
        <v>0</v>
      </c>
      <c r="C71" s="21" t="str">
        <f>VLOOKUP(A71, hash!A$2:B$500, 2, 0)</f>
        <v>632229c19832ea0dea0e2dcf</v>
      </c>
      <c r="D71" s="23">
        <f t="shared" si="1"/>
        <v>0</v>
      </c>
      <c r="F71" s="45"/>
      <c r="H71" s="45"/>
      <c r="J71" s="45"/>
    </row>
    <row r="72">
      <c r="A72" s="22" t="s">
        <v>455</v>
      </c>
      <c r="B72" s="21">
        <f t="shared" si="4"/>
        <v>0</v>
      </c>
      <c r="C72" s="21" t="str">
        <f>VLOOKUP(A72, hash!A$2:B$500, 2, 0)</f>
        <v>63222a025bded5e4ff37ac1e</v>
      </c>
      <c r="D72" s="23">
        <f t="shared" si="1"/>
        <v>0</v>
      </c>
      <c r="F72" s="45"/>
      <c r="H72" s="45"/>
      <c r="J72" s="45"/>
    </row>
    <row r="73">
      <c r="A73" s="22" t="s">
        <v>579</v>
      </c>
      <c r="B73" s="21">
        <f t="shared" si="4"/>
        <v>0</v>
      </c>
      <c r="C73" s="21" t="str">
        <f>VLOOKUP(A73, hash!A$2:B$500, 2, 0)</f>
        <v>#N/A</v>
      </c>
      <c r="D73" s="23">
        <f t="shared" si="1"/>
        <v>0</v>
      </c>
      <c r="F73" s="45"/>
      <c r="H73" s="45"/>
      <c r="J73" s="45"/>
    </row>
    <row r="74">
      <c r="A74" s="22" t="s">
        <v>580</v>
      </c>
      <c r="B74" s="21">
        <f t="shared" si="4"/>
        <v>0</v>
      </c>
      <c r="C74" s="21" t="str">
        <f>VLOOKUP(A74, hash!A$2:B$500, 2, 0)</f>
        <v>#N/A</v>
      </c>
      <c r="D74" s="23">
        <f t="shared" si="1"/>
        <v>0</v>
      </c>
      <c r="F74" s="45"/>
      <c r="H74" s="45"/>
      <c r="J74" s="45"/>
    </row>
    <row r="75">
      <c r="A75" s="22" t="s">
        <v>581</v>
      </c>
      <c r="B75" s="21">
        <f t="shared" si="4"/>
        <v>0</v>
      </c>
      <c r="C75" s="21" t="str">
        <f>VLOOKUP(A75, hash!A$2:B$500, 2, 0)</f>
        <v>#N/A</v>
      </c>
      <c r="D75" s="23">
        <f t="shared" si="1"/>
        <v>0</v>
      </c>
      <c r="F75" s="45"/>
      <c r="H75" s="45"/>
      <c r="J75" s="45"/>
    </row>
    <row r="76">
      <c r="A76" s="22" t="s">
        <v>456</v>
      </c>
      <c r="B76" s="21">
        <f t="shared" si="4"/>
        <v>0</v>
      </c>
      <c r="C76" s="21" t="str">
        <f>VLOOKUP(A76, hash!A$2:B$500, 2, 0)</f>
        <v>63222a9ced58d92b843f7cb0</v>
      </c>
      <c r="D76" s="23">
        <f t="shared" si="1"/>
        <v>0</v>
      </c>
      <c r="F76" s="45"/>
      <c r="H76" s="45"/>
      <c r="J76" s="45"/>
    </row>
    <row r="77">
      <c r="A77" s="22" t="s">
        <v>457</v>
      </c>
      <c r="B77" s="21">
        <f t="shared" si="4"/>
        <v>0</v>
      </c>
      <c r="C77" s="21" t="str">
        <f>VLOOKUP(A77, hash!A$2:B$500, 2, 0)</f>
        <v>63222ae4562da848b695b87f</v>
      </c>
      <c r="D77" s="23">
        <f t="shared" si="1"/>
        <v>0</v>
      </c>
      <c r="F77" s="45"/>
      <c r="H77" s="45"/>
      <c r="J77" s="45"/>
    </row>
    <row r="78">
      <c r="A78" s="22" t="s">
        <v>582</v>
      </c>
      <c r="B78" s="21">
        <f t="shared" si="4"/>
        <v>0</v>
      </c>
      <c r="C78" s="21" t="str">
        <f>VLOOKUP(A78, hash!A$2:B$500, 2, 0)</f>
        <v>#N/A</v>
      </c>
      <c r="D78" s="23">
        <f t="shared" si="1"/>
        <v>0</v>
      </c>
      <c r="E78" s="14">
        <v>0.0</v>
      </c>
      <c r="F78" s="27">
        <v>0.0</v>
      </c>
      <c r="G78" s="14">
        <v>0.0</v>
      </c>
      <c r="H78" s="27">
        <v>0.0</v>
      </c>
      <c r="I78" s="14">
        <v>0.0</v>
      </c>
      <c r="J78" s="27">
        <v>0.0</v>
      </c>
    </row>
    <row r="79">
      <c r="A79" s="22" t="s">
        <v>583</v>
      </c>
      <c r="B79" s="21">
        <f t="shared" si="4"/>
        <v>0</v>
      </c>
      <c r="C79" s="21" t="str">
        <f>VLOOKUP(A79, hash!A$2:B$500, 2, 0)</f>
        <v>#N/A</v>
      </c>
      <c r="D79" s="23">
        <f t="shared" si="1"/>
        <v>0</v>
      </c>
      <c r="F79" s="45"/>
      <c r="H79" s="45"/>
      <c r="J79" s="45"/>
    </row>
    <row r="80">
      <c r="A80" s="22" t="s">
        <v>584</v>
      </c>
      <c r="B80" s="21">
        <f t="shared" si="4"/>
        <v>0</v>
      </c>
      <c r="C80" s="21" t="str">
        <f>VLOOKUP(A80, hash!A$2:B$500, 2, 0)</f>
        <v>#N/A</v>
      </c>
      <c r="D80" s="23">
        <f t="shared" si="1"/>
        <v>0</v>
      </c>
      <c r="F80" s="45"/>
      <c r="H80" s="45"/>
      <c r="J80" s="45"/>
    </row>
    <row r="81">
      <c r="A81" s="22" t="s">
        <v>34</v>
      </c>
      <c r="B81" s="21">
        <f t="shared" si="4"/>
        <v>0</v>
      </c>
      <c r="C81" s="21" t="str">
        <f>VLOOKUP(A81, hash!A$2:B$500, 2, 0)</f>
        <v>63222c2fed58d92b843f7cbf</v>
      </c>
      <c r="D81" s="23">
        <f t="shared" si="1"/>
        <v>0</v>
      </c>
      <c r="E81" s="14">
        <v>0.0</v>
      </c>
      <c r="F81" s="27">
        <v>0.0</v>
      </c>
      <c r="G81" s="14">
        <v>0.0</v>
      </c>
      <c r="H81" s="27">
        <v>0.0</v>
      </c>
      <c r="I81" s="14">
        <v>0.0</v>
      </c>
      <c r="J81" s="27">
        <v>0.0</v>
      </c>
    </row>
    <row r="82">
      <c r="A82" s="22" t="s">
        <v>458</v>
      </c>
      <c r="B82" s="21">
        <f t="shared" si="4"/>
        <v>0</v>
      </c>
      <c r="C82" s="21" t="str">
        <f>VLOOKUP(A82, hash!A$2:B$500, 2, 0)</f>
        <v>63222d94ed58d92b843f7cc0</v>
      </c>
      <c r="D82" s="23">
        <f t="shared" si="1"/>
        <v>0</v>
      </c>
      <c r="F82" s="45"/>
      <c r="H82" s="45"/>
      <c r="J82" s="45"/>
    </row>
    <row r="83">
      <c r="A83" s="22" t="s">
        <v>459</v>
      </c>
      <c r="B83" s="21">
        <f t="shared" si="4"/>
        <v>0</v>
      </c>
      <c r="C83" s="21" t="str">
        <f>VLOOKUP(A83, hash!A$2:B$500, 2, 0)</f>
        <v>63222da4562da848b695b882</v>
      </c>
      <c r="D83" s="23">
        <f t="shared" si="1"/>
        <v>0</v>
      </c>
      <c r="F83" s="45"/>
      <c r="H83" s="45"/>
      <c r="J83" s="45"/>
    </row>
    <row r="84">
      <c r="A84" s="22" t="s">
        <v>585</v>
      </c>
      <c r="B84" s="21">
        <f t="shared" si="4"/>
        <v>0</v>
      </c>
      <c r="C84" s="21" t="str">
        <f>VLOOKUP(A84, hash!A$2:B$500, 2, 0)</f>
        <v>#N/A</v>
      </c>
      <c r="D84" s="23">
        <f t="shared" si="1"/>
        <v>0</v>
      </c>
      <c r="F84" s="45"/>
      <c r="H84" s="45"/>
      <c r="J84" s="45"/>
    </row>
    <row r="85">
      <c r="A85" s="22" t="s">
        <v>460</v>
      </c>
      <c r="B85" s="21">
        <f t="shared" si="4"/>
        <v>0</v>
      </c>
      <c r="C85" s="21" t="str">
        <f>VLOOKUP(A85, hash!A$2:B$500, 2, 0)</f>
        <v>63222dc6a729a8363c093b6b</v>
      </c>
      <c r="D85" s="23">
        <f t="shared" si="1"/>
        <v>0</v>
      </c>
      <c r="F85" s="45"/>
      <c r="H85" s="45"/>
      <c r="J85" s="45"/>
    </row>
    <row r="86">
      <c r="A86" s="22" t="s">
        <v>436</v>
      </c>
      <c r="B86" s="21">
        <f t="shared" si="4"/>
        <v>0</v>
      </c>
      <c r="C86" s="21" t="str">
        <f>VLOOKUP(A86, hash!A$2:B$500, 2, 0)</f>
        <v>63222dd4a729a8363c093b6d</v>
      </c>
      <c r="D86" s="23">
        <f t="shared" si="1"/>
        <v>0</v>
      </c>
      <c r="F86" s="45"/>
      <c r="H86" s="27"/>
      <c r="J86" s="27"/>
    </row>
    <row r="87">
      <c r="A87" s="22" t="s">
        <v>461</v>
      </c>
      <c r="B87" s="21">
        <f t="shared" si="4"/>
        <v>0</v>
      </c>
      <c r="C87" s="21" t="str">
        <f>VLOOKUP(A87, hash!A$2:B$500, 2, 0)</f>
        <v>63222dd7a729a8363c093b6e</v>
      </c>
      <c r="D87" s="23">
        <f t="shared" si="1"/>
        <v>0</v>
      </c>
      <c r="F87" s="45"/>
      <c r="H87" s="45"/>
      <c r="J87" s="45"/>
    </row>
    <row r="88">
      <c r="A88" s="22" t="s">
        <v>462</v>
      </c>
      <c r="B88" s="21">
        <f t="shared" si="4"/>
        <v>0</v>
      </c>
      <c r="C88" s="21" t="str">
        <f>VLOOKUP(A88, hash!A$2:B$500, 2, 0)</f>
        <v>63222deca729a8363c093b71</v>
      </c>
      <c r="D88" s="23">
        <f t="shared" si="1"/>
        <v>0</v>
      </c>
      <c r="F88" s="45"/>
      <c r="H88" s="45"/>
      <c r="J88" s="45"/>
    </row>
    <row r="89">
      <c r="A89" s="22" t="s">
        <v>463</v>
      </c>
      <c r="B89" s="21">
        <f t="shared" si="4"/>
        <v>0</v>
      </c>
      <c r="C89" s="21" t="str">
        <f>VLOOKUP(A89, hash!A$2:B$500, 2, 0)</f>
        <v>63222e10ed58d92b843f7cca</v>
      </c>
      <c r="D89" s="23">
        <f t="shared" si="1"/>
        <v>0</v>
      </c>
      <c r="F89" s="45"/>
      <c r="H89" s="45"/>
      <c r="J89" s="45"/>
    </row>
    <row r="90">
      <c r="A90" s="22" t="s">
        <v>464</v>
      </c>
      <c r="B90" s="21">
        <f t="shared" si="4"/>
        <v>0</v>
      </c>
      <c r="C90" s="21" t="str">
        <f>VLOOKUP(A90, hash!A$2:B$500, 2, 0)</f>
        <v>63222e35ed58d92b843f7ccd</v>
      </c>
      <c r="D90" s="23">
        <f t="shared" si="1"/>
        <v>0</v>
      </c>
      <c r="F90" s="45"/>
      <c r="H90" s="45"/>
      <c r="J90" s="45"/>
    </row>
    <row r="91">
      <c r="A91" s="22" t="s">
        <v>465</v>
      </c>
      <c r="B91" s="21">
        <f t="shared" si="4"/>
        <v>0</v>
      </c>
      <c r="C91" s="21" t="str">
        <f>VLOOKUP(A91, hash!A$2:B$500, 2, 0)</f>
        <v>63222e3a116f680d68804fa8</v>
      </c>
      <c r="D91" s="23">
        <f t="shared" si="1"/>
        <v>0</v>
      </c>
      <c r="F91" s="45"/>
      <c r="H91" s="45"/>
      <c r="J91" s="45"/>
    </row>
    <row r="92">
      <c r="A92" s="22" t="s">
        <v>466</v>
      </c>
      <c r="B92" s="21">
        <f t="shared" si="4"/>
        <v>0</v>
      </c>
      <c r="C92" s="21" t="str">
        <f>VLOOKUP(A92, hash!A$2:B$500, 2, 0)</f>
        <v>63222fa8562da848b695b887</v>
      </c>
      <c r="D92" s="23">
        <f t="shared" si="1"/>
        <v>0</v>
      </c>
      <c r="F92" s="45"/>
      <c r="H92" s="45"/>
      <c r="J92" s="45"/>
    </row>
    <row r="93">
      <c r="A93" s="22" t="s">
        <v>586</v>
      </c>
      <c r="B93" s="21">
        <f t="shared" si="4"/>
        <v>0</v>
      </c>
      <c r="C93" s="21" t="str">
        <f>VLOOKUP(A93, hash!A$2:B$500, 2, 0)</f>
        <v>#N/A</v>
      </c>
      <c r="D93" s="23">
        <f t="shared" si="1"/>
        <v>0</v>
      </c>
      <c r="F93" s="45"/>
      <c r="H93" s="45"/>
      <c r="J93" s="45"/>
    </row>
    <row r="94">
      <c r="A94" s="22" t="s">
        <v>467</v>
      </c>
      <c r="B94" s="21">
        <f t="shared" si="4"/>
        <v>0</v>
      </c>
      <c r="C94" s="21" t="str">
        <f>VLOOKUP(A94, hash!A$2:B$500, 2, 0)</f>
        <v>6329051b0c14e4fbd2ecace8</v>
      </c>
      <c r="D94" s="23">
        <f t="shared" si="1"/>
        <v>0</v>
      </c>
      <c r="F94" s="45"/>
      <c r="H94" s="45"/>
      <c r="J94" s="45"/>
    </row>
    <row r="95">
      <c r="A95" s="22" t="s">
        <v>468</v>
      </c>
      <c r="B95" s="21">
        <f t="shared" si="4"/>
        <v>0</v>
      </c>
      <c r="C95" s="21" t="str">
        <f>VLOOKUP(A95, hash!A$2:B$500, 2, 0)</f>
        <v>632b580f43e430c49f17d5dc</v>
      </c>
      <c r="D95" s="23">
        <f t="shared" si="1"/>
        <v>0</v>
      </c>
      <c r="F95" s="45"/>
      <c r="H95" s="45"/>
      <c r="J95" s="45"/>
    </row>
    <row r="96">
      <c r="A96" s="22" t="s">
        <v>469</v>
      </c>
      <c r="B96" s="21">
        <f t="shared" si="4"/>
        <v>0</v>
      </c>
      <c r="C96" s="21" t="str">
        <f>VLOOKUP(A96, hash!A$2:B$500, 2, 0)</f>
        <v>632b58290801926c6f0d9a37</v>
      </c>
      <c r="D96" s="23">
        <f t="shared" si="1"/>
        <v>0</v>
      </c>
      <c r="F96" s="45"/>
      <c r="H96" s="45"/>
      <c r="J96" s="45"/>
    </row>
    <row r="97">
      <c r="A97" s="22" t="s">
        <v>470</v>
      </c>
      <c r="B97" s="21">
        <f t="shared" si="4"/>
        <v>0</v>
      </c>
      <c r="C97" s="21" t="str">
        <f>VLOOKUP(A97, hash!A$2:B$500, 2, 0)</f>
        <v>632b5867c396d0088321be3a</v>
      </c>
      <c r="D97" s="23">
        <f t="shared" si="1"/>
        <v>0</v>
      </c>
      <c r="F97" s="45"/>
      <c r="H97" s="45"/>
      <c r="J97" s="45"/>
    </row>
    <row r="98">
      <c r="A98" s="22" t="s">
        <v>587</v>
      </c>
      <c r="B98" s="21">
        <f t="shared" si="4"/>
        <v>0</v>
      </c>
      <c r="C98" s="21" t="str">
        <f>VLOOKUP(A98, hash!A$2:B$500, 2, 0)</f>
        <v>#N/A</v>
      </c>
      <c r="D98" s="23">
        <f t="shared" si="1"/>
        <v>0</v>
      </c>
      <c r="F98" s="45"/>
      <c r="H98" s="45"/>
      <c r="J98" s="45"/>
    </row>
    <row r="99">
      <c r="A99" s="22" t="s">
        <v>471</v>
      </c>
      <c r="B99" s="21">
        <f t="shared" si="4"/>
        <v>0</v>
      </c>
      <c r="C99" s="21" t="str">
        <f>VLOOKUP(A99, hash!A$2:B$500, 2, 0)</f>
        <v>632b592764f599396d113b28</v>
      </c>
      <c r="D99" s="23">
        <f t="shared" si="1"/>
        <v>0</v>
      </c>
      <c r="F99" s="45"/>
      <c r="H99" s="45"/>
      <c r="J99" s="45"/>
    </row>
    <row r="100">
      <c r="A100" s="22" t="s">
        <v>588</v>
      </c>
      <c r="B100" s="21">
        <f t="shared" si="4"/>
        <v>0</v>
      </c>
      <c r="C100" s="21" t="str">
        <f>VLOOKUP(A100, hash!A$2:B$500, 2, 0)</f>
        <v>#N/A</v>
      </c>
      <c r="D100" s="23">
        <f t="shared" si="1"/>
        <v>0</v>
      </c>
      <c r="F100" s="45"/>
      <c r="H100" s="45"/>
      <c r="J100" s="45"/>
    </row>
    <row r="101">
      <c r="A101" s="22" t="s">
        <v>589</v>
      </c>
      <c r="B101" s="21">
        <f t="shared" si="4"/>
        <v>0</v>
      </c>
      <c r="C101" s="21" t="str">
        <f>VLOOKUP(A101, hash!A$2:B$500, 2, 0)</f>
        <v>#N/A</v>
      </c>
      <c r="D101" s="23">
        <f t="shared" si="1"/>
        <v>0</v>
      </c>
      <c r="F101" s="45"/>
      <c r="H101" s="45"/>
      <c r="J101" s="45"/>
    </row>
    <row r="102">
      <c r="A102" s="22" t="s">
        <v>590</v>
      </c>
      <c r="B102" s="21">
        <f t="shared" si="4"/>
        <v>0</v>
      </c>
      <c r="C102" s="21" t="str">
        <f>VLOOKUP(A102, hash!A$2:B$500, 2, 0)</f>
        <v>#N/A</v>
      </c>
      <c r="D102" s="23">
        <f t="shared" si="1"/>
        <v>0</v>
      </c>
      <c r="F102" s="45"/>
      <c r="H102" s="45"/>
      <c r="J102" s="45"/>
    </row>
    <row r="103">
      <c r="A103" s="22" t="s">
        <v>591</v>
      </c>
      <c r="B103" s="21">
        <f t="shared" si="4"/>
        <v>0</v>
      </c>
      <c r="C103" s="21" t="str">
        <f>VLOOKUP(A103, hash!A$2:B$500, 2, 0)</f>
        <v>#N/A</v>
      </c>
      <c r="D103" s="23">
        <f t="shared" si="1"/>
        <v>0</v>
      </c>
      <c r="F103" s="45"/>
      <c r="H103" s="45"/>
      <c r="J103" s="45"/>
    </row>
    <row r="104">
      <c r="A104" s="22" t="s">
        <v>592</v>
      </c>
      <c r="B104" s="21">
        <f t="shared" si="4"/>
        <v>0</v>
      </c>
      <c r="C104" s="21" t="str">
        <f>VLOOKUP(A104, hash!A$2:B$500, 2, 0)</f>
        <v>#N/A</v>
      </c>
      <c r="D104" s="23">
        <f t="shared" si="1"/>
        <v>0</v>
      </c>
      <c r="F104" s="45"/>
      <c r="H104" s="45"/>
      <c r="J104" s="45"/>
    </row>
    <row r="105">
      <c r="A105" s="22" t="s">
        <v>472</v>
      </c>
      <c r="B105" s="21">
        <f t="shared" si="4"/>
        <v>0</v>
      </c>
      <c r="C105" s="21" t="str">
        <f>VLOOKUP(A105, hash!A$2:B$500, 2, 0)</f>
        <v>632b659ebfb5f9d04c8cca40</v>
      </c>
      <c r="D105" s="23">
        <f t="shared" si="1"/>
        <v>0</v>
      </c>
      <c r="F105" s="45"/>
      <c r="H105" s="45"/>
      <c r="J105" s="45"/>
    </row>
    <row r="106">
      <c r="A106" s="22" t="s">
        <v>473</v>
      </c>
      <c r="B106" s="21">
        <f t="shared" si="4"/>
        <v>0</v>
      </c>
      <c r="C106" s="21" t="str">
        <f>VLOOKUP(A106, hash!A$2:B$500, 2, 0)</f>
        <v>63332820dde72043c98a24b0</v>
      </c>
      <c r="D106" s="23">
        <f t="shared" si="1"/>
        <v>0</v>
      </c>
      <c r="F106" s="45"/>
      <c r="H106" s="45"/>
      <c r="J106" s="45"/>
    </row>
    <row r="107">
      <c r="A107" s="22" t="s">
        <v>474</v>
      </c>
      <c r="B107" s="21">
        <f t="shared" si="4"/>
        <v>0</v>
      </c>
      <c r="C107" s="21" t="str">
        <f>VLOOKUP(A107, hash!A$2:B$500, 2, 0)</f>
        <v>6334930daf5a29e196628f54</v>
      </c>
      <c r="D107" s="23">
        <f t="shared" si="1"/>
        <v>0</v>
      </c>
      <c r="F107" s="45"/>
      <c r="H107" s="45"/>
      <c r="J107" s="45"/>
    </row>
    <row r="108">
      <c r="A108" s="22" t="s">
        <v>593</v>
      </c>
      <c r="B108" s="21">
        <f t="shared" si="4"/>
        <v>0</v>
      </c>
      <c r="C108" s="21" t="str">
        <f>VLOOKUP(A108, hash!A$2:B$500, 2, 0)</f>
        <v>#N/A</v>
      </c>
      <c r="D108" s="23">
        <f t="shared" si="1"/>
        <v>0</v>
      </c>
      <c r="F108" s="45"/>
      <c r="H108" s="45"/>
      <c r="J108" s="45"/>
    </row>
    <row r="109">
      <c r="A109" s="22" t="s">
        <v>510</v>
      </c>
      <c r="B109" s="21">
        <f t="shared" si="4"/>
        <v>0</v>
      </c>
      <c r="C109" s="21" t="str">
        <f>VLOOKUP(A109, hash!A$2:B$500, 2, 0)</f>
        <v>6334931c5db42318c75b941a</v>
      </c>
      <c r="D109" s="23">
        <f t="shared" si="1"/>
        <v>0</v>
      </c>
      <c r="F109" s="45"/>
      <c r="H109" s="45"/>
      <c r="J109" s="45"/>
    </row>
    <row r="110">
      <c r="A110" s="22" t="s">
        <v>475</v>
      </c>
      <c r="B110" s="21">
        <f t="shared" si="4"/>
        <v>0</v>
      </c>
      <c r="C110" s="21" t="str">
        <f>VLOOKUP(A110, hash!A$2:B$500, 2, 0)</f>
        <v>6334934ee801712b31d25536</v>
      </c>
      <c r="D110" s="23">
        <f t="shared" si="1"/>
        <v>0</v>
      </c>
      <c r="F110" s="45"/>
      <c r="H110" s="45"/>
      <c r="J110" s="45"/>
    </row>
    <row r="111">
      <c r="A111" s="22" t="s">
        <v>476</v>
      </c>
      <c r="B111" s="21">
        <f t="shared" si="4"/>
        <v>0</v>
      </c>
      <c r="C111" s="21" t="str">
        <f>VLOOKUP(A111, hash!A$2:B$500, 2, 0)</f>
        <v>63349f8e3a8dbca7ef791374</v>
      </c>
      <c r="D111" s="23">
        <f t="shared" si="1"/>
        <v>0</v>
      </c>
      <c r="F111" s="45"/>
      <c r="H111" s="45"/>
      <c r="J111" s="45"/>
    </row>
    <row r="112">
      <c r="A112" s="22" t="s">
        <v>594</v>
      </c>
      <c r="B112" s="21">
        <f t="shared" si="4"/>
        <v>0</v>
      </c>
      <c r="C112" s="21" t="str">
        <f>VLOOKUP(A112, hash!A$2:B$500, 2, 0)</f>
        <v>#N/A</v>
      </c>
      <c r="D112" s="23">
        <f t="shared" si="1"/>
        <v>0</v>
      </c>
      <c r="F112" s="27"/>
      <c r="H112" s="45"/>
      <c r="J112" s="45"/>
    </row>
    <row r="113">
      <c r="A113" s="22" t="s">
        <v>477</v>
      </c>
      <c r="B113" s="21">
        <f t="shared" si="4"/>
        <v>0</v>
      </c>
      <c r="C113" s="21" t="str">
        <f>VLOOKUP(A113, hash!A$2:B$500, 2, 0)</f>
        <v>63349f9a3a8dbca7ef791375</v>
      </c>
      <c r="D113" s="23">
        <f t="shared" si="1"/>
        <v>0</v>
      </c>
      <c r="F113" s="45"/>
      <c r="H113" s="45"/>
      <c r="J113" s="45"/>
    </row>
    <row r="114">
      <c r="A114" s="22" t="s">
        <v>478</v>
      </c>
      <c r="B114" s="21">
        <f t="shared" si="4"/>
        <v>0</v>
      </c>
      <c r="C114" s="21" t="str">
        <f>VLOOKUP(A114, hash!A$2:B$500, 2, 0)</f>
        <v>633b2944907d3b0ce904b02f</v>
      </c>
      <c r="D114" s="23">
        <f t="shared" si="1"/>
        <v>0</v>
      </c>
      <c r="F114" s="45"/>
      <c r="H114" s="45"/>
      <c r="J114" s="45"/>
    </row>
    <row r="115">
      <c r="A115" s="22" t="s">
        <v>595</v>
      </c>
      <c r="B115" s="21">
        <f t="shared" si="4"/>
        <v>0</v>
      </c>
      <c r="C115" s="21" t="str">
        <f>VLOOKUP(A115, hash!A$2:B$500, 2, 0)</f>
        <v>#N/A</v>
      </c>
      <c r="D115" s="23">
        <f t="shared" si="1"/>
        <v>0</v>
      </c>
      <c r="F115" s="45"/>
      <c r="H115" s="45"/>
      <c r="J115" s="45"/>
    </row>
    <row r="116">
      <c r="A116" s="22" t="s">
        <v>479</v>
      </c>
      <c r="B116" s="21">
        <f t="shared" si="4"/>
        <v>0</v>
      </c>
      <c r="C116" s="21" t="str">
        <f>VLOOKUP(A116, hash!A$2:B$500, 2, 0)</f>
        <v>633b296e907d3b0ce904b03b</v>
      </c>
      <c r="D116" s="23">
        <f t="shared" si="1"/>
        <v>0</v>
      </c>
      <c r="F116" s="45"/>
      <c r="H116" s="45"/>
      <c r="J116" s="45"/>
    </row>
    <row r="117">
      <c r="A117" s="22" t="s">
        <v>596</v>
      </c>
      <c r="B117" s="21">
        <f t="shared" si="4"/>
        <v>0</v>
      </c>
      <c r="C117" s="21" t="str">
        <f>VLOOKUP(A117, hash!A$2:B$500, 2, 0)</f>
        <v>#N/A</v>
      </c>
      <c r="D117" s="23">
        <f t="shared" si="1"/>
        <v>0</v>
      </c>
      <c r="F117" s="45"/>
      <c r="H117" s="45"/>
      <c r="J117" s="27"/>
    </row>
    <row r="118">
      <c r="A118" s="22" t="s">
        <v>480</v>
      </c>
      <c r="B118" s="21">
        <f t="shared" si="4"/>
        <v>0</v>
      </c>
      <c r="C118" s="21" t="str">
        <f>VLOOKUP(A118, hash!A$2:B$500, 2, 0)</f>
        <v>633b33dde2076b371abb58dd</v>
      </c>
      <c r="D118" s="23">
        <f t="shared" si="1"/>
        <v>0</v>
      </c>
      <c r="F118" s="45"/>
      <c r="H118" s="45"/>
      <c r="J118" s="45"/>
    </row>
    <row r="119">
      <c r="A119" s="22" t="s">
        <v>481</v>
      </c>
      <c r="B119" s="21">
        <f t="shared" si="4"/>
        <v>0</v>
      </c>
      <c r="C119" s="21" t="str">
        <f>VLOOKUP(A119, hash!A$2:B$500, 2, 0)</f>
        <v>633b36b4e2076b371abb58ed</v>
      </c>
      <c r="D119" s="23">
        <f t="shared" si="1"/>
        <v>0</v>
      </c>
      <c r="F119" s="45"/>
      <c r="H119" s="45"/>
      <c r="J119" s="45"/>
    </row>
    <row r="120">
      <c r="A120" s="22" t="s">
        <v>597</v>
      </c>
      <c r="B120" s="21">
        <f t="shared" si="4"/>
        <v>0</v>
      </c>
      <c r="C120" s="21" t="str">
        <f>VLOOKUP(A120, hash!A$2:B$500, 2, 0)</f>
        <v>#N/A</v>
      </c>
      <c r="D120" s="23">
        <f t="shared" si="1"/>
        <v>0</v>
      </c>
      <c r="F120" s="45"/>
      <c r="H120" s="45"/>
      <c r="J120" s="45"/>
    </row>
    <row r="121">
      <c r="A121" s="22" t="s">
        <v>598</v>
      </c>
      <c r="B121" s="21">
        <f t="shared" si="4"/>
        <v>0</v>
      </c>
      <c r="C121" s="21" t="str">
        <f>VLOOKUP(A121, hash!A$2:B$500, 2, 0)</f>
        <v>#N/A</v>
      </c>
      <c r="D121" s="23">
        <f t="shared" si="1"/>
        <v>0</v>
      </c>
      <c r="F121" s="45"/>
      <c r="H121" s="45"/>
      <c r="J121" s="45"/>
    </row>
    <row r="122">
      <c r="A122" s="22" t="s">
        <v>599</v>
      </c>
      <c r="B122" s="21">
        <f t="shared" si="4"/>
        <v>0</v>
      </c>
      <c r="C122" s="21" t="str">
        <f>VLOOKUP(A122, hash!A$2:B$500, 2, 0)</f>
        <v>#N/A</v>
      </c>
      <c r="D122" s="23">
        <f t="shared" si="1"/>
        <v>0</v>
      </c>
      <c r="F122" s="45"/>
      <c r="H122" s="45"/>
      <c r="J122" s="45"/>
    </row>
    <row r="123">
      <c r="A123" s="22" t="s">
        <v>600</v>
      </c>
      <c r="B123" s="21">
        <f t="shared" si="4"/>
        <v>0</v>
      </c>
      <c r="C123" s="21" t="str">
        <f>VLOOKUP(A123, hash!A$2:B$500, 2, 0)</f>
        <v>#N/A</v>
      </c>
      <c r="D123" s="23">
        <f t="shared" si="1"/>
        <v>0</v>
      </c>
      <c r="F123" s="45"/>
      <c r="H123" s="45"/>
      <c r="J123" s="45"/>
    </row>
    <row r="124">
      <c r="A124" s="22" t="s">
        <v>601</v>
      </c>
      <c r="B124" s="21">
        <f t="shared" si="4"/>
        <v>0</v>
      </c>
      <c r="C124" s="21" t="str">
        <f>VLOOKUP(A124, hash!A$2:B$500, 2, 0)</f>
        <v>#N/A</v>
      </c>
      <c r="D124" s="23">
        <f t="shared" si="1"/>
        <v>0</v>
      </c>
      <c r="F124" s="45"/>
      <c r="H124" s="45"/>
      <c r="J124" s="45"/>
    </row>
    <row r="125">
      <c r="A125" s="22" t="s">
        <v>482</v>
      </c>
      <c r="B125" s="21">
        <f t="shared" si="4"/>
        <v>0</v>
      </c>
      <c r="C125" s="21" t="str">
        <f>VLOOKUP(A125, hash!A$2:B$500, 2, 0)</f>
        <v>634ebd057dcff4d8aaf60ecd</v>
      </c>
      <c r="D125" s="23">
        <f t="shared" si="1"/>
        <v>0</v>
      </c>
      <c r="F125" s="45"/>
      <c r="H125" s="45"/>
      <c r="J125" s="45"/>
    </row>
    <row r="126">
      <c r="A126" s="22" t="s">
        <v>483</v>
      </c>
      <c r="B126" s="21">
        <f t="shared" si="4"/>
        <v>0</v>
      </c>
      <c r="C126" s="21" t="str">
        <f>VLOOKUP(A126, hash!A$2:B$500, 2, 0)</f>
        <v>6350260e6b84e6835b7bdb10</v>
      </c>
      <c r="D126" s="23">
        <f t="shared" si="1"/>
        <v>0</v>
      </c>
      <c r="F126" s="45"/>
      <c r="H126" s="45"/>
      <c r="J126" s="45"/>
    </row>
    <row r="127">
      <c r="A127" s="22" t="s">
        <v>484</v>
      </c>
      <c r="B127" s="21">
        <f t="shared" si="4"/>
        <v>0</v>
      </c>
      <c r="C127" s="21" t="str">
        <f>VLOOKUP(A127, hash!A$2:B$500, 2, 0)</f>
        <v>635041d40aaa9d7642b16a2a</v>
      </c>
      <c r="D127" s="23">
        <f t="shared" si="1"/>
        <v>0</v>
      </c>
      <c r="F127" s="45"/>
      <c r="H127" s="45"/>
      <c r="J127" s="45"/>
    </row>
    <row r="128">
      <c r="A128" s="22" t="s">
        <v>485</v>
      </c>
      <c r="B128" s="21">
        <f t="shared" si="4"/>
        <v>0</v>
      </c>
      <c r="C128" s="21" t="str">
        <f>VLOOKUP(A128, hash!A$2:B$500, 2, 0)</f>
        <v>63504cfc4e941e57f7932609</v>
      </c>
      <c r="D128" s="23">
        <f t="shared" si="1"/>
        <v>0</v>
      </c>
      <c r="F128" s="45"/>
      <c r="H128" s="45"/>
      <c r="J128" s="45"/>
    </row>
    <row r="129">
      <c r="A129" s="22" t="s">
        <v>486</v>
      </c>
      <c r="B129" s="21">
        <f t="shared" si="4"/>
        <v>0</v>
      </c>
      <c r="C129" s="21" t="str">
        <f>VLOOKUP(A129, hash!A$2:B$500, 2, 0)</f>
        <v>63504d21680a31686694f409</v>
      </c>
      <c r="D129" s="23">
        <f t="shared" si="1"/>
        <v>0</v>
      </c>
      <c r="F129" s="45"/>
      <c r="H129" s="45"/>
      <c r="J129" s="45"/>
    </row>
    <row r="130">
      <c r="A130" s="22" t="s">
        <v>487</v>
      </c>
      <c r="B130" s="21">
        <f t="shared" si="4"/>
        <v>0</v>
      </c>
      <c r="C130" s="21" t="str">
        <f>VLOOKUP(A130, hash!A$2:B$500, 2, 0)</f>
        <v>63504d993b59fc8152ddcd16</v>
      </c>
      <c r="D130" s="23">
        <f t="shared" si="1"/>
        <v>0</v>
      </c>
      <c r="F130" s="45"/>
      <c r="H130" s="45"/>
      <c r="J130" s="45"/>
    </row>
    <row r="131">
      <c r="A131" s="22" t="s">
        <v>488</v>
      </c>
      <c r="B131" s="21">
        <f t="shared" si="4"/>
        <v>0</v>
      </c>
      <c r="C131" s="21" t="str">
        <f>VLOOKUP(A131, hash!A$2:B$500, 2, 0)</f>
        <v>63504f2bf3c9b5fc221a8b0b</v>
      </c>
      <c r="D131" s="23">
        <f t="shared" si="1"/>
        <v>0</v>
      </c>
      <c r="F131" s="45"/>
      <c r="H131" s="45"/>
      <c r="J131" s="45"/>
    </row>
    <row r="132">
      <c r="A132" s="22" t="s">
        <v>489</v>
      </c>
      <c r="B132" s="21">
        <f t="shared" si="4"/>
        <v>0</v>
      </c>
      <c r="C132" s="21" t="str">
        <f>VLOOKUP(A132, hash!A$2:B$500, 2, 0)</f>
        <v>63505039f3c9b5fc221a8b11</v>
      </c>
      <c r="D132" s="23">
        <f t="shared" si="1"/>
        <v>0</v>
      </c>
      <c r="F132" s="45"/>
      <c r="H132" s="45"/>
      <c r="J132" s="45"/>
    </row>
    <row r="133">
      <c r="A133" s="22" t="s">
        <v>490</v>
      </c>
      <c r="B133" s="21">
        <f t="shared" si="4"/>
        <v>0</v>
      </c>
      <c r="C133" s="21" t="str">
        <f>VLOOKUP(A133, hash!A$2:B$500, 2, 0)</f>
        <v>6350508cf3c9b5fc221a8b14</v>
      </c>
      <c r="D133" s="23">
        <f t="shared" si="1"/>
        <v>0</v>
      </c>
      <c r="F133" s="45"/>
      <c r="H133" s="45"/>
      <c r="J133" s="45"/>
    </row>
    <row r="134">
      <c r="A134" s="22" t="s">
        <v>491</v>
      </c>
      <c r="B134" s="21">
        <f t="shared" si="4"/>
        <v>0</v>
      </c>
      <c r="C134" s="21" t="str">
        <f>VLOOKUP(A134, hash!A$2:B$500, 2, 0)</f>
        <v>635052bcd5280881c6468696</v>
      </c>
      <c r="D134" s="23">
        <f t="shared" si="1"/>
        <v>0</v>
      </c>
      <c r="F134" s="45"/>
      <c r="H134" s="45"/>
      <c r="J134" s="45"/>
    </row>
    <row r="135">
      <c r="A135" s="22" t="s">
        <v>492</v>
      </c>
      <c r="B135" s="21">
        <f t="shared" si="4"/>
        <v>0</v>
      </c>
      <c r="C135" s="21" t="str">
        <f>VLOOKUP(A135, hash!A$2:B$500, 2, 0)</f>
        <v>635053873b59fc8152ddcd3f</v>
      </c>
      <c r="D135" s="23">
        <f t="shared" si="1"/>
        <v>0</v>
      </c>
      <c r="F135" s="45"/>
      <c r="H135" s="45"/>
      <c r="J135" s="45"/>
    </row>
    <row r="136">
      <c r="A136" s="22" t="s">
        <v>493</v>
      </c>
      <c r="B136" s="21">
        <f t="shared" si="4"/>
        <v>0</v>
      </c>
      <c r="C136" s="21" t="str">
        <f>VLOOKUP(A136, hash!A$2:B$500, 2, 0)</f>
        <v>6350549ca87d74ab21f25e75</v>
      </c>
      <c r="D136" s="23">
        <f t="shared" si="1"/>
        <v>0</v>
      </c>
      <c r="F136" s="45"/>
      <c r="H136" s="45"/>
      <c r="J136" s="45"/>
    </row>
    <row r="137">
      <c r="A137" s="22" t="s">
        <v>602</v>
      </c>
      <c r="B137" s="21">
        <f t="shared" si="4"/>
        <v>0</v>
      </c>
      <c r="C137" s="21" t="str">
        <f>VLOOKUP(A137, hash!A$2:B$500, 2, 0)</f>
        <v>#N/A</v>
      </c>
      <c r="D137" s="23">
        <f t="shared" si="1"/>
        <v>0</v>
      </c>
      <c r="F137" s="45"/>
      <c r="H137" s="45"/>
      <c r="J137" s="45"/>
    </row>
    <row r="138">
      <c r="A138" s="22" t="s">
        <v>494</v>
      </c>
      <c r="B138" s="21">
        <f t="shared" si="4"/>
        <v>0</v>
      </c>
      <c r="C138" s="21" t="str">
        <f>VLOOKUP(A138, hash!A$2:B$500, 2, 0)</f>
        <v>63529e993c9eeacf2b95884e</v>
      </c>
      <c r="D138" s="23">
        <f t="shared" si="1"/>
        <v>0</v>
      </c>
      <c r="F138" s="45"/>
      <c r="H138" s="45"/>
      <c r="J138" s="45"/>
    </row>
    <row r="139">
      <c r="A139" s="22" t="s">
        <v>495</v>
      </c>
      <c r="B139" s="21">
        <f t="shared" si="4"/>
        <v>0</v>
      </c>
      <c r="C139" s="21" t="str">
        <f>VLOOKUP(A139, hash!A$2:B$500, 2, 0)</f>
        <v>63597cb9a9e578282a60ad9d</v>
      </c>
      <c r="D139" s="23">
        <f t="shared" si="1"/>
        <v>0</v>
      </c>
      <c r="F139" s="45"/>
      <c r="H139" s="45"/>
      <c r="J139" s="45"/>
    </row>
    <row r="140">
      <c r="A140" s="22" t="s">
        <v>603</v>
      </c>
      <c r="B140" s="21">
        <f t="shared" si="4"/>
        <v>0</v>
      </c>
      <c r="C140" s="21" t="str">
        <f>VLOOKUP(A140, hash!A$2:B$500, 2, 0)</f>
        <v>#N/A</v>
      </c>
      <c r="D140" s="23">
        <f t="shared" si="1"/>
        <v>0</v>
      </c>
      <c r="F140" s="45"/>
      <c r="H140" s="45"/>
      <c r="J140" s="45"/>
    </row>
    <row r="141">
      <c r="A141" s="22" t="s">
        <v>101</v>
      </c>
      <c r="B141" s="21">
        <f t="shared" si="4"/>
        <v>0</v>
      </c>
      <c r="C141" s="21" t="str">
        <f>VLOOKUP(A141, hash!A$2:B$500, 2, 0)</f>
        <v>6362864bd6615019231bd3fc</v>
      </c>
      <c r="D141" s="23">
        <f t="shared" si="1"/>
        <v>0</v>
      </c>
      <c r="F141" s="45"/>
      <c r="H141" s="45"/>
      <c r="J141" s="45"/>
    </row>
    <row r="142">
      <c r="A142" s="22" t="s">
        <v>102</v>
      </c>
      <c r="B142" s="21">
        <f t="shared" si="4"/>
        <v>0</v>
      </c>
      <c r="C142" s="21" t="str">
        <f>VLOOKUP(A142, hash!A$2:B$500, 2, 0)</f>
        <v>6362b77fe777ad6bbb240412</v>
      </c>
      <c r="D142" s="23">
        <f t="shared" si="1"/>
        <v>0</v>
      </c>
      <c r="F142" s="45"/>
      <c r="H142" s="45"/>
      <c r="J142" s="45"/>
    </row>
    <row r="143">
      <c r="A143" s="22" t="s">
        <v>604</v>
      </c>
      <c r="B143" s="21">
        <f t="shared" si="4"/>
        <v>0</v>
      </c>
      <c r="C143" s="21" t="str">
        <f>VLOOKUP(A143, hash!A$2:B$500, 2, 0)</f>
        <v>#N/A</v>
      </c>
      <c r="D143" s="23">
        <f t="shared" si="1"/>
        <v>0</v>
      </c>
      <c r="F143" s="45"/>
      <c r="H143" s="45"/>
      <c r="J143" s="45"/>
    </row>
    <row r="144">
      <c r="A144" s="22" t="s">
        <v>103</v>
      </c>
      <c r="B144" s="21">
        <f t="shared" si="4"/>
        <v>0</v>
      </c>
      <c r="C144" s="21" t="str">
        <f>VLOOKUP(A144, hash!A$2:B$500, 2, 0)</f>
        <v>6376b58661fba9785d07416f</v>
      </c>
      <c r="D144" s="23">
        <f t="shared" si="1"/>
        <v>0</v>
      </c>
      <c r="F144" s="45"/>
      <c r="H144" s="45"/>
      <c r="J144" s="45"/>
    </row>
    <row r="145">
      <c r="A145" s="22" t="s">
        <v>605</v>
      </c>
      <c r="B145" s="21">
        <f t="shared" si="4"/>
        <v>0</v>
      </c>
      <c r="C145" s="21" t="str">
        <f>VLOOKUP(A145, hash!A$2:B$500, 2, 0)</f>
        <v>#N/A</v>
      </c>
      <c r="D145" s="23">
        <f t="shared" si="1"/>
        <v>0</v>
      </c>
      <c r="F145" s="45"/>
      <c r="H145" s="45"/>
      <c r="J145" s="45"/>
    </row>
    <row r="146">
      <c r="A146" s="22" t="s">
        <v>606</v>
      </c>
      <c r="B146" s="21">
        <f t="shared" si="4"/>
        <v>0</v>
      </c>
      <c r="C146" s="21" t="str">
        <f>VLOOKUP(A146, hash!A$2:B$500, 2, 0)</f>
        <v>#N/A</v>
      </c>
      <c r="D146" s="23">
        <f t="shared" si="1"/>
        <v>0</v>
      </c>
      <c r="F146" s="45"/>
      <c r="H146" s="45"/>
      <c r="J146" s="45"/>
    </row>
    <row r="147">
      <c r="A147" s="22" t="s">
        <v>104</v>
      </c>
      <c r="B147" s="21">
        <f t="shared" si="4"/>
        <v>0</v>
      </c>
      <c r="C147" s="21" t="str">
        <f>VLOOKUP(A147, hash!A$2:B$500, 2, 0)</f>
        <v>6387bb73c1e51a839dd5a996</v>
      </c>
      <c r="D147" s="23">
        <f t="shared" si="1"/>
        <v>0</v>
      </c>
      <c r="F147" s="45"/>
      <c r="H147" s="45"/>
      <c r="J147" s="45"/>
    </row>
    <row r="148">
      <c r="A148" s="22" t="s">
        <v>105</v>
      </c>
      <c r="B148" s="21">
        <f t="shared" si="4"/>
        <v>0</v>
      </c>
      <c r="C148" s="21" t="str">
        <f>VLOOKUP(A148, hash!A$2:B$500, 2, 0)</f>
        <v>6387bbc6c1e51a839dd5a9a4</v>
      </c>
      <c r="D148" s="23">
        <f t="shared" si="1"/>
        <v>0</v>
      </c>
      <c r="F148" s="45"/>
      <c r="H148" s="45"/>
      <c r="J148" s="45"/>
    </row>
    <row r="149">
      <c r="A149" s="22" t="s">
        <v>106</v>
      </c>
      <c r="B149" s="21">
        <f t="shared" si="4"/>
        <v>0</v>
      </c>
      <c r="C149" s="21" t="str">
        <f>VLOOKUP(A149, hash!A$2:B$500, 2, 0)</f>
        <v>639a2e9e3b748bad962c153c</v>
      </c>
      <c r="D149" s="23">
        <f t="shared" si="1"/>
        <v>0</v>
      </c>
      <c r="F149" s="45"/>
      <c r="H149" s="45"/>
      <c r="J149" s="45"/>
    </row>
    <row r="150">
      <c r="A150" s="22" t="s">
        <v>107</v>
      </c>
      <c r="B150" s="21">
        <f t="shared" si="4"/>
        <v>0</v>
      </c>
      <c r="C150" s="21" t="str">
        <f>VLOOKUP(A150, hash!A$2:B$500, 2, 0)</f>
        <v>63b5d35a964a47f092354843</v>
      </c>
      <c r="D150" s="23">
        <f t="shared" si="1"/>
        <v>0</v>
      </c>
      <c r="F150" s="45"/>
      <c r="H150" s="45"/>
      <c r="J150" s="45"/>
    </row>
    <row r="151">
      <c r="A151" s="22" t="s">
        <v>108</v>
      </c>
      <c r="B151" s="21">
        <f t="shared" si="4"/>
        <v>0</v>
      </c>
      <c r="C151" s="21" t="str">
        <f>VLOOKUP(A151, hash!A$2:B$500, 2, 0)</f>
        <v>63c833ef38ef4ba2f7bbe919</v>
      </c>
      <c r="D151" s="23">
        <f t="shared" si="1"/>
        <v>0</v>
      </c>
      <c r="F151" s="45"/>
      <c r="H151" s="45"/>
      <c r="J151" s="45"/>
    </row>
    <row r="152">
      <c r="A152" s="22" t="s">
        <v>109</v>
      </c>
      <c r="B152" s="21">
        <f t="shared" si="4"/>
        <v>0</v>
      </c>
      <c r="C152" s="21" t="str">
        <f>VLOOKUP(A152, hash!A$2:B$500, 2, 0)</f>
        <v>63c8473f511ce7e89481b00b</v>
      </c>
      <c r="D152" s="23">
        <f t="shared" si="1"/>
        <v>0</v>
      </c>
      <c r="F152" s="45"/>
      <c r="H152" s="45"/>
      <c r="J152" s="45"/>
    </row>
    <row r="153">
      <c r="A153" s="22" t="s">
        <v>110</v>
      </c>
      <c r="B153" s="21">
        <f t="shared" si="4"/>
        <v>0</v>
      </c>
      <c r="C153" s="21" t="str">
        <f>VLOOKUP(A153, hash!A$2:B$500, 2, 0)</f>
        <v>63c8477b67bbb48b24b073b9</v>
      </c>
      <c r="D153" s="23">
        <f t="shared" si="1"/>
        <v>0</v>
      </c>
      <c r="F153" s="45"/>
      <c r="H153" s="45"/>
      <c r="J153" s="45"/>
    </row>
    <row r="154">
      <c r="A154" s="22" t="s">
        <v>607</v>
      </c>
      <c r="B154" s="21">
        <f t="shared" si="4"/>
        <v>0</v>
      </c>
      <c r="C154" s="21" t="str">
        <f>VLOOKUP(A154, hash!A$2:B$500, 2, 0)</f>
        <v>#N/A</v>
      </c>
      <c r="D154" s="23">
        <f t="shared" si="1"/>
        <v>0</v>
      </c>
      <c r="F154" s="45"/>
      <c r="H154" s="45"/>
      <c r="J154" s="45"/>
    </row>
    <row r="155">
      <c r="A155" s="22" t="s">
        <v>608</v>
      </c>
      <c r="B155" s="21">
        <f t="shared" si="4"/>
        <v>0</v>
      </c>
      <c r="C155" s="21" t="str">
        <f>VLOOKUP(A155, hash!A$2:B$500, 2, 0)</f>
        <v>#N/A</v>
      </c>
      <c r="D155" s="23">
        <f t="shared" si="1"/>
        <v>0</v>
      </c>
      <c r="F155" s="45"/>
      <c r="H155" s="45"/>
      <c r="J155" s="45"/>
    </row>
    <row r="156">
      <c r="A156" s="22" t="s">
        <v>111</v>
      </c>
      <c r="B156" s="21">
        <f t="shared" si="4"/>
        <v>0</v>
      </c>
      <c r="C156" s="21" t="str">
        <f>VLOOKUP(A156, hash!A$2:B$500, 2, 0)</f>
        <v>63dabd0663f6b9aef34df313</v>
      </c>
      <c r="D156" s="23">
        <f t="shared" si="1"/>
        <v>0</v>
      </c>
      <c r="F156" s="45"/>
      <c r="H156" s="45"/>
      <c r="J156" s="45"/>
    </row>
    <row r="157">
      <c r="A157" s="22" t="s">
        <v>112</v>
      </c>
      <c r="B157" s="21">
        <f t="shared" si="4"/>
        <v>0</v>
      </c>
      <c r="C157" s="21" t="str">
        <f>VLOOKUP(A157, hash!A$2:B$500, 2, 0)</f>
        <v>63dabd3d9dab57a89c8ed2ec</v>
      </c>
      <c r="D157" s="23">
        <f t="shared" si="1"/>
        <v>0</v>
      </c>
      <c r="F157" s="45"/>
      <c r="H157" s="45"/>
      <c r="J157" s="45"/>
    </row>
    <row r="158">
      <c r="A158" s="22" t="s">
        <v>609</v>
      </c>
      <c r="B158" s="21">
        <f t="shared" si="4"/>
        <v>0</v>
      </c>
      <c r="C158" s="21" t="str">
        <f>VLOOKUP(A158, hash!A$2:B$500, 2, 0)</f>
        <v>#N/A</v>
      </c>
      <c r="D158" s="23">
        <f t="shared" si="1"/>
        <v>0</v>
      </c>
      <c r="F158" s="45"/>
      <c r="H158" s="45"/>
      <c r="J158" s="45"/>
    </row>
    <row r="159">
      <c r="A159" s="22" t="s">
        <v>113</v>
      </c>
      <c r="B159" s="21">
        <f t="shared" si="4"/>
        <v>0</v>
      </c>
      <c r="C159" s="21" t="str">
        <f>VLOOKUP(A159, hash!A$2:B$500, 2, 0)</f>
        <v>63ddd5541cf7a4a53455fa2b</v>
      </c>
      <c r="D159" s="23">
        <f t="shared" si="1"/>
        <v>0</v>
      </c>
      <c r="F159" s="45"/>
      <c r="H159" s="45"/>
      <c r="J159" s="45"/>
    </row>
    <row r="160">
      <c r="A160" s="22" t="s">
        <v>610</v>
      </c>
      <c r="B160" s="21">
        <f t="shared" si="4"/>
        <v>0</v>
      </c>
      <c r="C160" s="21" t="str">
        <f>VLOOKUP(A160, hash!A$2:B$500, 2, 0)</f>
        <v>#N/A</v>
      </c>
      <c r="D160" s="23">
        <f t="shared" si="1"/>
        <v>0</v>
      </c>
      <c r="F160" s="45"/>
      <c r="H160" s="45"/>
      <c r="J160" s="45"/>
    </row>
    <row r="161">
      <c r="A161" s="22" t="s">
        <v>114</v>
      </c>
      <c r="B161" s="21">
        <f t="shared" si="4"/>
        <v>0</v>
      </c>
      <c r="C161" s="21" t="str">
        <f>VLOOKUP(A161, hash!A$2:B$500, 2, 0)</f>
        <v>63ed3c20ba3040bfda3dc990</v>
      </c>
      <c r="D161" s="23">
        <f t="shared" si="1"/>
        <v>0</v>
      </c>
      <c r="F161" s="45"/>
      <c r="H161" s="45"/>
      <c r="J161" s="45"/>
    </row>
    <row r="162">
      <c r="A162" s="22" t="s">
        <v>115</v>
      </c>
      <c r="B162" s="21">
        <f t="shared" si="4"/>
        <v>0</v>
      </c>
      <c r="C162" s="21" t="str">
        <f>VLOOKUP(A162, hash!A$2:B$500, 2, 0)</f>
        <v>63f67889c8ff9ace793384df</v>
      </c>
      <c r="D162" s="23">
        <f t="shared" si="1"/>
        <v>0</v>
      </c>
      <c r="F162" s="45"/>
      <c r="H162" s="45"/>
      <c r="J162" s="45"/>
    </row>
    <row r="163">
      <c r="A163" s="22" t="s">
        <v>116</v>
      </c>
      <c r="B163" s="21">
        <f t="shared" si="4"/>
        <v>0</v>
      </c>
      <c r="C163" s="21" t="str">
        <f>VLOOKUP(A163, hash!A$2:B$500, 2, 0)</f>
        <v>63f67911eb2d54539e475aef</v>
      </c>
      <c r="D163" s="23">
        <f t="shared" si="1"/>
        <v>0</v>
      </c>
      <c r="F163" s="45"/>
      <c r="H163" s="45"/>
      <c r="J163" s="45"/>
    </row>
    <row r="164">
      <c r="A164" s="22" t="s">
        <v>611</v>
      </c>
      <c r="B164" s="21">
        <f t="shared" si="4"/>
        <v>0</v>
      </c>
      <c r="C164" s="21" t="str">
        <f>VLOOKUP(A164, hash!A$2:B$500, 2, 0)</f>
        <v>#N/A</v>
      </c>
      <c r="D164" s="23">
        <f t="shared" si="1"/>
        <v>0</v>
      </c>
      <c r="F164" s="45"/>
      <c r="H164" s="45"/>
      <c r="J164" s="45"/>
    </row>
    <row r="165">
      <c r="A165" s="22" t="s">
        <v>612</v>
      </c>
      <c r="B165" s="21">
        <f t="shared" si="4"/>
        <v>0</v>
      </c>
      <c r="C165" s="21" t="str">
        <f>VLOOKUP(A165, hash!A$2:B$500, 2, 0)</f>
        <v>#N/A</v>
      </c>
      <c r="D165" s="23">
        <f t="shared" si="1"/>
        <v>0</v>
      </c>
      <c r="F165" s="45"/>
      <c r="H165" s="45"/>
      <c r="J165" s="45"/>
    </row>
    <row r="166">
      <c r="A166" s="22" t="s">
        <v>117</v>
      </c>
      <c r="B166" s="21">
        <f t="shared" si="4"/>
        <v>0</v>
      </c>
      <c r="C166" s="21" t="str">
        <f>VLOOKUP(A166, hash!A$2:B$500, 2, 0)</f>
        <v>64120eb5cd7bcbc0e50f33da</v>
      </c>
      <c r="D166" s="23">
        <f t="shared" si="1"/>
        <v>0</v>
      </c>
      <c r="F166" s="45"/>
      <c r="H166" s="45"/>
      <c r="J166" s="45"/>
    </row>
    <row r="167">
      <c r="A167" s="22" t="s">
        <v>118</v>
      </c>
      <c r="B167" s="21">
        <f t="shared" si="4"/>
        <v>0</v>
      </c>
      <c r="C167" s="21" t="str">
        <f>VLOOKUP(A167, hash!A$2:B$500, 2, 0)</f>
        <v>64403390f40f176b87a687a7</v>
      </c>
      <c r="D167" s="23">
        <f t="shared" si="1"/>
        <v>0</v>
      </c>
      <c r="F167" s="45"/>
      <c r="H167" s="45"/>
      <c r="J167" s="45"/>
    </row>
    <row r="168">
      <c r="A168" s="22" t="s">
        <v>119</v>
      </c>
      <c r="B168" s="21">
        <f t="shared" si="4"/>
        <v>0</v>
      </c>
      <c r="C168" s="21" t="str">
        <f>VLOOKUP(A168, hash!A$2:B$500, 2, 0)</f>
        <v>64403395ea1fa9a912edb699</v>
      </c>
      <c r="D168" s="23">
        <f t="shared" si="1"/>
        <v>0</v>
      </c>
      <c r="F168" s="45"/>
      <c r="H168" s="45"/>
      <c r="J168" s="51"/>
    </row>
    <row r="169">
      <c r="A169" s="22" t="s">
        <v>120</v>
      </c>
      <c r="B169" s="21">
        <f t="shared" si="4"/>
        <v>0</v>
      </c>
      <c r="C169" s="21" t="str">
        <f>VLOOKUP(A169, hash!A$2:B$500, 2, 0)</f>
        <v>64403399ea1fa9a912edb69a</v>
      </c>
      <c r="D169" s="23">
        <f t="shared" si="1"/>
        <v>0</v>
      </c>
      <c r="F169" s="45"/>
      <c r="H169" s="45"/>
      <c r="J169" s="45"/>
    </row>
    <row r="170">
      <c r="A170" s="22" t="s">
        <v>121</v>
      </c>
      <c r="B170" s="21">
        <f t="shared" si="4"/>
        <v>0</v>
      </c>
      <c r="C170" s="21" t="str">
        <f>VLOOKUP(A170, hash!A$2:B$500, 2, 0)</f>
        <v>644033a6ea1fa9a912edb69b</v>
      </c>
      <c r="D170" s="23">
        <f t="shared" si="1"/>
        <v>0</v>
      </c>
      <c r="F170" s="45"/>
      <c r="H170" s="45"/>
      <c r="J170" s="45"/>
    </row>
    <row r="171">
      <c r="A171" s="22" t="s">
        <v>122</v>
      </c>
      <c r="B171" s="21">
        <f t="shared" si="4"/>
        <v>0</v>
      </c>
      <c r="C171" s="21" t="str">
        <f>VLOOKUP(A171, hash!A$2:B$500, 2, 0)</f>
        <v>6440343c3d99f5a46dd56558</v>
      </c>
      <c r="D171" s="23">
        <f t="shared" si="1"/>
        <v>0</v>
      </c>
      <c r="F171" s="45"/>
      <c r="H171" s="45"/>
      <c r="J171" s="45"/>
    </row>
    <row r="172">
      <c r="A172" s="22" t="s">
        <v>123</v>
      </c>
      <c r="B172" s="21">
        <f t="shared" si="4"/>
        <v>0</v>
      </c>
      <c r="C172" s="21" t="str">
        <f>VLOOKUP(A172, hash!A$2:B$500, 2, 0)</f>
        <v>644034954fa829a66b219e95</v>
      </c>
      <c r="D172" s="23">
        <f t="shared" si="1"/>
        <v>0</v>
      </c>
      <c r="F172" s="45"/>
      <c r="H172" s="45"/>
      <c r="J172" s="45"/>
    </row>
    <row r="173">
      <c r="A173" s="22" t="s">
        <v>124</v>
      </c>
      <c r="B173" s="21">
        <f t="shared" si="4"/>
        <v>0</v>
      </c>
      <c r="C173" s="21" t="str">
        <f>VLOOKUP(A173, hash!A$2:B$500, 2, 0)</f>
        <v>6451565d77ece8ad709943e6</v>
      </c>
      <c r="D173" s="23">
        <f t="shared" si="1"/>
        <v>0</v>
      </c>
      <c r="F173" s="45"/>
      <c r="H173" s="45"/>
      <c r="J173" s="45"/>
    </row>
    <row r="174">
      <c r="A174" s="22" t="s">
        <v>125</v>
      </c>
      <c r="B174" s="21">
        <f t="shared" si="4"/>
        <v>0</v>
      </c>
      <c r="C174" s="21" t="str">
        <f>VLOOKUP(A174, hash!A$2:B$500, 2, 0)</f>
        <v>6451566b3e57b23a771eb77e</v>
      </c>
      <c r="D174" s="23">
        <f t="shared" si="1"/>
        <v>0</v>
      </c>
      <c r="F174" s="45"/>
      <c r="H174" s="45"/>
      <c r="J174" s="45"/>
    </row>
    <row r="175">
      <c r="A175" s="22" t="s">
        <v>126</v>
      </c>
      <c r="B175" s="21">
        <f t="shared" si="4"/>
        <v>0</v>
      </c>
      <c r="C175" s="21" t="str">
        <f>VLOOKUP(A175, hash!A$2:B$500, 2, 0)</f>
        <v>64515f40d1db94b82bde4768</v>
      </c>
      <c r="D175" s="23">
        <f t="shared" si="1"/>
        <v>0</v>
      </c>
      <c r="F175" s="45"/>
      <c r="H175" s="45"/>
      <c r="J175" s="45"/>
    </row>
    <row r="176">
      <c r="A176" s="22" t="s">
        <v>56</v>
      </c>
      <c r="B176" s="21">
        <f t="shared" si="4"/>
        <v>0</v>
      </c>
      <c r="C176" s="21" t="str">
        <f>VLOOKUP(A176, hash!A$2:B$500, 2, 0)</f>
        <v>64515f804c53122bd367c958</v>
      </c>
      <c r="D176" s="23">
        <f t="shared" si="1"/>
        <v>0</v>
      </c>
      <c r="E176" s="14">
        <v>0.0</v>
      </c>
      <c r="F176" s="27">
        <v>0.0</v>
      </c>
      <c r="G176" s="14">
        <v>0.0</v>
      </c>
      <c r="H176" s="27">
        <v>0.0</v>
      </c>
      <c r="I176" s="14">
        <v>0.0</v>
      </c>
      <c r="J176" s="27">
        <v>0.0</v>
      </c>
    </row>
    <row r="177">
      <c r="A177" s="22" t="s">
        <v>613</v>
      </c>
      <c r="B177" s="21">
        <f t="shared" si="4"/>
        <v>0</v>
      </c>
      <c r="C177" s="21" t="str">
        <f>VLOOKUP(A177, hash!A$2:B$500, 2, 0)</f>
        <v>#N/A</v>
      </c>
      <c r="D177" s="23">
        <f t="shared" si="1"/>
        <v>0</v>
      </c>
      <c r="F177" s="45"/>
      <c r="H177" s="45"/>
      <c r="J177" s="45"/>
    </row>
    <row r="178">
      <c r="A178" s="22" t="s">
        <v>127</v>
      </c>
      <c r="B178" s="21">
        <f t="shared" si="4"/>
        <v>0</v>
      </c>
      <c r="C178" s="21" t="str">
        <f>VLOOKUP(A178, hash!A$2:B$500, 2, 0)</f>
        <v>6501ffd91d8cbbbd315ad51c</v>
      </c>
      <c r="D178" s="23">
        <f t="shared" si="1"/>
        <v>0</v>
      </c>
      <c r="F178" s="45"/>
      <c r="H178" s="45"/>
      <c r="J178" s="45"/>
    </row>
    <row r="179">
      <c r="A179" s="22" t="s">
        <v>128</v>
      </c>
      <c r="B179" s="21">
        <f t="shared" si="4"/>
        <v>0</v>
      </c>
      <c r="C179" s="21" t="str">
        <f>VLOOKUP(A179, hash!A$2:B$500, 2, 0)</f>
        <v>6501ffe41d8cbbbd315ad51d</v>
      </c>
      <c r="D179" s="23">
        <f t="shared" si="1"/>
        <v>0</v>
      </c>
      <c r="F179" s="45"/>
      <c r="H179" s="45"/>
      <c r="J179" s="45"/>
    </row>
    <row r="180">
      <c r="A180" s="22" t="s">
        <v>129</v>
      </c>
      <c r="B180" s="21">
        <f t="shared" si="4"/>
        <v>0</v>
      </c>
      <c r="C180" s="21" t="str">
        <f>VLOOKUP(A180, hash!A$2:B$500, 2, 0)</f>
        <v>6501fff01d8cbbbd315ad51f</v>
      </c>
      <c r="D180" s="23">
        <f t="shared" si="1"/>
        <v>0</v>
      </c>
      <c r="F180" s="45"/>
      <c r="H180" s="45"/>
      <c r="J180" s="45"/>
    </row>
    <row r="181">
      <c r="A181" s="22" t="s">
        <v>130</v>
      </c>
      <c r="B181" s="21">
        <f t="shared" si="4"/>
        <v>0</v>
      </c>
      <c r="C181" s="21" t="str">
        <f>VLOOKUP(A181, hash!A$2:B$500, 2, 0)</f>
        <v>6501fff296a576d9fa03f986</v>
      </c>
      <c r="D181" s="23">
        <f t="shared" si="1"/>
        <v>0</v>
      </c>
      <c r="F181" s="45"/>
      <c r="H181" s="45"/>
      <c r="J181" s="45"/>
    </row>
    <row r="182">
      <c r="A182" s="22" t="s">
        <v>131</v>
      </c>
      <c r="B182" s="21">
        <f t="shared" si="4"/>
        <v>0</v>
      </c>
      <c r="C182" s="21" t="str">
        <f>VLOOKUP(A182, hash!A$2:B$500, 2, 0)</f>
        <v>6501fffc96a576d9fa03f988</v>
      </c>
      <c r="D182" s="23">
        <f t="shared" si="1"/>
        <v>0</v>
      </c>
      <c r="F182" s="45"/>
      <c r="H182" s="45"/>
      <c r="J182" s="45"/>
    </row>
    <row r="183">
      <c r="A183" s="22" t="s">
        <v>132</v>
      </c>
      <c r="B183" s="21">
        <f t="shared" si="4"/>
        <v>0</v>
      </c>
      <c r="C183" s="21" t="str">
        <f>VLOOKUP(A183, hash!A$2:B$500, 2, 0)</f>
        <v>6501fffd96a576d9fa03f989</v>
      </c>
      <c r="D183" s="23">
        <f t="shared" si="1"/>
        <v>0</v>
      </c>
      <c r="F183" s="45"/>
      <c r="H183" s="45"/>
      <c r="J183" s="45"/>
    </row>
    <row r="184">
      <c r="A184" s="22" t="s">
        <v>133</v>
      </c>
      <c r="B184" s="21">
        <f t="shared" si="4"/>
        <v>0</v>
      </c>
      <c r="C184" s="21" t="str">
        <f>VLOOKUP(A184, hash!A$2:B$500, 2, 0)</f>
        <v>6502000096a576d9fa03f98a</v>
      </c>
      <c r="D184" s="23">
        <f t="shared" si="1"/>
        <v>0</v>
      </c>
      <c r="F184" s="45"/>
      <c r="H184" s="45"/>
      <c r="J184" s="45"/>
    </row>
    <row r="185">
      <c r="A185" s="22" t="s">
        <v>134</v>
      </c>
      <c r="B185" s="21">
        <f t="shared" si="4"/>
        <v>0</v>
      </c>
      <c r="C185" s="21" t="str">
        <f>VLOOKUP(A185, hash!A$2:B$500, 2, 0)</f>
        <v>6502000196a576d9fa03f98b</v>
      </c>
      <c r="D185" s="23">
        <f t="shared" si="1"/>
        <v>0</v>
      </c>
      <c r="F185" s="45"/>
      <c r="H185" s="45"/>
      <c r="J185" s="45"/>
    </row>
    <row r="186">
      <c r="A186" s="22" t="s">
        <v>135</v>
      </c>
      <c r="B186" s="21">
        <f t="shared" si="4"/>
        <v>0</v>
      </c>
      <c r="C186" s="21" t="str">
        <f>VLOOKUP(A186, hash!A$2:B$500, 2, 0)</f>
        <v>65020008540ba7cc68909a94</v>
      </c>
      <c r="D186" s="23">
        <f t="shared" si="1"/>
        <v>0</v>
      </c>
      <c r="F186" s="45"/>
      <c r="H186" s="45"/>
      <c r="J186" s="45"/>
    </row>
    <row r="187">
      <c r="A187" s="22" t="s">
        <v>136</v>
      </c>
      <c r="B187" s="21">
        <f t="shared" si="4"/>
        <v>0</v>
      </c>
      <c r="C187" s="21" t="str">
        <f>VLOOKUP(A187, hash!A$2:B$500, 2, 0)</f>
        <v>6502000b1d8cbbbd315ad521</v>
      </c>
      <c r="D187" s="23">
        <f t="shared" si="1"/>
        <v>0</v>
      </c>
      <c r="F187" s="45"/>
      <c r="H187" s="45"/>
      <c r="J187" s="45"/>
    </row>
    <row r="188">
      <c r="A188" s="22" t="s">
        <v>137</v>
      </c>
      <c r="B188" s="21">
        <f t="shared" si="4"/>
        <v>0</v>
      </c>
      <c r="C188" s="21" t="str">
        <f>VLOOKUP(A188, hash!A$2:B$500, 2, 0)</f>
        <v>65020010540ba7cc68909a95</v>
      </c>
      <c r="D188" s="23">
        <f t="shared" si="1"/>
        <v>0</v>
      </c>
      <c r="F188" s="45"/>
      <c r="H188" s="45"/>
      <c r="J188" s="45"/>
    </row>
    <row r="189">
      <c r="A189" s="22" t="s">
        <v>138</v>
      </c>
      <c r="B189" s="21">
        <f t="shared" si="4"/>
        <v>0</v>
      </c>
      <c r="C189" s="21" t="str">
        <f>VLOOKUP(A189, hash!A$2:B$500, 2, 0)</f>
        <v>6502001196a576d9fa03f98c</v>
      </c>
      <c r="D189" s="23">
        <f t="shared" si="1"/>
        <v>0</v>
      </c>
      <c r="F189" s="45"/>
      <c r="H189" s="45"/>
      <c r="J189" s="45"/>
    </row>
    <row r="190">
      <c r="A190" s="22" t="s">
        <v>139</v>
      </c>
      <c r="B190" s="21">
        <f t="shared" si="4"/>
        <v>0</v>
      </c>
      <c r="C190" s="21" t="str">
        <f>VLOOKUP(A190, hash!A$2:B$500, 2, 0)</f>
        <v>6502001196a576d9fa03f98d</v>
      </c>
      <c r="D190" s="23">
        <f t="shared" si="1"/>
        <v>0</v>
      </c>
      <c r="F190" s="45"/>
      <c r="H190" s="45"/>
      <c r="J190" s="45"/>
    </row>
    <row r="191">
      <c r="A191" s="22" t="s">
        <v>141</v>
      </c>
      <c r="B191" s="21">
        <f t="shared" si="4"/>
        <v>0</v>
      </c>
      <c r="C191" s="21" t="str">
        <f>VLOOKUP(A191, hash!A$2:B$500, 2, 0)</f>
        <v>6502001d540ba7cc68909a96</v>
      </c>
      <c r="D191" s="23">
        <f t="shared" si="1"/>
        <v>0</v>
      </c>
      <c r="F191" s="45"/>
      <c r="H191" s="45"/>
      <c r="J191" s="45"/>
    </row>
    <row r="192">
      <c r="A192" s="22" t="s">
        <v>142</v>
      </c>
      <c r="B192" s="21">
        <f t="shared" si="4"/>
        <v>0</v>
      </c>
      <c r="C192" s="21" t="str">
        <f>VLOOKUP(A192, hash!A$2:B$500, 2, 0)</f>
        <v>6502001f96a576d9fa03f991</v>
      </c>
      <c r="D192" s="23">
        <f t="shared" si="1"/>
        <v>0</v>
      </c>
      <c r="F192" s="45"/>
      <c r="H192" s="45"/>
      <c r="J192" s="45"/>
    </row>
    <row r="193">
      <c r="A193" s="22" t="s">
        <v>143</v>
      </c>
      <c r="B193" s="21">
        <f t="shared" si="4"/>
        <v>0</v>
      </c>
      <c r="C193" s="21" t="str">
        <f>VLOOKUP(A193, hash!A$2:B$500, 2, 0)</f>
        <v>6502002296a576d9fa03f993</v>
      </c>
      <c r="D193" s="23">
        <f t="shared" si="1"/>
        <v>0</v>
      </c>
      <c r="F193" s="45"/>
      <c r="H193" s="45"/>
      <c r="J193" s="45"/>
    </row>
    <row r="194">
      <c r="A194" s="22" t="s">
        <v>144</v>
      </c>
      <c r="B194" s="21">
        <f t="shared" si="4"/>
        <v>0</v>
      </c>
      <c r="C194" s="21" t="str">
        <f>VLOOKUP(A194, hash!A$2:B$500, 2, 0)</f>
        <v>6502002396a576d9fa03f994</v>
      </c>
      <c r="D194" s="23">
        <f t="shared" si="1"/>
        <v>0</v>
      </c>
      <c r="F194" s="45"/>
      <c r="H194" s="45"/>
      <c r="J194" s="45"/>
    </row>
    <row r="195">
      <c r="A195" s="22" t="s">
        <v>94</v>
      </c>
      <c r="B195" s="21">
        <f t="shared" si="4"/>
        <v>0</v>
      </c>
      <c r="C195" s="21" t="str">
        <f>VLOOKUP(A195, hash!A$2:B$500, 2, 0)</f>
        <v>6502002b1d8cbbbd315ad524</v>
      </c>
      <c r="D195" s="23">
        <f t="shared" si="1"/>
        <v>0</v>
      </c>
      <c r="F195" s="45"/>
      <c r="H195" s="45"/>
      <c r="J195" s="45"/>
    </row>
    <row r="196">
      <c r="A196" s="22" t="s">
        <v>95</v>
      </c>
      <c r="B196" s="21">
        <f t="shared" si="4"/>
        <v>0</v>
      </c>
      <c r="C196" s="21" t="str">
        <f>VLOOKUP(A196, hash!A$2:B$500, 2, 0)</f>
        <v>6502002d96a576d9fa03f999</v>
      </c>
      <c r="D196" s="23">
        <f t="shared" si="1"/>
        <v>0</v>
      </c>
      <c r="E196" s="14">
        <v>0.0</v>
      </c>
      <c r="F196" s="27">
        <v>0.0</v>
      </c>
      <c r="G196" s="14">
        <v>0.0</v>
      </c>
      <c r="H196" s="27">
        <v>0.0</v>
      </c>
      <c r="I196" s="14">
        <v>0.0</v>
      </c>
      <c r="J196" s="27">
        <v>0.0</v>
      </c>
    </row>
    <row r="197">
      <c r="A197" s="22" t="s">
        <v>145</v>
      </c>
      <c r="B197" s="21">
        <f t="shared" si="4"/>
        <v>0</v>
      </c>
      <c r="C197" s="21" t="str">
        <f>VLOOKUP(A197, hash!A$2:B$500, 2, 0)</f>
        <v>6502003c96a576d9fa03f99d</v>
      </c>
      <c r="D197" s="23">
        <f t="shared" si="1"/>
        <v>0</v>
      </c>
      <c r="F197" s="45"/>
      <c r="H197" s="45"/>
      <c r="J197" s="45"/>
    </row>
    <row r="198">
      <c r="A198" s="22" t="s">
        <v>614</v>
      </c>
      <c r="B198" s="21">
        <f t="shared" si="4"/>
        <v>0</v>
      </c>
      <c r="C198" s="21" t="str">
        <f>VLOOKUP(A198, hash!A$2:B$500, 2, 0)</f>
        <v>#N/A</v>
      </c>
      <c r="D198" s="23">
        <f t="shared" si="1"/>
        <v>0</v>
      </c>
      <c r="F198" s="45"/>
      <c r="H198" s="45"/>
      <c r="J198" s="45"/>
    </row>
    <row r="199">
      <c r="A199" s="22" t="s">
        <v>146</v>
      </c>
      <c r="B199" s="21">
        <f t="shared" si="4"/>
        <v>0</v>
      </c>
      <c r="C199" s="21" t="str">
        <f>VLOOKUP(A199, hash!A$2:B$500, 2, 0)</f>
        <v>6502003d57ae167867eac21c</v>
      </c>
      <c r="D199" s="23">
        <f t="shared" si="1"/>
        <v>0</v>
      </c>
      <c r="E199" s="14">
        <v>0.0</v>
      </c>
      <c r="F199" s="27">
        <v>0.0</v>
      </c>
      <c r="G199" s="14">
        <v>0.0</v>
      </c>
      <c r="H199" s="27">
        <v>0.0</v>
      </c>
      <c r="I199" s="14">
        <v>0.0</v>
      </c>
      <c r="J199" s="27">
        <v>0.0</v>
      </c>
    </row>
    <row r="200">
      <c r="A200" s="22" t="s">
        <v>147</v>
      </c>
      <c r="B200" s="21">
        <f t="shared" si="4"/>
        <v>0</v>
      </c>
      <c r="C200" s="21" t="str">
        <f>VLOOKUP(A200, hash!A$2:B$500, 2, 0)</f>
        <v>65020041540ba7cc68909aa3</v>
      </c>
      <c r="D200" s="23">
        <f t="shared" si="1"/>
        <v>0</v>
      </c>
      <c r="F200" s="45"/>
      <c r="H200" s="45"/>
      <c r="J200" s="45"/>
    </row>
    <row r="201">
      <c r="A201" s="22" t="s">
        <v>615</v>
      </c>
      <c r="B201" s="21">
        <f t="shared" si="4"/>
        <v>0</v>
      </c>
      <c r="C201" s="21" t="str">
        <f>VLOOKUP(A201, hash!A$2:B$500, 2, 0)</f>
        <v>#N/A</v>
      </c>
      <c r="D201" s="23">
        <f t="shared" si="1"/>
        <v>0</v>
      </c>
      <c r="F201" s="45"/>
      <c r="H201" s="45"/>
      <c r="J201" s="45"/>
    </row>
    <row r="202">
      <c r="A202" s="22" t="s">
        <v>148</v>
      </c>
      <c r="B202" s="21">
        <f t="shared" si="4"/>
        <v>0</v>
      </c>
      <c r="C202" s="21" t="str">
        <f>VLOOKUP(A202, hash!A$2:B$500, 2, 0)</f>
        <v>650200481d8cbbbd315ad528</v>
      </c>
      <c r="D202" s="23">
        <f t="shared" si="1"/>
        <v>0</v>
      </c>
      <c r="F202" s="45"/>
      <c r="H202" s="45"/>
      <c r="J202" s="45"/>
    </row>
    <row r="203">
      <c r="A203" s="22" t="s">
        <v>149</v>
      </c>
      <c r="B203" s="21">
        <f t="shared" si="4"/>
        <v>0</v>
      </c>
      <c r="C203" s="21" t="str">
        <f>VLOOKUP(A203, hash!A$2:B$500, 2, 0)</f>
        <v>6502004f1d8cbbbd315ad52a</v>
      </c>
      <c r="D203" s="23">
        <f t="shared" si="1"/>
        <v>0</v>
      </c>
      <c r="F203" s="45"/>
      <c r="H203" s="45"/>
      <c r="J203" s="45"/>
    </row>
    <row r="204">
      <c r="A204" s="22" t="s">
        <v>616</v>
      </c>
      <c r="B204" s="21">
        <f t="shared" si="4"/>
        <v>0</v>
      </c>
      <c r="C204" s="21" t="str">
        <f>VLOOKUP(A204, hash!A$2:B$500, 2, 0)</f>
        <v>#N/A</v>
      </c>
      <c r="D204" s="23">
        <f t="shared" si="1"/>
        <v>0</v>
      </c>
      <c r="F204" s="45"/>
      <c r="H204" s="45"/>
      <c r="J204" s="45"/>
    </row>
    <row r="205">
      <c r="A205" s="22" t="s">
        <v>150</v>
      </c>
      <c r="B205" s="21">
        <f t="shared" si="4"/>
        <v>0</v>
      </c>
      <c r="C205" s="21" t="str">
        <f>VLOOKUP(A205, hash!A$2:B$500, 2, 0)</f>
        <v>6502005118c31aadb7469b1a</v>
      </c>
      <c r="D205" s="23">
        <f t="shared" si="1"/>
        <v>0</v>
      </c>
      <c r="E205" s="14">
        <v>0.0</v>
      </c>
      <c r="F205" s="27">
        <v>0.0</v>
      </c>
      <c r="G205" s="14">
        <v>0.0</v>
      </c>
      <c r="H205" s="27">
        <v>0.0</v>
      </c>
      <c r="I205" s="14">
        <v>0.0</v>
      </c>
      <c r="J205" s="27">
        <v>0.0</v>
      </c>
    </row>
    <row r="206">
      <c r="A206" s="22" t="s">
        <v>151</v>
      </c>
      <c r="B206" s="21">
        <f t="shared" si="4"/>
        <v>0</v>
      </c>
      <c r="C206" s="21" t="str">
        <f>VLOOKUP(A206, hash!A$2:B$500, 2, 0)</f>
        <v>650200601d8cbbbd315ad52d</v>
      </c>
      <c r="D206" s="23">
        <f t="shared" si="1"/>
        <v>0</v>
      </c>
      <c r="F206" s="45"/>
      <c r="H206" s="45"/>
      <c r="J206" s="45"/>
    </row>
    <row r="207">
      <c r="A207" s="22" t="s">
        <v>152</v>
      </c>
      <c r="B207" s="21">
        <f t="shared" si="4"/>
        <v>0</v>
      </c>
      <c r="C207" s="21" t="str">
        <f>VLOOKUP(A207, hash!A$2:B$500, 2, 0)</f>
        <v>6502007218c31aadb7469b1d</v>
      </c>
      <c r="D207" s="23">
        <f t="shared" si="1"/>
        <v>0</v>
      </c>
      <c r="F207" s="45"/>
      <c r="H207" s="45"/>
      <c r="J207" s="45"/>
    </row>
    <row r="208">
      <c r="A208" s="22" t="s">
        <v>19</v>
      </c>
      <c r="B208" s="21">
        <f t="shared" si="4"/>
        <v>0</v>
      </c>
      <c r="C208" s="21" t="str">
        <f>VLOOKUP(A208, hash!A$2:B$500, 2, 0)</f>
        <v>6502007357ae167867eac223</v>
      </c>
      <c r="D208" s="23">
        <f t="shared" si="1"/>
        <v>0</v>
      </c>
      <c r="E208" s="14">
        <v>0.0</v>
      </c>
      <c r="F208" s="27">
        <v>0.0</v>
      </c>
      <c r="G208" s="14">
        <v>0.0</v>
      </c>
      <c r="H208" s="27">
        <v>0.0</v>
      </c>
      <c r="I208" s="14">
        <v>0.0</v>
      </c>
      <c r="J208" s="27">
        <v>0.0</v>
      </c>
    </row>
    <row r="209">
      <c r="A209" s="22" t="s">
        <v>153</v>
      </c>
      <c r="B209" s="21">
        <f t="shared" si="4"/>
        <v>0</v>
      </c>
      <c r="C209" s="21" t="str">
        <f>VLOOKUP(A209, hash!A$2:B$500, 2, 0)</f>
        <v>6502007618c31aadb7469b1f</v>
      </c>
      <c r="D209" s="23">
        <f t="shared" si="1"/>
        <v>0</v>
      </c>
      <c r="F209" s="45"/>
      <c r="H209" s="45"/>
      <c r="J209" s="45"/>
    </row>
    <row r="210">
      <c r="A210" s="22" t="s">
        <v>617</v>
      </c>
      <c r="B210" s="21">
        <f t="shared" si="4"/>
        <v>0</v>
      </c>
      <c r="C210" s="21" t="str">
        <f>VLOOKUP(A210, hash!A$2:B$500, 2, 0)</f>
        <v>#N/A</v>
      </c>
      <c r="D210" s="23">
        <f t="shared" si="1"/>
        <v>0</v>
      </c>
      <c r="F210" s="45"/>
      <c r="H210" s="45"/>
      <c r="J210" s="45"/>
    </row>
    <row r="211">
      <c r="A211" s="22" t="s">
        <v>154</v>
      </c>
      <c r="B211" s="21">
        <f t="shared" si="4"/>
        <v>0</v>
      </c>
      <c r="C211" s="21" t="str">
        <f>VLOOKUP(A211, hash!A$2:B$500, 2, 0)</f>
        <v>6502008357ae167867eac228</v>
      </c>
      <c r="D211" s="23">
        <f t="shared" si="1"/>
        <v>0</v>
      </c>
      <c r="F211" s="45"/>
      <c r="H211" s="45"/>
      <c r="J211" s="45"/>
    </row>
    <row r="212">
      <c r="A212" s="22" t="s">
        <v>155</v>
      </c>
      <c r="B212" s="21">
        <f t="shared" si="4"/>
        <v>0</v>
      </c>
      <c r="C212" s="21" t="str">
        <f>VLOOKUP(A212, hash!A$2:B$500, 2, 0)</f>
        <v>650200931d8cbbbd315ad536</v>
      </c>
      <c r="D212" s="23">
        <f t="shared" si="1"/>
        <v>0</v>
      </c>
      <c r="F212" s="45"/>
      <c r="H212" s="45"/>
      <c r="J212" s="45"/>
    </row>
    <row r="213">
      <c r="A213" s="22" t="s">
        <v>156</v>
      </c>
      <c r="B213" s="21">
        <f t="shared" si="4"/>
        <v>0</v>
      </c>
      <c r="C213" s="21" t="str">
        <f>VLOOKUP(A213, hash!A$2:B$500, 2, 0)</f>
        <v>65020bcc03dd812a55d3a1fd</v>
      </c>
      <c r="D213" s="23">
        <f t="shared" si="1"/>
        <v>0</v>
      </c>
      <c r="F213" s="45"/>
      <c r="H213" s="45"/>
      <c r="J213" s="45"/>
    </row>
    <row r="214">
      <c r="A214" s="22" t="s">
        <v>157</v>
      </c>
      <c r="B214" s="21">
        <f t="shared" si="4"/>
        <v>0</v>
      </c>
      <c r="C214" s="21" t="str">
        <f>VLOOKUP(A214, hash!A$2:B$500, 2, 0)</f>
        <v>65020bcd03dd812a55d3a1fe</v>
      </c>
      <c r="D214" s="23">
        <f t="shared" si="1"/>
        <v>0</v>
      </c>
      <c r="F214" s="45"/>
      <c r="H214" s="45"/>
      <c r="J214" s="45"/>
    </row>
    <row r="215">
      <c r="A215" s="22" t="s">
        <v>158</v>
      </c>
      <c r="B215" s="21">
        <f t="shared" si="4"/>
        <v>0</v>
      </c>
      <c r="C215" s="21" t="str">
        <f>VLOOKUP(A215, hash!A$2:B$500, 2, 0)</f>
        <v>65020bcf8f2b101294bb3da0</v>
      </c>
      <c r="D215" s="23">
        <f t="shared" si="1"/>
        <v>0</v>
      </c>
      <c r="F215" s="45"/>
      <c r="H215" s="45"/>
      <c r="J215" s="45"/>
    </row>
    <row r="216">
      <c r="A216" s="22" t="s">
        <v>159</v>
      </c>
      <c r="B216" s="21">
        <f t="shared" si="4"/>
        <v>0</v>
      </c>
      <c r="C216" s="21" t="str">
        <f>VLOOKUP(A216, hash!A$2:B$500, 2, 0)</f>
        <v>65020bd28f2b101294bb3da1</v>
      </c>
      <c r="D216" s="23">
        <f t="shared" si="1"/>
        <v>0</v>
      </c>
      <c r="F216" s="45"/>
      <c r="H216" s="45"/>
      <c r="J216" s="45"/>
    </row>
    <row r="217">
      <c r="A217" s="22" t="s">
        <v>160</v>
      </c>
      <c r="B217" s="21">
        <f t="shared" si="4"/>
        <v>0</v>
      </c>
      <c r="C217" s="21" t="str">
        <f>VLOOKUP(A217, hash!A$2:B$500, 2, 0)</f>
        <v>65020bd203dd812a55d3a1ff</v>
      </c>
      <c r="D217" s="23">
        <f t="shared" si="1"/>
        <v>0</v>
      </c>
      <c r="F217" s="45"/>
      <c r="H217" s="45"/>
      <c r="J217" s="45"/>
    </row>
    <row r="218">
      <c r="A218" s="22" t="s">
        <v>161</v>
      </c>
      <c r="B218" s="21">
        <f t="shared" si="4"/>
        <v>0</v>
      </c>
      <c r="C218" s="21" t="str">
        <f>VLOOKUP(A218, hash!A$2:B$500, 2, 0)</f>
        <v>65020bd2967e3c86d1681e9e</v>
      </c>
      <c r="D218" s="23">
        <f t="shared" si="1"/>
        <v>0</v>
      </c>
      <c r="F218" s="45"/>
      <c r="H218" s="45"/>
      <c r="J218" s="45"/>
    </row>
    <row r="219">
      <c r="A219" s="22" t="s">
        <v>93</v>
      </c>
      <c r="B219" s="21">
        <f t="shared" si="4"/>
        <v>0</v>
      </c>
      <c r="C219" s="21" t="str">
        <f>VLOOKUP(A219, hash!A$2:B$500, 2, 0)</f>
        <v>65020bd203dd812a55d3a200</v>
      </c>
      <c r="D219" s="23">
        <f t="shared" si="1"/>
        <v>0</v>
      </c>
      <c r="E219" s="14">
        <v>0.0</v>
      </c>
      <c r="F219" s="27">
        <v>0.0</v>
      </c>
      <c r="G219" s="14">
        <v>0.0</v>
      </c>
      <c r="H219" s="27">
        <v>0.0</v>
      </c>
      <c r="I219" s="14">
        <v>0.0</v>
      </c>
      <c r="J219" s="27">
        <v>0.0</v>
      </c>
    </row>
    <row r="220">
      <c r="A220" s="22" t="s">
        <v>162</v>
      </c>
      <c r="B220" s="21">
        <f t="shared" si="4"/>
        <v>0</v>
      </c>
      <c r="C220" s="21" t="str">
        <f>VLOOKUP(A220, hash!A$2:B$500, 2, 0)</f>
        <v>65020bdb03dd812a55d3a202</v>
      </c>
      <c r="D220" s="23">
        <f t="shared" si="1"/>
        <v>0</v>
      </c>
      <c r="F220" s="45"/>
      <c r="H220" s="45"/>
      <c r="J220" s="45"/>
    </row>
    <row r="221">
      <c r="A221" s="22" t="s">
        <v>163</v>
      </c>
      <c r="B221" s="21">
        <f t="shared" si="4"/>
        <v>0</v>
      </c>
      <c r="C221" s="21" t="str">
        <f>VLOOKUP(A221, hash!A$2:B$500, 2, 0)</f>
        <v>65020bde03dd812a55d3a203</v>
      </c>
      <c r="D221" s="23">
        <f t="shared" si="1"/>
        <v>0</v>
      </c>
      <c r="F221" s="45"/>
      <c r="H221" s="45"/>
      <c r="J221" s="45"/>
    </row>
    <row r="222">
      <c r="A222" s="22" t="s">
        <v>164</v>
      </c>
      <c r="B222" s="21">
        <f t="shared" si="4"/>
        <v>0</v>
      </c>
      <c r="C222" s="21" t="str">
        <f>VLOOKUP(A222, hash!A$2:B$500, 2, 0)</f>
        <v>65020be303dd812a55d3a205</v>
      </c>
      <c r="D222" s="23">
        <f t="shared" si="1"/>
        <v>0</v>
      </c>
      <c r="F222" s="45"/>
      <c r="H222" s="45"/>
      <c r="J222" s="45"/>
    </row>
    <row r="223">
      <c r="A223" s="22" t="s">
        <v>165</v>
      </c>
      <c r="B223" s="21">
        <f t="shared" si="4"/>
        <v>0</v>
      </c>
      <c r="C223" s="21" t="str">
        <f>VLOOKUP(A223, hash!A$2:B$500, 2, 0)</f>
        <v>65020be48f2b101294bb3da4</v>
      </c>
      <c r="D223" s="23">
        <f t="shared" si="1"/>
        <v>0</v>
      </c>
      <c r="F223" s="45"/>
      <c r="H223" s="45"/>
      <c r="J223" s="45"/>
    </row>
    <row r="224">
      <c r="A224" s="22" t="s">
        <v>166</v>
      </c>
      <c r="B224" s="21">
        <f t="shared" si="4"/>
        <v>0</v>
      </c>
      <c r="C224" s="21" t="str">
        <f>VLOOKUP(A224, hash!A$2:B$500, 2, 0)</f>
        <v>65020be58f2b101294bb3da6</v>
      </c>
      <c r="D224" s="23">
        <f t="shared" si="1"/>
        <v>0</v>
      </c>
      <c r="F224" s="45"/>
      <c r="H224" s="45"/>
      <c r="J224" s="45"/>
    </row>
    <row r="225">
      <c r="A225" s="22" t="s">
        <v>167</v>
      </c>
      <c r="B225" s="21">
        <f t="shared" si="4"/>
        <v>0</v>
      </c>
      <c r="C225" s="21" t="str">
        <f>VLOOKUP(A225, hash!A$2:B$500, 2, 0)</f>
        <v>65020be68f2b101294bb3da7</v>
      </c>
      <c r="D225" s="23">
        <f t="shared" si="1"/>
        <v>0</v>
      </c>
      <c r="F225" s="45"/>
      <c r="H225" s="45"/>
      <c r="J225" s="45"/>
    </row>
    <row r="226">
      <c r="A226" s="24" t="s">
        <v>618</v>
      </c>
      <c r="B226" s="21">
        <f t="shared" si="4"/>
        <v>0</v>
      </c>
      <c r="C226" s="21" t="str">
        <f>VLOOKUP(A226, hash!A$2:B$500, 2, 0)</f>
        <v>#N/A</v>
      </c>
      <c r="D226" s="23">
        <f t="shared" si="1"/>
        <v>0</v>
      </c>
      <c r="F226" s="45"/>
      <c r="H226" s="45"/>
      <c r="J226" s="45"/>
    </row>
    <row r="227">
      <c r="A227" s="22" t="s">
        <v>168</v>
      </c>
      <c r="B227" s="21">
        <f t="shared" si="4"/>
        <v>0</v>
      </c>
      <c r="C227" s="21" t="str">
        <f>VLOOKUP(A227, hash!A$2:B$500, 2, 0)</f>
        <v>65020bec8f2b101294bb3da9</v>
      </c>
      <c r="D227" s="23">
        <f t="shared" si="1"/>
        <v>0</v>
      </c>
      <c r="F227" s="45"/>
      <c r="H227" s="45"/>
      <c r="J227" s="45"/>
    </row>
    <row r="228">
      <c r="A228" s="22" t="s">
        <v>169</v>
      </c>
      <c r="B228" s="21">
        <f t="shared" si="4"/>
        <v>0</v>
      </c>
      <c r="C228" s="21" t="str">
        <f>VLOOKUP(A228, hash!A$2:B$500, 2, 0)</f>
        <v>65020bf103dd812a55d3a208</v>
      </c>
      <c r="D228" s="23">
        <f t="shared" si="1"/>
        <v>0</v>
      </c>
      <c r="F228" s="45"/>
      <c r="H228" s="45"/>
      <c r="J228" s="45"/>
    </row>
    <row r="229">
      <c r="A229" s="22" t="s">
        <v>170</v>
      </c>
      <c r="B229" s="21">
        <f t="shared" si="4"/>
        <v>0</v>
      </c>
      <c r="C229" s="21" t="str">
        <f>VLOOKUP(A229, hash!A$2:B$500, 2, 0)</f>
        <v>65020bf203dd812a55d3a209</v>
      </c>
      <c r="D229" s="23">
        <f t="shared" si="1"/>
        <v>0</v>
      </c>
      <c r="F229" s="45"/>
      <c r="H229" s="45"/>
      <c r="J229" s="45"/>
    </row>
    <row r="230">
      <c r="A230" s="22" t="s">
        <v>171</v>
      </c>
      <c r="B230" s="21">
        <f t="shared" si="4"/>
        <v>0</v>
      </c>
      <c r="C230" s="21" t="str">
        <f>VLOOKUP(A230, hash!A$2:B$500, 2, 0)</f>
        <v>65020bf603dd812a55d3a20a</v>
      </c>
      <c r="D230" s="23">
        <f t="shared" si="1"/>
        <v>0</v>
      </c>
      <c r="F230" s="45"/>
      <c r="H230" s="45"/>
      <c r="J230" s="45"/>
    </row>
    <row r="231">
      <c r="A231" s="22" t="s">
        <v>172</v>
      </c>
      <c r="B231" s="21">
        <f t="shared" si="4"/>
        <v>0</v>
      </c>
      <c r="C231" s="21" t="str">
        <f>VLOOKUP(A231, hash!A$2:B$500, 2, 0)</f>
        <v>65020bf8097ac3c9d063264a</v>
      </c>
      <c r="D231" s="23">
        <f t="shared" si="1"/>
        <v>0</v>
      </c>
      <c r="F231" s="45"/>
      <c r="H231" s="45"/>
      <c r="J231" s="45"/>
    </row>
    <row r="232">
      <c r="A232" s="22" t="s">
        <v>619</v>
      </c>
      <c r="B232" s="21">
        <f t="shared" si="4"/>
        <v>0</v>
      </c>
      <c r="C232" s="21" t="str">
        <f>VLOOKUP(A232, hash!A$2:B$500, 2, 0)</f>
        <v>#N/A</v>
      </c>
      <c r="D232" s="23">
        <f t="shared" si="1"/>
        <v>0</v>
      </c>
      <c r="F232" s="45"/>
      <c r="H232" s="45"/>
      <c r="J232" s="45"/>
    </row>
    <row r="233">
      <c r="A233" s="22" t="s">
        <v>173</v>
      </c>
      <c r="B233" s="21">
        <f t="shared" si="4"/>
        <v>0</v>
      </c>
      <c r="C233" s="21" t="str">
        <f>VLOOKUP(A233, hash!A$2:B$500, 2, 0)</f>
        <v>65020bfb097ac3c9d063264c</v>
      </c>
      <c r="D233" s="23">
        <f t="shared" si="1"/>
        <v>0</v>
      </c>
      <c r="F233" s="45"/>
      <c r="H233" s="45"/>
      <c r="J233" s="45"/>
    </row>
    <row r="234">
      <c r="A234" s="22" t="s">
        <v>174</v>
      </c>
      <c r="B234" s="21">
        <f t="shared" si="4"/>
        <v>0</v>
      </c>
      <c r="C234" s="21" t="str">
        <f>VLOOKUP(A234, hash!A$2:B$500, 2, 0)</f>
        <v>65020bfc097ac3c9d063264e</v>
      </c>
      <c r="D234" s="23">
        <f t="shared" si="1"/>
        <v>0</v>
      </c>
      <c r="F234" s="45"/>
      <c r="H234" s="45"/>
      <c r="J234" s="45"/>
    </row>
    <row r="235">
      <c r="A235" s="22" t="s">
        <v>23</v>
      </c>
      <c r="B235" s="21">
        <f t="shared" si="4"/>
        <v>0</v>
      </c>
      <c r="C235" s="21" t="str">
        <f>VLOOKUP(A235, hash!A$2:B$500, 2, 0)</f>
        <v>65020bfe097ac3c9d063264f</v>
      </c>
      <c r="D235" s="23">
        <f t="shared" si="1"/>
        <v>0</v>
      </c>
      <c r="E235" s="14">
        <v>0.0</v>
      </c>
      <c r="F235" s="27">
        <v>0.0</v>
      </c>
      <c r="G235" s="14">
        <v>0.0</v>
      </c>
      <c r="H235" s="27">
        <v>0.0</v>
      </c>
      <c r="I235" s="14">
        <v>0.0</v>
      </c>
      <c r="J235" s="27">
        <v>0.0</v>
      </c>
    </row>
    <row r="236">
      <c r="A236" s="22" t="s">
        <v>175</v>
      </c>
      <c r="B236" s="21">
        <f t="shared" si="4"/>
        <v>0</v>
      </c>
      <c r="C236" s="21" t="str">
        <f>VLOOKUP(A236, hash!A$2:B$500, 2, 0)</f>
        <v>65020c00097ac3c9d0632650</v>
      </c>
      <c r="D236" s="23">
        <f t="shared" si="1"/>
        <v>0</v>
      </c>
      <c r="F236" s="45"/>
      <c r="H236" s="45"/>
      <c r="J236" s="45"/>
    </row>
    <row r="237">
      <c r="A237" s="22" t="s">
        <v>176</v>
      </c>
      <c r="B237" s="21">
        <f t="shared" si="4"/>
        <v>0</v>
      </c>
      <c r="C237" s="21" t="str">
        <f>VLOOKUP(A237, hash!A$2:B$500, 2, 0)</f>
        <v>65020c058f2b101294bb3daa</v>
      </c>
      <c r="D237" s="23">
        <f t="shared" si="1"/>
        <v>0</v>
      </c>
      <c r="F237" s="45"/>
      <c r="H237" s="45"/>
      <c r="J237" s="45"/>
    </row>
    <row r="238">
      <c r="A238" s="22" t="s">
        <v>177</v>
      </c>
      <c r="B238" s="21">
        <f t="shared" si="4"/>
        <v>0</v>
      </c>
      <c r="C238" s="21" t="str">
        <f>VLOOKUP(A238, hash!A$2:B$500, 2, 0)</f>
        <v>65020c068f2b101294bb3dab</v>
      </c>
      <c r="D238" s="23">
        <f t="shared" si="1"/>
        <v>0</v>
      </c>
      <c r="F238" s="45"/>
      <c r="H238" s="45"/>
      <c r="J238" s="45"/>
    </row>
    <row r="239">
      <c r="A239" s="22" t="s">
        <v>178</v>
      </c>
      <c r="B239" s="21">
        <f t="shared" si="4"/>
        <v>0</v>
      </c>
      <c r="C239" s="21" t="str">
        <f>VLOOKUP(A239, hash!A$2:B$500, 2, 0)</f>
        <v>65020c06097ac3c9d0632652</v>
      </c>
      <c r="D239" s="23">
        <f t="shared" si="1"/>
        <v>0</v>
      </c>
      <c r="F239" s="45"/>
      <c r="H239" s="45"/>
      <c r="J239" s="45"/>
    </row>
    <row r="240">
      <c r="A240" s="22" t="s">
        <v>179</v>
      </c>
      <c r="B240" s="21">
        <f t="shared" si="4"/>
        <v>0</v>
      </c>
      <c r="C240" s="21" t="str">
        <f>VLOOKUP(A240, hash!A$2:B$500, 2, 0)</f>
        <v>65020c088f2b101294bb3dad</v>
      </c>
      <c r="D240" s="23">
        <f t="shared" si="1"/>
        <v>0</v>
      </c>
      <c r="E240" s="14">
        <v>0.0</v>
      </c>
      <c r="F240" s="27">
        <v>0.0</v>
      </c>
      <c r="G240" s="14">
        <v>0.0</v>
      </c>
      <c r="H240" s="27">
        <v>0.0</v>
      </c>
      <c r="I240" s="14">
        <v>0.0</v>
      </c>
      <c r="J240" s="27">
        <v>0.0</v>
      </c>
    </row>
    <row r="241">
      <c r="A241" s="22" t="s">
        <v>180</v>
      </c>
      <c r="B241" s="21">
        <f t="shared" si="4"/>
        <v>0</v>
      </c>
      <c r="C241" s="21" t="str">
        <f>VLOOKUP(A241, hash!A$2:B$500, 2, 0)</f>
        <v>65020c0f03dd812a55d3a20d</v>
      </c>
      <c r="D241" s="23">
        <f t="shared" si="1"/>
        <v>0</v>
      </c>
      <c r="F241" s="45"/>
      <c r="H241" s="45"/>
      <c r="J241" s="45"/>
    </row>
    <row r="242">
      <c r="A242" s="22" t="s">
        <v>181</v>
      </c>
      <c r="B242" s="21">
        <f t="shared" si="4"/>
        <v>0</v>
      </c>
      <c r="C242" s="21" t="str">
        <f>VLOOKUP(A242, hash!A$2:B$500, 2, 0)</f>
        <v>65020c158f2b101294bb3daf</v>
      </c>
      <c r="D242" s="23">
        <f t="shared" si="1"/>
        <v>0</v>
      </c>
      <c r="F242" s="45"/>
      <c r="H242" s="45"/>
      <c r="J242" s="45"/>
    </row>
    <row r="243">
      <c r="A243" s="22" t="s">
        <v>182</v>
      </c>
      <c r="B243" s="21">
        <f t="shared" si="4"/>
        <v>0</v>
      </c>
      <c r="C243" s="21" t="str">
        <f>VLOOKUP(A243, hash!A$2:B$500, 2, 0)</f>
        <v>65020c188f2b101294bb3db0</v>
      </c>
      <c r="D243" s="23">
        <f t="shared" si="1"/>
        <v>0</v>
      </c>
      <c r="F243" s="45"/>
      <c r="H243" s="45"/>
      <c r="J243" s="45"/>
    </row>
    <row r="244">
      <c r="A244" s="22" t="s">
        <v>620</v>
      </c>
      <c r="B244" s="21">
        <f t="shared" si="4"/>
        <v>0</v>
      </c>
      <c r="C244" s="21" t="str">
        <f>VLOOKUP(A244, hash!A$2:B$500, 2, 0)</f>
        <v>#N/A</v>
      </c>
      <c r="D244" s="23">
        <f t="shared" si="1"/>
        <v>0</v>
      </c>
      <c r="F244" s="45"/>
      <c r="H244" s="45"/>
      <c r="J244" s="45"/>
    </row>
    <row r="245">
      <c r="A245" s="22" t="s">
        <v>183</v>
      </c>
      <c r="B245" s="21">
        <f t="shared" si="4"/>
        <v>0</v>
      </c>
      <c r="C245" s="21" t="str">
        <f>VLOOKUP(A245, hash!A$2:B$500, 2, 0)</f>
        <v>65020c5b097ac3c9d0632661</v>
      </c>
      <c r="D245" s="23">
        <f t="shared" si="1"/>
        <v>0</v>
      </c>
      <c r="F245" s="45"/>
      <c r="H245" s="45"/>
      <c r="J245" s="45"/>
    </row>
    <row r="246">
      <c r="A246" s="22" t="s">
        <v>184</v>
      </c>
      <c r="B246" s="21">
        <f t="shared" si="4"/>
        <v>0</v>
      </c>
      <c r="C246" s="21" t="str">
        <f>VLOOKUP(A246, hash!A$2:B$500, 2, 0)</f>
        <v>65020cea8f2b101294bb3dbe</v>
      </c>
      <c r="D246" s="23">
        <f t="shared" si="1"/>
        <v>0</v>
      </c>
      <c r="F246" s="45"/>
      <c r="H246" s="45"/>
      <c r="J246" s="45"/>
    </row>
    <row r="247">
      <c r="A247" s="22" t="s">
        <v>185</v>
      </c>
      <c r="B247" s="21">
        <f t="shared" si="4"/>
        <v>0</v>
      </c>
      <c r="C247" s="21" t="str">
        <f>VLOOKUP(A247, hash!A$2:B$500, 2, 0)</f>
        <v>65020d4b097ac3c9d063266a</v>
      </c>
      <c r="D247" s="23">
        <f t="shared" si="1"/>
        <v>0</v>
      </c>
      <c r="F247" s="45"/>
      <c r="H247" s="45"/>
      <c r="J247" s="45"/>
    </row>
    <row r="248">
      <c r="A248" s="22" t="s">
        <v>88</v>
      </c>
      <c r="B248" s="21">
        <f t="shared" si="4"/>
        <v>0</v>
      </c>
      <c r="C248" s="21" t="str">
        <f>VLOOKUP(A248, hash!A$2:B$500, 2, 0)</f>
        <v>65020d65097ac3c9d063266d</v>
      </c>
      <c r="D248" s="23">
        <f t="shared" si="1"/>
        <v>0</v>
      </c>
      <c r="E248" s="14">
        <v>0.0</v>
      </c>
      <c r="F248" s="27">
        <v>0.0</v>
      </c>
      <c r="G248" s="14">
        <v>0.0</v>
      </c>
      <c r="H248" s="27">
        <v>0.0</v>
      </c>
      <c r="I248" s="14">
        <v>0.0</v>
      </c>
      <c r="J248" s="27">
        <v>0.0</v>
      </c>
    </row>
    <row r="249">
      <c r="A249" s="22" t="s">
        <v>186</v>
      </c>
      <c r="B249" s="21">
        <f t="shared" si="4"/>
        <v>0</v>
      </c>
      <c r="C249" s="21" t="str">
        <f>VLOOKUP(A249, hash!A$2:B$500, 2, 0)</f>
        <v>65044a78c61c6a809dc7166a</v>
      </c>
      <c r="D249" s="23">
        <f t="shared" si="1"/>
        <v>0</v>
      </c>
      <c r="F249" s="45"/>
      <c r="H249" s="45"/>
      <c r="J249" s="45"/>
    </row>
    <row r="250">
      <c r="A250" s="22" t="s">
        <v>187</v>
      </c>
      <c r="B250" s="21">
        <f t="shared" si="4"/>
        <v>0</v>
      </c>
      <c r="C250" s="21" t="str">
        <f>VLOOKUP(A250, hash!A$2:B$500, 2, 0)</f>
        <v>650b3a05831593811cfcd7a6</v>
      </c>
      <c r="D250" s="23">
        <f t="shared" si="1"/>
        <v>0</v>
      </c>
      <c r="F250" s="45"/>
      <c r="H250" s="45"/>
      <c r="J250" s="45"/>
    </row>
    <row r="251">
      <c r="A251" s="22" t="s">
        <v>188</v>
      </c>
      <c r="B251" s="21">
        <f t="shared" si="4"/>
        <v>0</v>
      </c>
      <c r="C251" s="21" t="str">
        <f>VLOOKUP(A251, hash!A$2:B$500, 2, 0)</f>
        <v>650b3a079d801acd9fe283a1</v>
      </c>
      <c r="D251" s="23">
        <f t="shared" si="1"/>
        <v>0</v>
      </c>
      <c r="F251" s="45"/>
      <c r="H251" s="45"/>
      <c r="J251" s="45"/>
    </row>
    <row r="252">
      <c r="A252" s="22" t="s">
        <v>189</v>
      </c>
      <c r="B252" s="21">
        <f t="shared" si="4"/>
        <v>0</v>
      </c>
      <c r="C252" s="21" t="str">
        <f>VLOOKUP(A252, hash!A$2:B$500, 2, 0)</f>
        <v>650b3a09ed7955a527757145</v>
      </c>
      <c r="D252" s="23">
        <f t="shared" si="1"/>
        <v>0</v>
      </c>
      <c r="F252" s="45"/>
      <c r="H252" s="45"/>
      <c r="J252" s="45"/>
    </row>
    <row r="253">
      <c r="A253" s="22" t="s">
        <v>190</v>
      </c>
      <c r="B253" s="21">
        <f t="shared" si="4"/>
        <v>0</v>
      </c>
      <c r="C253" s="21" t="str">
        <f>VLOOKUP(A253, hash!A$2:B$500, 2, 0)</f>
        <v>650b3a0ded7955a527757147</v>
      </c>
      <c r="D253" s="23">
        <f t="shared" si="1"/>
        <v>0</v>
      </c>
      <c r="F253" s="45"/>
      <c r="H253" s="45"/>
      <c r="J253" s="45"/>
    </row>
    <row r="254">
      <c r="A254" s="22" t="s">
        <v>191</v>
      </c>
      <c r="B254" s="21">
        <f t="shared" si="4"/>
        <v>0</v>
      </c>
      <c r="C254" s="21" t="str">
        <f>VLOOKUP(A254, hash!A$2:B$500, 2, 0)</f>
        <v>650b3a0eacb6c663527423b7</v>
      </c>
      <c r="D254" s="23">
        <f t="shared" si="1"/>
        <v>0</v>
      </c>
      <c r="F254" s="45"/>
      <c r="H254" s="45"/>
      <c r="J254" s="45"/>
    </row>
    <row r="255">
      <c r="A255" s="22" t="s">
        <v>192</v>
      </c>
      <c r="B255" s="21">
        <f t="shared" si="4"/>
        <v>0</v>
      </c>
      <c r="C255" s="21" t="str">
        <f>VLOOKUP(A255, hash!A$2:B$500, 2, 0)</f>
        <v>650b3a0e9d801acd9fe283a2</v>
      </c>
      <c r="D255" s="23">
        <f t="shared" si="1"/>
        <v>0</v>
      </c>
      <c r="F255" s="45"/>
      <c r="H255" s="45"/>
      <c r="J255" s="45"/>
    </row>
    <row r="256">
      <c r="A256" s="22" t="s">
        <v>193</v>
      </c>
      <c r="B256" s="21">
        <f t="shared" si="4"/>
        <v>0</v>
      </c>
      <c r="C256" s="21" t="str">
        <f>VLOOKUP(A256, hash!A$2:B$500, 2, 0)</f>
        <v>650b3a15ed7955a527757149</v>
      </c>
      <c r="D256" s="23">
        <f t="shared" si="1"/>
        <v>0</v>
      </c>
      <c r="F256" s="45"/>
      <c r="H256" s="45"/>
      <c r="J256" s="45"/>
    </row>
    <row r="257">
      <c r="A257" s="22" t="s">
        <v>194</v>
      </c>
      <c r="B257" s="21">
        <f t="shared" si="4"/>
        <v>0</v>
      </c>
      <c r="C257" s="21" t="str">
        <f>VLOOKUP(A257, hash!A$2:B$500, 2, 0)</f>
        <v>650b3a1ced7955a52775714b</v>
      </c>
      <c r="D257" s="23">
        <f t="shared" si="1"/>
        <v>0</v>
      </c>
      <c r="F257" s="45"/>
      <c r="H257" s="45"/>
      <c r="J257" s="45"/>
    </row>
    <row r="258">
      <c r="A258" s="22" t="s">
        <v>195</v>
      </c>
      <c r="B258" s="21">
        <f t="shared" si="4"/>
        <v>0</v>
      </c>
      <c r="C258" s="21" t="str">
        <f>VLOOKUP(A258, hash!A$2:B$500, 2, 0)</f>
        <v>650b3a9e41c634acd2e8f3d0</v>
      </c>
      <c r="D258" s="23">
        <f t="shared" si="1"/>
        <v>0</v>
      </c>
      <c r="F258" s="45"/>
      <c r="H258" s="45"/>
      <c r="J258" s="45"/>
    </row>
    <row r="259">
      <c r="A259" s="22" t="s">
        <v>196</v>
      </c>
      <c r="B259" s="21">
        <f t="shared" si="4"/>
        <v>0</v>
      </c>
      <c r="C259" s="21" t="str">
        <f>VLOOKUP(A259, hash!A$2:B$500, 2, 0)</f>
        <v>650b40c463d8964b8e363b3b</v>
      </c>
      <c r="D259" s="23">
        <f t="shared" si="1"/>
        <v>0</v>
      </c>
      <c r="F259" s="45"/>
      <c r="H259" s="45"/>
      <c r="J259" s="45"/>
    </row>
    <row r="260">
      <c r="A260" s="22" t="s">
        <v>197</v>
      </c>
      <c r="B260" s="21">
        <f t="shared" si="4"/>
        <v>0</v>
      </c>
      <c r="C260" s="21" t="str">
        <f>VLOOKUP(A260, hash!A$2:B$500, 2, 0)</f>
        <v>650b40ce63d8964b8e363b3d</v>
      </c>
      <c r="D260" s="23">
        <f t="shared" si="1"/>
        <v>0</v>
      </c>
      <c r="F260" s="45"/>
      <c r="H260" s="45"/>
      <c r="J260" s="45"/>
    </row>
    <row r="261">
      <c r="A261" s="22" t="s">
        <v>198</v>
      </c>
      <c r="B261" s="21">
        <f t="shared" si="4"/>
        <v>0</v>
      </c>
      <c r="C261" s="21" t="str">
        <f>VLOOKUP(A261, hash!A$2:B$500, 2, 0)</f>
        <v>650b446c63d8964b8e363b40</v>
      </c>
      <c r="D261" s="23">
        <f t="shared" si="1"/>
        <v>0</v>
      </c>
      <c r="F261" s="45"/>
      <c r="H261" s="45"/>
      <c r="J261" s="45"/>
    </row>
    <row r="262">
      <c r="A262" s="22" t="s">
        <v>199</v>
      </c>
      <c r="B262" s="21">
        <f t="shared" si="4"/>
        <v>0</v>
      </c>
      <c r="C262" s="21" t="str">
        <f>VLOOKUP(A262, hash!A$2:B$500, 2, 0)</f>
        <v>650b44847b17d110a03d7208</v>
      </c>
      <c r="D262" s="23">
        <f t="shared" si="1"/>
        <v>0</v>
      </c>
      <c r="F262" s="45"/>
      <c r="H262" s="45"/>
      <c r="J262" s="45"/>
    </row>
    <row r="263">
      <c r="A263" s="22" t="s">
        <v>200</v>
      </c>
      <c r="B263" s="21">
        <f t="shared" si="4"/>
        <v>0</v>
      </c>
      <c r="C263" s="21" t="str">
        <f>VLOOKUP(A263, hash!A$2:B$500, 2, 0)</f>
        <v>650b44997b17d110a03d7209</v>
      </c>
      <c r="D263" s="23">
        <f t="shared" si="1"/>
        <v>0</v>
      </c>
      <c r="F263" s="45"/>
      <c r="H263" s="45"/>
      <c r="J263" s="45"/>
    </row>
    <row r="264">
      <c r="A264" s="22" t="s">
        <v>201</v>
      </c>
      <c r="B264" s="21">
        <f t="shared" si="4"/>
        <v>0</v>
      </c>
      <c r="C264" s="21" t="str">
        <f>VLOOKUP(A264, hash!A$2:B$500, 2, 0)</f>
        <v>650b45dd0df4236622e51063</v>
      </c>
      <c r="D264" s="23">
        <f t="shared" si="1"/>
        <v>0</v>
      </c>
      <c r="F264" s="45"/>
      <c r="H264" s="45"/>
      <c r="J264" s="45"/>
    </row>
    <row r="265">
      <c r="A265" s="22" t="s">
        <v>202</v>
      </c>
      <c r="B265" s="21">
        <f t="shared" si="4"/>
        <v>0</v>
      </c>
      <c r="C265" s="21" t="str">
        <f>VLOOKUP(A265, hash!A$2:B$500, 2, 0)</f>
        <v>650b461a1798582bd25e6f14</v>
      </c>
      <c r="D265" s="23">
        <f t="shared" si="1"/>
        <v>0</v>
      </c>
      <c r="F265" s="45"/>
      <c r="H265" s="45"/>
      <c r="J265" s="45"/>
    </row>
    <row r="266">
      <c r="A266" s="22" t="s">
        <v>203</v>
      </c>
      <c r="B266" s="21">
        <f t="shared" si="4"/>
        <v>0</v>
      </c>
      <c r="C266" s="21" t="str">
        <f>VLOOKUP(A266, hash!A$2:B$500, 2, 0)</f>
        <v>650b466f0ebdcd576cc45c6f</v>
      </c>
      <c r="D266" s="23">
        <f t="shared" si="1"/>
        <v>0</v>
      </c>
      <c r="F266" s="45"/>
      <c r="H266" s="45"/>
      <c r="J266" s="45"/>
    </row>
    <row r="267">
      <c r="A267" s="22" t="s">
        <v>204</v>
      </c>
      <c r="B267" s="21">
        <f t="shared" si="4"/>
        <v>0</v>
      </c>
      <c r="C267" s="21" t="str">
        <f>VLOOKUP(A267, hash!A$2:B$500, 2, 0)</f>
        <v>650b46820ebdcd576cc45c70</v>
      </c>
      <c r="D267" s="23">
        <f t="shared" si="1"/>
        <v>0</v>
      </c>
      <c r="F267" s="45"/>
      <c r="H267" s="45"/>
      <c r="J267" s="45"/>
    </row>
    <row r="268">
      <c r="A268" s="22" t="s">
        <v>205</v>
      </c>
      <c r="B268" s="21">
        <f t="shared" si="4"/>
        <v>0</v>
      </c>
      <c r="C268" s="21" t="str">
        <f>VLOOKUP(A268, hash!A$2:B$500, 2, 0)</f>
        <v>650b477d7b17d110a03d7221</v>
      </c>
      <c r="D268" s="23">
        <f t="shared" si="1"/>
        <v>0</v>
      </c>
      <c r="F268" s="45"/>
      <c r="H268" s="45"/>
      <c r="J268" s="45"/>
    </row>
    <row r="269">
      <c r="A269" s="22" t="s">
        <v>621</v>
      </c>
      <c r="B269" s="21">
        <f t="shared" si="4"/>
        <v>0</v>
      </c>
      <c r="C269" s="21" t="str">
        <f>VLOOKUP(A269, hash!A$2:B$500, 2, 0)</f>
        <v>#N/A</v>
      </c>
      <c r="D269" s="23">
        <f t="shared" si="1"/>
        <v>0</v>
      </c>
      <c r="F269" s="45"/>
      <c r="H269" s="45"/>
      <c r="J269" s="45"/>
    </row>
    <row r="270">
      <c r="A270" s="22" t="s">
        <v>206</v>
      </c>
      <c r="B270" s="21">
        <f t="shared" si="4"/>
        <v>0</v>
      </c>
      <c r="C270" s="21" t="str">
        <f>VLOOKUP(A270, hash!A$2:B$500, 2, 0)</f>
        <v>651473b073ba37322a56bc86</v>
      </c>
      <c r="D270" s="23">
        <f t="shared" si="1"/>
        <v>0</v>
      </c>
      <c r="F270" s="45"/>
      <c r="H270" s="45"/>
      <c r="J270" s="45"/>
    </row>
    <row r="271">
      <c r="A271" s="22" t="s">
        <v>207</v>
      </c>
      <c r="B271" s="21">
        <f t="shared" si="4"/>
        <v>0</v>
      </c>
      <c r="C271" s="21" t="str">
        <f>VLOOKUP(A271, hash!A$2:B$500, 2, 0)</f>
        <v>6514746bcb3856acbe2e045e</v>
      </c>
      <c r="D271" s="23">
        <f t="shared" si="1"/>
        <v>0</v>
      </c>
      <c r="F271" s="45"/>
      <c r="H271" s="45"/>
      <c r="J271" s="45"/>
    </row>
    <row r="272">
      <c r="A272" s="22" t="s">
        <v>208</v>
      </c>
      <c r="B272" s="21">
        <f t="shared" si="4"/>
        <v>0</v>
      </c>
      <c r="C272" s="21" t="str">
        <f>VLOOKUP(A272, hash!A$2:B$500, 2, 0)</f>
        <v>651474adbad0d569bbd8c620</v>
      </c>
      <c r="D272" s="23">
        <f t="shared" si="1"/>
        <v>0</v>
      </c>
      <c r="F272" s="45"/>
      <c r="H272" s="45"/>
      <c r="J272" s="45"/>
    </row>
    <row r="273">
      <c r="A273" s="22" t="s">
        <v>622</v>
      </c>
      <c r="B273" s="21">
        <f t="shared" si="4"/>
        <v>0</v>
      </c>
      <c r="C273" s="21" t="str">
        <f>VLOOKUP(A273, hash!A$2:B$500, 2, 0)</f>
        <v>#N/A</v>
      </c>
      <c r="D273" s="23">
        <f t="shared" si="1"/>
        <v>0</v>
      </c>
      <c r="F273" s="45"/>
      <c r="H273" s="45"/>
      <c r="J273" s="45"/>
    </row>
    <row r="274">
      <c r="A274" s="22" t="s">
        <v>209</v>
      </c>
      <c r="B274" s="21">
        <f t="shared" si="4"/>
        <v>0</v>
      </c>
      <c r="C274" s="21" t="str">
        <f>VLOOKUP(A274, hash!A$2:B$500, 2, 0)</f>
        <v>651480e5b25a8777756c8277</v>
      </c>
      <c r="D274" s="23">
        <f t="shared" si="1"/>
        <v>0</v>
      </c>
      <c r="F274" s="45"/>
      <c r="H274" s="45"/>
      <c r="J274" s="45"/>
    </row>
    <row r="275">
      <c r="A275" s="22" t="s">
        <v>210</v>
      </c>
      <c r="B275" s="21">
        <f t="shared" si="4"/>
        <v>0</v>
      </c>
      <c r="C275" s="21" t="str">
        <f>VLOOKUP(A275, hash!A$2:B$500, 2, 0)</f>
        <v>651621a7755b5ba7402891b3</v>
      </c>
      <c r="D275" s="23">
        <f t="shared" si="1"/>
        <v>0</v>
      </c>
      <c r="F275" s="45"/>
      <c r="H275" s="45"/>
      <c r="J275" s="45"/>
    </row>
    <row r="276">
      <c r="A276" s="22" t="s">
        <v>12</v>
      </c>
      <c r="B276" s="21">
        <f t="shared" si="4"/>
        <v>0</v>
      </c>
      <c r="C276" s="21" t="str">
        <f>VLOOKUP(A276, hash!A$2:B$500, 2, 0)</f>
        <v>651dadf4a69631c34bde617f</v>
      </c>
      <c r="D276" s="23">
        <f t="shared" si="1"/>
        <v>0</v>
      </c>
      <c r="F276" s="45"/>
      <c r="H276" s="45"/>
      <c r="J276" s="45"/>
    </row>
    <row r="277">
      <c r="A277" s="22" t="s">
        <v>211</v>
      </c>
      <c r="B277" s="21">
        <f t="shared" si="4"/>
        <v>0</v>
      </c>
      <c r="C277" s="21" t="str">
        <f>VLOOKUP(A277, hash!A$2:B$500, 2, 0)</f>
        <v>651daf0edc9060f76fe584c7</v>
      </c>
      <c r="D277" s="23">
        <f t="shared" si="1"/>
        <v>0</v>
      </c>
      <c r="F277" s="45"/>
      <c r="H277" s="45"/>
      <c r="J277" s="45"/>
    </row>
    <row r="278">
      <c r="A278" s="22" t="s">
        <v>212</v>
      </c>
      <c r="B278" s="21">
        <f t="shared" si="4"/>
        <v>0</v>
      </c>
      <c r="C278" s="21" t="str">
        <f>VLOOKUP(A278, hash!A$2:B$500, 2, 0)</f>
        <v>651db9af9dea57c7cb020129</v>
      </c>
      <c r="D278" s="23">
        <f t="shared" si="1"/>
        <v>0</v>
      </c>
      <c r="E278" s="14">
        <v>0.0</v>
      </c>
      <c r="F278" s="27">
        <v>0.0</v>
      </c>
      <c r="G278" s="14">
        <v>0.0</v>
      </c>
      <c r="H278" s="27">
        <v>0.0</v>
      </c>
      <c r="I278" s="14">
        <v>0.0</v>
      </c>
      <c r="J278" s="27">
        <v>0.0</v>
      </c>
    </row>
    <row r="279">
      <c r="A279" s="22" t="s">
        <v>213</v>
      </c>
      <c r="B279" s="21">
        <f t="shared" si="4"/>
        <v>0</v>
      </c>
      <c r="C279" s="21" t="str">
        <f>VLOOKUP(A279, hash!A$2:B$500, 2, 0)</f>
        <v>651dbad69dea57c7cb020139</v>
      </c>
      <c r="D279" s="23">
        <f t="shared" si="1"/>
        <v>0</v>
      </c>
      <c r="F279" s="45"/>
      <c r="H279" s="45"/>
      <c r="J279" s="45"/>
    </row>
    <row r="280">
      <c r="A280" s="22" t="s">
        <v>214</v>
      </c>
      <c r="B280" s="21">
        <f t="shared" si="4"/>
        <v>0</v>
      </c>
      <c r="C280" s="21" t="str">
        <f>VLOOKUP(A280, hash!A$2:B$500, 2, 0)</f>
        <v>651dbae7d54b632818878f41</v>
      </c>
      <c r="D280" s="23">
        <f t="shared" si="1"/>
        <v>0</v>
      </c>
      <c r="F280" s="45"/>
      <c r="H280" s="45"/>
      <c r="J280" s="45"/>
    </row>
    <row r="281">
      <c r="A281" s="22" t="s">
        <v>215</v>
      </c>
      <c r="B281" s="21">
        <f t="shared" si="4"/>
        <v>0</v>
      </c>
      <c r="C281" s="21" t="str">
        <f>VLOOKUP(A281, hash!A$2:B$500, 2, 0)</f>
        <v>651dbb15d54b632818878f43</v>
      </c>
      <c r="D281" s="23">
        <f t="shared" si="1"/>
        <v>0</v>
      </c>
      <c r="F281" s="45"/>
      <c r="H281" s="45"/>
      <c r="J281" s="45"/>
    </row>
    <row r="282">
      <c r="A282" s="22" t="s">
        <v>216</v>
      </c>
      <c r="B282" s="21">
        <f t="shared" si="4"/>
        <v>0</v>
      </c>
      <c r="C282" s="21" t="str">
        <f>VLOOKUP(A282, hash!A$2:B$500, 2, 0)</f>
        <v>651dbb299dea57c7cb020142</v>
      </c>
      <c r="D282" s="23">
        <f t="shared" si="1"/>
        <v>0</v>
      </c>
      <c r="F282" s="45"/>
      <c r="H282" s="45"/>
      <c r="J282" s="45"/>
    </row>
    <row r="283">
      <c r="A283" s="22" t="s">
        <v>217</v>
      </c>
      <c r="B283" s="21">
        <f t="shared" si="4"/>
        <v>0</v>
      </c>
      <c r="C283" s="21" t="str">
        <f>VLOOKUP(A283, hash!A$2:B$500, 2, 0)</f>
        <v>651dbb3f9dea57c7cb020143</v>
      </c>
      <c r="D283" s="23">
        <f t="shared" si="1"/>
        <v>0</v>
      </c>
      <c r="F283" s="45"/>
      <c r="H283" s="45"/>
      <c r="J283" s="45"/>
    </row>
    <row r="284">
      <c r="A284" s="22" t="s">
        <v>218</v>
      </c>
      <c r="B284" s="21">
        <f t="shared" si="4"/>
        <v>0</v>
      </c>
      <c r="C284" s="21" t="str">
        <f>VLOOKUP(A284, hash!A$2:B$500, 2, 0)</f>
        <v>651dbc99ca156cc80367f4eb</v>
      </c>
      <c r="D284" s="23">
        <f t="shared" si="1"/>
        <v>0</v>
      </c>
      <c r="F284" s="45"/>
      <c r="H284" s="45"/>
      <c r="J284" s="45"/>
    </row>
    <row r="285">
      <c r="A285" s="22" t="s">
        <v>623</v>
      </c>
      <c r="B285" s="21">
        <f t="shared" si="4"/>
        <v>0</v>
      </c>
      <c r="C285" s="21" t="str">
        <f>VLOOKUP(A285, hash!A$2:B$500, 2, 0)</f>
        <v>#N/A</v>
      </c>
      <c r="D285" s="23">
        <f t="shared" si="1"/>
        <v>0</v>
      </c>
      <c r="F285" s="45"/>
      <c r="H285" s="45"/>
      <c r="J285" s="45"/>
    </row>
    <row r="286">
      <c r="A286" s="22" t="s">
        <v>219</v>
      </c>
      <c r="B286" s="21">
        <f t="shared" si="4"/>
        <v>0</v>
      </c>
      <c r="C286" s="21" t="str">
        <f>VLOOKUP(A286, hash!A$2:B$500, 2, 0)</f>
        <v>652403893fc5d4c9ab851009</v>
      </c>
      <c r="D286" s="23">
        <f t="shared" si="1"/>
        <v>0</v>
      </c>
      <c r="E286" s="14">
        <v>0.0</v>
      </c>
      <c r="F286" s="27">
        <v>0.0</v>
      </c>
      <c r="G286" s="14">
        <v>0.0</v>
      </c>
      <c r="H286" s="27">
        <v>0.0</v>
      </c>
      <c r="I286" s="14">
        <v>0.0</v>
      </c>
      <c r="J286" s="27">
        <v>0.0</v>
      </c>
    </row>
    <row r="287">
      <c r="A287" s="22" t="s">
        <v>220</v>
      </c>
      <c r="B287" s="21">
        <f t="shared" si="4"/>
        <v>0</v>
      </c>
      <c r="C287" s="21" t="str">
        <f>VLOOKUP(A287, hash!A$2:B$500, 2, 0)</f>
        <v>6530232bcf7c5adcfb301ec7</v>
      </c>
      <c r="D287" s="23">
        <f t="shared" si="1"/>
        <v>0</v>
      </c>
      <c r="F287" s="45"/>
      <c r="H287" s="45"/>
      <c r="J287" s="45"/>
    </row>
    <row r="288">
      <c r="A288" s="22" t="s">
        <v>221</v>
      </c>
      <c r="B288" s="21">
        <f t="shared" si="4"/>
        <v>0</v>
      </c>
      <c r="C288" s="21" t="str">
        <f>VLOOKUP(A288, hash!A$2:B$500, 2, 0)</f>
        <v>65302e080e286366617e4629</v>
      </c>
      <c r="D288" s="23">
        <f t="shared" si="1"/>
        <v>0</v>
      </c>
      <c r="F288" s="45"/>
      <c r="H288" s="45"/>
      <c r="J288" s="45"/>
    </row>
    <row r="289">
      <c r="A289" s="22" t="s">
        <v>222</v>
      </c>
      <c r="B289" s="21">
        <f t="shared" si="4"/>
        <v>0</v>
      </c>
      <c r="C289" s="21" t="str">
        <f>VLOOKUP(A289, hash!A$2:B$500, 2, 0)</f>
        <v>65395d6799af0b0f3444fd51</v>
      </c>
      <c r="D289" s="23">
        <f t="shared" si="1"/>
        <v>0</v>
      </c>
      <c r="E289" s="14">
        <v>0.0</v>
      </c>
      <c r="F289" s="27">
        <v>0.0</v>
      </c>
      <c r="G289" s="14">
        <v>0.0</v>
      </c>
      <c r="H289" s="27">
        <v>0.0</v>
      </c>
      <c r="I289" s="14">
        <v>0.0</v>
      </c>
      <c r="J289" s="27">
        <v>0.0</v>
      </c>
    </row>
    <row r="290">
      <c r="A290" s="22" t="s">
        <v>223</v>
      </c>
      <c r="B290" s="21">
        <f t="shared" si="4"/>
        <v>0</v>
      </c>
      <c r="C290" s="21" t="str">
        <f>VLOOKUP(A290, hash!A$2:B$500, 2, 0)</f>
        <v>6539689ac8f6bb22aba878d1</v>
      </c>
      <c r="D290" s="23">
        <f t="shared" si="1"/>
        <v>0</v>
      </c>
      <c r="F290" s="45"/>
      <c r="H290" s="45"/>
      <c r="J290" s="45"/>
    </row>
    <row r="291">
      <c r="A291" s="22" t="s">
        <v>224</v>
      </c>
      <c r="B291" s="21">
        <f t="shared" si="4"/>
        <v>0</v>
      </c>
      <c r="C291" s="21" t="str">
        <f>VLOOKUP(A291, hash!A$2:B$500, 2, 0)</f>
        <v>6542987e2bee7559f37bee8d</v>
      </c>
      <c r="D291" s="23">
        <f t="shared" si="1"/>
        <v>0</v>
      </c>
      <c r="F291" s="45"/>
      <c r="H291" s="45"/>
      <c r="J291" s="45"/>
    </row>
    <row r="292">
      <c r="A292" s="22" t="s">
        <v>225</v>
      </c>
      <c r="B292" s="21">
        <f t="shared" si="4"/>
        <v>0</v>
      </c>
      <c r="C292" s="21" t="str">
        <f>VLOOKUP(A292, hash!A$2:B$500, 2, 0)</f>
        <v>65429927208c9c77b87ab693</v>
      </c>
      <c r="D292" s="23">
        <f t="shared" si="1"/>
        <v>0</v>
      </c>
      <c r="F292" s="45"/>
      <c r="H292" s="45"/>
      <c r="J292" s="45"/>
    </row>
    <row r="293">
      <c r="A293" s="22" t="s">
        <v>226</v>
      </c>
      <c r="B293" s="21">
        <f t="shared" si="4"/>
        <v>0</v>
      </c>
      <c r="C293" s="21" t="str">
        <f>VLOOKUP(A293, hash!A$2:B$500, 2, 0)</f>
        <v>654a6fba5f40f5f7b7c97164</v>
      </c>
      <c r="D293" s="23">
        <f t="shared" si="1"/>
        <v>0</v>
      </c>
      <c r="F293" s="45"/>
      <c r="H293" s="45"/>
      <c r="J293" s="45"/>
    </row>
    <row r="294">
      <c r="A294" s="22" t="s">
        <v>227</v>
      </c>
      <c r="B294" s="21">
        <f t="shared" si="4"/>
        <v>0</v>
      </c>
      <c r="C294" s="21" t="str">
        <f>VLOOKUP(A294, hash!A$2:B$500, 2, 0)</f>
        <v>65551bef3234b9c505dd527e</v>
      </c>
      <c r="D294" s="23">
        <f t="shared" si="1"/>
        <v>0</v>
      </c>
      <c r="F294" s="45"/>
      <c r="H294" s="45"/>
      <c r="J294" s="45"/>
    </row>
    <row r="295">
      <c r="A295" s="22" t="s">
        <v>228</v>
      </c>
      <c r="B295" s="21">
        <f t="shared" si="4"/>
        <v>0</v>
      </c>
      <c r="C295" s="21" t="str">
        <f>VLOOKUP(A295, hash!A$2:B$500, 2, 0)</f>
        <v>655528e7b6dffbe82fb08e97</v>
      </c>
      <c r="D295" s="23">
        <f t="shared" si="1"/>
        <v>0</v>
      </c>
      <c r="F295" s="45"/>
      <c r="H295" s="45"/>
      <c r="J295" s="45"/>
    </row>
    <row r="296">
      <c r="A296" s="22" t="s">
        <v>624</v>
      </c>
      <c r="B296" s="21">
        <f t="shared" si="4"/>
        <v>0</v>
      </c>
      <c r="C296" s="21" t="str">
        <f>VLOOKUP(A296, hash!A$2:B$500, 2, 0)</f>
        <v>#N/A</v>
      </c>
      <c r="D296" s="23">
        <f t="shared" si="1"/>
        <v>0</v>
      </c>
      <c r="F296" s="45"/>
      <c r="H296" s="45"/>
      <c r="J296" s="45"/>
    </row>
    <row r="297">
      <c r="A297" s="22" t="s">
        <v>229</v>
      </c>
      <c r="B297" s="21">
        <f t="shared" si="4"/>
        <v>0</v>
      </c>
      <c r="C297" s="21" t="str">
        <f>VLOOKUP(A297, hash!A$2:B$500, 2, 0)</f>
        <v>655bb33eff8d447e7d019f70</v>
      </c>
      <c r="D297" s="23">
        <f t="shared" si="1"/>
        <v>0</v>
      </c>
      <c r="F297" s="45"/>
      <c r="H297" s="45"/>
      <c r="J297" s="45"/>
    </row>
    <row r="298">
      <c r="A298" s="22" t="s">
        <v>230</v>
      </c>
      <c r="B298" s="21">
        <f t="shared" si="4"/>
        <v>0</v>
      </c>
      <c r="C298" s="21" t="str">
        <f>VLOOKUP(A298, hash!A$2:B$500, 2, 0)</f>
        <v>655bc0057093eb94b1c6cc92</v>
      </c>
      <c r="D298" s="23">
        <f t="shared" si="1"/>
        <v>0</v>
      </c>
      <c r="F298" s="45"/>
      <c r="H298" s="45"/>
      <c r="J298" s="45"/>
    </row>
    <row r="299">
      <c r="A299" s="22" t="s">
        <v>231</v>
      </c>
      <c r="B299" s="21">
        <f t="shared" si="4"/>
        <v>0</v>
      </c>
      <c r="C299" s="21" t="str">
        <f>VLOOKUP(A299, hash!A$2:B$500, 2, 0)</f>
        <v>655bc0097093eb94b1c6cc93</v>
      </c>
      <c r="D299" s="23">
        <f t="shared" si="1"/>
        <v>0</v>
      </c>
      <c r="F299" s="45"/>
      <c r="H299" s="45"/>
      <c r="J299" s="45"/>
    </row>
    <row r="300">
      <c r="A300" s="22" t="s">
        <v>625</v>
      </c>
      <c r="B300" s="21">
        <f t="shared" si="4"/>
        <v>0</v>
      </c>
      <c r="C300" s="21" t="str">
        <f>VLOOKUP(A300, hash!A$2:B$500, 2, 0)</f>
        <v>#N/A</v>
      </c>
      <c r="D300" s="23">
        <f t="shared" si="1"/>
        <v>0</v>
      </c>
      <c r="F300" s="45"/>
      <c r="H300" s="45"/>
      <c r="J300" s="45"/>
    </row>
    <row r="301">
      <c r="A301" s="22" t="s">
        <v>232</v>
      </c>
      <c r="B301" s="21">
        <f t="shared" si="4"/>
        <v>0</v>
      </c>
      <c r="C301" s="21" t="str">
        <f>VLOOKUP(A301, hash!A$2:B$500, 2, 0)</f>
        <v>6595977fb46b00d2f83c52c5</v>
      </c>
      <c r="D301" s="23">
        <f t="shared" si="1"/>
        <v>0</v>
      </c>
      <c r="F301" s="45"/>
      <c r="H301" s="45"/>
      <c r="J301" s="45"/>
    </row>
    <row r="302">
      <c r="A302" s="22" t="s">
        <v>233</v>
      </c>
      <c r="B302" s="21">
        <f t="shared" si="4"/>
        <v>0</v>
      </c>
      <c r="C302" s="21" t="str">
        <f>VLOOKUP(A302, hash!A$2:B$500, 2, 0)</f>
        <v>6595b65ec49a903206004ba0</v>
      </c>
      <c r="D302" s="23">
        <f t="shared" si="1"/>
        <v>0</v>
      </c>
      <c r="F302" s="45"/>
      <c r="H302" s="45"/>
      <c r="J302" s="45"/>
    </row>
    <row r="303">
      <c r="A303" s="22" t="s">
        <v>234</v>
      </c>
      <c r="B303" s="21">
        <f t="shared" si="4"/>
        <v>0</v>
      </c>
      <c r="C303" s="21" t="str">
        <f>VLOOKUP(A303, hash!A$2:B$500, 2, 0)</f>
        <v>6595bf45b775f9fc5a64da54</v>
      </c>
      <c r="D303" s="23">
        <f t="shared" si="1"/>
        <v>0</v>
      </c>
      <c r="F303" s="45"/>
      <c r="H303" s="45"/>
      <c r="J303" s="45"/>
    </row>
    <row r="304">
      <c r="A304" s="22" t="s">
        <v>235</v>
      </c>
      <c r="B304" s="21">
        <f t="shared" si="4"/>
        <v>0</v>
      </c>
      <c r="C304" s="21" t="str">
        <f>VLOOKUP(A304, hash!A$2:B$500, 2, 0)</f>
        <v>6595c208b775f9fc5a64da66</v>
      </c>
      <c r="D304" s="23">
        <f t="shared" si="1"/>
        <v>0</v>
      </c>
      <c r="F304" s="45"/>
      <c r="H304" s="45"/>
      <c r="J304" s="45"/>
    </row>
    <row r="305">
      <c r="A305" s="22" t="s">
        <v>236</v>
      </c>
      <c r="B305" s="21">
        <f t="shared" si="4"/>
        <v>0</v>
      </c>
      <c r="C305" s="21" t="str">
        <f>VLOOKUP(A305, hash!A$2:B$500, 2, 0)</f>
        <v>6595c23e2fa1031babec0ce3</v>
      </c>
      <c r="D305" s="23">
        <f t="shared" si="1"/>
        <v>0</v>
      </c>
      <c r="F305" s="45"/>
      <c r="H305" s="45"/>
      <c r="J305" s="45"/>
    </row>
    <row r="306">
      <c r="A306" s="22" t="s">
        <v>237</v>
      </c>
      <c r="B306" s="21">
        <f t="shared" si="4"/>
        <v>0</v>
      </c>
      <c r="C306" s="21" t="str">
        <f>VLOOKUP(A306, hash!A$2:B$500, 2, 0)</f>
        <v>6595c391cd5b972b6b680d1b</v>
      </c>
      <c r="D306" s="23">
        <f t="shared" si="1"/>
        <v>0</v>
      </c>
      <c r="F306" s="45"/>
      <c r="H306" s="45"/>
      <c r="J306" s="45"/>
    </row>
    <row r="307">
      <c r="A307" s="22" t="s">
        <v>626</v>
      </c>
      <c r="B307" s="21">
        <f t="shared" si="4"/>
        <v>0</v>
      </c>
      <c r="C307" s="21" t="str">
        <f>VLOOKUP(A307, hash!A$2:B$500, 2, 0)</f>
        <v>#N/A</v>
      </c>
      <c r="D307" s="23">
        <f t="shared" si="1"/>
        <v>0</v>
      </c>
      <c r="F307" s="45"/>
      <c r="H307" s="45"/>
      <c r="J307" s="45"/>
    </row>
    <row r="308">
      <c r="A308" s="22" t="s">
        <v>627</v>
      </c>
      <c r="B308" s="21">
        <f t="shared" si="4"/>
        <v>0</v>
      </c>
      <c r="C308" s="21" t="str">
        <f>VLOOKUP(A308, hash!A$2:B$500, 2, 0)</f>
        <v>#N/A</v>
      </c>
      <c r="D308" s="23">
        <f t="shared" si="1"/>
        <v>0</v>
      </c>
      <c r="F308" s="45"/>
      <c r="H308" s="45"/>
      <c r="J308" s="45"/>
    </row>
    <row r="309">
      <c r="A309" s="22" t="s">
        <v>628</v>
      </c>
      <c r="B309" s="21">
        <f t="shared" si="4"/>
        <v>0</v>
      </c>
      <c r="C309" s="21" t="str">
        <f>VLOOKUP(A309, hash!A$2:B$500, 2, 0)</f>
        <v>#N/A</v>
      </c>
      <c r="D309" s="23">
        <f t="shared" si="1"/>
        <v>0</v>
      </c>
      <c r="F309" s="45"/>
      <c r="H309" s="45"/>
      <c r="J309" s="45"/>
    </row>
    <row r="310">
      <c r="A310" s="22" t="s">
        <v>238</v>
      </c>
      <c r="B310" s="21">
        <f t="shared" si="4"/>
        <v>0</v>
      </c>
      <c r="C310" s="21" t="str">
        <f>VLOOKUP(A310, hash!A$2:B$500, 2, 0)</f>
        <v>65ba9f33f33e907d7c81d87a</v>
      </c>
      <c r="D310" s="23">
        <f t="shared" si="1"/>
        <v>0</v>
      </c>
      <c r="F310" s="45"/>
      <c r="H310" s="45"/>
      <c r="J310" s="45"/>
    </row>
    <row r="311">
      <c r="A311" s="22" t="s">
        <v>239</v>
      </c>
      <c r="B311" s="21">
        <f t="shared" si="4"/>
        <v>0</v>
      </c>
      <c r="C311" s="21" t="str">
        <f>VLOOKUP(A311, hash!A$2:B$500, 2, 0)</f>
        <v>65baa01d2b367c7ed72fe8b9</v>
      </c>
      <c r="D311" s="23">
        <f t="shared" si="1"/>
        <v>0</v>
      </c>
      <c r="F311" s="45"/>
      <c r="H311" s="45"/>
      <c r="J311" s="45"/>
    </row>
    <row r="312">
      <c r="A312" s="22" t="s">
        <v>629</v>
      </c>
      <c r="B312" s="21">
        <f t="shared" si="4"/>
        <v>0</v>
      </c>
      <c r="C312" s="21" t="str">
        <f>VLOOKUP(A312, hash!A$2:B$500, 2, 0)</f>
        <v>#N/A</v>
      </c>
      <c r="D312" s="23">
        <f t="shared" si="1"/>
        <v>0</v>
      </c>
      <c r="F312" s="45"/>
      <c r="H312" s="45"/>
      <c r="J312" s="45"/>
    </row>
    <row r="313">
      <c r="A313" s="22" t="s">
        <v>240</v>
      </c>
      <c r="B313" s="21">
        <f t="shared" si="4"/>
        <v>0</v>
      </c>
      <c r="C313" s="21" t="str">
        <f>VLOOKUP(A313, hash!A$2:B$500, 2, 0)</f>
        <v>65baa01e2b367c7ed72fe8bb</v>
      </c>
      <c r="D313" s="23">
        <f t="shared" si="1"/>
        <v>0</v>
      </c>
      <c r="F313" s="45"/>
      <c r="H313" s="45"/>
      <c r="J313" s="45"/>
    </row>
    <row r="314">
      <c r="A314" s="22" t="s">
        <v>630</v>
      </c>
      <c r="B314" s="21">
        <f t="shared" si="4"/>
        <v>0</v>
      </c>
      <c r="C314" s="21" t="str">
        <f>VLOOKUP(A314, hash!A$2:B$500, 2, 0)</f>
        <v>#N/A</v>
      </c>
      <c r="D314" s="23">
        <f t="shared" si="1"/>
        <v>0</v>
      </c>
      <c r="F314" s="45"/>
      <c r="H314" s="45"/>
      <c r="J314" s="45"/>
    </row>
    <row r="315">
      <c r="A315" s="22" t="s">
        <v>631</v>
      </c>
      <c r="B315" s="21">
        <f t="shared" si="4"/>
        <v>0</v>
      </c>
      <c r="C315" s="21" t="str">
        <f>VLOOKUP(A315, hash!A$2:B$500, 2, 0)</f>
        <v>#N/A</v>
      </c>
      <c r="D315" s="23">
        <f t="shared" si="1"/>
        <v>0</v>
      </c>
      <c r="F315" s="45"/>
      <c r="H315" s="45"/>
      <c r="J315" s="45"/>
    </row>
    <row r="316">
      <c r="A316" s="22" t="s">
        <v>241</v>
      </c>
      <c r="B316" s="21">
        <f t="shared" si="4"/>
        <v>0</v>
      </c>
      <c r="C316" s="21" t="str">
        <f>VLOOKUP(A316, hash!A$2:B$500, 2, 0)</f>
        <v>65baa03da330104d5ca80be5</v>
      </c>
      <c r="D316" s="23">
        <f t="shared" si="1"/>
        <v>0</v>
      </c>
      <c r="F316" s="45"/>
      <c r="H316" s="45"/>
      <c r="J316" s="45"/>
    </row>
    <row r="317">
      <c r="A317" s="22" t="s">
        <v>632</v>
      </c>
      <c r="B317" s="21">
        <f t="shared" si="4"/>
        <v>0</v>
      </c>
      <c r="C317" s="21" t="str">
        <f>VLOOKUP(A317, hash!A$2:B$500, 2, 0)</f>
        <v>#N/A</v>
      </c>
      <c r="D317" s="23">
        <f t="shared" si="1"/>
        <v>0</v>
      </c>
      <c r="F317" s="45"/>
      <c r="H317" s="45"/>
      <c r="J317" s="45"/>
    </row>
    <row r="318">
      <c r="A318" s="22" t="s">
        <v>633</v>
      </c>
      <c r="B318" s="21">
        <f t="shared" si="4"/>
        <v>0</v>
      </c>
      <c r="C318" s="21" t="str">
        <f>VLOOKUP(A318, hash!A$2:B$500, 2, 0)</f>
        <v>#N/A</v>
      </c>
      <c r="D318" s="23">
        <f t="shared" si="1"/>
        <v>0</v>
      </c>
      <c r="F318" s="45"/>
      <c r="H318" s="45"/>
      <c r="J318" s="45"/>
    </row>
    <row r="319">
      <c r="A319" s="22" t="s">
        <v>242</v>
      </c>
      <c r="B319" s="21">
        <f t="shared" si="4"/>
        <v>0</v>
      </c>
      <c r="C319" s="21" t="str">
        <f>VLOOKUP(A319, hash!A$2:B$500, 2, 0)</f>
        <v>65baadabac6fa639d08b8070</v>
      </c>
      <c r="D319" s="23">
        <f t="shared" si="1"/>
        <v>0</v>
      </c>
      <c r="F319" s="45"/>
      <c r="H319" s="45"/>
      <c r="J319" s="45"/>
    </row>
    <row r="320">
      <c r="A320" s="22" t="s">
        <v>243</v>
      </c>
      <c r="B320" s="21">
        <f t="shared" si="4"/>
        <v>0</v>
      </c>
      <c r="C320" s="21" t="str">
        <f>VLOOKUP(A320, hash!A$2:B$500, 2, 0)</f>
        <v>65baadd90004ffbc54b03ece</v>
      </c>
      <c r="D320" s="23">
        <f t="shared" si="1"/>
        <v>0</v>
      </c>
      <c r="F320" s="45"/>
      <c r="H320" s="45"/>
      <c r="J320" s="45"/>
    </row>
    <row r="321">
      <c r="A321" s="22" t="s">
        <v>244</v>
      </c>
      <c r="B321" s="21">
        <f t="shared" si="4"/>
        <v>0</v>
      </c>
      <c r="C321" s="21" t="str">
        <f>VLOOKUP(A321, hash!A$2:B$500, 2, 0)</f>
        <v>65baadf10004ffbc54b03ed0</v>
      </c>
      <c r="D321" s="23">
        <f t="shared" si="1"/>
        <v>0</v>
      </c>
      <c r="F321" s="45"/>
      <c r="H321" s="45"/>
      <c r="J321" s="45"/>
    </row>
    <row r="322">
      <c r="A322" s="22" t="s">
        <v>245</v>
      </c>
      <c r="B322" s="21">
        <f t="shared" si="4"/>
        <v>0</v>
      </c>
      <c r="C322" s="21" t="str">
        <f>VLOOKUP(A322, hash!A$2:B$500, 2, 0)</f>
        <v>65bab1380004ffbc54b03ee7</v>
      </c>
      <c r="D322" s="23">
        <f t="shared" si="1"/>
        <v>0</v>
      </c>
      <c r="F322" s="45"/>
      <c r="H322" s="45"/>
      <c r="J322" s="45"/>
    </row>
    <row r="323">
      <c r="A323" s="22" t="s">
        <v>246</v>
      </c>
      <c r="B323" s="21">
        <f t="shared" si="4"/>
        <v>0</v>
      </c>
      <c r="C323" s="21" t="str">
        <f>VLOOKUP(A323, hash!A$2:B$500, 2, 0)</f>
        <v>65bab52de7bd7da7ace0d1c3</v>
      </c>
      <c r="D323" s="23">
        <f t="shared" si="1"/>
        <v>0</v>
      </c>
      <c r="F323" s="45"/>
      <c r="H323" s="45"/>
      <c r="J323" s="45"/>
    </row>
    <row r="324">
      <c r="A324" s="22" t="s">
        <v>247</v>
      </c>
      <c r="B324" s="21">
        <f t="shared" si="4"/>
        <v>0</v>
      </c>
      <c r="C324" s="21" t="str">
        <f>VLOOKUP(A324, hash!A$2:B$500, 2, 0)</f>
        <v>65bb2c752930129875dd966e</v>
      </c>
      <c r="D324" s="23">
        <f t="shared" si="1"/>
        <v>0</v>
      </c>
      <c r="F324" s="45"/>
      <c r="H324" s="45"/>
      <c r="J324" s="45"/>
    </row>
    <row r="325">
      <c r="A325" s="22" t="s">
        <v>248</v>
      </c>
      <c r="B325" s="21">
        <f t="shared" si="4"/>
        <v>0</v>
      </c>
      <c r="C325" s="21" t="str">
        <f>VLOOKUP(A325, hash!A$2:B$500, 2, 0)</f>
        <v>65c3d9c7d68ebf8c5aaf9473</v>
      </c>
      <c r="D325" s="23">
        <f t="shared" si="1"/>
        <v>0</v>
      </c>
      <c r="F325" s="45"/>
      <c r="H325" s="45"/>
      <c r="J325" s="45"/>
    </row>
    <row r="326">
      <c r="A326" s="22" t="s">
        <v>249</v>
      </c>
      <c r="B326" s="21">
        <f t="shared" si="4"/>
        <v>0</v>
      </c>
      <c r="C326" s="21" t="str">
        <f>VLOOKUP(A326, hash!A$2:B$500, 2, 0)</f>
        <v>65c3db43dc2e959b628fb2d3</v>
      </c>
      <c r="D326" s="23">
        <f t="shared" si="1"/>
        <v>0</v>
      </c>
      <c r="F326" s="45"/>
      <c r="H326" s="45"/>
      <c r="J326" s="45"/>
    </row>
    <row r="327">
      <c r="A327" s="22" t="s">
        <v>250</v>
      </c>
      <c r="B327" s="21">
        <f t="shared" si="4"/>
        <v>0</v>
      </c>
      <c r="C327" s="21" t="str">
        <f>VLOOKUP(A327, hash!A$2:B$500, 2, 0)</f>
        <v>65c3e17176cb308ec1a40c91</v>
      </c>
      <c r="D327" s="23">
        <f t="shared" si="1"/>
        <v>0</v>
      </c>
      <c r="F327" s="45"/>
      <c r="H327" s="45"/>
      <c r="J327" s="45"/>
    </row>
    <row r="328">
      <c r="A328" s="22" t="s">
        <v>251</v>
      </c>
      <c r="B328" s="21">
        <f t="shared" si="4"/>
        <v>0</v>
      </c>
      <c r="C328" s="21" t="str">
        <f>VLOOKUP(A328, hash!A$2:B$500, 2, 0)</f>
        <v>65c3e474f24067cac00a6560</v>
      </c>
      <c r="D328" s="23">
        <f t="shared" si="1"/>
        <v>0</v>
      </c>
      <c r="F328" s="45"/>
      <c r="H328" s="45"/>
      <c r="J328" s="45"/>
    </row>
    <row r="329">
      <c r="A329" s="22" t="s">
        <v>252</v>
      </c>
      <c r="B329" s="21">
        <f t="shared" si="4"/>
        <v>0</v>
      </c>
      <c r="C329" s="21" t="str">
        <f>VLOOKUP(A329, hash!A$2:B$500, 2, 0)</f>
        <v>65c3e7519c89c663f1bf9f3a</v>
      </c>
      <c r="D329" s="23">
        <f t="shared" si="1"/>
        <v>0</v>
      </c>
      <c r="F329" s="45"/>
      <c r="H329" s="45"/>
      <c r="J329" s="45"/>
    </row>
    <row r="330">
      <c r="A330" s="22" t="s">
        <v>253</v>
      </c>
      <c r="B330" s="21">
        <f t="shared" si="4"/>
        <v>0</v>
      </c>
      <c r="C330" s="21" t="str">
        <f>VLOOKUP(A330, hash!A$2:B$500, 2, 0)</f>
        <v>65c404d5adbf166dfd681f4c</v>
      </c>
      <c r="D330" s="23">
        <f t="shared" si="1"/>
        <v>0</v>
      </c>
      <c r="F330" s="45"/>
      <c r="H330" s="45"/>
      <c r="J330" s="45"/>
    </row>
    <row r="331">
      <c r="A331" s="22" t="s">
        <v>254</v>
      </c>
      <c r="B331" s="21">
        <f t="shared" si="4"/>
        <v>0</v>
      </c>
      <c r="C331" s="21" t="str">
        <f>VLOOKUP(A331, hash!A$2:B$500, 2, 0)</f>
        <v>65c452c7bdf2b49b06b9f1e8</v>
      </c>
      <c r="D331" s="23">
        <f t="shared" si="1"/>
        <v>0</v>
      </c>
      <c r="F331" s="45"/>
      <c r="H331" s="45"/>
      <c r="J331" s="45"/>
    </row>
    <row r="332">
      <c r="A332" s="22" t="s">
        <v>634</v>
      </c>
      <c r="B332" s="21">
        <f t="shared" si="4"/>
        <v>0</v>
      </c>
      <c r="C332" s="21" t="str">
        <f>VLOOKUP(A332, hash!A$2:B$500, 2, 0)</f>
        <v>#N/A</v>
      </c>
      <c r="D332" s="23">
        <f t="shared" si="1"/>
        <v>0</v>
      </c>
      <c r="F332" s="45"/>
      <c r="H332" s="45"/>
      <c r="J332" s="45"/>
    </row>
    <row r="333">
      <c r="A333" s="22" t="s">
        <v>635</v>
      </c>
      <c r="B333" s="21">
        <f t="shared" si="4"/>
        <v>0</v>
      </c>
      <c r="C333" s="21" t="str">
        <f>VLOOKUP(A333, hash!A$2:B$500, 2, 0)</f>
        <v>#N/A</v>
      </c>
      <c r="D333" s="23">
        <f t="shared" si="1"/>
        <v>0</v>
      </c>
      <c r="F333" s="45"/>
      <c r="H333" s="45"/>
      <c r="J333" s="45"/>
    </row>
    <row r="334">
      <c r="A334" s="22" t="s">
        <v>636</v>
      </c>
      <c r="B334" s="21">
        <f t="shared" si="4"/>
        <v>0</v>
      </c>
      <c r="C334" s="21" t="str">
        <f>VLOOKUP(A334, hash!A$2:B$500, 2, 0)</f>
        <v>#N/A</v>
      </c>
      <c r="D334" s="23">
        <f t="shared" si="1"/>
        <v>0</v>
      </c>
      <c r="F334" s="45"/>
      <c r="H334" s="45"/>
      <c r="J334" s="45"/>
    </row>
    <row r="335">
      <c r="A335" s="22" t="s">
        <v>637</v>
      </c>
      <c r="B335" s="21">
        <f t="shared" si="4"/>
        <v>0</v>
      </c>
      <c r="C335" s="21" t="str">
        <f>VLOOKUP(A335, hash!A$2:B$500, 2, 0)</f>
        <v>#N/A</v>
      </c>
      <c r="D335" s="23">
        <f t="shared" si="1"/>
        <v>0</v>
      </c>
      <c r="F335" s="45"/>
      <c r="H335" s="45"/>
      <c r="J335" s="45"/>
    </row>
    <row r="336">
      <c r="A336" s="22" t="s">
        <v>255</v>
      </c>
      <c r="B336" s="21">
        <f t="shared" si="4"/>
        <v>0</v>
      </c>
      <c r="C336" s="21" t="str">
        <f>VLOOKUP(A336, hash!A$2:B$500, 2, 0)</f>
        <v>65cd13d251407ce2e1c4e690</v>
      </c>
      <c r="D336" s="23">
        <f t="shared" si="1"/>
        <v>0</v>
      </c>
      <c r="F336" s="45"/>
      <c r="H336" s="45"/>
      <c r="J336" s="45"/>
    </row>
    <row r="337">
      <c r="A337" s="22" t="s">
        <v>256</v>
      </c>
      <c r="B337" s="21">
        <f t="shared" si="4"/>
        <v>0</v>
      </c>
      <c r="C337" s="21" t="str">
        <f>VLOOKUP(A337, hash!A$2:B$500, 2, 0)</f>
        <v>65cd13f6adf37a1fed1cd455</v>
      </c>
      <c r="D337" s="23">
        <f t="shared" si="1"/>
        <v>0</v>
      </c>
      <c r="F337" s="45"/>
      <c r="H337" s="45"/>
      <c r="J337" s="45"/>
    </row>
    <row r="338">
      <c r="A338" s="22" t="s">
        <v>638</v>
      </c>
      <c r="B338" s="21">
        <f t="shared" si="4"/>
        <v>0</v>
      </c>
      <c r="C338" s="21" t="str">
        <f>VLOOKUP(A338, hash!A$2:B$500, 2, 0)</f>
        <v>#N/A</v>
      </c>
      <c r="D338" s="23">
        <f t="shared" si="1"/>
        <v>0</v>
      </c>
      <c r="F338" s="45"/>
      <c r="H338" s="45"/>
      <c r="J338" s="45"/>
    </row>
    <row r="339">
      <c r="A339" s="22" t="s">
        <v>257</v>
      </c>
      <c r="B339" s="21">
        <f t="shared" si="4"/>
        <v>0</v>
      </c>
      <c r="C339" s="21" t="str">
        <f>VLOOKUP(A339, hash!A$2:B$500, 2, 0)</f>
        <v>65cd2a48c6e20b3c3d4798b8</v>
      </c>
      <c r="D339" s="23">
        <f t="shared" si="1"/>
        <v>0</v>
      </c>
      <c r="F339" s="45"/>
      <c r="H339" s="45"/>
      <c r="J339" s="45"/>
    </row>
    <row r="340">
      <c r="A340" s="22" t="s">
        <v>258</v>
      </c>
      <c r="B340" s="21">
        <f t="shared" si="4"/>
        <v>0</v>
      </c>
      <c r="C340" s="21" t="str">
        <f>VLOOKUP(A340, hash!A$2:B$500, 2, 0)</f>
        <v>65d65a5fe2aa0ab4944e133f</v>
      </c>
      <c r="D340" s="23">
        <f t="shared" si="1"/>
        <v>0</v>
      </c>
      <c r="F340" s="45"/>
      <c r="H340" s="45"/>
      <c r="J340" s="45"/>
    </row>
    <row r="341">
      <c r="A341" s="22" t="s">
        <v>259</v>
      </c>
      <c r="B341" s="21">
        <f t="shared" si="4"/>
        <v>0</v>
      </c>
      <c r="C341" s="21" t="str">
        <f>VLOOKUP(A341, hash!A$2:B$500, 2, 0)</f>
        <v>65d65b94ec98c933c1065a3c</v>
      </c>
      <c r="D341" s="23">
        <f t="shared" si="1"/>
        <v>0</v>
      </c>
      <c r="F341" s="45"/>
      <c r="H341" s="45"/>
      <c r="J341" s="45"/>
    </row>
    <row r="342">
      <c r="A342" s="22" t="s">
        <v>260</v>
      </c>
      <c r="B342" s="21">
        <f t="shared" si="4"/>
        <v>0</v>
      </c>
      <c r="C342" s="21" t="str">
        <f>VLOOKUP(A342, hash!A$2:B$500, 2, 0)</f>
        <v>65d65bdbec98c933c1065a41</v>
      </c>
      <c r="D342" s="23">
        <f t="shared" si="1"/>
        <v>0</v>
      </c>
      <c r="F342" s="45"/>
      <c r="H342" s="45"/>
      <c r="J342" s="45"/>
    </row>
    <row r="343">
      <c r="A343" s="22" t="s">
        <v>261</v>
      </c>
      <c r="B343" s="21">
        <f t="shared" si="4"/>
        <v>0</v>
      </c>
      <c r="C343" s="21" t="str">
        <f>VLOOKUP(A343, hash!A$2:B$500, 2, 0)</f>
        <v>65d65beaec98c933c1065a42</v>
      </c>
      <c r="D343" s="23">
        <f t="shared" si="1"/>
        <v>0</v>
      </c>
      <c r="F343" s="45"/>
      <c r="H343" s="45"/>
      <c r="J343" s="45"/>
    </row>
    <row r="344">
      <c r="A344" s="22" t="s">
        <v>262</v>
      </c>
      <c r="B344" s="21">
        <f t="shared" si="4"/>
        <v>0</v>
      </c>
      <c r="C344" s="21" t="str">
        <f>VLOOKUP(A344, hash!A$2:B$500, 2, 0)</f>
        <v>65d65befec98c933c1065a43</v>
      </c>
      <c r="D344" s="23">
        <f t="shared" si="1"/>
        <v>0</v>
      </c>
      <c r="F344" s="45"/>
      <c r="H344" s="45"/>
      <c r="J344" s="45"/>
    </row>
    <row r="345">
      <c r="A345" s="22" t="s">
        <v>263</v>
      </c>
      <c r="B345" s="21">
        <f t="shared" si="4"/>
        <v>0</v>
      </c>
      <c r="C345" s="21" t="str">
        <f>VLOOKUP(A345, hash!A$2:B$500, 2, 0)</f>
        <v>65fb2f31f305810d3c392009</v>
      </c>
      <c r="D345" s="23">
        <f t="shared" si="1"/>
        <v>0</v>
      </c>
      <c r="F345" s="45"/>
      <c r="H345" s="45"/>
      <c r="J345" s="45"/>
    </row>
    <row r="346">
      <c r="A346" s="22" t="s">
        <v>639</v>
      </c>
      <c r="B346" s="21">
        <f t="shared" si="4"/>
        <v>0</v>
      </c>
      <c r="C346" s="21" t="str">
        <f>VLOOKUP(A346, hash!A$2:B$500, 2, 0)</f>
        <v>#N/A</v>
      </c>
      <c r="D346" s="23">
        <f t="shared" si="1"/>
        <v>0</v>
      </c>
      <c r="F346" s="45"/>
      <c r="H346" s="45"/>
      <c r="J346" s="45"/>
    </row>
    <row r="347">
      <c r="A347" s="22" t="s">
        <v>264</v>
      </c>
      <c r="B347" s="21">
        <f t="shared" si="4"/>
        <v>0</v>
      </c>
      <c r="C347" s="21" t="str">
        <f>VLOOKUP(A347, hash!A$2:B$500, 2, 0)</f>
        <v>661437cbd0884a240a6505ae</v>
      </c>
      <c r="D347" s="23">
        <f t="shared" si="1"/>
        <v>0</v>
      </c>
      <c r="F347" s="45"/>
      <c r="H347" s="45"/>
      <c r="J347" s="45"/>
    </row>
    <row r="348">
      <c r="A348" s="22" t="s">
        <v>265</v>
      </c>
      <c r="B348" s="21">
        <f t="shared" si="4"/>
        <v>0</v>
      </c>
      <c r="C348" s="21" t="str">
        <f>VLOOKUP(A348, hash!A$2:B$500, 2, 0)</f>
        <v>66144853927e0e420e0cbc96</v>
      </c>
      <c r="D348" s="23">
        <f t="shared" si="1"/>
        <v>0</v>
      </c>
      <c r="F348" s="45"/>
      <c r="H348" s="45"/>
      <c r="J348" s="45"/>
    </row>
    <row r="349">
      <c r="A349" s="22" t="s">
        <v>266</v>
      </c>
      <c r="B349" s="21">
        <f t="shared" si="4"/>
        <v>0</v>
      </c>
      <c r="C349" s="21" t="str">
        <f>VLOOKUP(A349, hash!A$2:B$500, 2, 0)</f>
        <v>6614485b927e0e420e0cbc97</v>
      </c>
      <c r="D349" s="23">
        <f t="shared" si="1"/>
        <v>0</v>
      </c>
      <c r="F349" s="45"/>
      <c r="H349" s="45"/>
      <c r="J349" s="45"/>
    </row>
    <row r="350">
      <c r="A350" s="22" t="s">
        <v>267</v>
      </c>
      <c r="B350" s="21">
        <f t="shared" si="4"/>
        <v>0</v>
      </c>
      <c r="C350" s="21" t="str">
        <f>VLOOKUP(A350, hash!A$2:B$500, 2, 0)</f>
        <v>6614485f927e0e420e0cbc99</v>
      </c>
      <c r="D350" s="23">
        <f t="shared" si="1"/>
        <v>0</v>
      </c>
      <c r="F350" s="45"/>
      <c r="H350" s="45"/>
      <c r="J350" s="45"/>
    </row>
    <row r="351">
      <c r="A351" s="22" t="s">
        <v>640</v>
      </c>
      <c r="B351" s="21">
        <f t="shared" si="4"/>
        <v>0</v>
      </c>
      <c r="C351" s="21" t="str">
        <f>VLOOKUP(A351, hash!A$2:B$500, 2, 0)</f>
        <v>#N/A</v>
      </c>
      <c r="D351" s="23">
        <f t="shared" si="1"/>
        <v>0</v>
      </c>
      <c r="F351" s="45"/>
      <c r="H351" s="45"/>
      <c r="J351" s="45"/>
    </row>
    <row r="352">
      <c r="A352" s="22" t="s">
        <v>641</v>
      </c>
      <c r="B352" s="21">
        <f t="shared" si="4"/>
        <v>0</v>
      </c>
      <c r="C352" s="21" t="str">
        <f>VLOOKUP(A352, hash!A$2:B$500, 2, 0)</f>
        <v>#N/A</v>
      </c>
      <c r="D352" s="23">
        <f t="shared" si="1"/>
        <v>0</v>
      </c>
      <c r="F352" s="45"/>
      <c r="H352" s="45"/>
      <c r="J352" s="45"/>
    </row>
    <row r="353">
      <c r="A353" s="22" t="s">
        <v>268</v>
      </c>
      <c r="B353" s="21">
        <f t="shared" si="4"/>
        <v>0</v>
      </c>
      <c r="C353" s="21" t="str">
        <f>VLOOKUP(A353, hash!A$2:B$500, 2, 0)</f>
        <v>662950e951eb7e9e714289d0</v>
      </c>
      <c r="D353" s="23">
        <f t="shared" si="1"/>
        <v>0</v>
      </c>
      <c r="F353" s="45"/>
      <c r="H353" s="45"/>
      <c r="J353" s="45"/>
    </row>
    <row r="354">
      <c r="A354" s="22" t="s">
        <v>269</v>
      </c>
      <c r="B354" s="21">
        <f t="shared" si="4"/>
        <v>0</v>
      </c>
      <c r="C354" s="21" t="str">
        <f>VLOOKUP(A354, hash!A$2:B$500, 2, 0)</f>
        <v>66328a4fa55f727a8c1b9f8b</v>
      </c>
      <c r="D354" s="23">
        <f t="shared" si="1"/>
        <v>0</v>
      </c>
      <c r="F354" s="45"/>
      <c r="H354" s="45"/>
      <c r="J354" s="45"/>
    </row>
    <row r="355">
      <c r="A355" s="22" t="s">
        <v>270</v>
      </c>
      <c r="B355" s="21">
        <f t="shared" si="4"/>
        <v>0</v>
      </c>
      <c r="C355" s="21" t="str">
        <f>VLOOKUP(A355, hash!A$2:B$500, 2, 0)</f>
        <v>66328a501875b701f3af072f</v>
      </c>
      <c r="D355" s="23">
        <f t="shared" si="1"/>
        <v>0</v>
      </c>
      <c r="F355" s="45"/>
      <c r="H355" s="45"/>
      <c r="J355" s="45"/>
    </row>
    <row r="356">
      <c r="A356" s="22" t="s">
        <v>271</v>
      </c>
      <c r="B356" s="21">
        <f t="shared" si="4"/>
        <v>0</v>
      </c>
      <c r="C356" s="21" t="str">
        <f>VLOOKUP(A356, hash!A$2:B$500, 2, 0)</f>
        <v>663a810cfd55cc6d42fc3373</v>
      </c>
      <c r="D356" s="23">
        <f t="shared" si="1"/>
        <v>0</v>
      </c>
      <c r="F356" s="45"/>
      <c r="H356" s="45"/>
      <c r="J356" s="45"/>
    </row>
    <row r="357">
      <c r="A357" s="22" t="s">
        <v>272</v>
      </c>
      <c r="B357" s="21">
        <f t="shared" si="4"/>
        <v>0</v>
      </c>
      <c r="C357" s="21" t="str">
        <f>VLOOKUP(A357, hash!A$2:B$500, 2, 0)</f>
        <v>66450a83df126c7d8f1e547c</v>
      </c>
      <c r="D357" s="23">
        <f t="shared" si="1"/>
        <v>0</v>
      </c>
      <c r="F357" s="45"/>
      <c r="H357" s="45"/>
      <c r="J357" s="45"/>
    </row>
    <row r="358">
      <c r="A358" s="22" t="s">
        <v>273</v>
      </c>
      <c r="B358" s="21">
        <f t="shared" si="4"/>
        <v>0</v>
      </c>
      <c r="C358" s="21" t="str">
        <f>VLOOKUP(A358, hash!A$2:B$500, 2, 0)</f>
        <v>664e3a49317dec867b3ddb30</v>
      </c>
      <c r="D358" s="23">
        <f t="shared" si="1"/>
        <v>0</v>
      </c>
      <c r="F358" s="45"/>
      <c r="H358" s="45"/>
      <c r="J358" s="45"/>
    </row>
    <row r="359">
      <c r="A359" s="22" t="s">
        <v>274</v>
      </c>
      <c r="B359" s="21">
        <f t="shared" si="4"/>
        <v>0</v>
      </c>
      <c r="C359" s="21" t="str">
        <f>VLOOKUP(A359, hash!A$2:B$500, 2, 0)</f>
        <v>664e45f07cadce18e9e94600</v>
      </c>
      <c r="D359" s="23">
        <f t="shared" si="1"/>
        <v>0</v>
      </c>
      <c r="F359" s="45"/>
      <c r="H359" s="45"/>
      <c r="J359" s="45"/>
    </row>
    <row r="360">
      <c r="A360" s="22" t="s">
        <v>275</v>
      </c>
      <c r="B360" s="21">
        <f t="shared" si="4"/>
        <v>0</v>
      </c>
      <c r="C360" s="21" t="str">
        <f>VLOOKUP(A360, hash!A$2:B$500, 2, 0)</f>
        <v>665773d4af4d86d206115ffb</v>
      </c>
      <c r="D360" s="23">
        <f t="shared" si="1"/>
        <v>0</v>
      </c>
      <c r="F360" s="45"/>
      <c r="H360" s="45"/>
      <c r="J360" s="45"/>
    </row>
    <row r="361">
      <c r="A361" s="22" t="s">
        <v>642</v>
      </c>
      <c r="B361" s="21">
        <f t="shared" si="4"/>
        <v>0</v>
      </c>
      <c r="C361" s="21" t="str">
        <f>VLOOKUP(A361, hash!A$2:B$500, 2, 0)</f>
        <v>#N/A</v>
      </c>
      <c r="D361" s="23">
        <f t="shared" si="1"/>
        <v>0</v>
      </c>
      <c r="F361" s="45"/>
      <c r="H361" s="45"/>
      <c r="J361" s="45"/>
    </row>
    <row r="362">
      <c r="A362" s="22" t="s">
        <v>643</v>
      </c>
      <c r="B362" s="21">
        <f t="shared" si="4"/>
        <v>0</v>
      </c>
      <c r="C362" s="21" t="str">
        <f>VLOOKUP(A362, hash!A$2:B$500, 2, 0)</f>
        <v>#N/A</v>
      </c>
      <c r="D362" s="23">
        <f t="shared" si="1"/>
        <v>0</v>
      </c>
      <c r="F362" s="45"/>
      <c r="H362" s="45"/>
      <c r="J362" s="45"/>
    </row>
    <row r="363">
      <c r="A363" s="22" t="s">
        <v>276</v>
      </c>
      <c r="B363" s="21">
        <f t="shared" si="4"/>
        <v>0</v>
      </c>
      <c r="C363" s="21" t="str">
        <f>VLOOKUP(A363, hash!A$2:B$500, 2, 0)</f>
        <v>66cac517e3728ef7a173d5b4</v>
      </c>
      <c r="D363" s="23">
        <f t="shared" si="1"/>
        <v>0</v>
      </c>
      <c r="F363" s="45"/>
      <c r="H363" s="45"/>
      <c r="J363" s="45"/>
    </row>
    <row r="364">
      <c r="A364" s="22" t="s">
        <v>277</v>
      </c>
      <c r="B364" s="21">
        <f t="shared" si="4"/>
        <v>0</v>
      </c>
      <c r="C364" s="21" t="str">
        <f>VLOOKUP(A364, hash!A$2:B$500, 2, 0)</f>
        <v>66d4dfe22c49b6570be6d76d</v>
      </c>
      <c r="D364" s="23">
        <f t="shared" si="1"/>
        <v>0</v>
      </c>
      <c r="E364" s="14">
        <v>0.0</v>
      </c>
      <c r="F364" s="27">
        <v>0.0</v>
      </c>
      <c r="G364" s="14">
        <v>0.0</v>
      </c>
      <c r="H364" s="27">
        <v>0.0</v>
      </c>
      <c r="I364" s="14">
        <v>0.0</v>
      </c>
      <c r="J364" s="27">
        <v>0.0</v>
      </c>
    </row>
    <row r="365">
      <c r="A365" s="22" t="s">
        <v>278</v>
      </c>
      <c r="B365" s="21">
        <f t="shared" si="4"/>
        <v>0</v>
      </c>
      <c r="C365" s="21" t="str">
        <f>VLOOKUP(A365, hash!A$2:B$500, 2, 0)</f>
        <v>66db0378ada861be3f1186a3</v>
      </c>
      <c r="D365" s="23">
        <f t="shared" si="1"/>
        <v>0</v>
      </c>
      <c r="F365" s="45"/>
      <c r="H365" s="45"/>
      <c r="J365" s="45"/>
    </row>
    <row r="366">
      <c r="A366" s="22" t="s">
        <v>279</v>
      </c>
      <c r="B366" s="21">
        <f t="shared" si="4"/>
        <v>0</v>
      </c>
      <c r="C366" s="21" t="str">
        <f>VLOOKUP(A366, hash!A$2:B$500, 2, 0)</f>
        <v>66dfaa6ed25069720af3c493</v>
      </c>
      <c r="D366" s="23">
        <f t="shared" si="1"/>
        <v>0</v>
      </c>
      <c r="E366" s="14">
        <v>0.0</v>
      </c>
      <c r="F366" s="27">
        <v>0.0</v>
      </c>
      <c r="G366" s="14">
        <v>0.0</v>
      </c>
      <c r="H366" s="27">
        <v>0.0</v>
      </c>
      <c r="I366" s="14">
        <v>0.0</v>
      </c>
      <c r="J366" s="27">
        <v>0.0</v>
      </c>
    </row>
    <row r="367">
      <c r="A367" s="22" t="s">
        <v>280</v>
      </c>
      <c r="B367" s="21">
        <f t="shared" si="4"/>
        <v>0</v>
      </c>
      <c r="C367" s="21" t="str">
        <f>VLOOKUP(A367, hash!A$2:B$500, 2, 0)</f>
        <v>66e1e0ef855f2a7e8fb837e2</v>
      </c>
      <c r="D367" s="23">
        <f t="shared" si="1"/>
        <v>0</v>
      </c>
      <c r="F367" s="45"/>
      <c r="H367" s="45"/>
      <c r="J367" s="45"/>
    </row>
    <row r="368">
      <c r="A368" s="22" t="s">
        <v>281</v>
      </c>
      <c r="B368" s="21">
        <f t="shared" si="4"/>
        <v>0</v>
      </c>
      <c r="C368" s="21" t="str">
        <f>VLOOKUP(A368, hash!A$2:B$500, 2, 0)</f>
        <v>66e1e0fe855f2a7e8fb837e3</v>
      </c>
      <c r="D368" s="23">
        <f t="shared" si="1"/>
        <v>0</v>
      </c>
      <c r="F368" s="45"/>
      <c r="H368" s="45"/>
      <c r="J368" s="45"/>
    </row>
    <row r="369">
      <c r="A369" s="22" t="s">
        <v>282</v>
      </c>
      <c r="B369" s="21">
        <f t="shared" si="4"/>
        <v>0</v>
      </c>
      <c r="C369" s="21" t="str">
        <f>VLOOKUP(A369, hash!A$2:B$500, 2, 0)</f>
        <v>66e1e105a61e89c7c68f6e30</v>
      </c>
      <c r="D369" s="23">
        <f t="shared" si="1"/>
        <v>0</v>
      </c>
      <c r="F369" s="45"/>
      <c r="H369" s="45"/>
      <c r="J369" s="45"/>
    </row>
    <row r="370">
      <c r="A370" s="22" t="s">
        <v>60</v>
      </c>
      <c r="B370" s="21">
        <f t="shared" si="4"/>
        <v>0</v>
      </c>
      <c r="C370" s="21" t="str">
        <f>VLOOKUP(A370, hash!A$2:B$500, 2, 0)</f>
        <v>66e1e105db315cbd40043fc1</v>
      </c>
      <c r="D370" s="23">
        <f t="shared" si="1"/>
        <v>0</v>
      </c>
      <c r="E370" s="14">
        <v>0.0</v>
      </c>
      <c r="F370" s="27">
        <v>0.0</v>
      </c>
      <c r="G370" s="14">
        <v>0.0</v>
      </c>
      <c r="H370" s="27">
        <v>0.0</v>
      </c>
      <c r="I370" s="14">
        <v>0.0</v>
      </c>
      <c r="J370" s="27">
        <v>0.0</v>
      </c>
    </row>
    <row r="371">
      <c r="A371" s="22" t="s">
        <v>43</v>
      </c>
      <c r="B371" s="21">
        <f t="shared" si="4"/>
        <v>0</v>
      </c>
      <c r="C371" s="21" t="str">
        <f>VLOOKUP(A371, hash!A$2:B$500, 2, 0)</f>
        <v>66e1e108a61e89c7c68f6e31</v>
      </c>
      <c r="D371" s="23">
        <f t="shared" si="1"/>
        <v>0</v>
      </c>
      <c r="E371" s="14">
        <v>0.0</v>
      </c>
      <c r="F371" s="27">
        <v>0.0</v>
      </c>
      <c r="G371" s="14">
        <v>0.0</v>
      </c>
      <c r="H371" s="27">
        <v>0.0</v>
      </c>
      <c r="I371" s="14">
        <v>0.0</v>
      </c>
      <c r="J371" s="27">
        <v>0.0</v>
      </c>
    </row>
    <row r="372">
      <c r="A372" s="22" t="s">
        <v>283</v>
      </c>
      <c r="B372" s="21">
        <f t="shared" si="4"/>
        <v>0</v>
      </c>
      <c r="C372" s="21" t="str">
        <f>VLOOKUP(A372, hash!A$2:B$500, 2, 0)</f>
        <v>66e1e10bdb315cbd40043fc3</v>
      </c>
      <c r="D372" s="23">
        <f t="shared" si="1"/>
        <v>0</v>
      </c>
      <c r="F372" s="45"/>
      <c r="H372" s="45"/>
      <c r="J372" s="45"/>
    </row>
    <row r="373">
      <c r="A373" s="22" t="s">
        <v>89</v>
      </c>
      <c r="B373" s="21">
        <f t="shared" si="4"/>
        <v>0</v>
      </c>
      <c r="C373" s="21" t="str">
        <f>VLOOKUP(A373, hash!A$2:B$500, 2, 0)</f>
        <v>66e1e10cdb315cbd40043fc4</v>
      </c>
      <c r="D373" s="23">
        <f t="shared" si="1"/>
        <v>0</v>
      </c>
      <c r="E373" s="14">
        <v>0.0</v>
      </c>
      <c r="F373" s="27">
        <v>0.0</v>
      </c>
      <c r="G373" s="14">
        <v>0.0</v>
      </c>
      <c r="H373" s="27">
        <v>0.0</v>
      </c>
      <c r="I373" s="14">
        <v>0.0</v>
      </c>
      <c r="J373" s="27">
        <v>0.0</v>
      </c>
    </row>
    <row r="374">
      <c r="A374" s="22" t="s">
        <v>284</v>
      </c>
      <c r="B374" s="21">
        <f t="shared" si="4"/>
        <v>0</v>
      </c>
      <c r="C374" s="21" t="str">
        <f>VLOOKUP(A374, hash!A$2:B$500, 2, 0)</f>
        <v>66e1e111f0db8f5922c91d81</v>
      </c>
      <c r="D374" s="23">
        <f t="shared" si="1"/>
        <v>0</v>
      </c>
      <c r="F374" s="45"/>
      <c r="H374" s="45"/>
      <c r="J374" s="45"/>
    </row>
    <row r="375">
      <c r="A375" s="22" t="s">
        <v>285</v>
      </c>
      <c r="B375" s="21">
        <f t="shared" si="4"/>
        <v>0</v>
      </c>
      <c r="C375" s="21" t="str">
        <f>VLOOKUP(A375, hash!A$2:B$500, 2, 0)</f>
        <v>66e1e116f0db8f5922c91d82</v>
      </c>
      <c r="D375" s="23">
        <f t="shared" si="1"/>
        <v>0</v>
      </c>
      <c r="F375" s="45"/>
      <c r="H375" s="45"/>
      <c r="J375" s="45"/>
    </row>
    <row r="376">
      <c r="A376" s="22" t="s">
        <v>286</v>
      </c>
      <c r="B376" s="21">
        <f t="shared" si="4"/>
        <v>0</v>
      </c>
      <c r="C376" s="21" t="str">
        <f>VLOOKUP(A376, hash!A$2:B$500, 2, 0)</f>
        <v>66e1e1187a8e6dc2aed3a63d</v>
      </c>
      <c r="D376" s="23">
        <f t="shared" si="1"/>
        <v>0</v>
      </c>
      <c r="F376" s="45"/>
      <c r="H376" s="45"/>
      <c r="J376" s="45"/>
    </row>
    <row r="377">
      <c r="A377" s="22" t="s">
        <v>287</v>
      </c>
      <c r="B377" s="21">
        <f t="shared" si="4"/>
        <v>0</v>
      </c>
      <c r="C377" s="21" t="str">
        <f>VLOOKUP(A377, hash!A$2:B$500, 2, 0)</f>
        <v>66e1e119f0db8f5922c91d83</v>
      </c>
      <c r="D377" s="23">
        <f t="shared" si="1"/>
        <v>0</v>
      </c>
      <c r="F377" s="45"/>
      <c r="H377" s="45"/>
      <c r="J377" s="45"/>
    </row>
    <row r="378">
      <c r="A378" s="22" t="s">
        <v>288</v>
      </c>
      <c r="B378" s="21">
        <f t="shared" si="4"/>
        <v>0</v>
      </c>
      <c r="C378" s="21" t="str">
        <f>VLOOKUP(A378, hash!A$2:B$500, 2, 0)</f>
        <v>66e1e11f45950d34f313912f</v>
      </c>
      <c r="D378" s="23">
        <f t="shared" si="1"/>
        <v>0</v>
      </c>
      <c r="F378" s="45"/>
      <c r="H378" s="45"/>
      <c r="J378" s="45"/>
    </row>
    <row r="379">
      <c r="A379" s="22" t="s">
        <v>100</v>
      </c>
      <c r="B379" s="21">
        <f t="shared" si="4"/>
        <v>0</v>
      </c>
      <c r="C379" s="21" t="str">
        <f>VLOOKUP(A379, hash!A$2:B$500, 2, 0)</f>
        <v>66e1e1207a8e6dc2aed3a63e</v>
      </c>
      <c r="D379" s="23">
        <f t="shared" si="1"/>
        <v>0</v>
      </c>
      <c r="E379" s="14">
        <v>0.0</v>
      </c>
      <c r="F379" s="27">
        <v>0.0</v>
      </c>
      <c r="G379" s="14">
        <v>0.0</v>
      </c>
      <c r="H379" s="27">
        <v>0.0</v>
      </c>
      <c r="I379" s="14">
        <v>0.0</v>
      </c>
      <c r="J379" s="27">
        <v>0.0</v>
      </c>
    </row>
    <row r="380">
      <c r="A380" s="22" t="s">
        <v>289</v>
      </c>
      <c r="B380" s="21">
        <f t="shared" si="4"/>
        <v>0</v>
      </c>
      <c r="C380" s="21" t="str">
        <f>VLOOKUP(A380, hash!A$2:B$500, 2, 0)</f>
        <v>66e1e1217a8e6dc2aed3a63f</v>
      </c>
      <c r="D380" s="23">
        <f t="shared" si="1"/>
        <v>0</v>
      </c>
      <c r="F380" s="45"/>
      <c r="H380" s="45"/>
      <c r="J380" s="45"/>
    </row>
    <row r="381">
      <c r="A381" s="22" t="s">
        <v>290</v>
      </c>
      <c r="B381" s="21">
        <f t="shared" si="4"/>
        <v>0</v>
      </c>
      <c r="C381" s="21" t="str">
        <f>VLOOKUP(A381, hash!A$2:B$500, 2, 0)</f>
        <v>66e1e1227a8e6dc2aed3a640</v>
      </c>
      <c r="D381" s="23">
        <f t="shared" si="1"/>
        <v>0</v>
      </c>
      <c r="E381" s="14">
        <v>0.0</v>
      </c>
      <c r="F381" s="27">
        <v>0.0</v>
      </c>
      <c r="G381" s="14">
        <v>0.0</v>
      </c>
      <c r="H381" s="27">
        <v>0.0</v>
      </c>
      <c r="I381" s="14">
        <v>0.0</v>
      </c>
      <c r="J381" s="27">
        <v>0.0</v>
      </c>
    </row>
    <row r="382">
      <c r="A382" s="22" t="s">
        <v>50</v>
      </c>
      <c r="B382" s="21">
        <f t="shared" si="4"/>
        <v>0</v>
      </c>
      <c r="C382" s="21" t="str">
        <f>VLOOKUP(A382, hash!A$2:B$500, 2, 0)</f>
        <v>66e1e1227a8e6dc2aed3a641</v>
      </c>
      <c r="D382" s="23">
        <f t="shared" si="1"/>
        <v>0</v>
      </c>
      <c r="F382" s="45"/>
      <c r="H382" s="45"/>
      <c r="J382" s="45"/>
    </row>
    <row r="383">
      <c r="A383" s="22" t="s">
        <v>291</v>
      </c>
      <c r="B383" s="21">
        <f t="shared" si="4"/>
        <v>0</v>
      </c>
      <c r="C383" s="21" t="str">
        <f>VLOOKUP(A383, hash!A$2:B$500, 2, 0)</f>
        <v>66e1e122e2fbdff8a0c35634</v>
      </c>
      <c r="D383" s="23">
        <f t="shared" si="1"/>
        <v>0</v>
      </c>
      <c r="E383" s="14">
        <v>0.0</v>
      </c>
      <c r="F383" s="27">
        <v>0.0</v>
      </c>
      <c r="G383" s="14">
        <v>0.0</v>
      </c>
      <c r="H383" s="27">
        <v>0.0</v>
      </c>
      <c r="I383" s="14">
        <v>0.0</v>
      </c>
      <c r="J383" s="27">
        <v>0.0</v>
      </c>
    </row>
    <row r="384">
      <c r="A384" s="22" t="s">
        <v>292</v>
      </c>
      <c r="B384" s="21">
        <f t="shared" si="4"/>
        <v>0</v>
      </c>
      <c r="C384" s="21" t="str">
        <f>VLOOKUP(A384, hash!A$2:B$500, 2, 0)</f>
        <v>66e1e1257a8e6dc2aed3a643</v>
      </c>
      <c r="D384" s="23">
        <f t="shared" si="1"/>
        <v>0</v>
      </c>
      <c r="F384" s="45"/>
      <c r="H384" s="45"/>
      <c r="J384" s="45"/>
    </row>
    <row r="385">
      <c r="A385" s="22" t="s">
        <v>44</v>
      </c>
      <c r="B385" s="21">
        <f t="shared" si="4"/>
        <v>0</v>
      </c>
      <c r="C385" s="21" t="str">
        <f>VLOOKUP(A385, hash!A$2:B$500, 2, 0)</f>
        <v>66e1e125f0db8f5922c91d84</v>
      </c>
      <c r="D385" s="23">
        <f t="shared" si="1"/>
        <v>0</v>
      </c>
      <c r="F385" s="45"/>
      <c r="H385" s="45"/>
      <c r="J385" s="45"/>
    </row>
    <row r="386">
      <c r="A386" s="22" t="s">
        <v>33</v>
      </c>
      <c r="B386" s="21">
        <f t="shared" si="4"/>
        <v>0</v>
      </c>
      <c r="C386" s="21" t="str">
        <f>VLOOKUP(A386, hash!A$2:B$500, 2, 0)</f>
        <v>66e1e126f0db8f5922c91d85</v>
      </c>
      <c r="D386" s="23">
        <f t="shared" si="1"/>
        <v>0</v>
      </c>
      <c r="F386" s="45"/>
      <c r="H386" s="45"/>
      <c r="J386" s="45"/>
    </row>
    <row r="387">
      <c r="A387" s="22" t="s">
        <v>16</v>
      </c>
      <c r="B387" s="21">
        <f t="shared" si="4"/>
        <v>0</v>
      </c>
      <c r="C387" s="21" t="str">
        <f>VLOOKUP(A387, hash!A$2:B$500, 2, 0)</f>
        <v>66e1e1267a8e6dc2aed3a644</v>
      </c>
      <c r="D387" s="23">
        <f t="shared" si="1"/>
        <v>0</v>
      </c>
      <c r="E387" s="14">
        <v>0.0</v>
      </c>
      <c r="F387" s="45"/>
      <c r="H387" s="45"/>
      <c r="J387" s="45"/>
    </row>
    <row r="388">
      <c r="A388" s="22" t="s">
        <v>24</v>
      </c>
      <c r="B388" s="21">
        <f t="shared" si="4"/>
        <v>0</v>
      </c>
      <c r="C388" s="21" t="str">
        <f>VLOOKUP(A388, hash!A$2:B$500, 2, 0)</f>
        <v>66e1e1277a8e6dc2aed3a645</v>
      </c>
      <c r="D388" s="23">
        <f t="shared" si="1"/>
        <v>0</v>
      </c>
      <c r="E388" s="14">
        <v>0.0</v>
      </c>
      <c r="F388" s="27">
        <v>0.0</v>
      </c>
      <c r="G388" s="14">
        <v>0.0</v>
      </c>
      <c r="H388" s="27">
        <v>0.0</v>
      </c>
      <c r="I388" s="14">
        <v>0.0</v>
      </c>
      <c r="J388" s="27">
        <v>0.0</v>
      </c>
    </row>
    <row r="389">
      <c r="A389" s="22" t="s">
        <v>294</v>
      </c>
      <c r="B389" s="21">
        <f t="shared" si="4"/>
        <v>0</v>
      </c>
      <c r="C389" s="21" t="str">
        <f>VLOOKUP(A389, hash!A$2:B$500, 2, 0)</f>
        <v>66e1e127e2fbdff8a0c35636</v>
      </c>
      <c r="D389" s="23">
        <f t="shared" si="1"/>
        <v>0</v>
      </c>
      <c r="F389" s="45"/>
      <c r="H389" s="45"/>
      <c r="J389" s="45"/>
    </row>
    <row r="390">
      <c r="A390" s="22" t="s">
        <v>295</v>
      </c>
      <c r="B390" s="21">
        <f t="shared" si="4"/>
        <v>0</v>
      </c>
      <c r="C390" s="21" t="str">
        <f>VLOOKUP(A390, hash!A$2:B$500, 2, 0)</f>
        <v>66e1e128f0db8f5922c91d86</v>
      </c>
      <c r="D390" s="23">
        <f t="shared" si="1"/>
        <v>0</v>
      </c>
      <c r="F390" s="45"/>
      <c r="H390" s="45"/>
      <c r="J390" s="45"/>
    </row>
    <row r="391">
      <c r="A391" s="22" t="s">
        <v>296</v>
      </c>
      <c r="B391" s="21">
        <f t="shared" si="4"/>
        <v>0</v>
      </c>
      <c r="C391" s="21" t="str">
        <f>VLOOKUP(A391, hash!A$2:B$500, 2, 0)</f>
        <v>66e1e129f0db8f5922c91d87</v>
      </c>
      <c r="D391" s="23">
        <f t="shared" si="1"/>
        <v>0</v>
      </c>
      <c r="E391" s="14">
        <v>0.0</v>
      </c>
      <c r="F391" s="45"/>
      <c r="H391" s="45"/>
      <c r="J391" s="45"/>
    </row>
    <row r="392">
      <c r="A392" s="22" t="s">
        <v>62</v>
      </c>
      <c r="B392" s="21">
        <f t="shared" si="4"/>
        <v>0</v>
      </c>
      <c r="C392" s="21" t="str">
        <f>VLOOKUP(A392, hash!A$2:B$500, 2, 0)</f>
        <v>66e1e12a45950d34f3139132</v>
      </c>
      <c r="D392" s="23">
        <f t="shared" si="1"/>
        <v>0</v>
      </c>
      <c r="F392" s="45"/>
      <c r="H392" s="45"/>
      <c r="J392" s="45"/>
    </row>
    <row r="393">
      <c r="A393" s="22" t="s">
        <v>297</v>
      </c>
      <c r="B393" s="21">
        <f t="shared" si="4"/>
        <v>0</v>
      </c>
      <c r="C393" s="21" t="str">
        <f>VLOOKUP(A393, hash!A$2:B$500, 2, 0)</f>
        <v>66e1e12bf0db8f5922c91d88</v>
      </c>
      <c r="D393" s="23">
        <f t="shared" si="1"/>
        <v>0</v>
      </c>
      <c r="E393" s="14">
        <v>0.0</v>
      </c>
      <c r="F393" s="27">
        <v>0.0</v>
      </c>
      <c r="G393" s="14">
        <v>0.0</v>
      </c>
      <c r="H393" s="27">
        <v>0.0</v>
      </c>
      <c r="I393" s="14">
        <v>0.0</v>
      </c>
      <c r="J393" s="27">
        <v>0.0</v>
      </c>
    </row>
    <row r="394">
      <c r="A394" s="22" t="s">
        <v>63</v>
      </c>
      <c r="B394" s="21">
        <f t="shared" si="4"/>
        <v>0</v>
      </c>
      <c r="C394" s="21" t="str">
        <f>VLOOKUP(A394, hash!A$2:B$500, 2, 0)</f>
        <v>66e1e12cf0db8f5922c91d89</v>
      </c>
      <c r="D394" s="23">
        <f t="shared" si="1"/>
        <v>0</v>
      </c>
      <c r="E394" s="14">
        <v>0.0</v>
      </c>
      <c r="F394" s="27">
        <v>0.0</v>
      </c>
      <c r="G394" s="14">
        <v>0.0</v>
      </c>
      <c r="H394" s="27">
        <v>0.0</v>
      </c>
      <c r="I394" s="14">
        <v>0.0</v>
      </c>
      <c r="J394" s="27">
        <v>0.0</v>
      </c>
    </row>
    <row r="395">
      <c r="A395" s="22" t="s">
        <v>299</v>
      </c>
      <c r="B395" s="21">
        <f t="shared" si="4"/>
        <v>0</v>
      </c>
      <c r="C395" s="21" t="str">
        <f>VLOOKUP(A395, hash!A$2:B$500, 2, 0)</f>
        <v>66e1e12c68fa766abf5d11d7</v>
      </c>
      <c r="D395" s="23">
        <f t="shared" si="1"/>
        <v>0</v>
      </c>
      <c r="F395" s="45"/>
      <c r="H395" s="45"/>
      <c r="J395" s="45"/>
    </row>
    <row r="396">
      <c r="A396" s="22" t="s">
        <v>300</v>
      </c>
      <c r="B396" s="21">
        <f t="shared" si="4"/>
        <v>0</v>
      </c>
      <c r="C396" s="21" t="str">
        <f>VLOOKUP(A396, hash!A$2:B$500, 2, 0)</f>
        <v>66e1e12df0db8f5922c91d8a</v>
      </c>
      <c r="D396" s="23">
        <f t="shared" si="1"/>
        <v>0</v>
      </c>
      <c r="F396" s="45"/>
      <c r="H396" s="45"/>
      <c r="J396" s="45"/>
    </row>
    <row r="397">
      <c r="A397" s="22" t="s">
        <v>301</v>
      </c>
      <c r="B397" s="21">
        <f t="shared" si="4"/>
        <v>0</v>
      </c>
      <c r="C397" s="21" t="str">
        <f>VLOOKUP(A397, hash!A$2:B$500, 2, 0)</f>
        <v>66e1e12ee2fbdff8a0c3563a</v>
      </c>
      <c r="D397" s="23">
        <f t="shared" si="1"/>
        <v>0</v>
      </c>
      <c r="F397" s="45"/>
      <c r="H397" s="45"/>
      <c r="J397" s="45"/>
    </row>
    <row r="398">
      <c r="A398" s="22" t="s">
        <v>41</v>
      </c>
      <c r="B398" s="21">
        <f t="shared" si="4"/>
        <v>0</v>
      </c>
      <c r="C398" s="21" t="str">
        <f>VLOOKUP(A398, hash!A$2:B$500, 2, 0)</f>
        <v>66e1e12ef0db8f5922c91d8b</v>
      </c>
      <c r="D398" s="23">
        <f t="shared" si="1"/>
        <v>0</v>
      </c>
      <c r="E398" s="14">
        <v>0.0</v>
      </c>
      <c r="F398" s="27">
        <v>0.0</v>
      </c>
      <c r="G398" s="14">
        <v>0.0</v>
      </c>
      <c r="H398" s="27">
        <v>0.0</v>
      </c>
      <c r="I398" s="14">
        <v>0.0</v>
      </c>
      <c r="J398" s="27">
        <v>0.0</v>
      </c>
    </row>
    <row r="399">
      <c r="A399" s="22" t="s">
        <v>302</v>
      </c>
      <c r="B399" s="21">
        <f t="shared" si="4"/>
        <v>0</v>
      </c>
      <c r="C399" s="21" t="str">
        <f>VLOOKUP(A399, hash!A$2:B$500, 2, 0)</f>
        <v>66e1e12f7a8e6dc2aed3a646</v>
      </c>
      <c r="D399" s="23">
        <f t="shared" si="1"/>
        <v>0</v>
      </c>
      <c r="E399" s="14">
        <v>0.0</v>
      </c>
      <c r="F399" s="27">
        <v>0.0</v>
      </c>
      <c r="G399" s="14">
        <v>0.0</v>
      </c>
      <c r="H399" s="27">
        <v>0.0</v>
      </c>
      <c r="I399" s="14">
        <v>0.0</v>
      </c>
      <c r="J399" s="27">
        <v>0.0</v>
      </c>
    </row>
    <row r="400">
      <c r="A400" s="22" t="s">
        <v>57</v>
      </c>
      <c r="B400" s="21">
        <f t="shared" si="4"/>
        <v>0</v>
      </c>
      <c r="C400" s="21" t="str">
        <f>VLOOKUP(A400, hash!A$2:B$500, 2, 0)</f>
        <v>66e1e13168fa766abf5d11d8</v>
      </c>
      <c r="D400" s="23">
        <f t="shared" si="1"/>
        <v>0</v>
      </c>
      <c r="E400" s="14">
        <v>0.0</v>
      </c>
      <c r="F400" s="27">
        <v>0.0</v>
      </c>
      <c r="G400" s="14">
        <v>0.0</v>
      </c>
      <c r="H400" s="27">
        <v>0.0</v>
      </c>
      <c r="I400" s="14">
        <v>0.0</v>
      </c>
      <c r="J400" s="27">
        <v>0.0</v>
      </c>
    </row>
    <row r="401">
      <c r="A401" s="22" t="s">
        <v>304</v>
      </c>
      <c r="B401" s="21">
        <f t="shared" si="4"/>
        <v>0</v>
      </c>
      <c r="C401" s="21" t="str">
        <f>VLOOKUP(A401, hash!A$2:B$500, 2, 0)</f>
        <v>66e1e139f0db8f5922c91d8d</v>
      </c>
      <c r="D401" s="23">
        <f t="shared" si="1"/>
        <v>0</v>
      </c>
      <c r="F401" s="45"/>
      <c r="H401" s="45"/>
      <c r="J401" s="45"/>
    </row>
    <row r="402">
      <c r="A402" s="22" t="s">
        <v>31</v>
      </c>
      <c r="B402" s="21">
        <f t="shared" si="4"/>
        <v>0</v>
      </c>
      <c r="C402" s="21" t="str">
        <f>VLOOKUP(A402, hash!A$2:B$500, 2, 0)</f>
        <v>66e1e13fdb315cbd40043fca</v>
      </c>
      <c r="D402" s="23">
        <f t="shared" si="1"/>
        <v>0</v>
      </c>
      <c r="F402" s="45"/>
      <c r="H402" s="45"/>
      <c r="J402" s="45"/>
    </row>
    <row r="403">
      <c r="A403" s="22" t="s">
        <v>307</v>
      </c>
      <c r="B403" s="21">
        <f t="shared" si="4"/>
        <v>0</v>
      </c>
      <c r="C403" s="21" t="str">
        <f>VLOOKUP(A403, hash!A$2:B$500, 2, 0)</f>
        <v>66e1e14b7a8e6dc2aed3a649</v>
      </c>
      <c r="D403" s="23">
        <f t="shared" si="1"/>
        <v>0</v>
      </c>
      <c r="F403" s="45"/>
      <c r="H403" s="45"/>
      <c r="J403" s="45"/>
    </row>
    <row r="404">
      <c r="A404" s="22" t="s">
        <v>308</v>
      </c>
      <c r="B404" s="21">
        <f t="shared" si="4"/>
        <v>0</v>
      </c>
      <c r="C404" s="21" t="str">
        <f>VLOOKUP(A404, hash!A$2:B$500, 2, 0)</f>
        <v>66e1e14cf0db8f5922c91d94</v>
      </c>
      <c r="D404" s="23">
        <f t="shared" si="1"/>
        <v>0</v>
      </c>
      <c r="F404" s="45"/>
      <c r="H404" s="45"/>
      <c r="J404" s="45"/>
    </row>
    <row r="405">
      <c r="A405" s="22" t="s">
        <v>309</v>
      </c>
      <c r="B405" s="21">
        <f t="shared" si="4"/>
        <v>0</v>
      </c>
      <c r="C405" s="21" t="str">
        <f>VLOOKUP(A405, hash!A$2:B$500, 2, 0)</f>
        <v>66e1e200bbd279710a4f25a0</v>
      </c>
      <c r="D405" s="23">
        <f t="shared" si="1"/>
        <v>0</v>
      </c>
      <c r="E405" s="14">
        <v>0.0</v>
      </c>
      <c r="F405" s="27">
        <v>0.0</v>
      </c>
      <c r="G405" s="14">
        <v>0.0</v>
      </c>
      <c r="H405" s="27">
        <v>0.0</v>
      </c>
      <c r="I405" s="14">
        <v>0.0</v>
      </c>
      <c r="J405" s="27">
        <v>0.0</v>
      </c>
    </row>
    <row r="406">
      <c r="A406" s="22" t="s">
        <v>38</v>
      </c>
      <c r="B406" s="21">
        <f t="shared" si="4"/>
        <v>0</v>
      </c>
      <c r="C406" s="21" t="str">
        <f>VLOOKUP(A406, hash!A$2:B$500, 2, 0)</f>
        <v>66e1e295c67d6a88d4309dde</v>
      </c>
      <c r="D406" s="23">
        <f t="shared" si="1"/>
        <v>0</v>
      </c>
      <c r="F406" s="45"/>
      <c r="H406" s="45"/>
      <c r="J406" s="45"/>
    </row>
    <row r="407">
      <c r="A407" s="22" t="s">
        <v>310</v>
      </c>
      <c r="B407" s="21">
        <f t="shared" si="4"/>
        <v>0</v>
      </c>
      <c r="C407" s="21" t="str">
        <f>VLOOKUP(A407, hash!A$2:B$500, 2, 0)</f>
        <v>66e1ed7ce62f650d943808d3</v>
      </c>
      <c r="D407" s="23">
        <f t="shared" si="1"/>
        <v>0</v>
      </c>
      <c r="F407" s="45"/>
      <c r="H407" s="45"/>
      <c r="J407" s="45"/>
    </row>
    <row r="408">
      <c r="A408" s="22" t="s">
        <v>311</v>
      </c>
      <c r="B408" s="21">
        <f t="shared" si="4"/>
        <v>0</v>
      </c>
      <c r="C408" s="21" t="str">
        <f>VLOOKUP(A408, hash!A$2:B$500, 2, 0)</f>
        <v>66e1ed80e62f650d943808d4</v>
      </c>
      <c r="D408" s="23">
        <f t="shared" si="1"/>
        <v>0</v>
      </c>
      <c r="F408" s="45"/>
      <c r="H408" s="45"/>
      <c r="J408" s="45"/>
    </row>
    <row r="409">
      <c r="A409" s="22" t="s">
        <v>313</v>
      </c>
      <c r="B409" s="21">
        <f t="shared" si="4"/>
        <v>0</v>
      </c>
      <c r="C409" s="21" t="str">
        <f>VLOOKUP(A409, hash!A$2:B$500, 2, 0)</f>
        <v>66e1ed8677e929b3df889a0a</v>
      </c>
      <c r="D409" s="23">
        <f t="shared" si="1"/>
        <v>0</v>
      </c>
      <c r="E409" s="14">
        <v>0.0</v>
      </c>
      <c r="F409" s="27">
        <v>0.0</v>
      </c>
      <c r="G409" s="14">
        <v>0.0</v>
      </c>
      <c r="H409" s="27">
        <v>0.0</v>
      </c>
      <c r="I409" s="14">
        <v>0.0</v>
      </c>
      <c r="J409" s="27">
        <v>0.0</v>
      </c>
    </row>
    <row r="410">
      <c r="A410" s="22" t="s">
        <v>314</v>
      </c>
      <c r="B410" s="21">
        <f t="shared" si="4"/>
        <v>0</v>
      </c>
      <c r="C410" s="21" t="str">
        <f>VLOOKUP(A410, hash!A$2:B$500, 2, 0)</f>
        <v>66e1ed871129889a3e2c24a9</v>
      </c>
      <c r="D410" s="23">
        <f t="shared" si="1"/>
        <v>0</v>
      </c>
      <c r="F410" s="45"/>
      <c r="H410" s="45"/>
      <c r="J410" s="45"/>
    </row>
    <row r="411">
      <c r="A411" s="22" t="s">
        <v>64</v>
      </c>
      <c r="B411" s="21">
        <f t="shared" si="4"/>
        <v>0</v>
      </c>
      <c r="C411" s="21" t="str">
        <f>VLOOKUP(A411, hash!A$2:B$500, 2, 0)</f>
        <v>66e1ed8c1129889a3e2c24aa</v>
      </c>
      <c r="D411" s="23">
        <f t="shared" si="1"/>
        <v>0</v>
      </c>
      <c r="F411" s="45"/>
      <c r="H411" s="45"/>
      <c r="J411" s="45"/>
    </row>
    <row r="412">
      <c r="A412" s="22" t="s">
        <v>315</v>
      </c>
      <c r="B412" s="21">
        <f t="shared" si="4"/>
        <v>0</v>
      </c>
      <c r="C412" s="21" t="str">
        <f>VLOOKUP(A412, hash!A$2:B$500, 2, 0)</f>
        <v>66e1ed901129889a3e2c24ac</v>
      </c>
      <c r="D412" s="23">
        <f t="shared" si="1"/>
        <v>0</v>
      </c>
      <c r="F412" s="45"/>
      <c r="H412" s="45"/>
      <c r="J412" s="45"/>
    </row>
    <row r="413">
      <c r="A413" s="22" t="s">
        <v>316</v>
      </c>
      <c r="B413" s="21">
        <f t="shared" si="4"/>
        <v>0</v>
      </c>
      <c r="C413" s="21" t="str">
        <f>VLOOKUP(A413, hash!A$2:B$500, 2, 0)</f>
        <v>66e1ed9207067318cc1e18cb</v>
      </c>
      <c r="D413" s="23">
        <f t="shared" si="1"/>
        <v>0</v>
      </c>
      <c r="F413" s="45"/>
      <c r="H413" s="45"/>
      <c r="J413" s="45"/>
    </row>
    <row r="414">
      <c r="A414" s="22" t="s">
        <v>317</v>
      </c>
      <c r="B414" s="21">
        <f t="shared" si="4"/>
        <v>0</v>
      </c>
      <c r="C414" s="21" t="str">
        <f>VLOOKUP(A414, hash!A$2:B$500, 2, 0)</f>
        <v>66e1ed9207067318cc1e18cc</v>
      </c>
      <c r="D414" s="23">
        <f t="shared" si="1"/>
        <v>0</v>
      </c>
      <c r="F414" s="45"/>
      <c r="H414" s="45"/>
      <c r="J414" s="45"/>
    </row>
    <row r="415">
      <c r="A415" s="22" t="s">
        <v>318</v>
      </c>
      <c r="B415" s="21">
        <f t="shared" si="4"/>
        <v>0</v>
      </c>
      <c r="C415" s="21" t="str">
        <f>VLOOKUP(A415, hash!A$2:B$500, 2, 0)</f>
        <v>66e1ed9407067318cc1e18cd</v>
      </c>
      <c r="D415" s="23">
        <f t="shared" si="1"/>
        <v>0</v>
      </c>
      <c r="F415" s="45"/>
      <c r="H415" s="45"/>
      <c r="J415" s="45"/>
    </row>
    <row r="416">
      <c r="A416" s="22" t="s">
        <v>319</v>
      </c>
      <c r="B416" s="21">
        <f t="shared" si="4"/>
        <v>0</v>
      </c>
      <c r="C416" s="21" t="str">
        <f>VLOOKUP(A416, hash!A$2:B$500, 2, 0)</f>
        <v>66e1ed96e62f650d943808d5</v>
      </c>
      <c r="D416" s="23">
        <f t="shared" si="1"/>
        <v>0</v>
      </c>
      <c r="F416" s="45"/>
      <c r="H416" s="45"/>
      <c r="J416" s="45"/>
    </row>
    <row r="417">
      <c r="A417" s="22" t="s">
        <v>320</v>
      </c>
      <c r="B417" s="21">
        <f t="shared" si="4"/>
        <v>0</v>
      </c>
      <c r="C417" s="21" t="str">
        <f>VLOOKUP(A417, hash!A$2:B$500, 2, 0)</f>
        <v>66e1ed97e62f650d943808d6</v>
      </c>
      <c r="D417" s="23">
        <f t="shared" si="1"/>
        <v>0</v>
      </c>
      <c r="E417" s="14">
        <v>0.0</v>
      </c>
      <c r="F417" s="27">
        <v>0.0</v>
      </c>
      <c r="G417" s="14">
        <v>0.0</v>
      </c>
      <c r="H417" s="27">
        <v>0.0</v>
      </c>
      <c r="I417" s="14">
        <v>0.0</v>
      </c>
      <c r="J417" s="27">
        <v>0.0</v>
      </c>
    </row>
    <row r="418">
      <c r="A418" s="22" t="s">
        <v>321</v>
      </c>
      <c r="B418" s="21">
        <f t="shared" si="4"/>
        <v>0</v>
      </c>
      <c r="C418" s="21" t="str">
        <f>VLOOKUP(A418, hash!A$2:B$500, 2, 0)</f>
        <v>66e1ed9877e929b3df889a0b</v>
      </c>
      <c r="D418" s="23">
        <f t="shared" si="1"/>
        <v>0</v>
      </c>
      <c r="E418" s="14">
        <v>0.0</v>
      </c>
      <c r="F418" s="27">
        <v>0.0</v>
      </c>
      <c r="G418" s="14">
        <v>0.0</v>
      </c>
      <c r="H418" s="27">
        <v>0.0</v>
      </c>
      <c r="I418" s="14">
        <v>0.0</v>
      </c>
      <c r="J418" s="27">
        <v>0.0</v>
      </c>
    </row>
    <row r="419">
      <c r="A419" s="22" t="s">
        <v>322</v>
      </c>
      <c r="B419" s="21">
        <f t="shared" si="4"/>
        <v>0</v>
      </c>
      <c r="C419" s="21" t="str">
        <f>VLOOKUP(A419, hash!A$2:B$500, 2, 0)</f>
        <v>66e1ed9877e929b3df889a0c</v>
      </c>
      <c r="D419" s="23">
        <f t="shared" si="1"/>
        <v>0</v>
      </c>
      <c r="F419" s="45"/>
      <c r="H419" s="45"/>
      <c r="J419" s="45"/>
    </row>
    <row r="420">
      <c r="A420" s="22" t="s">
        <v>323</v>
      </c>
      <c r="B420" s="21">
        <f t="shared" si="4"/>
        <v>0</v>
      </c>
      <c r="C420" s="21" t="str">
        <f>VLOOKUP(A420, hash!A$2:B$500, 2, 0)</f>
        <v>66e1ed98e62f650d943808d7</v>
      </c>
      <c r="D420" s="23">
        <f t="shared" si="1"/>
        <v>0</v>
      </c>
      <c r="F420" s="45"/>
      <c r="H420" s="45"/>
      <c r="J420" s="45"/>
    </row>
    <row r="421">
      <c r="A421" s="22" t="s">
        <v>324</v>
      </c>
      <c r="B421" s="21">
        <f t="shared" si="4"/>
        <v>0</v>
      </c>
      <c r="C421" s="21" t="str">
        <f>VLOOKUP(A421, hash!A$2:B$500, 2, 0)</f>
        <v>66e1ed9b535f0d0c02349bed</v>
      </c>
      <c r="D421" s="23">
        <f t="shared" si="1"/>
        <v>0</v>
      </c>
      <c r="F421" s="45"/>
      <c r="H421" s="45"/>
      <c r="J421" s="45"/>
    </row>
    <row r="422">
      <c r="A422" s="22" t="s">
        <v>325</v>
      </c>
      <c r="B422" s="21">
        <f t="shared" si="4"/>
        <v>0</v>
      </c>
      <c r="C422" s="21" t="str">
        <f>VLOOKUP(A422, hash!A$2:B$500, 2, 0)</f>
        <v>66e1ed9c07067318cc1e18ce</v>
      </c>
      <c r="D422" s="23">
        <f t="shared" si="1"/>
        <v>0</v>
      </c>
      <c r="E422" s="14">
        <v>0.0</v>
      </c>
      <c r="F422" s="27">
        <v>0.0</v>
      </c>
      <c r="G422" s="14">
        <v>0.0</v>
      </c>
      <c r="H422" s="27">
        <v>0.0</v>
      </c>
      <c r="I422" s="14">
        <v>0.0</v>
      </c>
      <c r="J422" s="27">
        <v>0.0</v>
      </c>
    </row>
    <row r="423">
      <c r="A423" s="22" t="s">
        <v>326</v>
      </c>
      <c r="B423" s="21">
        <f t="shared" si="4"/>
        <v>0</v>
      </c>
      <c r="C423" s="21" t="str">
        <f>VLOOKUP(A423, hash!A$2:B$500, 2, 0)</f>
        <v>66e1ed9e07067318cc1e18cf</v>
      </c>
      <c r="D423" s="23">
        <f t="shared" si="1"/>
        <v>0</v>
      </c>
      <c r="F423" s="45"/>
      <c r="H423" s="45"/>
      <c r="J423" s="45"/>
    </row>
    <row r="424">
      <c r="A424" s="22" t="s">
        <v>327</v>
      </c>
      <c r="B424" s="21">
        <f t="shared" si="4"/>
        <v>0</v>
      </c>
      <c r="C424" s="21" t="str">
        <f>VLOOKUP(A424, hash!A$2:B$500, 2, 0)</f>
        <v>66e1ed9f07067318cc1e18d0</v>
      </c>
      <c r="D424" s="23">
        <f t="shared" si="1"/>
        <v>0</v>
      </c>
      <c r="F424" s="45"/>
      <c r="H424" s="45"/>
      <c r="J424" s="45"/>
    </row>
    <row r="425">
      <c r="A425" s="22" t="s">
        <v>328</v>
      </c>
      <c r="B425" s="21">
        <f t="shared" si="4"/>
        <v>0</v>
      </c>
      <c r="C425" s="21" t="str">
        <f>VLOOKUP(A425, hash!A$2:B$500, 2, 0)</f>
        <v>66e1eda007067318cc1e18d1</v>
      </c>
      <c r="D425" s="23">
        <f t="shared" si="1"/>
        <v>0</v>
      </c>
      <c r="F425" s="45"/>
      <c r="H425" s="45"/>
      <c r="J425" s="45"/>
    </row>
    <row r="426">
      <c r="A426" s="22" t="s">
        <v>329</v>
      </c>
      <c r="B426" s="21">
        <f t="shared" si="4"/>
        <v>0</v>
      </c>
      <c r="C426" s="21" t="str">
        <f>VLOOKUP(A426, hash!A$2:B$500, 2, 0)</f>
        <v>66e1eda1535f0d0c02349bee</v>
      </c>
      <c r="D426" s="23">
        <f t="shared" si="1"/>
        <v>0</v>
      </c>
      <c r="F426" s="45"/>
      <c r="H426" s="45"/>
      <c r="J426" s="45"/>
    </row>
    <row r="427">
      <c r="A427" s="22" t="s">
        <v>330</v>
      </c>
      <c r="B427" s="21">
        <f t="shared" si="4"/>
        <v>0</v>
      </c>
      <c r="C427" s="21" t="str">
        <f>VLOOKUP(A427, hash!A$2:B$500, 2, 0)</f>
        <v>66e1eda5535f0d0c02349bef</v>
      </c>
      <c r="D427" s="23">
        <f t="shared" si="1"/>
        <v>0</v>
      </c>
      <c r="F427" s="45"/>
      <c r="H427" s="45"/>
      <c r="J427" s="27"/>
    </row>
    <row r="428">
      <c r="A428" s="22" t="s">
        <v>331</v>
      </c>
      <c r="B428" s="21">
        <f t="shared" si="4"/>
        <v>0</v>
      </c>
      <c r="C428" s="21" t="str">
        <f>VLOOKUP(A428, hash!A$2:B$500, 2, 0)</f>
        <v>66e1eda6535f0d0c02349bf0</v>
      </c>
      <c r="D428" s="23">
        <f t="shared" si="1"/>
        <v>0</v>
      </c>
      <c r="F428" s="45"/>
      <c r="H428" s="45"/>
      <c r="J428" s="45"/>
    </row>
    <row r="429">
      <c r="A429" s="22" t="s">
        <v>97</v>
      </c>
      <c r="B429" s="21">
        <f t="shared" si="4"/>
        <v>0</v>
      </c>
      <c r="C429" s="21" t="str">
        <f>VLOOKUP(A429, hash!A$2:B$500, 2, 0)</f>
        <v>66e1eda71129889a3e2c24ae</v>
      </c>
      <c r="D429" s="23">
        <f t="shared" si="1"/>
        <v>0</v>
      </c>
      <c r="F429" s="45"/>
      <c r="H429" s="45"/>
      <c r="J429" s="45"/>
    </row>
    <row r="430">
      <c r="A430" s="22" t="s">
        <v>332</v>
      </c>
      <c r="B430" s="21">
        <f t="shared" si="4"/>
        <v>0</v>
      </c>
      <c r="C430" s="21" t="str">
        <f>VLOOKUP(A430, hash!A$2:B$500, 2, 0)</f>
        <v>66e1eda81129889a3e2c24af</v>
      </c>
      <c r="D430" s="23">
        <f t="shared" si="1"/>
        <v>0</v>
      </c>
      <c r="E430" s="14">
        <v>0.0</v>
      </c>
      <c r="F430" s="27">
        <v>0.0</v>
      </c>
      <c r="G430" s="14">
        <v>0.0</v>
      </c>
      <c r="H430" s="27">
        <v>0.0</v>
      </c>
      <c r="I430" s="14">
        <v>0.0</v>
      </c>
      <c r="J430" s="27">
        <v>0.0</v>
      </c>
    </row>
    <row r="431">
      <c r="A431" s="22" t="s">
        <v>333</v>
      </c>
      <c r="B431" s="21">
        <f t="shared" si="4"/>
        <v>0</v>
      </c>
      <c r="C431" s="21" t="str">
        <f>VLOOKUP(A431, hash!A$2:B$500, 2, 0)</f>
        <v>66e1eda807067318cc1e18d2</v>
      </c>
      <c r="D431" s="23">
        <f t="shared" si="1"/>
        <v>0</v>
      </c>
      <c r="F431" s="45"/>
      <c r="H431" s="45"/>
      <c r="J431" s="45"/>
    </row>
    <row r="432">
      <c r="A432" s="22" t="s">
        <v>90</v>
      </c>
      <c r="B432" s="21">
        <f t="shared" si="4"/>
        <v>0</v>
      </c>
      <c r="C432" s="21" t="str">
        <f>VLOOKUP(A432, hash!A$2:B$500, 2, 0)</f>
        <v>66e1edab07067318cc1e18d3</v>
      </c>
      <c r="D432" s="23">
        <f t="shared" si="1"/>
        <v>0</v>
      </c>
      <c r="F432" s="45"/>
      <c r="H432" s="45"/>
      <c r="J432" s="45"/>
    </row>
    <row r="433">
      <c r="A433" s="22" t="s">
        <v>334</v>
      </c>
      <c r="B433" s="21">
        <f t="shared" si="4"/>
        <v>0</v>
      </c>
      <c r="C433" s="21" t="str">
        <f>VLOOKUP(A433, hash!A$2:B$500, 2, 0)</f>
        <v>66e1edbc07067318cc1e18d8</v>
      </c>
      <c r="D433" s="23">
        <f t="shared" si="1"/>
        <v>0</v>
      </c>
      <c r="F433" s="45"/>
      <c r="H433" s="45"/>
      <c r="J433" s="45"/>
    </row>
    <row r="434">
      <c r="A434" s="22" t="s">
        <v>335</v>
      </c>
      <c r="B434" s="21">
        <f t="shared" si="4"/>
        <v>0</v>
      </c>
      <c r="C434" s="21" t="str">
        <f>VLOOKUP(A434, hash!A$2:B$500, 2, 0)</f>
        <v>66e1edd11129889a3e2c24ba</v>
      </c>
      <c r="D434" s="23">
        <f t="shared" si="1"/>
        <v>0</v>
      </c>
      <c r="F434" s="45"/>
      <c r="H434" s="45"/>
      <c r="J434" s="45"/>
    </row>
    <row r="435">
      <c r="A435" s="22" t="s">
        <v>336</v>
      </c>
      <c r="B435" s="21">
        <f t="shared" si="4"/>
        <v>0</v>
      </c>
      <c r="C435" s="21" t="str">
        <f>VLOOKUP(A435, hash!A$2:B$500, 2, 0)</f>
        <v>66e1ee9d77e929b3df889a14</v>
      </c>
      <c r="D435" s="23">
        <f t="shared" si="1"/>
        <v>0</v>
      </c>
      <c r="E435" s="14">
        <v>0.0</v>
      </c>
      <c r="F435" s="27">
        <v>0.0</v>
      </c>
      <c r="G435" s="14">
        <v>0.0</v>
      </c>
      <c r="H435" s="27">
        <v>0.0</v>
      </c>
      <c r="I435" s="14">
        <v>0.0</v>
      </c>
      <c r="J435" s="27">
        <v>0.0</v>
      </c>
    </row>
    <row r="436">
      <c r="A436" s="22" t="s">
        <v>337</v>
      </c>
      <c r="B436" s="21">
        <f t="shared" si="4"/>
        <v>0</v>
      </c>
      <c r="C436" s="21" t="str">
        <f>VLOOKUP(A436, hash!A$2:B$500, 2, 0)</f>
        <v>66e1f36e97e3bb4b1a02d659</v>
      </c>
      <c r="D436" s="23">
        <f t="shared" si="1"/>
        <v>0</v>
      </c>
      <c r="F436" s="45"/>
      <c r="H436" s="45"/>
      <c r="J436" s="45"/>
    </row>
    <row r="437">
      <c r="A437" s="22" t="s">
        <v>37</v>
      </c>
      <c r="B437" s="21">
        <f t="shared" si="4"/>
        <v>0</v>
      </c>
      <c r="C437" s="21" t="str">
        <f>VLOOKUP(A437, hash!A$2:B$500, 2, 0)</f>
        <v>66e21e0e9dc93e7d858c34ab</v>
      </c>
      <c r="D437" s="23">
        <f t="shared" si="1"/>
        <v>0</v>
      </c>
      <c r="F437" s="45"/>
      <c r="H437" s="45"/>
      <c r="J437" s="45"/>
    </row>
    <row r="438">
      <c r="A438" s="22" t="s">
        <v>98</v>
      </c>
      <c r="B438" s="21">
        <f t="shared" si="4"/>
        <v>0</v>
      </c>
      <c r="C438" s="21" t="str">
        <f>VLOOKUP(A438, hash!A$2:B$500, 2, 0)</f>
        <v>66e4659d317cf70a1c31109e</v>
      </c>
      <c r="D438" s="23">
        <f t="shared" si="1"/>
        <v>0</v>
      </c>
      <c r="F438" s="45"/>
      <c r="H438" s="45"/>
      <c r="J438" s="45"/>
    </row>
    <row r="439">
      <c r="A439" s="22" t="s">
        <v>338</v>
      </c>
      <c r="B439" s="21">
        <f t="shared" si="4"/>
        <v>0</v>
      </c>
      <c r="C439" s="21" t="str">
        <f>VLOOKUP(A439, hash!A$2:B$500, 2, 0)</f>
        <v>66ea1f306b0b246c2372bbac</v>
      </c>
      <c r="D439" s="23">
        <f t="shared" si="1"/>
        <v>0</v>
      </c>
      <c r="F439" s="45"/>
      <c r="H439" s="45"/>
      <c r="J439" s="45"/>
    </row>
    <row r="440">
      <c r="A440" s="22" t="s">
        <v>35</v>
      </c>
      <c r="B440" s="21">
        <f t="shared" si="4"/>
        <v>0</v>
      </c>
      <c r="C440" s="21" t="str">
        <f>VLOOKUP(A440, hash!A$2:B$500, 2, 0)</f>
        <v>66eb1b4237edf2b32f9fc2ec</v>
      </c>
      <c r="D440" s="23">
        <f t="shared" si="1"/>
        <v>0</v>
      </c>
      <c r="F440" s="45"/>
      <c r="H440" s="45"/>
      <c r="J440" s="45"/>
    </row>
    <row r="441">
      <c r="A441" s="22" t="s">
        <v>339</v>
      </c>
      <c r="B441" s="21">
        <f t="shared" si="4"/>
        <v>0</v>
      </c>
      <c r="C441" s="21" t="str">
        <f>VLOOKUP(A441, hash!A$2:B$500, 2, 0)</f>
        <v>66eb1bdf61b31c87a7ea090e</v>
      </c>
      <c r="D441" s="23">
        <f t="shared" si="1"/>
        <v>0</v>
      </c>
      <c r="F441" s="45"/>
      <c r="H441" s="45"/>
      <c r="J441" s="45"/>
    </row>
    <row r="442">
      <c r="A442" s="22" t="s">
        <v>340</v>
      </c>
      <c r="B442" s="21">
        <f t="shared" si="4"/>
        <v>0</v>
      </c>
      <c r="C442" s="21" t="str">
        <f>VLOOKUP(A442, hash!A$2:B$500, 2, 0)</f>
        <v>66eb1bedcb6c430d242f37c4</v>
      </c>
      <c r="D442" s="23">
        <f t="shared" si="1"/>
        <v>0</v>
      </c>
      <c r="F442" s="45"/>
      <c r="H442" s="45"/>
      <c r="J442" s="45"/>
    </row>
    <row r="443">
      <c r="A443" s="22" t="s">
        <v>341</v>
      </c>
      <c r="B443" s="21">
        <f t="shared" si="4"/>
        <v>0</v>
      </c>
      <c r="C443" s="21" t="str">
        <f>VLOOKUP(A443, hash!A$2:B$500, 2, 0)</f>
        <v>66eb1bf21132636931fb1927</v>
      </c>
      <c r="D443" s="23">
        <f t="shared" si="1"/>
        <v>0</v>
      </c>
      <c r="E443" s="14">
        <v>0.0</v>
      </c>
      <c r="F443" s="27">
        <v>0.0</v>
      </c>
      <c r="G443" s="14">
        <v>0.0</v>
      </c>
      <c r="H443" s="27">
        <v>0.0</v>
      </c>
      <c r="I443" s="14">
        <v>0.0</v>
      </c>
      <c r="J443" s="27">
        <v>0.0</v>
      </c>
    </row>
    <row r="444">
      <c r="A444" s="22" t="s">
        <v>342</v>
      </c>
      <c r="B444" s="21">
        <f t="shared" si="4"/>
        <v>0</v>
      </c>
      <c r="C444" s="21" t="str">
        <f>VLOOKUP(A444, hash!A$2:B$500, 2, 0)</f>
        <v>66eb1bf5cb6c430d242f37c7</v>
      </c>
      <c r="D444" s="23">
        <f t="shared" si="1"/>
        <v>0</v>
      </c>
      <c r="F444" s="45"/>
      <c r="H444" s="45"/>
      <c r="J444" s="45"/>
    </row>
    <row r="445">
      <c r="A445" s="22" t="s">
        <v>343</v>
      </c>
      <c r="B445" s="21">
        <f t="shared" si="4"/>
        <v>0</v>
      </c>
      <c r="C445" s="21" t="str">
        <f>VLOOKUP(A445, hash!A$2:B$500, 2, 0)</f>
        <v>66eb1bf91132636931fb1929</v>
      </c>
      <c r="D445" s="23">
        <f t="shared" si="1"/>
        <v>0</v>
      </c>
      <c r="F445" s="45"/>
      <c r="H445" s="45"/>
      <c r="J445" s="45"/>
    </row>
    <row r="446">
      <c r="A446" s="22" t="s">
        <v>344</v>
      </c>
      <c r="B446" s="21">
        <f t="shared" si="4"/>
        <v>0</v>
      </c>
      <c r="C446" s="21" t="str">
        <f>VLOOKUP(A446, hash!A$2:B$500, 2, 0)</f>
        <v>66eb1bff8647681e6a2afbde</v>
      </c>
      <c r="D446" s="23">
        <f t="shared" si="1"/>
        <v>0</v>
      </c>
      <c r="F446" s="45"/>
      <c r="H446" s="45"/>
      <c r="J446" s="45"/>
    </row>
    <row r="447">
      <c r="A447" s="22" t="s">
        <v>345</v>
      </c>
      <c r="B447" s="21">
        <f t="shared" si="4"/>
        <v>0</v>
      </c>
      <c r="C447" s="21" t="str">
        <f>VLOOKUP(A447, hash!A$2:B$500, 2, 0)</f>
        <v>66eb1c00a52629221738126a</v>
      </c>
      <c r="D447" s="23">
        <f t="shared" si="1"/>
        <v>0</v>
      </c>
      <c r="F447" s="45"/>
      <c r="H447" s="45"/>
      <c r="J447" s="45"/>
    </row>
    <row r="448">
      <c r="A448" s="22" t="s">
        <v>347</v>
      </c>
      <c r="B448" s="21">
        <f t="shared" si="4"/>
        <v>0</v>
      </c>
      <c r="C448" s="21" t="str">
        <f>VLOOKUP(A448, hash!A$2:B$500, 2, 0)</f>
        <v>66eb1c248647681e6a2afbe7</v>
      </c>
      <c r="D448" s="23">
        <f t="shared" si="1"/>
        <v>0</v>
      </c>
      <c r="F448" s="45"/>
      <c r="H448" s="45"/>
      <c r="J448" s="45"/>
    </row>
    <row r="449">
      <c r="A449" s="22" t="s">
        <v>348</v>
      </c>
      <c r="B449" s="21">
        <f t="shared" si="4"/>
        <v>0</v>
      </c>
      <c r="C449" s="21" t="str">
        <f>VLOOKUP(A449, hash!A$2:B$500, 2, 0)</f>
        <v>66eb1c2ba526292217381274</v>
      </c>
      <c r="D449" s="23">
        <f t="shared" si="1"/>
        <v>0</v>
      </c>
      <c r="F449" s="45"/>
      <c r="H449" s="45"/>
      <c r="J449" s="45"/>
    </row>
    <row r="450">
      <c r="A450" s="22" t="s">
        <v>349</v>
      </c>
      <c r="B450" s="21">
        <f t="shared" si="4"/>
        <v>0</v>
      </c>
      <c r="C450" s="21" t="str">
        <f>VLOOKUP(A450, hash!A$2:B$500, 2, 0)</f>
        <v>66eb1c2b8647681e6a2afbe8</v>
      </c>
      <c r="D450" s="23">
        <f t="shared" si="1"/>
        <v>0</v>
      </c>
      <c r="F450" s="45"/>
      <c r="H450" s="45"/>
      <c r="J450" s="45"/>
    </row>
    <row r="451">
      <c r="A451" s="22" t="s">
        <v>350</v>
      </c>
      <c r="B451" s="21">
        <f t="shared" si="4"/>
        <v>0</v>
      </c>
      <c r="C451" s="21" t="str">
        <f>VLOOKUP(A451, hash!A$2:B$500, 2, 0)</f>
        <v>66eb1c33cb6c430d242f37d2</v>
      </c>
      <c r="D451" s="23">
        <f t="shared" si="1"/>
        <v>0</v>
      </c>
      <c r="F451" s="45"/>
      <c r="H451" s="45"/>
      <c r="J451" s="45"/>
    </row>
    <row r="452">
      <c r="A452" s="22" t="s">
        <v>351</v>
      </c>
      <c r="B452" s="21">
        <f t="shared" si="4"/>
        <v>0</v>
      </c>
      <c r="C452" s="21" t="str">
        <f>VLOOKUP(A452, hash!A$2:B$500, 2, 0)</f>
        <v>66eb1c341132636931fb192f</v>
      </c>
      <c r="D452" s="23">
        <f t="shared" si="1"/>
        <v>0</v>
      </c>
      <c r="F452" s="45"/>
      <c r="H452" s="45"/>
      <c r="J452" s="45"/>
    </row>
    <row r="453">
      <c r="A453" s="22" t="s">
        <v>352</v>
      </c>
      <c r="B453" s="21">
        <f t="shared" si="4"/>
        <v>0</v>
      </c>
      <c r="C453" s="21" t="str">
        <f>VLOOKUP(A453, hash!A$2:B$500, 2, 0)</f>
        <v>66eb1c681132636931fb1934</v>
      </c>
      <c r="D453" s="23">
        <f t="shared" si="1"/>
        <v>0</v>
      </c>
      <c r="F453" s="45"/>
      <c r="H453" s="45"/>
      <c r="J453" s="45"/>
    </row>
    <row r="454">
      <c r="A454" s="22" t="s">
        <v>353</v>
      </c>
      <c r="B454" s="21">
        <f t="shared" si="4"/>
        <v>0</v>
      </c>
      <c r="C454" s="21" t="str">
        <f>VLOOKUP(A454, hash!A$2:B$500, 2, 0)</f>
        <v>66eb1c6ecb6c430d242f37d9</v>
      </c>
      <c r="D454" s="23">
        <f t="shared" si="1"/>
        <v>0</v>
      </c>
      <c r="F454" s="45"/>
      <c r="H454" s="45"/>
      <c r="J454" s="45"/>
    </row>
    <row r="455">
      <c r="A455" s="22" t="s">
        <v>354</v>
      </c>
      <c r="B455" s="21">
        <f t="shared" si="4"/>
        <v>0</v>
      </c>
      <c r="C455" s="21" t="str">
        <f>VLOOKUP(A455, hash!A$2:B$500, 2, 0)</f>
        <v>66eb1c79cb6c430d242f37da</v>
      </c>
      <c r="D455" s="23">
        <f t="shared" si="1"/>
        <v>0</v>
      </c>
      <c r="F455" s="45"/>
      <c r="H455" s="45"/>
      <c r="J455" s="45"/>
    </row>
    <row r="456">
      <c r="A456" s="22" t="s">
        <v>355</v>
      </c>
      <c r="B456" s="21">
        <f t="shared" si="4"/>
        <v>0</v>
      </c>
      <c r="C456" s="21" t="str">
        <f>VLOOKUP(A456, hash!A$2:B$500, 2, 0)</f>
        <v>66eb1c7e1132636931fb1938</v>
      </c>
      <c r="D456" s="23">
        <f t="shared" si="1"/>
        <v>0</v>
      </c>
      <c r="F456" s="45"/>
      <c r="H456" s="45"/>
      <c r="J456" s="45"/>
    </row>
    <row r="457">
      <c r="A457" s="22" t="s">
        <v>356</v>
      </c>
      <c r="B457" s="21">
        <f t="shared" si="4"/>
        <v>0</v>
      </c>
      <c r="C457" s="21" t="str">
        <f>VLOOKUP(A457, hash!A$2:B$500, 2, 0)</f>
        <v>66eb1cb28647681e6a2afbec</v>
      </c>
      <c r="D457" s="23">
        <f t="shared" si="1"/>
        <v>0</v>
      </c>
      <c r="F457" s="45"/>
      <c r="H457" s="45"/>
      <c r="J457" s="45"/>
    </row>
    <row r="458">
      <c r="A458" s="22" t="s">
        <v>357</v>
      </c>
      <c r="B458" s="21">
        <f t="shared" si="4"/>
        <v>0</v>
      </c>
      <c r="C458" s="21" t="str">
        <f>VLOOKUP(A458, hash!A$2:B$500, 2, 0)</f>
        <v>66eb1ce18647681e6a2afbed</v>
      </c>
      <c r="D458" s="23">
        <f t="shared" si="1"/>
        <v>0</v>
      </c>
      <c r="F458" s="45"/>
      <c r="H458" s="45"/>
      <c r="J458" s="45"/>
    </row>
    <row r="459">
      <c r="A459" s="22" t="s">
        <v>358</v>
      </c>
      <c r="B459" s="21">
        <f t="shared" si="4"/>
        <v>0</v>
      </c>
      <c r="C459" s="21" t="str">
        <f>VLOOKUP(A459, hash!A$2:B$500, 2, 0)</f>
        <v>66eb26e01132636931fb1948</v>
      </c>
      <c r="D459" s="23">
        <f t="shared" si="1"/>
        <v>0</v>
      </c>
      <c r="F459" s="45"/>
      <c r="H459" s="45"/>
      <c r="J459" s="45"/>
    </row>
    <row r="460">
      <c r="A460" s="22" t="s">
        <v>359</v>
      </c>
      <c r="B460" s="21">
        <f t="shared" si="4"/>
        <v>0</v>
      </c>
      <c r="C460" s="21" t="str">
        <f>VLOOKUP(A460, hash!A$2:B$500, 2, 0)</f>
        <v>66eb2791f5cf341f2cef5f68</v>
      </c>
      <c r="D460" s="23">
        <f t="shared" si="1"/>
        <v>0</v>
      </c>
      <c r="F460" s="45"/>
      <c r="H460" s="45"/>
      <c r="J460" s="45"/>
    </row>
    <row r="461">
      <c r="A461" s="22" t="s">
        <v>360</v>
      </c>
      <c r="B461" s="21">
        <f t="shared" si="4"/>
        <v>0</v>
      </c>
      <c r="C461" s="21" t="str">
        <f>VLOOKUP(A461, hash!A$2:B$500, 2, 0)</f>
        <v>66eb283093ca556f981967dc</v>
      </c>
      <c r="D461" s="23">
        <f t="shared" si="1"/>
        <v>0</v>
      </c>
      <c r="F461" s="45"/>
      <c r="H461" s="45"/>
      <c r="J461" s="45"/>
    </row>
    <row r="462">
      <c r="A462" s="24" t="s">
        <v>361</v>
      </c>
      <c r="B462" s="21">
        <f t="shared" si="4"/>
        <v>0</v>
      </c>
      <c r="C462" s="21" t="str">
        <f>VLOOKUP(A462, hash!A$2:B$500, 2, 0)</f>
        <v>66eb283593ca556f981967de</v>
      </c>
      <c r="D462" s="23">
        <f t="shared" si="1"/>
        <v>0</v>
      </c>
      <c r="F462" s="45"/>
      <c r="H462" s="45"/>
      <c r="J462" s="45"/>
    </row>
    <row r="463">
      <c r="A463" s="22" t="s">
        <v>362</v>
      </c>
      <c r="B463" s="21">
        <f t="shared" si="4"/>
        <v>0</v>
      </c>
      <c r="C463" s="21" t="str">
        <f>VLOOKUP(A463, hash!A$2:B$500, 2, 0)</f>
        <v>66eb28586bd7ab0d5c9d8c1c</v>
      </c>
      <c r="D463" s="23">
        <f t="shared" si="1"/>
        <v>0</v>
      </c>
      <c r="F463" s="45"/>
      <c r="H463" s="45"/>
      <c r="J463" s="45"/>
    </row>
    <row r="464">
      <c r="A464" s="22" t="s">
        <v>644</v>
      </c>
      <c r="B464" s="21">
        <f t="shared" si="4"/>
        <v>0</v>
      </c>
      <c r="C464" s="21" t="str">
        <f>VLOOKUP(A464, hash!A$2:B$500, 2, 0)</f>
        <v>#N/A</v>
      </c>
      <c r="D464" s="23">
        <f t="shared" si="1"/>
        <v>0</v>
      </c>
      <c r="F464" s="45"/>
      <c r="H464" s="45"/>
      <c r="J464" s="45"/>
    </row>
    <row r="465">
      <c r="A465" s="22" t="s">
        <v>363</v>
      </c>
      <c r="B465" s="21">
        <f t="shared" si="4"/>
        <v>0</v>
      </c>
      <c r="C465" s="21" t="str">
        <f>VLOOKUP(A465, hash!A$2:B$500, 2, 0)</f>
        <v>66eb28b493ca556f981967e8</v>
      </c>
      <c r="D465" s="23">
        <f t="shared" si="1"/>
        <v>0</v>
      </c>
      <c r="F465" s="45"/>
      <c r="H465" s="45"/>
      <c r="J465" s="45"/>
    </row>
    <row r="466">
      <c r="A466" s="22" t="s">
        <v>364</v>
      </c>
      <c r="B466" s="21">
        <f t="shared" si="4"/>
        <v>0</v>
      </c>
      <c r="C466" s="21" t="str">
        <f>VLOOKUP(A466, hash!A$2:B$500, 2, 0)</f>
        <v>66eb293393ca556f981967ec</v>
      </c>
      <c r="D466" s="23">
        <f t="shared" si="1"/>
        <v>0</v>
      </c>
      <c r="F466" s="45"/>
      <c r="H466" s="45"/>
      <c r="J466" s="45"/>
    </row>
    <row r="467">
      <c r="A467" s="22" t="s">
        <v>365</v>
      </c>
      <c r="B467" s="21">
        <f t="shared" si="4"/>
        <v>0</v>
      </c>
      <c r="C467" s="21" t="str">
        <f>VLOOKUP(A467, hash!A$2:B$500, 2, 0)</f>
        <v>66eb295cf5cf341f2cef5f6e</v>
      </c>
      <c r="D467" s="23">
        <f t="shared" si="1"/>
        <v>0</v>
      </c>
      <c r="F467" s="45"/>
      <c r="H467" s="45"/>
      <c r="J467" s="45"/>
    </row>
    <row r="468">
      <c r="A468" s="22" t="s">
        <v>366</v>
      </c>
      <c r="B468" s="21">
        <f t="shared" si="4"/>
        <v>0</v>
      </c>
      <c r="C468" s="21" t="str">
        <f>VLOOKUP(A468, hash!A$2:B$500, 2, 0)</f>
        <v>66ec5f65155b01592e9cc06d</v>
      </c>
      <c r="D468" s="23">
        <f t="shared" si="1"/>
        <v>0</v>
      </c>
      <c r="F468" s="45"/>
      <c r="H468" s="45"/>
      <c r="J468" s="45"/>
    </row>
    <row r="469">
      <c r="A469" s="14" t="s">
        <v>613</v>
      </c>
      <c r="B469" s="21">
        <f t="shared" si="4"/>
        <v>457.1082334</v>
      </c>
      <c r="C469" s="21" t="str">
        <f>VLOOKUP(A469, hash!A$2:B$500, 2, 0)</f>
        <v>#N/A</v>
      </c>
      <c r="D469" s="23">
        <f t="shared" si="1"/>
        <v>1.910560057</v>
      </c>
      <c r="E469" s="35">
        <v>1.0</v>
      </c>
      <c r="F469" s="38"/>
      <c r="G469" s="38"/>
      <c r="H469" s="38"/>
      <c r="I469" s="38"/>
      <c r="J469" s="38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 ht="15.75" customHeight="1">
      <c r="A1" s="14" t="s">
        <v>1</v>
      </c>
      <c r="B1" s="14" t="s">
        <v>499</v>
      </c>
      <c r="C1" s="14" t="s">
        <v>500</v>
      </c>
      <c r="D1" s="20" t="s">
        <v>501</v>
      </c>
      <c r="E1" s="14" t="s">
        <v>502</v>
      </c>
      <c r="F1" s="27" t="s">
        <v>503</v>
      </c>
      <c r="G1" s="14" t="s">
        <v>504</v>
      </c>
      <c r="H1" s="27" t="s">
        <v>505</v>
      </c>
      <c r="I1" s="14" t="s">
        <v>506</v>
      </c>
      <c r="J1" s="27" t="s">
        <v>507</v>
      </c>
      <c r="K1" s="47"/>
      <c r="L1" s="46" t="s">
        <v>508</v>
      </c>
      <c r="M1" s="25">
        <f t="array" ref="M1">sum(large(D2:D1469,column(indirect("$A$1:" &amp;ADDRESS( 1, 12)))))/12</f>
        <v>6.78652263</v>
      </c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</row>
    <row r="2">
      <c r="A2" s="22" t="s">
        <v>8</v>
      </c>
      <c r="B2" s="21">
        <f t="shared" ref="B2:B469" si="1">D2/M$1*2000</f>
        <v>2700.183838</v>
      </c>
      <c r="C2" s="21" t="str">
        <f>VLOOKUP(A2, hash!A$2:B$500, 2, 0)</f>
        <v>6322202c0aa8ba2dbc57c0a6</v>
      </c>
      <c r="D2" s="23">
        <f t="shared" ref="D2:D469" si="2">SUMPRODUCT(E2:J2,$M$4:$R$4)</f>
        <v>9.162429363</v>
      </c>
      <c r="E2" s="14">
        <v>1.0</v>
      </c>
      <c r="F2" s="27">
        <v>1.0</v>
      </c>
      <c r="G2" s="14">
        <v>1.0</v>
      </c>
      <c r="H2" s="27">
        <v>1.0</v>
      </c>
      <c r="J2" s="27"/>
      <c r="K2" s="47"/>
      <c r="L2" s="47"/>
      <c r="M2" s="47" t="s">
        <v>502</v>
      </c>
      <c r="N2" s="47" t="s">
        <v>503</v>
      </c>
      <c r="O2" s="47" t="s">
        <v>504</v>
      </c>
      <c r="P2" s="47" t="s">
        <v>505</v>
      </c>
      <c r="Q2" s="47" t="s">
        <v>506</v>
      </c>
      <c r="R2" s="47" t="s">
        <v>507</v>
      </c>
      <c r="S2" s="47"/>
      <c r="T2" s="47"/>
      <c r="U2" s="47"/>
      <c r="V2" s="47"/>
      <c r="W2" s="47"/>
      <c r="X2" s="47"/>
      <c r="Y2" s="47"/>
      <c r="Z2" s="47"/>
      <c r="AA2" s="47"/>
    </row>
    <row r="3">
      <c r="A3" s="22" t="s">
        <v>10</v>
      </c>
      <c r="B3" s="21">
        <f t="shared" si="1"/>
        <v>2700.183838</v>
      </c>
      <c r="C3" s="21" t="str">
        <f>VLOOKUP(A3, hash!A$2:B$500, 2, 0)</f>
        <v>632220270aa8ba2dbc57c0a4</v>
      </c>
      <c r="D3" s="23">
        <f t="shared" si="2"/>
        <v>9.162429363</v>
      </c>
      <c r="E3" s="14">
        <v>1.0</v>
      </c>
      <c r="F3" s="27">
        <v>1.0</v>
      </c>
      <c r="G3" s="14">
        <v>1.0</v>
      </c>
      <c r="H3" s="27">
        <v>1.0</v>
      </c>
      <c r="J3" s="27"/>
      <c r="K3" s="47"/>
      <c r="L3" s="47" t="s">
        <v>559</v>
      </c>
      <c r="M3" s="25">
        <f t="shared" ref="M3:Q3" si="3">SUM(E:E)</f>
        <v>44</v>
      </c>
      <c r="N3" s="25">
        <f t="shared" si="3"/>
        <v>21</v>
      </c>
      <c r="O3" s="25">
        <f t="shared" si="3"/>
        <v>26</v>
      </c>
      <c r="P3" s="25">
        <f t="shared" si="3"/>
        <v>4</v>
      </c>
      <c r="Q3" s="25">
        <f t="shared" si="3"/>
        <v>1</v>
      </c>
      <c r="R3" s="25">
        <v>1434.0</v>
      </c>
      <c r="S3" s="47"/>
      <c r="T3" s="47"/>
      <c r="U3" s="47"/>
      <c r="V3" s="47"/>
      <c r="W3" s="47"/>
      <c r="X3" s="47"/>
      <c r="Y3" s="47"/>
      <c r="Z3" s="47"/>
      <c r="AA3" s="47"/>
    </row>
    <row r="4">
      <c r="A4" s="22" t="s">
        <v>92</v>
      </c>
      <c r="B4" s="21">
        <f t="shared" si="1"/>
        <v>2700.183838</v>
      </c>
      <c r="C4" s="21" t="str">
        <f>VLOOKUP(A4, hash!A$2:B$500, 2, 0)</f>
        <v>66e1e12ae2fbdff8a0c35638</v>
      </c>
      <c r="D4" s="23">
        <f t="shared" si="2"/>
        <v>9.162429363</v>
      </c>
      <c r="E4" s="14">
        <v>1.0</v>
      </c>
      <c r="F4" s="27">
        <v>1.0</v>
      </c>
      <c r="G4" s="14">
        <v>1.0</v>
      </c>
      <c r="H4" s="27">
        <v>1.0</v>
      </c>
      <c r="J4" s="27"/>
      <c r="K4" s="47"/>
      <c r="L4" s="47" t="s">
        <v>561</v>
      </c>
      <c r="M4" s="25">
        <f t="shared" ref="M4:R4" si="4">1+LN($M$8/M3)</f>
        <v>1.374693449</v>
      </c>
      <c r="N4" s="25">
        <f t="shared" si="4"/>
        <v>2.114360646</v>
      </c>
      <c r="O4" s="25">
        <f t="shared" si="4"/>
        <v>1.900786545</v>
      </c>
      <c r="P4" s="25">
        <f t="shared" si="4"/>
        <v>3.772588722</v>
      </c>
      <c r="Q4" s="25">
        <f t="shared" si="4"/>
        <v>5.158883083</v>
      </c>
      <c r="R4" s="25">
        <f t="shared" si="4"/>
        <v>-2.109339938</v>
      </c>
      <c r="S4" s="47"/>
      <c r="T4" s="47"/>
      <c r="U4" s="47"/>
      <c r="V4" s="47"/>
      <c r="W4" s="47"/>
      <c r="X4" s="47"/>
      <c r="Y4" s="47"/>
      <c r="Z4" s="47"/>
      <c r="AA4" s="47"/>
    </row>
    <row r="5">
      <c r="A5" s="22" t="s">
        <v>18</v>
      </c>
      <c r="B5" s="21">
        <f t="shared" si="1"/>
        <v>2485.621441</v>
      </c>
      <c r="C5" s="21" t="str">
        <f>VLOOKUP(A5, hash!A$2:B$500, 2, 0)</f>
        <v>6502003d1d8cbbbd315ad525</v>
      </c>
      <c r="D5" s="23">
        <f t="shared" si="2"/>
        <v>8.434363078</v>
      </c>
      <c r="E5" s="14">
        <v>1.0</v>
      </c>
      <c r="F5" s="27"/>
      <c r="G5" s="14">
        <v>1.0</v>
      </c>
      <c r="H5" s="27"/>
      <c r="I5" s="14">
        <v>1.0</v>
      </c>
      <c r="J5" s="27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  <c r="W5" s="47"/>
      <c r="X5" s="47"/>
      <c r="Y5" s="47"/>
      <c r="Z5" s="47"/>
      <c r="AA5" s="47"/>
    </row>
    <row r="6">
      <c r="A6" s="22" t="s">
        <v>9</v>
      </c>
      <c r="B6" s="21">
        <f t="shared" si="1"/>
        <v>2295.059293</v>
      </c>
      <c r="C6" s="21" t="str">
        <f>VLOOKUP(A6, hash!A$2:B$500, 2, 0)</f>
        <v>66e1e1237a8e6dc2aed3a642</v>
      </c>
      <c r="D6" s="23">
        <f t="shared" si="2"/>
        <v>7.787735913</v>
      </c>
      <c r="E6" s="14">
        <v>0.0</v>
      </c>
      <c r="F6" s="27">
        <v>1.0</v>
      </c>
      <c r="G6" s="14">
        <v>1.0</v>
      </c>
      <c r="H6" s="27">
        <v>1.0</v>
      </c>
      <c r="J6" s="27"/>
      <c r="K6" s="47"/>
      <c r="L6" s="47"/>
      <c r="M6" s="47"/>
      <c r="N6" s="47"/>
      <c r="O6" s="47"/>
      <c r="P6" s="47"/>
      <c r="Q6" s="68"/>
      <c r="R6" s="47"/>
      <c r="S6" s="47"/>
      <c r="T6" s="47"/>
      <c r="U6" s="47"/>
      <c r="V6" s="47"/>
      <c r="W6" s="47"/>
      <c r="X6" s="47"/>
      <c r="Y6" s="47"/>
      <c r="Z6" s="47"/>
      <c r="AA6" s="47"/>
    </row>
    <row r="7">
      <c r="A7" s="22" t="s">
        <v>565</v>
      </c>
      <c r="B7" s="21">
        <f t="shared" si="1"/>
        <v>1588.395393</v>
      </c>
      <c r="C7" s="21" t="str">
        <f>VLOOKUP(A7, hash!A$2:B$500, 2, 0)</f>
        <v>#N/A</v>
      </c>
      <c r="D7" s="23">
        <f t="shared" si="2"/>
        <v>5.38984064</v>
      </c>
      <c r="E7" s="14">
        <v>1.0</v>
      </c>
      <c r="F7" s="27">
        <v>1.0</v>
      </c>
      <c r="G7" s="14">
        <v>1.0</v>
      </c>
      <c r="H7" s="27"/>
      <c r="J7" s="27"/>
      <c r="K7" s="47"/>
      <c r="L7" s="47"/>
      <c r="M7" s="25" t="s">
        <v>564</v>
      </c>
      <c r="N7" s="47"/>
      <c r="O7" s="47"/>
      <c r="P7" s="47"/>
      <c r="Q7" s="68"/>
      <c r="R7" s="47"/>
      <c r="S7" s="47"/>
      <c r="T7" s="47"/>
      <c r="U7" s="47"/>
      <c r="V7" s="47"/>
      <c r="W7" s="47"/>
      <c r="X7" s="47"/>
      <c r="Y7" s="47"/>
      <c r="Z7" s="47"/>
      <c r="AA7" s="47"/>
    </row>
    <row r="8">
      <c r="A8" s="22" t="s">
        <v>30</v>
      </c>
      <c r="B8" s="21">
        <f t="shared" si="1"/>
        <v>1588.395393</v>
      </c>
      <c r="C8" s="21" t="str">
        <f>VLOOKUP(A8, hash!A$2:B$500, 2, 0)</f>
        <v>6322236ef382c17890e6a3e1</v>
      </c>
      <c r="D8" s="23">
        <f t="shared" si="2"/>
        <v>5.38984064</v>
      </c>
      <c r="E8" s="14">
        <v>1.0</v>
      </c>
      <c r="F8" s="27">
        <v>1.0</v>
      </c>
      <c r="G8" s="14">
        <v>1.0</v>
      </c>
      <c r="H8" s="27"/>
      <c r="J8" s="27"/>
      <c r="K8" s="47"/>
      <c r="L8" s="47"/>
      <c r="M8" s="14">
        <f>COUNTA(E2:E500)</f>
        <v>64</v>
      </c>
      <c r="N8" s="47"/>
      <c r="O8" s="47"/>
      <c r="P8" s="47"/>
      <c r="Q8" s="47"/>
      <c r="R8" s="47"/>
      <c r="S8" s="47"/>
      <c r="T8" s="47"/>
      <c r="U8" s="47"/>
      <c r="V8" s="47"/>
      <c r="W8" s="47"/>
      <c r="X8" s="47"/>
      <c r="Y8" s="47"/>
      <c r="Z8" s="47"/>
      <c r="AA8" s="47"/>
    </row>
    <row r="9">
      <c r="A9" s="22" t="s">
        <v>566</v>
      </c>
      <c r="B9" s="21">
        <f t="shared" si="1"/>
        <v>1588.395393</v>
      </c>
      <c r="C9" s="21" t="str">
        <f>VLOOKUP(A9, hash!A$2:B$500, 2, 0)</f>
        <v>#N/A</v>
      </c>
      <c r="D9" s="23">
        <f t="shared" si="2"/>
        <v>5.38984064</v>
      </c>
      <c r="E9" s="14">
        <v>1.0</v>
      </c>
      <c r="F9" s="27">
        <v>1.0</v>
      </c>
      <c r="G9" s="14">
        <v>1.0</v>
      </c>
      <c r="H9" s="27">
        <v>0.0</v>
      </c>
      <c r="I9" s="14">
        <v>0.0</v>
      </c>
      <c r="J9" s="27">
        <v>0.0</v>
      </c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  <c r="AA9" s="47"/>
    </row>
    <row r="10">
      <c r="A10" s="22" t="s">
        <v>11</v>
      </c>
      <c r="B10" s="21">
        <f t="shared" si="1"/>
        <v>1588.395393</v>
      </c>
      <c r="C10" s="21" t="str">
        <f>VLOOKUP(A10, hash!A$2:B$500, 2, 0)</f>
        <v>6502005e1d8cbbbd315ad52c</v>
      </c>
      <c r="D10" s="23">
        <f t="shared" si="2"/>
        <v>5.38984064</v>
      </c>
      <c r="E10" s="14">
        <v>1.0</v>
      </c>
      <c r="F10" s="27">
        <v>1.0</v>
      </c>
      <c r="G10" s="14">
        <v>1.0</v>
      </c>
      <c r="H10" s="27"/>
      <c r="J10" s="2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  <c r="AA10" s="47"/>
    </row>
    <row r="11">
      <c r="A11" s="22" t="s">
        <v>434</v>
      </c>
      <c r="B11" s="21">
        <f t="shared" si="1"/>
        <v>1588.395393</v>
      </c>
      <c r="C11" s="21" t="str">
        <f>VLOOKUP(A11, hash!A$2:B$500, 2, 0)</f>
        <v>63222083cfccb655ce1f3a74</v>
      </c>
      <c r="D11" s="23">
        <f t="shared" si="2"/>
        <v>5.38984064</v>
      </c>
      <c r="E11" s="14">
        <v>1.0</v>
      </c>
      <c r="F11" s="27">
        <v>1.0</v>
      </c>
      <c r="G11" s="14">
        <v>1.0</v>
      </c>
      <c r="H11" s="27"/>
      <c r="J11" s="27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47"/>
      <c r="AA11" s="47"/>
    </row>
    <row r="12">
      <c r="A12" s="22" t="s">
        <v>29</v>
      </c>
      <c r="B12" s="21">
        <f t="shared" si="1"/>
        <v>1588.395393</v>
      </c>
      <c r="C12" s="21" t="str">
        <f>VLOOKUP(A12, hash!A$2:B$500, 2, 0)</f>
        <v>66e1e1659bdd593ffcd624e6</v>
      </c>
      <c r="D12" s="23">
        <f t="shared" si="2"/>
        <v>5.38984064</v>
      </c>
      <c r="E12" s="14">
        <v>1.0</v>
      </c>
      <c r="F12" s="27">
        <v>1.0</v>
      </c>
      <c r="G12" s="14">
        <v>1.0</v>
      </c>
      <c r="H12" s="27">
        <v>0.0</v>
      </c>
      <c r="I12" s="14">
        <v>0.0</v>
      </c>
      <c r="J12" s="27">
        <v>0.0</v>
      </c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  <c r="AA12" s="47"/>
    </row>
    <row r="13">
      <c r="A13" s="22" t="s">
        <v>23</v>
      </c>
      <c r="B13" s="21">
        <f t="shared" si="1"/>
        <v>1588.395393</v>
      </c>
      <c r="C13" s="21" t="str">
        <f>VLOOKUP(A13, hash!A$2:B$500, 2, 0)</f>
        <v>65020bfe097ac3c9d063264f</v>
      </c>
      <c r="D13" s="23">
        <f t="shared" si="2"/>
        <v>5.38984064</v>
      </c>
      <c r="E13" s="14">
        <v>1.0</v>
      </c>
      <c r="F13" s="27">
        <v>1.0</v>
      </c>
      <c r="G13" s="14">
        <v>1.0</v>
      </c>
      <c r="H13" s="27">
        <v>0.0</v>
      </c>
      <c r="I13" s="14">
        <v>0.0</v>
      </c>
      <c r="J13" s="27">
        <v>0.0</v>
      </c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47"/>
      <c r="AA13" s="47"/>
    </row>
    <row r="14">
      <c r="A14" s="22" t="s">
        <v>33</v>
      </c>
      <c r="B14" s="21">
        <f t="shared" si="1"/>
        <v>1588.395393</v>
      </c>
      <c r="C14" s="21" t="str">
        <f>VLOOKUP(A14, hash!A$2:B$500, 2, 0)</f>
        <v>66e1e126f0db8f5922c91d85</v>
      </c>
      <c r="D14" s="23">
        <f t="shared" si="2"/>
        <v>5.38984064</v>
      </c>
      <c r="E14" s="14">
        <v>1.0</v>
      </c>
      <c r="F14" s="27">
        <v>1.0</v>
      </c>
      <c r="G14" s="14">
        <v>1.0</v>
      </c>
      <c r="H14" s="27">
        <v>0.0</v>
      </c>
      <c r="I14" s="14">
        <v>0.0</v>
      </c>
      <c r="J14" s="27">
        <v>0.0</v>
      </c>
      <c r="K14" s="47"/>
      <c r="L14" s="47"/>
      <c r="M14" s="47" t="s">
        <v>567</v>
      </c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  <c r="AA14" s="47"/>
    </row>
    <row r="15">
      <c r="A15" s="22" t="s">
        <v>24</v>
      </c>
      <c r="B15" s="21">
        <f t="shared" si="1"/>
        <v>1588.395393</v>
      </c>
      <c r="C15" s="21" t="str">
        <f>VLOOKUP(A15, hash!A$2:B$500, 2, 0)</f>
        <v>66e1e1277a8e6dc2aed3a645</v>
      </c>
      <c r="D15" s="23">
        <f t="shared" si="2"/>
        <v>5.38984064</v>
      </c>
      <c r="E15" s="14">
        <v>1.0</v>
      </c>
      <c r="F15" s="27">
        <v>1.0</v>
      </c>
      <c r="G15" s="14">
        <v>1.0</v>
      </c>
      <c r="H15" s="27"/>
      <c r="J15" s="27"/>
      <c r="K15" s="47"/>
      <c r="L15" s="47"/>
      <c r="M15" s="25">
        <f>SUM(E2:J13)/12</f>
        <v>3.25</v>
      </c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  <c r="AA15" s="47"/>
    </row>
    <row r="16">
      <c r="A16" s="22" t="s">
        <v>63</v>
      </c>
      <c r="B16" s="21">
        <f t="shared" si="1"/>
        <v>1588.395393</v>
      </c>
      <c r="C16" s="21" t="str">
        <f>VLOOKUP(A16, hash!A$2:B$500, 2, 0)</f>
        <v>66e1e12cf0db8f5922c91d89</v>
      </c>
      <c r="D16" s="23">
        <f t="shared" si="2"/>
        <v>5.38984064</v>
      </c>
      <c r="E16" s="14">
        <v>1.0</v>
      </c>
      <c r="F16" s="27">
        <v>1.0</v>
      </c>
      <c r="G16" s="14">
        <v>1.0</v>
      </c>
      <c r="H16" s="27">
        <v>0.0</v>
      </c>
      <c r="I16" s="14">
        <v>0.0</v>
      </c>
      <c r="J16" s="27">
        <v>0.0</v>
      </c>
      <c r="K16" s="47"/>
      <c r="L16" s="47"/>
      <c r="M16" s="47"/>
      <c r="N16" s="47"/>
      <c r="O16" s="47"/>
      <c r="P16" s="47"/>
      <c r="Q16" s="47"/>
      <c r="R16" s="47"/>
      <c r="S16" s="47"/>
      <c r="T16" s="47"/>
      <c r="U16" s="47"/>
      <c r="V16" s="47"/>
      <c r="W16" s="47"/>
      <c r="X16" s="47"/>
      <c r="Y16" s="47"/>
      <c r="Z16" s="47"/>
      <c r="AA16" s="47"/>
    </row>
    <row r="17">
      <c r="A17" s="22" t="s">
        <v>19</v>
      </c>
      <c r="B17" s="21">
        <f t="shared" si="1"/>
        <v>1183.270847</v>
      </c>
      <c r="C17" s="21" t="str">
        <f>VLOOKUP(A17, hash!A$2:B$500, 2, 0)</f>
        <v>6502007357ae167867eac223</v>
      </c>
      <c r="D17" s="23">
        <f t="shared" si="2"/>
        <v>4.015147191</v>
      </c>
      <c r="E17" s="14">
        <v>0.0</v>
      </c>
      <c r="F17" s="27">
        <v>1.0</v>
      </c>
      <c r="G17" s="14">
        <v>1.0</v>
      </c>
      <c r="H17" s="27">
        <v>0.0</v>
      </c>
      <c r="I17" s="14">
        <v>0.0</v>
      </c>
      <c r="J17" s="27">
        <v>0.0</v>
      </c>
    </row>
    <row r="18">
      <c r="A18" s="22" t="s">
        <v>569</v>
      </c>
      <c r="B18" s="21">
        <f t="shared" si="1"/>
        <v>1028.230299</v>
      </c>
      <c r="C18" s="21" t="str">
        <f>VLOOKUP(A18, hash!A$2:B$500, 2, 0)</f>
        <v>#N/A</v>
      </c>
      <c r="D18" s="23">
        <f t="shared" si="2"/>
        <v>3.489054095</v>
      </c>
      <c r="E18" s="14">
        <v>1.0</v>
      </c>
      <c r="F18" s="27">
        <v>1.0</v>
      </c>
      <c r="H18" s="27"/>
      <c r="J18" s="27"/>
    </row>
    <row r="19">
      <c r="A19" s="22" t="s">
        <v>17</v>
      </c>
      <c r="B19" s="21">
        <f t="shared" si="1"/>
        <v>1028.230299</v>
      </c>
      <c r="C19" s="21" t="str">
        <f>VLOOKUP(A19, hash!A$2:B$500, 2, 0)</f>
        <v>65020bfc097ac3c9d063264d</v>
      </c>
      <c r="D19" s="23">
        <f t="shared" si="2"/>
        <v>3.489054095</v>
      </c>
      <c r="E19" s="14">
        <v>1.0</v>
      </c>
      <c r="F19" s="27">
        <v>1.0</v>
      </c>
      <c r="G19" s="14">
        <v>0.0</v>
      </c>
      <c r="H19" s="27">
        <v>0.0</v>
      </c>
      <c r="I19" s="14">
        <v>0.0</v>
      </c>
      <c r="J19" s="27">
        <v>0.0</v>
      </c>
    </row>
    <row r="20">
      <c r="A20" s="22" t="s">
        <v>572</v>
      </c>
      <c r="B20" s="21">
        <f t="shared" si="1"/>
        <v>1028.230299</v>
      </c>
      <c r="C20" s="21" t="str">
        <f>VLOOKUP(A20, hash!A$2:B$500, 2, 0)</f>
        <v>#N/A</v>
      </c>
      <c r="D20" s="23">
        <f t="shared" si="2"/>
        <v>3.489054095</v>
      </c>
      <c r="E20" s="14">
        <v>1.0</v>
      </c>
      <c r="F20" s="27">
        <v>1.0</v>
      </c>
      <c r="H20" s="27"/>
      <c r="J20" s="27"/>
    </row>
    <row r="21">
      <c r="A21" s="22" t="s">
        <v>573</v>
      </c>
      <c r="B21" s="21">
        <f t="shared" si="1"/>
        <v>1028.230299</v>
      </c>
      <c r="C21" s="21" t="str">
        <f>VLOOKUP(A21, hash!A$2:B$500, 2, 0)</f>
        <v>#N/A</v>
      </c>
      <c r="D21" s="23">
        <f t="shared" si="2"/>
        <v>3.489054095</v>
      </c>
      <c r="E21" s="14">
        <v>1.0</v>
      </c>
      <c r="F21" s="27">
        <v>1.0</v>
      </c>
      <c r="H21" s="27"/>
      <c r="J21" s="45"/>
    </row>
    <row r="22">
      <c r="A22" s="22" t="s">
        <v>88</v>
      </c>
      <c r="B22" s="21">
        <f t="shared" si="1"/>
        <v>1028.230299</v>
      </c>
      <c r="C22" s="21" t="str">
        <f>VLOOKUP(A22, hash!A$2:B$500, 2, 0)</f>
        <v>65020d65097ac3c9d063266d</v>
      </c>
      <c r="D22" s="23">
        <f t="shared" si="2"/>
        <v>3.489054095</v>
      </c>
      <c r="E22" s="14">
        <v>1.0</v>
      </c>
      <c r="F22" s="27">
        <v>1.0</v>
      </c>
      <c r="H22" s="27"/>
      <c r="J22" s="27"/>
    </row>
    <row r="23">
      <c r="A23" s="22" t="s">
        <v>563</v>
      </c>
      <c r="B23" s="21">
        <f t="shared" si="1"/>
        <v>965.2896404</v>
      </c>
      <c r="C23" s="21" t="str">
        <f>VLOOKUP(A23, hash!A$2:B$500, 2, 0)</f>
        <v>#N/A</v>
      </c>
      <c r="D23" s="23">
        <f t="shared" si="2"/>
        <v>3.275479995</v>
      </c>
      <c r="E23" s="14">
        <v>1.0</v>
      </c>
      <c r="F23" s="27">
        <v>0.0</v>
      </c>
      <c r="G23" s="14">
        <v>1.0</v>
      </c>
      <c r="H23" s="27">
        <v>0.0</v>
      </c>
      <c r="I23" s="14">
        <v>0.0</v>
      </c>
      <c r="J23" s="27">
        <v>0.0</v>
      </c>
      <c r="L23" s="47"/>
      <c r="M23" s="49"/>
      <c r="N23" s="25"/>
      <c r="O23" s="25"/>
      <c r="P23" s="25"/>
      <c r="Q23" s="50"/>
      <c r="R23" s="25"/>
    </row>
    <row r="24">
      <c r="A24" s="22" t="s">
        <v>15</v>
      </c>
      <c r="B24" s="21">
        <f t="shared" si="1"/>
        <v>965.2896404</v>
      </c>
      <c r="C24" s="21" t="str">
        <f>VLOOKUP(A24, hash!A$2:B$500, 2, 0)</f>
        <v>65020037540ba7cc68909a9b</v>
      </c>
      <c r="D24" s="23">
        <f t="shared" si="2"/>
        <v>3.275479995</v>
      </c>
      <c r="E24" s="14">
        <v>1.0</v>
      </c>
      <c r="F24" s="27">
        <v>0.0</v>
      </c>
      <c r="G24" s="14">
        <v>1.0</v>
      </c>
      <c r="H24" s="27">
        <v>0.0</v>
      </c>
      <c r="I24" s="14">
        <v>0.0</v>
      </c>
      <c r="J24" s="27">
        <v>0.0</v>
      </c>
    </row>
    <row r="25">
      <c r="A25" s="22" t="s">
        <v>45</v>
      </c>
      <c r="B25" s="21">
        <f t="shared" si="1"/>
        <v>965.2896404</v>
      </c>
      <c r="C25" s="21" t="str">
        <f>VLOOKUP(A25, hash!A$2:B$500, 2, 0)</f>
        <v>66e1ed8d1129889a3e2c24ab</v>
      </c>
      <c r="D25" s="23">
        <f t="shared" si="2"/>
        <v>3.275479995</v>
      </c>
      <c r="E25" s="14">
        <v>1.0</v>
      </c>
      <c r="F25" s="27">
        <v>0.0</v>
      </c>
      <c r="G25" s="14">
        <v>1.0</v>
      </c>
      <c r="H25" s="27">
        <v>0.0</v>
      </c>
      <c r="I25" s="14">
        <v>0.0</v>
      </c>
      <c r="J25" s="27">
        <v>0.0</v>
      </c>
    </row>
    <row r="26">
      <c r="A26" s="22" t="s">
        <v>432</v>
      </c>
      <c r="B26" s="21">
        <f t="shared" si="1"/>
        <v>965.2896404</v>
      </c>
      <c r="C26" s="21" t="str">
        <f>VLOOKUP(A26, hash!A$2:B$500, 2, 0)</f>
        <v>632220620aa8ba2dbc57c0ab</v>
      </c>
      <c r="D26" s="23">
        <f t="shared" si="2"/>
        <v>3.275479995</v>
      </c>
      <c r="E26" s="14">
        <v>1.0</v>
      </c>
      <c r="F26" s="27">
        <v>0.0</v>
      </c>
      <c r="G26" s="14">
        <v>1.0</v>
      </c>
      <c r="H26" s="27"/>
      <c r="J26" s="27"/>
      <c r="L26" s="47"/>
      <c r="M26" s="25"/>
      <c r="N26" s="25"/>
      <c r="O26" s="25"/>
      <c r="P26" s="25"/>
      <c r="Q26" s="25"/>
      <c r="R26" s="25"/>
    </row>
    <row r="27">
      <c r="A27" s="24" t="s">
        <v>13</v>
      </c>
      <c r="B27" s="21">
        <f t="shared" si="1"/>
        <v>965.2896404</v>
      </c>
      <c r="C27" s="21" t="str">
        <f>VLOOKUP(A27, hash!A$2:B$500, 2, 0)</f>
        <v>65020be78f2b101294bb3da8</v>
      </c>
      <c r="D27" s="23">
        <f t="shared" si="2"/>
        <v>3.275479995</v>
      </c>
      <c r="E27" s="14">
        <v>1.0</v>
      </c>
      <c r="F27" s="27">
        <v>0.0</v>
      </c>
      <c r="G27" s="14">
        <v>1.0</v>
      </c>
      <c r="H27" s="27">
        <v>0.0</v>
      </c>
      <c r="I27" s="14">
        <v>0.0</v>
      </c>
      <c r="J27" s="27">
        <v>0.0</v>
      </c>
    </row>
    <row r="28">
      <c r="A28" s="22" t="s">
        <v>86</v>
      </c>
      <c r="B28" s="21">
        <f t="shared" si="1"/>
        <v>965.2896404</v>
      </c>
      <c r="C28" s="21" t="str">
        <f>VLOOKUP(A28, hash!A$2:B$500, 2, 0)</f>
        <v>65020c05097ac3c9d0632651</v>
      </c>
      <c r="D28" s="23">
        <f t="shared" si="2"/>
        <v>3.275479995</v>
      </c>
      <c r="E28" s="14">
        <v>1.0</v>
      </c>
      <c r="F28" s="27">
        <v>0.0</v>
      </c>
      <c r="G28" s="14">
        <v>1.0</v>
      </c>
      <c r="H28" s="45"/>
      <c r="J28" s="45"/>
    </row>
    <row r="29">
      <c r="A29" s="22" t="s">
        <v>571</v>
      </c>
      <c r="B29" s="21">
        <f t="shared" si="1"/>
        <v>965.2896404</v>
      </c>
      <c r="C29" s="21" t="str">
        <f>VLOOKUP(A29, hash!A$2:B$500, 2, 0)</f>
        <v>#N/A</v>
      </c>
      <c r="D29" s="23">
        <f t="shared" si="2"/>
        <v>3.275479995</v>
      </c>
      <c r="E29" s="14">
        <v>1.0</v>
      </c>
      <c r="F29" s="27">
        <v>0.0</v>
      </c>
      <c r="G29" s="14">
        <v>1.0</v>
      </c>
      <c r="H29" s="45"/>
      <c r="J29" s="45"/>
    </row>
    <row r="30">
      <c r="A30" s="22" t="s">
        <v>44</v>
      </c>
      <c r="B30" s="21">
        <f t="shared" si="1"/>
        <v>965.2896404</v>
      </c>
      <c r="C30" s="21" t="str">
        <f>VLOOKUP(A30, hash!A$2:B$500, 2, 0)</f>
        <v>66e1e125f0db8f5922c91d84</v>
      </c>
      <c r="D30" s="23">
        <f t="shared" si="2"/>
        <v>3.275479995</v>
      </c>
      <c r="E30" s="14">
        <v>1.0</v>
      </c>
      <c r="F30" s="45"/>
      <c r="G30" s="14">
        <v>1.0</v>
      </c>
      <c r="H30" s="45"/>
      <c r="J30" s="45"/>
    </row>
    <row r="31">
      <c r="A31" s="22" t="s">
        <v>57</v>
      </c>
      <c r="B31" s="21">
        <f t="shared" si="1"/>
        <v>965.2896404</v>
      </c>
      <c r="C31" s="21" t="str">
        <f>VLOOKUP(A31, hash!A$2:B$500, 2, 0)</f>
        <v>66e1e13168fa766abf5d11d8</v>
      </c>
      <c r="D31" s="23">
        <f t="shared" si="2"/>
        <v>3.275479995</v>
      </c>
      <c r="E31" s="14">
        <v>1.0</v>
      </c>
      <c r="F31" s="27">
        <v>0.0</v>
      </c>
      <c r="G31" s="14">
        <v>1.0</v>
      </c>
      <c r="H31" s="27">
        <v>0.0</v>
      </c>
      <c r="I31" s="14">
        <v>0.0</v>
      </c>
      <c r="J31" s="27">
        <v>0.0</v>
      </c>
    </row>
    <row r="32">
      <c r="A32" s="22" t="s">
        <v>435</v>
      </c>
      <c r="B32" s="21">
        <f t="shared" si="1"/>
        <v>405.1245459</v>
      </c>
      <c r="C32" s="21" t="str">
        <f>VLOOKUP(A32, hash!A$2:B$500, 2, 0)</f>
        <v>63222a4c5bded5e4ff37ac1f</v>
      </c>
      <c r="D32" s="23">
        <f t="shared" si="2"/>
        <v>1.374693449</v>
      </c>
      <c r="E32" s="14">
        <v>1.0</v>
      </c>
      <c r="F32" s="27"/>
      <c r="H32" s="27"/>
      <c r="J32" s="27"/>
    </row>
    <row r="33">
      <c r="A33" s="22" t="s">
        <v>442</v>
      </c>
      <c r="B33" s="21">
        <f t="shared" si="1"/>
        <v>405.1245459</v>
      </c>
      <c r="C33" s="21" t="str">
        <f>VLOOKUP(A33, hash!A$2:B$500, 2, 0)</f>
        <v>632220710aa8ba2dbc57c0ac</v>
      </c>
      <c r="D33" s="23">
        <f t="shared" si="2"/>
        <v>1.374693449</v>
      </c>
      <c r="E33" s="14">
        <v>1.0</v>
      </c>
      <c r="F33" s="27">
        <v>0.0</v>
      </c>
      <c r="G33" s="14">
        <v>0.0</v>
      </c>
      <c r="H33" s="27">
        <v>0.0</v>
      </c>
      <c r="I33" s="14">
        <v>0.0</v>
      </c>
      <c r="J33" s="27">
        <v>0.0</v>
      </c>
    </row>
    <row r="34">
      <c r="A34" s="22" t="s">
        <v>21</v>
      </c>
      <c r="B34" s="21">
        <f t="shared" si="1"/>
        <v>405.1245459</v>
      </c>
      <c r="C34" s="21" t="str">
        <f>VLOOKUP(A34, hash!A$2:B$500, 2, 0)</f>
        <v>63222da0116f680d68804fa7</v>
      </c>
      <c r="D34" s="23">
        <f t="shared" si="2"/>
        <v>1.374693449</v>
      </c>
      <c r="E34" s="14">
        <v>1.0</v>
      </c>
      <c r="F34" s="27">
        <v>0.0</v>
      </c>
      <c r="G34" s="14">
        <v>0.0</v>
      </c>
      <c r="H34" s="27">
        <v>0.0</v>
      </c>
      <c r="I34" s="14">
        <v>0.0</v>
      </c>
      <c r="J34" s="27">
        <v>0.0</v>
      </c>
    </row>
    <row r="35">
      <c r="A35" s="22" t="s">
        <v>34</v>
      </c>
      <c r="B35" s="21">
        <f t="shared" si="1"/>
        <v>405.1245459</v>
      </c>
      <c r="C35" s="21" t="str">
        <f>VLOOKUP(A35, hash!A$2:B$500, 2, 0)</f>
        <v>63222c2fed58d92b843f7cbf</v>
      </c>
      <c r="D35" s="23">
        <f t="shared" si="2"/>
        <v>1.374693449</v>
      </c>
      <c r="E35" s="14">
        <v>1.0</v>
      </c>
      <c r="F35" s="27">
        <v>0.0</v>
      </c>
      <c r="G35" s="14">
        <v>0.0</v>
      </c>
      <c r="H35" s="27">
        <v>0.0</v>
      </c>
      <c r="I35" s="14">
        <v>0.0</v>
      </c>
      <c r="J35" s="27">
        <v>0.0</v>
      </c>
    </row>
    <row r="36">
      <c r="A36" s="22" t="s">
        <v>130</v>
      </c>
      <c r="B36" s="21">
        <f t="shared" si="1"/>
        <v>405.1245459</v>
      </c>
      <c r="C36" s="21" t="str">
        <f>VLOOKUP(A36, hash!A$2:B$500, 2, 0)</f>
        <v>6501fff296a576d9fa03f986</v>
      </c>
      <c r="D36" s="23">
        <f t="shared" si="2"/>
        <v>1.374693449</v>
      </c>
      <c r="E36" s="14">
        <v>1.0</v>
      </c>
      <c r="F36" s="27">
        <v>0.0</v>
      </c>
      <c r="G36" s="14">
        <v>0.0</v>
      </c>
      <c r="H36" s="27">
        <v>0.0</v>
      </c>
      <c r="I36" s="14">
        <v>0.0</v>
      </c>
      <c r="J36" s="27">
        <v>0.0</v>
      </c>
    </row>
    <row r="37">
      <c r="A37" s="22" t="s">
        <v>95</v>
      </c>
      <c r="B37" s="21">
        <f t="shared" si="1"/>
        <v>405.1245459</v>
      </c>
      <c r="C37" s="21" t="str">
        <f>VLOOKUP(A37, hash!A$2:B$500, 2, 0)</f>
        <v>6502002d96a576d9fa03f999</v>
      </c>
      <c r="D37" s="23">
        <f t="shared" si="2"/>
        <v>1.374693449</v>
      </c>
      <c r="E37" s="14">
        <v>1.0</v>
      </c>
      <c r="F37" s="27"/>
      <c r="H37" s="27"/>
      <c r="J37" s="27"/>
    </row>
    <row r="38">
      <c r="A38" s="22" t="s">
        <v>179</v>
      </c>
      <c r="B38" s="21">
        <f t="shared" si="1"/>
        <v>405.1245459</v>
      </c>
      <c r="C38" s="21" t="str">
        <f>VLOOKUP(A38, hash!A$2:B$500, 2, 0)</f>
        <v>65020c088f2b101294bb3dad</v>
      </c>
      <c r="D38" s="23">
        <f t="shared" si="2"/>
        <v>1.374693449</v>
      </c>
      <c r="E38" s="14">
        <v>1.0</v>
      </c>
      <c r="F38" s="27"/>
      <c r="H38" s="27"/>
      <c r="J38" s="27"/>
    </row>
    <row r="39">
      <c r="A39" s="22" t="s">
        <v>272</v>
      </c>
      <c r="B39" s="21">
        <f t="shared" si="1"/>
        <v>405.1245459</v>
      </c>
      <c r="C39" s="21" t="str">
        <f>VLOOKUP(A39, hash!A$2:B$500, 2, 0)</f>
        <v>66450a83df126c7d8f1e547c</v>
      </c>
      <c r="D39" s="23">
        <f t="shared" si="2"/>
        <v>1.374693449</v>
      </c>
      <c r="E39" s="14">
        <v>1.0</v>
      </c>
      <c r="F39" s="45"/>
      <c r="H39" s="45"/>
      <c r="J39" s="45"/>
    </row>
    <row r="40">
      <c r="A40" s="22" t="s">
        <v>60</v>
      </c>
      <c r="B40" s="21">
        <f t="shared" si="1"/>
        <v>405.1245459</v>
      </c>
      <c r="C40" s="21" t="str">
        <f>VLOOKUP(A40, hash!A$2:B$500, 2, 0)</f>
        <v>66e1e105db315cbd40043fc1</v>
      </c>
      <c r="D40" s="23">
        <f t="shared" si="2"/>
        <v>1.374693449</v>
      </c>
      <c r="E40" s="14">
        <v>1.0</v>
      </c>
      <c r="F40" s="27"/>
      <c r="H40" s="27"/>
      <c r="J40" s="27"/>
    </row>
    <row r="41">
      <c r="A41" s="22" t="s">
        <v>43</v>
      </c>
      <c r="B41" s="21">
        <f t="shared" si="1"/>
        <v>405.1245459</v>
      </c>
      <c r="C41" s="21" t="str">
        <f>VLOOKUP(A41, hash!A$2:B$500, 2, 0)</f>
        <v>66e1e108a61e89c7c68f6e31</v>
      </c>
      <c r="D41" s="23">
        <f t="shared" si="2"/>
        <v>1.374693449</v>
      </c>
      <c r="E41" s="14">
        <v>1.0</v>
      </c>
      <c r="F41" s="27"/>
      <c r="H41" s="27"/>
      <c r="J41" s="27"/>
    </row>
    <row r="42">
      <c r="A42" s="22" t="s">
        <v>89</v>
      </c>
      <c r="B42" s="21">
        <f t="shared" si="1"/>
        <v>405.1245459</v>
      </c>
      <c r="C42" s="21" t="str">
        <f>VLOOKUP(A42, hash!A$2:B$500, 2, 0)</f>
        <v>66e1e10cdb315cbd40043fc4</v>
      </c>
      <c r="D42" s="23">
        <f t="shared" si="2"/>
        <v>1.374693449</v>
      </c>
      <c r="E42" s="14">
        <v>1.0</v>
      </c>
      <c r="F42" s="27"/>
      <c r="H42" s="27"/>
      <c r="J42" s="27"/>
    </row>
    <row r="43">
      <c r="A43" s="22" t="s">
        <v>290</v>
      </c>
      <c r="B43" s="21">
        <f t="shared" si="1"/>
        <v>405.1245459</v>
      </c>
      <c r="C43" s="21" t="str">
        <f>VLOOKUP(A43, hash!A$2:B$500, 2, 0)</f>
        <v>66e1e1227a8e6dc2aed3a640</v>
      </c>
      <c r="D43" s="23">
        <f t="shared" si="2"/>
        <v>1.374693449</v>
      </c>
      <c r="E43" s="14">
        <v>1.0</v>
      </c>
      <c r="F43" s="27">
        <v>0.0</v>
      </c>
      <c r="G43" s="14">
        <v>0.0</v>
      </c>
      <c r="H43" s="27">
        <v>0.0</v>
      </c>
      <c r="I43" s="14">
        <v>0.0</v>
      </c>
      <c r="J43" s="27">
        <v>0.0</v>
      </c>
    </row>
    <row r="44">
      <c r="A44" s="22" t="s">
        <v>41</v>
      </c>
      <c r="B44" s="21">
        <f t="shared" si="1"/>
        <v>405.1245459</v>
      </c>
      <c r="C44" s="21" t="str">
        <f>VLOOKUP(A44, hash!A$2:B$500, 2, 0)</f>
        <v>66e1e12ef0db8f5922c91d8b</v>
      </c>
      <c r="D44" s="23">
        <f t="shared" si="2"/>
        <v>1.374693449</v>
      </c>
      <c r="E44" s="14">
        <v>1.0</v>
      </c>
      <c r="F44" s="27"/>
      <c r="H44" s="27"/>
      <c r="J44" s="27"/>
    </row>
    <row r="45">
      <c r="A45" s="22" t="s">
        <v>31</v>
      </c>
      <c r="B45" s="21">
        <f t="shared" si="1"/>
        <v>405.1245459</v>
      </c>
      <c r="C45" s="21" t="str">
        <f>VLOOKUP(A45, hash!A$2:B$500, 2, 0)</f>
        <v>66e1e13fdb315cbd40043fca</v>
      </c>
      <c r="D45" s="23">
        <f t="shared" si="2"/>
        <v>1.374693449</v>
      </c>
      <c r="E45" s="14">
        <v>1.0</v>
      </c>
      <c r="F45" s="27">
        <v>0.0</v>
      </c>
      <c r="G45" s="14">
        <v>0.0</v>
      </c>
      <c r="H45" s="27">
        <v>0.0</v>
      </c>
      <c r="I45" s="14">
        <v>0.0</v>
      </c>
      <c r="J45" s="27">
        <v>0.0</v>
      </c>
    </row>
    <row r="46">
      <c r="A46" s="22" t="s">
        <v>318</v>
      </c>
      <c r="B46" s="21">
        <f t="shared" si="1"/>
        <v>405.1245459</v>
      </c>
      <c r="C46" s="21" t="str">
        <f>VLOOKUP(A46, hash!A$2:B$500, 2, 0)</f>
        <v>66e1ed9407067318cc1e18cd</v>
      </c>
      <c r="D46" s="23">
        <f t="shared" si="2"/>
        <v>1.374693449</v>
      </c>
      <c r="E46" s="14">
        <v>1.0</v>
      </c>
      <c r="F46" s="27"/>
      <c r="H46" s="45"/>
      <c r="J46" s="45"/>
    </row>
    <row r="47">
      <c r="A47" s="22" t="s">
        <v>558</v>
      </c>
      <c r="B47" s="21">
        <f t="shared" si="1"/>
        <v>0</v>
      </c>
      <c r="C47" s="21" t="str">
        <f>VLOOKUP(A47, hash!A$2:B$500, 2, 0)</f>
        <v>#N/A</v>
      </c>
      <c r="D47" s="23">
        <f t="shared" si="2"/>
        <v>0</v>
      </c>
      <c r="F47" s="27"/>
      <c r="H47" s="27"/>
      <c r="J47" s="45"/>
      <c r="L47" s="47"/>
      <c r="M47" s="25"/>
      <c r="N47" s="25"/>
      <c r="O47" s="25"/>
      <c r="P47" s="25"/>
      <c r="Q47" s="25"/>
      <c r="R47" s="49"/>
    </row>
    <row r="48">
      <c r="A48" s="22" t="s">
        <v>560</v>
      </c>
      <c r="B48" s="21">
        <f t="shared" si="1"/>
        <v>0</v>
      </c>
      <c r="C48" s="21" t="str">
        <f>VLOOKUP(A48, hash!A$2:B$500, 2, 0)</f>
        <v>#N/A</v>
      </c>
      <c r="D48" s="23">
        <f t="shared" si="2"/>
        <v>0</v>
      </c>
      <c r="F48" s="27"/>
      <c r="H48" s="45"/>
      <c r="J48" s="27"/>
      <c r="L48" s="47"/>
      <c r="M48" s="25"/>
      <c r="N48" s="25"/>
      <c r="O48" s="25"/>
      <c r="P48" s="25"/>
      <c r="Q48" s="25"/>
      <c r="R48" s="25"/>
    </row>
    <row r="49">
      <c r="A49" s="22" t="s">
        <v>562</v>
      </c>
      <c r="B49" s="21">
        <f t="shared" si="1"/>
        <v>0</v>
      </c>
      <c r="C49" s="21" t="str">
        <f>VLOOKUP(A49, hash!A$2:B$500, 2, 0)</f>
        <v>#N/A</v>
      </c>
      <c r="D49" s="23">
        <f t="shared" si="2"/>
        <v>0</v>
      </c>
      <c r="F49" s="27"/>
      <c r="H49" s="27"/>
      <c r="J49" s="27"/>
      <c r="L49" s="46"/>
      <c r="M49" s="25"/>
      <c r="N49" s="25"/>
      <c r="O49" s="25"/>
      <c r="P49" s="25"/>
      <c r="Q49" s="25"/>
      <c r="R49" s="25"/>
    </row>
    <row r="50">
      <c r="A50" s="22" t="s">
        <v>430</v>
      </c>
      <c r="B50" s="21">
        <f t="shared" si="1"/>
        <v>1588.395393</v>
      </c>
      <c r="C50" s="21" t="str">
        <f>VLOOKUP(A50, hash!A$2:B$500, 2, 0)</f>
        <v>63222011e6a618b2a0444361</v>
      </c>
      <c r="D50" s="23">
        <f t="shared" si="2"/>
        <v>5.38984064</v>
      </c>
      <c r="E50" s="14">
        <v>1.0</v>
      </c>
      <c r="F50" s="27">
        <v>1.0</v>
      </c>
      <c r="G50" s="14">
        <v>1.0</v>
      </c>
      <c r="H50" s="27"/>
      <c r="J50" s="27"/>
    </row>
    <row r="51">
      <c r="A51" s="22" t="s">
        <v>568</v>
      </c>
      <c r="B51" s="21">
        <f t="shared" si="1"/>
        <v>0</v>
      </c>
      <c r="C51" s="21" t="str">
        <f>VLOOKUP(A51, hash!A$2:B$500, 2, 0)</f>
        <v>#N/A</v>
      </c>
      <c r="D51" s="23">
        <f t="shared" si="2"/>
        <v>0</v>
      </c>
      <c r="F51" s="27"/>
      <c r="H51" s="45"/>
      <c r="J51" s="45"/>
    </row>
    <row r="52">
      <c r="A52" s="22" t="s">
        <v>298</v>
      </c>
      <c r="B52" s="21">
        <f t="shared" si="1"/>
        <v>0</v>
      </c>
      <c r="C52" s="21" t="str">
        <f>VLOOKUP(A52, hash!A$2:B$500, 2, 0)</f>
        <v>66e1e12be2fbdff8a0c35639</v>
      </c>
      <c r="D52" s="23">
        <f t="shared" si="2"/>
        <v>0</v>
      </c>
      <c r="E52" s="14">
        <v>0.0</v>
      </c>
      <c r="F52" s="27">
        <v>0.0</v>
      </c>
      <c r="G52" s="14">
        <v>0.0</v>
      </c>
      <c r="H52" s="27">
        <v>0.0</v>
      </c>
      <c r="I52" s="14">
        <v>0.0</v>
      </c>
      <c r="J52" s="27">
        <v>0.0</v>
      </c>
    </row>
    <row r="53">
      <c r="A53" s="22" t="s">
        <v>14</v>
      </c>
      <c r="B53" s="21">
        <f t="shared" si="1"/>
        <v>0</v>
      </c>
      <c r="C53" s="21" t="str">
        <f>VLOOKUP(A53, hash!A$2:B$500, 2, 0)</f>
        <v>66e1e10f7a8e6dc2aed3a63c</v>
      </c>
      <c r="D53" s="23">
        <f t="shared" si="2"/>
        <v>0</v>
      </c>
      <c r="F53" s="27"/>
      <c r="H53" s="27"/>
      <c r="J53" s="27"/>
    </row>
    <row r="54">
      <c r="A54" s="22" t="s">
        <v>61</v>
      </c>
      <c r="B54" s="21">
        <f t="shared" si="1"/>
        <v>0</v>
      </c>
      <c r="C54" s="21" t="str">
        <f>VLOOKUP(A54, hash!A$2:B$500, 2, 0)</f>
        <v>65020c0f8f2b101294bb3dae</v>
      </c>
      <c r="D54" s="23">
        <f t="shared" si="2"/>
        <v>0</v>
      </c>
      <c r="E54" s="14">
        <v>0.0</v>
      </c>
      <c r="F54" s="27">
        <v>0.0</v>
      </c>
      <c r="G54" s="14">
        <v>0.0</v>
      </c>
      <c r="H54" s="27">
        <v>0.0</v>
      </c>
      <c r="I54" s="14">
        <v>0.0</v>
      </c>
      <c r="J54" s="27">
        <v>0.0</v>
      </c>
    </row>
    <row r="55">
      <c r="A55" s="22" t="s">
        <v>441</v>
      </c>
      <c r="B55" s="21">
        <f t="shared" si="1"/>
        <v>0</v>
      </c>
      <c r="C55" s="21" t="str">
        <f>VLOOKUP(A55, hash!A$2:B$500, 2, 0)</f>
        <v>632220596d021b5cf508ccd5</v>
      </c>
      <c r="D55" s="23">
        <f t="shared" si="2"/>
        <v>0</v>
      </c>
      <c r="F55" s="27"/>
      <c r="H55" s="27"/>
      <c r="J55" s="27"/>
    </row>
    <row r="56">
      <c r="A56" s="22" t="s">
        <v>570</v>
      </c>
      <c r="B56" s="21">
        <f t="shared" si="1"/>
        <v>0</v>
      </c>
      <c r="C56" s="21" t="str">
        <f>VLOOKUP(A56, hash!A$2:B$500, 2, 0)</f>
        <v>#N/A</v>
      </c>
      <c r="D56" s="23">
        <f t="shared" si="2"/>
        <v>0</v>
      </c>
      <c r="F56" s="45"/>
      <c r="H56" s="45"/>
      <c r="J56" s="45"/>
    </row>
    <row r="57">
      <c r="A57" s="22" t="s">
        <v>39</v>
      </c>
      <c r="B57" s="21">
        <f t="shared" si="1"/>
        <v>0</v>
      </c>
      <c r="C57" s="21" t="str">
        <f>VLOOKUP(A57, hash!A$2:B$500, 2, 0)</f>
        <v>6594377be0f4f63927a8ce26</v>
      </c>
      <c r="D57" s="23">
        <f t="shared" si="2"/>
        <v>0</v>
      </c>
      <c r="F57" s="27"/>
      <c r="H57" s="27"/>
      <c r="J57" s="27"/>
    </row>
    <row r="58">
      <c r="A58" s="22" t="s">
        <v>40</v>
      </c>
      <c r="B58" s="21">
        <f t="shared" si="1"/>
        <v>0</v>
      </c>
      <c r="C58" s="21" t="str">
        <f>VLOOKUP(A58, hash!A$2:B$500, 2, 0)</f>
        <v>65020bed03dd812a55d3a207</v>
      </c>
      <c r="D58" s="23">
        <f t="shared" si="2"/>
        <v>0</v>
      </c>
      <c r="E58" s="14">
        <v>0.0</v>
      </c>
      <c r="F58" s="27">
        <v>0.0</v>
      </c>
      <c r="G58" s="14">
        <v>0.0</v>
      </c>
      <c r="H58" s="27">
        <v>0.0</v>
      </c>
      <c r="I58" s="14">
        <v>0.0</v>
      </c>
      <c r="J58" s="27">
        <v>0.0</v>
      </c>
    </row>
    <row r="59">
      <c r="A59" s="22" t="s">
        <v>42</v>
      </c>
      <c r="B59" s="21">
        <f t="shared" si="1"/>
        <v>0</v>
      </c>
      <c r="C59" s="21" t="str">
        <f>VLOOKUP(A59, hash!A$2:B$500, 2, 0)</f>
        <v>66e1e102a61e89c7c68f6e2f</v>
      </c>
      <c r="D59" s="23">
        <f t="shared" si="2"/>
        <v>0</v>
      </c>
      <c r="E59" s="14">
        <v>0.0</v>
      </c>
      <c r="F59" s="27">
        <v>0.0</v>
      </c>
      <c r="G59" s="14">
        <v>0.0</v>
      </c>
      <c r="H59" s="27">
        <v>0.0</v>
      </c>
      <c r="I59" s="14">
        <v>0.0</v>
      </c>
      <c r="J59" s="27">
        <v>0.0</v>
      </c>
    </row>
    <row r="60">
      <c r="A60" s="22" t="s">
        <v>99</v>
      </c>
      <c r="B60" s="21">
        <f t="shared" si="1"/>
        <v>0</v>
      </c>
      <c r="C60" s="21" t="str">
        <f>VLOOKUP(A60, hash!A$2:B$500, 2, 0)</f>
        <v>66e1e1107315471e09f2b5b1</v>
      </c>
      <c r="D60" s="23">
        <f t="shared" si="2"/>
        <v>0</v>
      </c>
      <c r="F60" s="27"/>
      <c r="H60" s="27"/>
      <c r="J60" s="27"/>
    </row>
    <row r="61">
      <c r="A61" s="22" t="s">
        <v>293</v>
      </c>
      <c r="B61" s="21">
        <f t="shared" si="1"/>
        <v>0</v>
      </c>
      <c r="C61" s="21" t="str">
        <f>VLOOKUP(A61, hash!A$2:B$500, 2, 0)</f>
        <v>66e1e125e2fbdff8a0c35635</v>
      </c>
      <c r="D61" s="23">
        <f t="shared" si="2"/>
        <v>0</v>
      </c>
      <c r="F61" s="27"/>
      <c r="H61" s="27"/>
      <c r="J61" s="27"/>
    </row>
    <row r="62">
      <c r="A62" s="22" t="s">
        <v>303</v>
      </c>
      <c r="B62" s="21">
        <f t="shared" si="1"/>
        <v>0</v>
      </c>
      <c r="C62" s="21" t="str">
        <f>VLOOKUP(A62, hash!A$2:B$500, 2, 0)</f>
        <v>66e1e137db315cbd40043fc5</v>
      </c>
      <c r="D62" s="23">
        <f t="shared" si="2"/>
        <v>0</v>
      </c>
      <c r="E62" s="14">
        <v>0.0</v>
      </c>
      <c r="F62" s="27">
        <v>0.0</v>
      </c>
      <c r="G62" s="14">
        <v>0.0</v>
      </c>
      <c r="H62" s="27">
        <v>0.0</v>
      </c>
      <c r="I62" s="14">
        <v>0.0</v>
      </c>
      <c r="J62" s="27">
        <v>0.0</v>
      </c>
    </row>
    <row r="63">
      <c r="A63" s="22" t="s">
        <v>305</v>
      </c>
      <c r="B63" s="21">
        <f t="shared" si="1"/>
        <v>0</v>
      </c>
      <c r="C63" s="21" t="str">
        <f>VLOOKUP(A63, hash!A$2:B$500, 2, 0)</f>
        <v>66e1e141f0db8f5922c91d90</v>
      </c>
      <c r="D63" s="23">
        <f t="shared" si="2"/>
        <v>0</v>
      </c>
      <c r="F63" s="27"/>
      <c r="H63" s="27"/>
      <c r="J63" s="27"/>
    </row>
    <row r="64">
      <c r="A64" s="22" t="s">
        <v>306</v>
      </c>
      <c r="B64" s="21">
        <f t="shared" si="1"/>
        <v>0</v>
      </c>
      <c r="C64" s="21" t="str">
        <f>VLOOKUP(A64, hash!A$2:B$500, 2, 0)</f>
        <v>66e1e143db315cbd40043fcb</v>
      </c>
      <c r="D64" s="23">
        <f t="shared" si="2"/>
        <v>0</v>
      </c>
      <c r="F64" s="27"/>
      <c r="H64" s="27"/>
      <c r="J64" s="27"/>
    </row>
    <row r="65">
      <c r="A65" s="22" t="s">
        <v>312</v>
      </c>
      <c r="B65" s="21">
        <f t="shared" si="1"/>
        <v>0</v>
      </c>
      <c r="C65" s="21" t="str">
        <f>VLOOKUP(A65, hash!A$2:B$500, 2, 0)</f>
        <v>66e1ed841129889a3e2c24a8</v>
      </c>
      <c r="D65" s="23">
        <f t="shared" si="2"/>
        <v>0</v>
      </c>
      <c r="E65" s="14">
        <v>0.0</v>
      </c>
      <c r="F65" s="27"/>
      <c r="H65" s="27"/>
      <c r="J65" s="27"/>
    </row>
    <row r="66">
      <c r="A66" s="22" t="s">
        <v>346</v>
      </c>
      <c r="B66" s="21">
        <f t="shared" si="1"/>
        <v>0</v>
      </c>
      <c r="C66" s="21" t="str">
        <f>VLOOKUP(A66, hash!A$2:B$500, 2, 0)</f>
        <v>66eb1c19a526292217381272</v>
      </c>
      <c r="D66" s="23">
        <f t="shared" si="2"/>
        <v>0</v>
      </c>
      <c r="F66" s="27"/>
      <c r="H66" s="27"/>
      <c r="J66" s="27"/>
    </row>
    <row r="67">
      <c r="A67" s="22" t="s">
        <v>140</v>
      </c>
      <c r="B67" s="21">
        <f t="shared" si="1"/>
        <v>0</v>
      </c>
      <c r="C67" s="21" t="str">
        <f>VLOOKUP(A67, hash!A$2:B$500, 2, 0)</f>
        <v>6502001596a576d9fa03f98e</v>
      </c>
      <c r="D67" s="23">
        <f t="shared" si="2"/>
        <v>0</v>
      </c>
      <c r="F67" s="27"/>
      <c r="H67" s="27"/>
      <c r="J67" s="27"/>
    </row>
    <row r="68">
      <c r="A68" s="22" t="s">
        <v>96</v>
      </c>
      <c r="B68" s="21">
        <f t="shared" si="1"/>
        <v>0</v>
      </c>
      <c r="C68" s="21" t="str">
        <f>VLOOKUP(A68, hash!A$2:B$500, 2, 0)</f>
        <v>65020be28f2b101294bb3da3</v>
      </c>
      <c r="D68" s="23">
        <f t="shared" si="2"/>
        <v>0</v>
      </c>
      <c r="F68" s="27"/>
      <c r="H68" s="27"/>
      <c r="J68" s="27"/>
    </row>
    <row r="69">
      <c r="A69" s="22" t="s">
        <v>437</v>
      </c>
      <c r="B69" s="21">
        <f t="shared" si="1"/>
        <v>0</v>
      </c>
      <c r="C69" s="21" t="str">
        <f>VLOOKUP(A69, hash!A$2:B$500, 2, 0)</f>
        <v>63221ff90aa8ba2dbc57c0a2</v>
      </c>
      <c r="D69" s="23">
        <f t="shared" si="2"/>
        <v>0</v>
      </c>
      <c r="F69" s="27"/>
      <c r="H69" s="27"/>
      <c r="J69" s="45"/>
    </row>
    <row r="70">
      <c r="A70" s="22" t="s">
        <v>431</v>
      </c>
      <c r="B70" s="21">
        <f t="shared" si="1"/>
        <v>0</v>
      </c>
      <c r="C70" s="21" t="str">
        <f>VLOOKUP(A70, hash!A$2:B$500, 2, 0)</f>
        <v>6322202a0aa8ba2dbc57c0a5</v>
      </c>
      <c r="D70" s="23">
        <f t="shared" si="2"/>
        <v>0</v>
      </c>
      <c r="F70" s="45"/>
      <c r="H70" s="45"/>
      <c r="J70" s="45"/>
    </row>
    <row r="71">
      <c r="A71" s="22" t="s">
        <v>438</v>
      </c>
      <c r="B71" s="21">
        <f t="shared" si="1"/>
        <v>0</v>
      </c>
      <c r="C71" s="21" t="str">
        <f>VLOOKUP(A71, hash!A$2:B$500, 2, 0)</f>
        <v>6322202f81b57daeeb478dd1</v>
      </c>
      <c r="D71" s="23">
        <f t="shared" si="2"/>
        <v>0</v>
      </c>
      <c r="F71" s="27"/>
      <c r="H71" s="27"/>
      <c r="J71" s="27"/>
    </row>
    <row r="72">
      <c r="A72" s="22" t="s">
        <v>439</v>
      </c>
      <c r="B72" s="21">
        <f t="shared" si="1"/>
        <v>0</v>
      </c>
      <c r="C72" s="21" t="str">
        <f>VLOOKUP(A72, hash!A$2:B$500, 2, 0)</f>
        <v>632220300aa8ba2dbc57c0a7</v>
      </c>
      <c r="D72" s="23">
        <f t="shared" si="2"/>
        <v>0</v>
      </c>
      <c r="F72" s="45"/>
      <c r="H72" s="45"/>
      <c r="J72" s="45"/>
    </row>
    <row r="73">
      <c r="A73" s="22" t="s">
        <v>433</v>
      </c>
      <c r="B73" s="21">
        <f t="shared" si="1"/>
        <v>0</v>
      </c>
      <c r="C73" s="21" t="str">
        <f>VLOOKUP(A73, hash!A$2:B$500, 2, 0)</f>
        <v>6322203581b57daeeb478dd2</v>
      </c>
      <c r="D73" s="23">
        <f t="shared" si="2"/>
        <v>0</v>
      </c>
      <c r="E73" s="14">
        <v>0.0</v>
      </c>
      <c r="F73" s="27">
        <v>0.0</v>
      </c>
      <c r="G73" s="14">
        <v>0.0</v>
      </c>
      <c r="H73" s="27">
        <v>0.0</v>
      </c>
      <c r="I73" s="14">
        <v>0.0</v>
      </c>
      <c r="J73" s="27">
        <v>0.0</v>
      </c>
    </row>
    <row r="74">
      <c r="A74" s="22" t="s">
        <v>440</v>
      </c>
      <c r="B74" s="21">
        <f t="shared" si="1"/>
        <v>0</v>
      </c>
      <c r="C74" s="21" t="str">
        <f>VLOOKUP(A74, hash!A$2:B$500, 2, 0)</f>
        <v>632220580aa8ba2dbc57c0a9</v>
      </c>
      <c r="D74" s="23">
        <f t="shared" si="2"/>
        <v>0</v>
      </c>
      <c r="F74" s="45"/>
      <c r="H74" s="45"/>
      <c r="J74" s="45"/>
    </row>
    <row r="75">
      <c r="A75" s="22" t="s">
        <v>574</v>
      </c>
      <c r="B75" s="21">
        <f t="shared" si="1"/>
        <v>0</v>
      </c>
      <c r="C75" s="21" t="str">
        <f>VLOOKUP(A75, hash!A$2:B$500, 2, 0)</f>
        <v>#N/A</v>
      </c>
      <c r="D75" s="23">
        <f t="shared" si="2"/>
        <v>0</v>
      </c>
      <c r="F75" s="45"/>
      <c r="H75" s="45"/>
      <c r="J75" s="45"/>
    </row>
    <row r="76">
      <c r="A76" s="22" t="s">
        <v>575</v>
      </c>
      <c r="B76" s="21">
        <f t="shared" si="1"/>
        <v>0</v>
      </c>
      <c r="C76" s="21" t="str">
        <f>VLOOKUP(A76, hash!A$2:B$500, 2, 0)</f>
        <v>#N/A</v>
      </c>
      <c r="D76" s="23">
        <f t="shared" si="2"/>
        <v>0</v>
      </c>
      <c r="F76" s="27"/>
      <c r="H76" s="45"/>
      <c r="J76" s="45"/>
    </row>
    <row r="77">
      <c r="A77" s="22" t="s">
        <v>576</v>
      </c>
      <c r="B77" s="21">
        <f t="shared" si="1"/>
        <v>0</v>
      </c>
      <c r="C77" s="21" t="str">
        <f>VLOOKUP(A77, hash!A$2:B$500, 2, 0)</f>
        <v>#N/A</v>
      </c>
      <c r="D77" s="23">
        <f t="shared" si="2"/>
        <v>0</v>
      </c>
      <c r="F77" s="45"/>
      <c r="H77" s="45"/>
      <c r="J77" s="45"/>
    </row>
    <row r="78">
      <c r="A78" s="22" t="s">
        <v>577</v>
      </c>
      <c r="B78" s="21">
        <f t="shared" si="1"/>
        <v>0</v>
      </c>
      <c r="C78" s="21" t="str">
        <f>VLOOKUP(A78, hash!A$2:B$500, 2, 0)</f>
        <v>#N/A</v>
      </c>
      <c r="D78" s="23">
        <f t="shared" si="2"/>
        <v>0</v>
      </c>
      <c r="F78" s="45"/>
      <c r="H78" s="45"/>
      <c r="J78" s="45"/>
    </row>
    <row r="79">
      <c r="A79" s="22" t="s">
        <v>443</v>
      </c>
      <c r="B79" s="21">
        <f t="shared" si="1"/>
        <v>0</v>
      </c>
      <c r="C79" s="21" t="str">
        <f>VLOOKUP(A79, hash!A$2:B$500, 2, 0)</f>
        <v>6322211bf382c17890e6a3dd</v>
      </c>
      <c r="D79" s="23">
        <f t="shared" si="2"/>
        <v>0</v>
      </c>
      <c r="F79" s="45"/>
      <c r="H79" s="45"/>
      <c r="J79" s="45"/>
    </row>
    <row r="80">
      <c r="A80" s="22" t="s">
        <v>444</v>
      </c>
      <c r="B80" s="21">
        <f t="shared" si="1"/>
        <v>0</v>
      </c>
      <c r="C80" s="21" t="str">
        <f>VLOOKUP(A80, hash!A$2:B$500, 2, 0)</f>
        <v>63222123f382c17890e6a3de</v>
      </c>
      <c r="D80" s="23">
        <f t="shared" si="2"/>
        <v>0</v>
      </c>
      <c r="F80" s="45"/>
      <c r="H80" s="45"/>
      <c r="J80" s="45"/>
    </row>
    <row r="81">
      <c r="A81" s="22" t="s">
        <v>445</v>
      </c>
      <c r="B81" s="21">
        <f t="shared" si="1"/>
        <v>0</v>
      </c>
      <c r="C81" s="21" t="str">
        <f>VLOOKUP(A81, hash!A$2:B$500, 2, 0)</f>
        <v>632222c3f382c17890e6a3e0</v>
      </c>
      <c r="D81" s="23">
        <f t="shared" si="2"/>
        <v>0</v>
      </c>
      <c r="F81" s="45"/>
      <c r="H81" s="45"/>
      <c r="J81" s="45"/>
    </row>
    <row r="82">
      <c r="A82" s="22" t="s">
        <v>446</v>
      </c>
      <c r="B82" s="21">
        <f t="shared" si="1"/>
        <v>0</v>
      </c>
      <c r="C82" s="21" t="str">
        <f>VLOOKUP(A82, hash!A$2:B$500, 2, 0)</f>
        <v>63222372f382c17890e6a3e2</v>
      </c>
      <c r="D82" s="23">
        <f t="shared" si="2"/>
        <v>0</v>
      </c>
      <c r="F82" s="45"/>
      <c r="H82" s="45"/>
      <c r="J82" s="45"/>
    </row>
    <row r="83">
      <c r="A83" s="22" t="s">
        <v>447</v>
      </c>
      <c r="B83" s="21">
        <f t="shared" si="1"/>
        <v>0</v>
      </c>
      <c r="C83" s="21" t="str">
        <f>VLOOKUP(A83, hash!A$2:B$500, 2, 0)</f>
        <v>632223746d021b5cf508ccde</v>
      </c>
      <c r="D83" s="23">
        <f t="shared" si="2"/>
        <v>0</v>
      </c>
      <c r="F83" s="45"/>
      <c r="H83" s="45"/>
      <c r="J83" s="45"/>
    </row>
    <row r="84">
      <c r="A84" s="22" t="s">
        <v>448</v>
      </c>
      <c r="B84" s="21">
        <f t="shared" si="1"/>
        <v>0</v>
      </c>
      <c r="C84" s="21" t="str">
        <f>VLOOKUP(A84, hash!A$2:B$500, 2, 0)</f>
        <v>6322239b6d021b5cf508cce5</v>
      </c>
      <c r="D84" s="23">
        <f t="shared" si="2"/>
        <v>0</v>
      </c>
      <c r="F84" s="45"/>
      <c r="H84" s="45"/>
      <c r="J84" s="45"/>
    </row>
    <row r="85">
      <c r="A85" s="22" t="s">
        <v>449</v>
      </c>
      <c r="B85" s="21">
        <f t="shared" si="1"/>
        <v>0</v>
      </c>
      <c r="C85" s="21" t="str">
        <f>VLOOKUP(A85, hash!A$2:B$500, 2, 0)</f>
        <v>632223a1d53b2d7ef1d3746d</v>
      </c>
      <c r="D85" s="23">
        <f t="shared" si="2"/>
        <v>0</v>
      </c>
      <c r="F85" s="45"/>
      <c r="H85" s="45"/>
      <c r="J85" s="45"/>
    </row>
    <row r="86">
      <c r="A86" s="22" t="s">
        <v>450</v>
      </c>
      <c r="B86" s="21">
        <f t="shared" si="1"/>
        <v>0</v>
      </c>
      <c r="C86" s="21" t="str">
        <f>VLOOKUP(A86, hash!A$2:B$500, 2, 0)</f>
        <v>632223bdd53b2d7ef1d3746e</v>
      </c>
      <c r="D86" s="23">
        <f t="shared" si="2"/>
        <v>0</v>
      </c>
      <c r="F86" s="45"/>
      <c r="H86" s="45"/>
      <c r="J86" s="45"/>
    </row>
    <row r="87">
      <c r="A87" s="22" t="s">
        <v>451</v>
      </c>
      <c r="B87" s="21">
        <f t="shared" si="1"/>
        <v>0</v>
      </c>
      <c r="C87" s="21" t="str">
        <f>VLOOKUP(A87, hash!A$2:B$500, 2, 0)</f>
        <v>632223e585532e9bb23b7f01</v>
      </c>
      <c r="D87" s="23">
        <f t="shared" si="2"/>
        <v>0</v>
      </c>
      <c r="F87" s="45"/>
      <c r="H87" s="45"/>
      <c r="J87" s="45"/>
    </row>
    <row r="88">
      <c r="A88" s="22" t="s">
        <v>452</v>
      </c>
      <c r="B88" s="21">
        <f t="shared" si="1"/>
        <v>0</v>
      </c>
      <c r="C88" s="21" t="str">
        <f>VLOOKUP(A88, hash!A$2:B$500, 2, 0)</f>
        <v>632226f3d53b2d7ef1d37472</v>
      </c>
      <c r="D88" s="23">
        <f t="shared" si="2"/>
        <v>0</v>
      </c>
      <c r="F88" s="45"/>
      <c r="H88" s="45"/>
      <c r="J88" s="45"/>
    </row>
    <row r="89">
      <c r="A89" s="22" t="s">
        <v>453</v>
      </c>
      <c r="B89" s="21">
        <f t="shared" si="1"/>
        <v>0</v>
      </c>
      <c r="C89" s="21" t="str">
        <f>VLOOKUP(A89, hash!A$2:B$500, 2, 0)</f>
        <v>63222960d53b2d7ef1d37476</v>
      </c>
      <c r="D89" s="23">
        <f t="shared" si="2"/>
        <v>0</v>
      </c>
      <c r="F89" s="45"/>
      <c r="H89" s="45"/>
      <c r="J89" s="45"/>
    </row>
    <row r="90">
      <c r="A90" s="22" t="s">
        <v>578</v>
      </c>
      <c r="B90" s="21">
        <f t="shared" si="1"/>
        <v>0</v>
      </c>
      <c r="C90" s="21" t="str">
        <f>VLOOKUP(A90, hash!A$2:B$500, 2, 0)</f>
        <v>#N/A</v>
      </c>
      <c r="D90" s="23">
        <f t="shared" si="2"/>
        <v>0</v>
      </c>
      <c r="F90" s="27"/>
      <c r="H90" s="27"/>
      <c r="J90" s="27"/>
    </row>
    <row r="91">
      <c r="A91" s="22" t="s">
        <v>454</v>
      </c>
      <c r="B91" s="21">
        <f t="shared" si="1"/>
        <v>0</v>
      </c>
      <c r="C91" s="21" t="str">
        <f>VLOOKUP(A91, hash!A$2:B$500, 2, 0)</f>
        <v>632229c19832ea0dea0e2dcf</v>
      </c>
      <c r="D91" s="23">
        <f t="shared" si="2"/>
        <v>0</v>
      </c>
      <c r="F91" s="45"/>
      <c r="H91" s="45"/>
      <c r="J91" s="45"/>
    </row>
    <row r="92">
      <c r="A92" s="22" t="s">
        <v>455</v>
      </c>
      <c r="B92" s="21">
        <f t="shared" si="1"/>
        <v>0</v>
      </c>
      <c r="C92" s="21" t="str">
        <f>VLOOKUP(A92, hash!A$2:B$500, 2, 0)</f>
        <v>63222a025bded5e4ff37ac1e</v>
      </c>
      <c r="D92" s="23">
        <f t="shared" si="2"/>
        <v>0</v>
      </c>
      <c r="F92" s="45"/>
      <c r="H92" s="45"/>
      <c r="J92" s="45"/>
    </row>
    <row r="93">
      <c r="A93" s="22" t="s">
        <v>579</v>
      </c>
      <c r="B93" s="21">
        <f t="shared" si="1"/>
        <v>0</v>
      </c>
      <c r="C93" s="21" t="str">
        <f>VLOOKUP(A93, hash!A$2:B$500, 2, 0)</f>
        <v>#N/A</v>
      </c>
      <c r="D93" s="23">
        <f t="shared" si="2"/>
        <v>0</v>
      </c>
      <c r="F93" s="45"/>
      <c r="H93" s="45"/>
      <c r="J93" s="45"/>
    </row>
    <row r="94">
      <c r="A94" s="22" t="s">
        <v>580</v>
      </c>
      <c r="B94" s="21">
        <f t="shared" si="1"/>
        <v>0</v>
      </c>
      <c r="C94" s="21" t="str">
        <f>VLOOKUP(A94, hash!A$2:B$500, 2, 0)</f>
        <v>#N/A</v>
      </c>
      <c r="D94" s="23">
        <f t="shared" si="2"/>
        <v>0</v>
      </c>
      <c r="F94" s="45"/>
      <c r="H94" s="45"/>
      <c r="J94" s="45"/>
    </row>
    <row r="95">
      <c r="A95" s="22" t="s">
        <v>581</v>
      </c>
      <c r="B95" s="21">
        <f t="shared" si="1"/>
        <v>0</v>
      </c>
      <c r="C95" s="21" t="str">
        <f>VLOOKUP(A95, hash!A$2:B$500, 2, 0)</f>
        <v>#N/A</v>
      </c>
      <c r="D95" s="23">
        <f t="shared" si="2"/>
        <v>0</v>
      </c>
      <c r="F95" s="45"/>
      <c r="H95" s="45"/>
      <c r="J95" s="45"/>
    </row>
    <row r="96">
      <c r="A96" s="22" t="s">
        <v>456</v>
      </c>
      <c r="B96" s="21">
        <f t="shared" si="1"/>
        <v>0</v>
      </c>
      <c r="C96" s="21" t="str">
        <f>VLOOKUP(A96, hash!A$2:B$500, 2, 0)</f>
        <v>63222a9ced58d92b843f7cb0</v>
      </c>
      <c r="D96" s="23">
        <f t="shared" si="2"/>
        <v>0</v>
      </c>
      <c r="F96" s="45"/>
      <c r="H96" s="45"/>
      <c r="J96" s="45"/>
    </row>
    <row r="97">
      <c r="A97" s="22" t="s">
        <v>457</v>
      </c>
      <c r="B97" s="21">
        <f t="shared" si="1"/>
        <v>0</v>
      </c>
      <c r="C97" s="21" t="str">
        <f>VLOOKUP(A97, hash!A$2:B$500, 2, 0)</f>
        <v>63222ae4562da848b695b87f</v>
      </c>
      <c r="D97" s="23">
        <f t="shared" si="2"/>
        <v>0</v>
      </c>
      <c r="F97" s="45"/>
      <c r="H97" s="45"/>
      <c r="J97" s="45"/>
    </row>
    <row r="98">
      <c r="A98" s="22" t="s">
        <v>582</v>
      </c>
      <c r="B98" s="21">
        <f t="shared" si="1"/>
        <v>0</v>
      </c>
      <c r="C98" s="21" t="str">
        <f>VLOOKUP(A98, hash!A$2:B$500, 2, 0)</f>
        <v>#N/A</v>
      </c>
      <c r="D98" s="23">
        <f t="shared" si="2"/>
        <v>0</v>
      </c>
      <c r="F98" s="27"/>
      <c r="H98" s="27"/>
      <c r="J98" s="27"/>
    </row>
    <row r="99">
      <c r="A99" s="22" t="s">
        <v>583</v>
      </c>
      <c r="B99" s="21">
        <f t="shared" si="1"/>
        <v>0</v>
      </c>
      <c r="C99" s="21" t="str">
        <f>VLOOKUP(A99, hash!A$2:B$500, 2, 0)</f>
        <v>#N/A</v>
      </c>
      <c r="D99" s="23">
        <f t="shared" si="2"/>
        <v>0</v>
      </c>
      <c r="F99" s="45"/>
      <c r="H99" s="45"/>
      <c r="J99" s="45"/>
    </row>
    <row r="100">
      <c r="A100" s="22" t="s">
        <v>584</v>
      </c>
      <c r="B100" s="21">
        <f t="shared" si="1"/>
        <v>0</v>
      </c>
      <c r="C100" s="21" t="str">
        <f>VLOOKUP(A100, hash!A$2:B$500, 2, 0)</f>
        <v>#N/A</v>
      </c>
      <c r="D100" s="23">
        <f t="shared" si="2"/>
        <v>0</v>
      </c>
      <c r="F100" s="45"/>
      <c r="H100" s="45"/>
      <c r="J100" s="45"/>
    </row>
    <row r="101">
      <c r="A101" s="22" t="s">
        <v>458</v>
      </c>
      <c r="B101" s="21">
        <f t="shared" si="1"/>
        <v>0</v>
      </c>
      <c r="C101" s="21" t="str">
        <f>VLOOKUP(A101, hash!A$2:B$500, 2, 0)</f>
        <v>63222d94ed58d92b843f7cc0</v>
      </c>
      <c r="D101" s="23">
        <f t="shared" si="2"/>
        <v>0</v>
      </c>
      <c r="F101" s="45"/>
      <c r="H101" s="45"/>
      <c r="J101" s="45"/>
    </row>
    <row r="102">
      <c r="A102" s="22" t="s">
        <v>459</v>
      </c>
      <c r="B102" s="21">
        <f t="shared" si="1"/>
        <v>0</v>
      </c>
      <c r="C102" s="21" t="str">
        <f>VLOOKUP(A102, hash!A$2:B$500, 2, 0)</f>
        <v>63222da4562da848b695b882</v>
      </c>
      <c r="D102" s="23">
        <f t="shared" si="2"/>
        <v>0</v>
      </c>
      <c r="F102" s="45"/>
      <c r="H102" s="45"/>
      <c r="J102" s="45"/>
    </row>
    <row r="103">
      <c r="A103" s="22" t="s">
        <v>585</v>
      </c>
      <c r="B103" s="21">
        <f t="shared" si="1"/>
        <v>0</v>
      </c>
      <c r="C103" s="21" t="str">
        <f>VLOOKUP(A103, hash!A$2:B$500, 2, 0)</f>
        <v>#N/A</v>
      </c>
      <c r="D103" s="23">
        <f t="shared" si="2"/>
        <v>0</v>
      </c>
      <c r="F103" s="45"/>
      <c r="H103" s="45"/>
      <c r="J103" s="45"/>
    </row>
    <row r="104">
      <c r="A104" s="22" t="s">
        <v>460</v>
      </c>
      <c r="B104" s="21">
        <f t="shared" si="1"/>
        <v>0</v>
      </c>
      <c r="C104" s="21" t="str">
        <f>VLOOKUP(A104, hash!A$2:B$500, 2, 0)</f>
        <v>63222dc6a729a8363c093b6b</v>
      </c>
      <c r="D104" s="23">
        <f t="shared" si="2"/>
        <v>0</v>
      </c>
      <c r="F104" s="45"/>
      <c r="H104" s="45"/>
      <c r="J104" s="45"/>
    </row>
    <row r="105">
      <c r="A105" s="22" t="s">
        <v>436</v>
      </c>
      <c r="B105" s="21">
        <f t="shared" si="1"/>
        <v>0</v>
      </c>
      <c r="C105" s="21" t="str">
        <f>VLOOKUP(A105, hash!A$2:B$500, 2, 0)</f>
        <v>63222dd4a729a8363c093b6d</v>
      </c>
      <c r="D105" s="23">
        <f t="shared" si="2"/>
        <v>0</v>
      </c>
      <c r="F105" s="45"/>
      <c r="H105" s="27"/>
      <c r="J105" s="27"/>
    </row>
    <row r="106">
      <c r="A106" s="22" t="s">
        <v>461</v>
      </c>
      <c r="B106" s="21">
        <f t="shared" si="1"/>
        <v>0</v>
      </c>
      <c r="C106" s="21" t="str">
        <f>VLOOKUP(A106, hash!A$2:B$500, 2, 0)</f>
        <v>63222dd7a729a8363c093b6e</v>
      </c>
      <c r="D106" s="23">
        <f t="shared" si="2"/>
        <v>0</v>
      </c>
      <c r="F106" s="45"/>
      <c r="H106" s="45"/>
      <c r="J106" s="45"/>
    </row>
    <row r="107">
      <c r="A107" s="22" t="s">
        <v>462</v>
      </c>
      <c r="B107" s="21">
        <f t="shared" si="1"/>
        <v>0</v>
      </c>
      <c r="C107" s="21" t="str">
        <f>VLOOKUP(A107, hash!A$2:B$500, 2, 0)</f>
        <v>63222deca729a8363c093b71</v>
      </c>
      <c r="D107" s="23">
        <f t="shared" si="2"/>
        <v>0</v>
      </c>
      <c r="F107" s="45"/>
      <c r="H107" s="45"/>
      <c r="J107" s="45"/>
    </row>
    <row r="108">
      <c r="A108" s="22" t="s">
        <v>463</v>
      </c>
      <c r="B108" s="21">
        <f t="shared" si="1"/>
        <v>0</v>
      </c>
      <c r="C108" s="21" t="str">
        <f>VLOOKUP(A108, hash!A$2:B$500, 2, 0)</f>
        <v>63222e10ed58d92b843f7cca</v>
      </c>
      <c r="D108" s="23">
        <f t="shared" si="2"/>
        <v>0</v>
      </c>
      <c r="F108" s="45"/>
      <c r="H108" s="45"/>
      <c r="J108" s="45"/>
    </row>
    <row r="109">
      <c r="A109" s="22" t="s">
        <v>464</v>
      </c>
      <c r="B109" s="21">
        <f t="shared" si="1"/>
        <v>0</v>
      </c>
      <c r="C109" s="21" t="str">
        <f>VLOOKUP(A109, hash!A$2:B$500, 2, 0)</f>
        <v>63222e35ed58d92b843f7ccd</v>
      </c>
      <c r="D109" s="23">
        <f t="shared" si="2"/>
        <v>0</v>
      </c>
      <c r="F109" s="45"/>
      <c r="H109" s="45"/>
      <c r="J109" s="45"/>
    </row>
    <row r="110">
      <c r="A110" s="22" t="s">
        <v>465</v>
      </c>
      <c r="B110" s="21">
        <f t="shared" si="1"/>
        <v>0</v>
      </c>
      <c r="C110" s="21" t="str">
        <f>VLOOKUP(A110, hash!A$2:B$500, 2, 0)</f>
        <v>63222e3a116f680d68804fa8</v>
      </c>
      <c r="D110" s="23">
        <f t="shared" si="2"/>
        <v>0</v>
      </c>
      <c r="F110" s="45"/>
      <c r="H110" s="45"/>
      <c r="J110" s="45"/>
    </row>
    <row r="111">
      <c r="A111" s="22" t="s">
        <v>466</v>
      </c>
      <c r="B111" s="21">
        <f t="shared" si="1"/>
        <v>0</v>
      </c>
      <c r="C111" s="21" t="str">
        <f>VLOOKUP(A111, hash!A$2:B$500, 2, 0)</f>
        <v>63222fa8562da848b695b887</v>
      </c>
      <c r="D111" s="23">
        <f t="shared" si="2"/>
        <v>0</v>
      </c>
      <c r="F111" s="45"/>
      <c r="H111" s="45"/>
      <c r="J111" s="45"/>
    </row>
    <row r="112">
      <c r="A112" s="22" t="s">
        <v>586</v>
      </c>
      <c r="B112" s="21">
        <f t="shared" si="1"/>
        <v>0</v>
      </c>
      <c r="C112" s="21" t="str">
        <f>VLOOKUP(A112, hash!A$2:B$500, 2, 0)</f>
        <v>#N/A</v>
      </c>
      <c r="D112" s="23">
        <f t="shared" si="2"/>
        <v>0</v>
      </c>
      <c r="F112" s="45"/>
      <c r="H112" s="45"/>
      <c r="J112" s="45"/>
    </row>
    <row r="113">
      <c r="A113" s="22" t="s">
        <v>467</v>
      </c>
      <c r="B113" s="21">
        <f t="shared" si="1"/>
        <v>0</v>
      </c>
      <c r="C113" s="21" t="str">
        <f>VLOOKUP(A113, hash!A$2:B$500, 2, 0)</f>
        <v>6329051b0c14e4fbd2ecace8</v>
      </c>
      <c r="D113" s="23">
        <f t="shared" si="2"/>
        <v>0</v>
      </c>
      <c r="F113" s="45"/>
      <c r="H113" s="45"/>
      <c r="J113" s="45"/>
    </row>
    <row r="114">
      <c r="A114" s="22" t="s">
        <v>468</v>
      </c>
      <c r="B114" s="21">
        <f t="shared" si="1"/>
        <v>0</v>
      </c>
      <c r="C114" s="21" t="str">
        <f>VLOOKUP(A114, hash!A$2:B$500, 2, 0)</f>
        <v>632b580f43e430c49f17d5dc</v>
      </c>
      <c r="D114" s="23">
        <f t="shared" si="2"/>
        <v>0</v>
      </c>
      <c r="F114" s="45"/>
      <c r="H114" s="45"/>
      <c r="J114" s="45"/>
    </row>
    <row r="115">
      <c r="A115" s="22" t="s">
        <v>469</v>
      </c>
      <c r="B115" s="21">
        <f t="shared" si="1"/>
        <v>0</v>
      </c>
      <c r="C115" s="21" t="str">
        <f>VLOOKUP(A115, hash!A$2:B$500, 2, 0)</f>
        <v>632b58290801926c6f0d9a37</v>
      </c>
      <c r="D115" s="23">
        <f t="shared" si="2"/>
        <v>0</v>
      </c>
      <c r="F115" s="45"/>
      <c r="H115" s="45"/>
      <c r="J115" s="45"/>
    </row>
    <row r="116">
      <c r="A116" s="22" t="s">
        <v>470</v>
      </c>
      <c r="B116" s="21">
        <f t="shared" si="1"/>
        <v>0</v>
      </c>
      <c r="C116" s="21" t="str">
        <f>VLOOKUP(A116, hash!A$2:B$500, 2, 0)</f>
        <v>632b5867c396d0088321be3a</v>
      </c>
      <c r="D116" s="23">
        <f t="shared" si="2"/>
        <v>0</v>
      </c>
      <c r="F116" s="45"/>
      <c r="H116" s="45"/>
      <c r="J116" s="45"/>
    </row>
    <row r="117">
      <c r="A117" s="22" t="s">
        <v>587</v>
      </c>
      <c r="B117" s="21">
        <f t="shared" si="1"/>
        <v>0</v>
      </c>
      <c r="C117" s="21" t="str">
        <f>VLOOKUP(A117, hash!A$2:B$500, 2, 0)</f>
        <v>#N/A</v>
      </c>
      <c r="D117" s="23">
        <f t="shared" si="2"/>
        <v>0</v>
      </c>
      <c r="F117" s="45"/>
      <c r="H117" s="45"/>
      <c r="J117" s="45"/>
    </row>
    <row r="118">
      <c r="A118" s="22" t="s">
        <v>471</v>
      </c>
      <c r="B118" s="21">
        <f t="shared" si="1"/>
        <v>0</v>
      </c>
      <c r="C118" s="21" t="str">
        <f>VLOOKUP(A118, hash!A$2:B$500, 2, 0)</f>
        <v>632b592764f599396d113b28</v>
      </c>
      <c r="D118" s="23">
        <f t="shared" si="2"/>
        <v>0</v>
      </c>
      <c r="F118" s="45"/>
      <c r="H118" s="45"/>
      <c r="J118" s="45"/>
    </row>
    <row r="119">
      <c r="A119" s="22" t="s">
        <v>588</v>
      </c>
      <c r="B119" s="21">
        <f t="shared" si="1"/>
        <v>0</v>
      </c>
      <c r="C119" s="21" t="str">
        <f>VLOOKUP(A119, hash!A$2:B$500, 2, 0)</f>
        <v>#N/A</v>
      </c>
      <c r="D119" s="23">
        <f t="shared" si="2"/>
        <v>0</v>
      </c>
      <c r="F119" s="45"/>
      <c r="H119" s="45"/>
      <c r="J119" s="45"/>
    </row>
    <row r="120">
      <c r="A120" s="22" t="s">
        <v>589</v>
      </c>
      <c r="B120" s="21">
        <f t="shared" si="1"/>
        <v>0</v>
      </c>
      <c r="C120" s="21" t="str">
        <f>VLOOKUP(A120, hash!A$2:B$500, 2, 0)</f>
        <v>#N/A</v>
      </c>
      <c r="D120" s="23">
        <f t="shared" si="2"/>
        <v>0</v>
      </c>
      <c r="F120" s="45"/>
      <c r="H120" s="45"/>
      <c r="J120" s="45"/>
    </row>
    <row r="121">
      <c r="A121" s="22" t="s">
        <v>590</v>
      </c>
      <c r="B121" s="21">
        <f t="shared" si="1"/>
        <v>0</v>
      </c>
      <c r="C121" s="21" t="str">
        <f>VLOOKUP(A121, hash!A$2:B$500, 2, 0)</f>
        <v>#N/A</v>
      </c>
      <c r="D121" s="23">
        <f t="shared" si="2"/>
        <v>0</v>
      </c>
      <c r="F121" s="45"/>
      <c r="H121" s="45"/>
      <c r="J121" s="45"/>
    </row>
    <row r="122">
      <c r="A122" s="22" t="s">
        <v>591</v>
      </c>
      <c r="B122" s="21">
        <f t="shared" si="1"/>
        <v>0</v>
      </c>
      <c r="C122" s="21" t="str">
        <f>VLOOKUP(A122, hash!A$2:B$500, 2, 0)</f>
        <v>#N/A</v>
      </c>
      <c r="D122" s="23">
        <f t="shared" si="2"/>
        <v>0</v>
      </c>
      <c r="F122" s="45"/>
      <c r="H122" s="45"/>
      <c r="J122" s="45"/>
    </row>
    <row r="123">
      <c r="A123" s="22" t="s">
        <v>592</v>
      </c>
      <c r="B123" s="21">
        <f t="shared" si="1"/>
        <v>0</v>
      </c>
      <c r="C123" s="21" t="str">
        <f>VLOOKUP(A123, hash!A$2:B$500, 2, 0)</f>
        <v>#N/A</v>
      </c>
      <c r="D123" s="23">
        <f t="shared" si="2"/>
        <v>0</v>
      </c>
      <c r="F123" s="45"/>
      <c r="H123" s="45"/>
      <c r="J123" s="45"/>
    </row>
    <row r="124">
      <c r="A124" s="22" t="s">
        <v>472</v>
      </c>
      <c r="B124" s="21">
        <f t="shared" si="1"/>
        <v>0</v>
      </c>
      <c r="C124" s="21" t="str">
        <f>VLOOKUP(A124, hash!A$2:B$500, 2, 0)</f>
        <v>632b659ebfb5f9d04c8cca40</v>
      </c>
      <c r="D124" s="23">
        <f t="shared" si="2"/>
        <v>0</v>
      </c>
      <c r="F124" s="45"/>
      <c r="H124" s="45"/>
      <c r="J124" s="45"/>
    </row>
    <row r="125">
      <c r="A125" s="22" t="s">
        <v>473</v>
      </c>
      <c r="B125" s="21">
        <f t="shared" si="1"/>
        <v>0</v>
      </c>
      <c r="C125" s="21" t="str">
        <f>VLOOKUP(A125, hash!A$2:B$500, 2, 0)</f>
        <v>63332820dde72043c98a24b0</v>
      </c>
      <c r="D125" s="23">
        <f t="shared" si="2"/>
        <v>0</v>
      </c>
      <c r="F125" s="45"/>
      <c r="H125" s="45"/>
      <c r="J125" s="45"/>
    </row>
    <row r="126">
      <c r="A126" s="22" t="s">
        <v>474</v>
      </c>
      <c r="B126" s="21">
        <f t="shared" si="1"/>
        <v>0</v>
      </c>
      <c r="C126" s="21" t="str">
        <f>VLOOKUP(A126, hash!A$2:B$500, 2, 0)</f>
        <v>6334930daf5a29e196628f54</v>
      </c>
      <c r="D126" s="23">
        <f t="shared" si="2"/>
        <v>0</v>
      </c>
      <c r="F126" s="45"/>
      <c r="H126" s="45"/>
      <c r="J126" s="45"/>
    </row>
    <row r="127">
      <c r="A127" s="22" t="s">
        <v>593</v>
      </c>
      <c r="B127" s="21">
        <f t="shared" si="1"/>
        <v>0</v>
      </c>
      <c r="C127" s="21" t="str">
        <f>VLOOKUP(A127, hash!A$2:B$500, 2, 0)</f>
        <v>#N/A</v>
      </c>
      <c r="D127" s="23">
        <f t="shared" si="2"/>
        <v>0</v>
      </c>
      <c r="F127" s="45"/>
      <c r="H127" s="45"/>
      <c r="J127" s="45"/>
    </row>
    <row r="128">
      <c r="A128" s="22" t="s">
        <v>510</v>
      </c>
      <c r="B128" s="21">
        <f t="shared" si="1"/>
        <v>0</v>
      </c>
      <c r="C128" s="21" t="str">
        <f>VLOOKUP(A128, hash!A$2:B$500, 2, 0)</f>
        <v>6334931c5db42318c75b941a</v>
      </c>
      <c r="D128" s="23">
        <f t="shared" si="2"/>
        <v>0</v>
      </c>
      <c r="F128" s="45"/>
      <c r="H128" s="45"/>
      <c r="J128" s="45"/>
    </row>
    <row r="129">
      <c r="A129" s="22" t="s">
        <v>475</v>
      </c>
      <c r="B129" s="21">
        <f t="shared" si="1"/>
        <v>0</v>
      </c>
      <c r="C129" s="21" t="str">
        <f>VLOOKUP(A129, hash!A$2:B$500, 2, 0)</f>
        <v>6334934ee801712b31d25536</v>
      </c>
      <c r="D129" s="23">
        <f t="shared" si="2"/>
        <v>0</v>
      </c>
      <c r="F129" s="45"/>
      <c r="H129" s="45"/>
      <c r="J129" s="45"/>
    </row>
    <row r="130">
      <c r="A130" s="22" t="s">
        <v>476</v>
      </c>
      <c r="B130" s="21">
        <f t="shared" si="1"/>
        <v>0</v>
      </c>
      <c r="C130" s="21" t="str">
        <f>VLOOKUP(A130, hash!A$2:B$500, 2, 0)</f>
        <v>63349f8e3a8dbca7ef791374</v>
      </c>
      <c r="D130" s="23">
        <f t="shared" si="2"/>
        <v>0</v>
      </c>
      <c r="F130" s="45"/>
      <c r="H130" s="45"/>
      <c r="J130" s="45"/>
    </row>
    <row r="131">
      <c r="A131" s="22" t="s">
        <v>594</v>
      </c>
      <c r="B131" s="21">
        <f t="shared" si="1"/>
        <v>0</v>
      </c>
      <c r="C131" s="21" t="str">
        <f>VLOOKUP(A131, hash!A$2:B$500, 2, 0)</f>
        <v>#N/A</v>
      </c>
      <c r="D131" s="23">
        <f t="shared" si="2"/>
        <v>0</v>
      </c>
      <c r="F131" s="27"/>
      <c r="H131" s="45"/>
      <c r="J131" s="45"/>
    </row>
    <row r="132">
      <c r="A132" s="22" t="s">
        <v>477</v>
      </c>
      <c r="B132" s="21">
        <f t="shared" si="1"/>
        <v>0</v>
      </c>
      <c r="C132" s="21" t="str">
        <f>VLOOKUP(A132, hash!A$2:B$500, 2, 0)</f>
        <v>63349f9a3a8dbca7ef791375</v>
      </c>
      <c r="D132" s="23">
        <f t="shared" si="2"/>
        <v>0</v>
      </c>
      <c r="F132" s="45"/>
      <c r="H132" s="45"/>
      <c r="J132" s="45"/>
    </row>
    <row r="133">
      <c r="A133" s="22" t="s">
        <v>478</v>
      </c>
      <c r="B133" s="21">
        <f t="shared" si="1"/>
        <v>0</v>
      </c>
      <c r="C133" s="21" t="str">
        <f>VLOOKUP(A133, hash!A$2:B$500, 2, 0)</f>
        <v>633b2944907d3b0ce904b02f</v>
      </c>
      <c r="D133" s="23">
        <f t="shared" si="2"/>
        <v>0</v>
      </c>
      <c r="F133" s="45"/>
      <c r="H133" s="45"/>
      <c r="J133" s="45"/>
    </row>
    <row r="134">
      <c r="A134" s="22" t="s">
        <v>595</v>
      </c>
      <c r="B134" s="21">
        <f t="shared" si="1"/>
        <v>0</v>
      </c>
      <c r="C134" s="21" t="str">
        <f>VLOOKUP(A134, hash!A$2:B$500, 2, 0)</f>
        <v>#N/A</v>
      </c>
      <c r="D134" s="23">
        <f t="shared" si="2"/>
        <v>0</v>
      </c>
      <c r="F134" s="45"/>
      <c r="H134" s="45"/>
      <c r="J134" s="45"/>
    </row>
    <row r="135">
      <c r="A135" s="22" t="s">
        <v>479</v>
      </c>
      <c r="B135" s="21">
        <f t="shared" si="1"/>
        <v>0</v>
      </c>
      <c r="C135" s="21" t="str">
        <f>VLOOKUP(A135, hash!A$2:B$500, 2, 0)</f>
        <v>633b296e907d3b0ce904b03b</v>
      </c>
      <c r="D135" s="23">
        <f t="shared" si="2"/>
        <v>0</v>
      </c>
      <c r="F135" s="45"/>
      <c r="H135" s="45"/>
      <c r="J135" s="45"/>
    </row>
    <row r="136">
      <c r="A136" s="22" t="s">
        <v>596</v>
      </c>
      <c r="B136" s="21">
        <f t="shared" si="1"/>
        <v>0</v>
      </c>
      <c r="C136" s="21" t="str">
        <f>VLOOKUP(A136, hash!A$2:B$500, 2, 0)</f>
        <v>#N/A</v>
      </c>
      <c r="D136" s="23">
        <f t="shared" si="2"/>
        <v>0</v>
      </c>
      <c r="F136" s="45"/>
      <c r="H136" s="45"/>
      <c r="J136" s="27"/>
    </row>
    <row r="137">
      <c r="A137" s="22" t="s">
        <v>480</v>
      </c>
      <c r="B137" s="21">
        <f t="shared" si="1"/>
        <v>0</v>
      </c>
      <c r="C137" s="21" t="str">
        <f>VLOOKUP(A137, hash!A$2:B$500, 2, 0)</f>
        <v>633b33dde2076b371abb58dd</v>
      </c>
      <c r="D137" s="23">
        <f t="shared" si="2"/>
        <v>0</v>
      </c>
      <c r="F137" s="45"/>
      <c r="H137" s="45"/>
      <c r="J137" s="45"/>
    </row>
    <row r="138">
      <c r="A138" s="22" t="s">
        <v>481</v>
      </c>
      <c r="B138" s="21">
        <f t="shared" si="1"/>
        <v>0</v>
      </c>
      <c r="C138" s="21" t="str">
        <f>VLOOKUP(A138, hash!A$2:B$500, 2, 0)</f>
        <v>633b36b4e2076b371abb58ed</v>
      </c>
      <c r="D138" s="23">
        <f t="shared" si="2"/>
        <v>0</v>
      </c>
      <c r="F138" s="45"/>
      <c r="H138" s="45"/>
      <c r="J138" s="45"/>
    </row>
    <row r="139">
      <c r="A139" s="22" t="s">
        <v>597</v>
      </c>
      <c r="B139" s="21">
        <f t="shared" si="1"/>
        <v>0</v>
      </c>
      <c r="C139" s="21" t="str">
        <f>VLOOKUP(A139, hash!A$2:B$500, 2, 0)</f>
        <v>#N/A</v>
      </c>
      <c r="D139" s="23">
        <f t="shared" si="2"/>
        <v>0</v>
      </c>
      <c r="F139" s="45"/>
      <c r="H139" s="45"/>
      <c r="J139" s="45"/>
    </row>
    <row r="140">
      <c r="A140" s="22" t="s">
        <v>598</v>
      </c>
      <c r="B140" s="21">
        <f t="shared" si="1"/>
        <v>0</v>
      </c>
      <c r="C140" s="21" t="str">
        <f>VLOOKUP(A140, hash!A$2:B$500, 2, 0)</f>
        <v>#N/A</v>
      </c>
      <c r="D140" s="23">
        <f t="shared" si="2"/>
        <v>0</v>
      </c>
      <c r="F140" s="45"/>
      <c r="H140" s="45"/>
      <c r="J140" s="45"/>
    </row>
    <row r="141">
      <c r="A141" s="22" t="s">
        <v>599</v>
      </c>
      <c r="B141" s="21">
        <f t="shared" si="1"/>
        <v>0</v>
      </c>
      <c r="C141" s="21" t="str">
        <f>VLOOKUP(A141, hash!A$2:B$500, 2, 0)</f>
        <v>#N/A</v>
      </c>
      <c r="D141" s="23">
        <f t="shared" si="2"/>
        <v>0</v>
      </c>
      <c r="F141" s="45"/>
      <c r="H141" s="45"/>
      <c r="J141" s="45"/>
    </row>
    <row r="142">
      <c r="A142" s="22" t="s">
        <v>600</v>
      </c>
      <c r="B142" s="21">
        <f t="shared" si="1"/>
        <v>0</v>
      </c>
      <c r="C142" s="21" t="str">
        <f>VLOOKUP(A142, hash!A$2:B$500, 2, 0)</f>
        <v>#N/A</v>
      </c>
      <c r="D142" s="23">
        <f t="shared" si="2"/>
        <v>0</v>
      </c>
      <c r="F142" s="45"/>
      <c r="H142" s="45"/>
      <c r="J142" s="45"/>
    </row>
    <row r="143">
      <c r="A143" s="22" t="s">
        <v>601</v>
      </c>
      <c r="B143" s="21">
        <f t="shared" si="1"/>
        <v>0</v>
      </c>
      <c r="C143" s="21" t="str">
        <f>VLOOKUP(A143, hash!A$2:B$500, 2, 0)</f>
        <v>#N/A</v>
      </c>
      <c r="D143" s="23">
        <f t="shared" si="2"/>
        <v>0</v>
      </c>
      <c r="F143" s="45"/>
      <c r="H143" s="45"/>
      <c r="J143" s="45"/>
    </row>
    <row r="144">
      <c r="A144" s="22" t="s">
        <v>482</v>
      </c>
      <c r="B144" s="21">
        <f t="shared" si="1"/>
        <v>0</v>
      </c>
      <c r="C144" s="21" t="str">
        <f>VLOOKUP(A144, hash!A$2:B$500, 2, 0)</f>
        <v>634ebd057dcff4d8aaf60ecd</v>
      </c>
      <c r="D144" s="23">
        <f t="shared" si="2"/>
        <v>0</v>
      </c>
      <c r="F144" s="45"/>
      <c r="H144" s="45"/>
      <c r="J144" s="45"/>
    </row>
    <row r="145">
      <c r="A145" s="22" t="s">
        <v>483</v>
      </c>
      <c r="B145" s="21">
        <f t="shared" si="1"/>
        <v>0</v>
      </c>
      <c r="C145" s="21" t="str">
        <f>VLOOKUP(A145, hash!A$2:B$500, 2, 0)</f>
        <v>6350260e6b84e6835b7bdb10</v>
      </c>
      <c r="D145" s="23">
        <f t="shared" si="2"/>
        <v>0</v>
      </c>
      <c r="F145" s="45"/>
      <c r="H145" s="45"/>
      <c r="J145" s="45"/>
    </row>
    <row r="146">
      <c r="A146" s="22" t="s">
        <v>484</v>
      </c>
      <c r="B146" s="21">
        <f t="shared" si="1"/>
        <v>0</v>
      </c>
      <c r="C146" s="21" t="str">
        <f>VLOOKUP(A146, hash!A$2:B$500, 2, 0)</f>
        <v>635041d40aaa9d7642b16a2a</v>
      </c>
      <c r="D146" s="23">
        <f t="shared" si="2"/>
        <v>0</v>
      </c>
      <c r="F146" s="45"/>
      <c r="H146" s="45"/>
      <c r="J146" s="45"/>
    </row>
    <row r="147">
      <c r="A147" s="22" t="s">
        <v>485</v>
      </c>
      <c r="B147" s="21">
        <f t="shared" si="1"/>
        <v>0</v>
      </c>
      <c r="C147" s="21" t="str">
        <f>VLOOKUP(A147, hash!A$2:B$500, 2, 0)</f>
        <v>63504cfc4e941e57f7932609</v>
      </c>
      <c r="D147" s="23">
        <f t="shared" si="2"/>
        <v>0</v>
      </c>
      <c r="F147" s="45"/>
      <c r="H147" s="45"/>
      <c r="J147" s="45"/>
    </row>
    <row r="148">
      <c r="A148" s="22" t="s">
        <v>486</v>
      </c>
      <c r="B148" s="21">
        <f t="shared" si="1"/>
        <v>0</v>
      </c>
      <c r="C148" s="21" t="str">
        <f>VLOOKUP(A148, hash!A$2:B$500, 2, 0)</f>
        <v>63504d21680a31686694f409</v>
      </c>
      <c r="D148" s="23">
        <f t="shared" si="2"/>
        <v>0</v>
      </c>
      <c r="F148" s="45"/>
      <c r="H148" s="45"/>
      <c r="J148" s="45"/>
    </row>
    <row r="149">
      <c r="A149" s="22" t="s">
        <v>487</v>
      </c>
      <c r="B149" s="21">
        <f t="shared" si="1"/>
        <v>0</v>
      </c>
      <c r="C149" s="21" t="str">
        <f>VLOOKUP(A149, hash!A$2:B$500, 2, 0)</f>
        <v>63504d993b59fc8152ddcd16</v>
      </c>
      <c r="D149" s="23">
        <f t="shared" si="2"/>
        <v>0</v>
      </c>
      <c r="F149" s="45"/>
      <c r="H149" s="45"/>
      <c r="J149" s="45"/>
    </row>
    <row r="150">
      <c r="A150" s="22" t="s">
        <v>488</v>
      </c>
      <c r="B150" s="21">
        <f t="shared" si="1"/>
        <v>0</v>
      </c>
      <c r="C150" s="21" t="str">
        <f>VLOOKUP(A150, hash!A$2:B$500, 2, 0)</f>
        <v>63504f2bf3c9b5fc221a8b0b</v>
      </c>
      <c r="D150" s="23">
        <f t="shared" si="2"/>
        <v>0</v>
      </c>
      <c r="F150" s="45"/>
      <c r="H150" s="45"/>
      <c r="J150" s="45"/>
    </row>
    <row r="151">
      <c r="A151" s="22" t="s">
        <v>489</v>
      </c>
      <c r="B151" s="21">
        <f t="shared" si="1"/>
        <v>0</v>
      </c>
      <c r="C151" s="21" t="str">
        <f>VLOOKUP(A151, hash!A$2:B$500, 2, 0)</f>
        <v>63505039f3c9b5fc221a8b11</v>
      </c>
      <c r="D151" s="23">
        <f t="shared" si="2"/>
        <v>0</v>
      </c>
      <c r="F151" s="45"/>
      <c r="H151" s="45"/>
      <c r="J151" s="45"/>
    </row>
    <row r="152">
      <c r="A152" s="22" t="s">
        <v>490</v>
      </c>
      <c r="B152" s="21">
        <f t="shared" si="1"/>
        <v>0</v>
      </c>
      <c r="C152" s="21" t="str">
        <f>VLOOKUP(A152, hash!A$2:B$500, 2, 0)</f>
        <v>6350508cf3c9b5fc221a8b14</v>
      </c>
      <c r="D152" s="23">
        <f t="shared" si="2"/>
        <v>0</v>
      </c>
      <c r="F152" s="45"/>
      <c r="H152" s="45"/>
      <c r="J152" s="45"/>
    </row>
    <row r="153">
      <c r="A153" s="22" t="s">
        <v>491</v>
      </c>
      <c r="B153" s="21">
        <f t="shared" si="1"/>
        <v>0</v>
      </c>
      <c r="C153" s="21" t="str">
        <f>VLOOKUP(A153, hash!A$2:B$500, 2, 0)</f>
        <v>635052bcd5280881c6468696</v>
      </c>
      <c r="D153" s="23">
        <f t="shared" si="2"/>
        <v>0</v>
      </c>
      <c r="F153" s="45"/>
      <c r="H153" s="45"/>
      <c r="J153" s="45"/>
    </row>
    <row r="154">
      <c r="A154" s="22" t="s">
        <v>492</v>
      </c>
      <c r="B154" s="21">
        <f t="shared" si="1"/>
        <v>0</v>
      </c>
      <c r="C154" s="21" t="str">
        <f>VLOOKUP(A154, hash!A$2:B$500, 2, 0)</f>
        <v>635053873b59fc8152ddcd3f</v>
      </c>
      <c r="D154" s="23">
        <f t="shared" si="2"/>
        <v>0</v>
      </c>
      <c r="F154" s="45"/>
      <c r="H154" s="45"/>
      <c r="J154" s="45"/>
    </row>
    <row r="155">
      <c r="A155" s="22" t="s">
        <v>493</v>
      </c>
      <c r="B155" s="21">
        <f t="shared" si="1"/>
        <v>0</v>
      </c>
      <c r="C155" s="21" t="str">
        <f>VLOOKUP(A155, hash!A$2:B$500, 2, 0)</f>
        <v>6350549ca87d74ab21f25e75</v>
      </c>
      <c r="D155" s="23">
        <f t="shared" si="2"/>
        <v>0</v>
      </c>
      <c r="F155" s="45"/>
      <c r="H155" s="45"/>
      <c r="J155" s="45"/>
    </row>
    <row r="156">
      <c r="A156" s="22" t="s">
        <v>602</v>
      </c>
      <c r="B156" s="21">
        <f t="shared" si="1"/>
        <v>0</v>
      </c>
      <c r="C156" s="21" t="str">
        <f>VLOOKUP(A156, hash!A$2:B$500, 2, 0)</f>
        <v>#N/A</v>
      </c>
      <c r="D156" s="23">
        <f t="shared" si="2"/>
        <v>0</v>
      </c>
      <c r="F156" s="45"/>
      <c r="H156" s="45"/>
      <c r="J156" s="45"/>
    </row>
    <row r="157">
      <c r="A157" s="22" t="s">
        <v>494</v>
      </c>
      <c r="B157" s="21">
        <f t="shared" si="1"/>
        <v>0</v>
      </c>
      <c r="C157" s="21" t="str">
        <f>VLOOKUP(A157, hash!A$2:B$500, 2, 0)</f>
        <v>63529e993c9eeacf2b95884e</v>
      </c>
      <c r="D157" s="23">
        <f t="shared" si="2"/>
        <v>0</v>
      </c>
      <c r="F157" s="45"/>
      <c r="H157" s="45"/>
      <c r="J157" s="45"/>
    </row>
    <row r="158">
      <c r="A158" s="22" t="s">
        <v>495</v>
      </c>
      <c r="B158" s="21">
        <f t="shared" si="1"/>
        <v>0</v>
      </c>
      <c r="C158" s="21" t="str">
        <f>VLOOKUP(A158, hash!A$2:B$500, 2, 0)</f>
        <v>63597cb9a9e578282a60ad9d</v>
      </c>
      <c r="D158" s="23">
        <f t="shared" si="2"/>
        <v>0</v>
      </c>
      <c r="F158" s="45"/>
      <c r="H158" s="45"/>
      <c r="J158" s="45"/>
    </row>
    <row r="159">
      <c r="A159" s="22" t="s">
        <v>603</v>
      </c>
      <c r="B159" s="21">
        <f t="shared" si="1"/>
        <v>0</v>
      </c>
      <c r="C159" s="21" t="str">
        <f>VLOOKUP(A159, hash!A$2:B$500, 2, 0)</f>
        <v>#N/A</v>
      </c>
      <c r="D159" s="23">
        <f t="shared" si="2"/>
        <v>0</v>
      </c>
      <c r="F159" s="45"/>
      <c r="H159" s="45"/>
      <c r="J159" s="45"/>
    </row>
    <row r="160">
      <c r="A160" s="22" t="s">
        <v>101</v>
      </c>
      <c r="B160" s="21">
        <f t="shared" si="1"/>
        <v>0</v>
      </c>
      <c r="C160" s="21" t="str">
        <f>VLOOKUP(A160, hash!A$2:B$500, 2, 0)</f>
        <v>6362864bd6615019231bd3fc</v>
      </c>
      <c r="D160" s="23">
        <f t="shared" si="2"/>
        <v>0</v>
      </c>
      <c r="F160" s="45"/>
      <c r="H160" s="45"/>
      <c r="J160" s="45"/>
    </row>
    <row r="161">
      <c r="A161" s="22" t="s">
        <v>102</v>
      </c>
      <c r="B161" s="21">
        <f t="shared" si="1"/>
        <v>0</v>
      </c>
      <c r="C161" s="21" t="str">
        <f>VLOOKUP(A161, hash!A$2:B$500, 2, 0)</f>
        <v>6362b77fe777ad6bbb240412</v>
      </c>
      <c r="D161" s="23">
        <f t="shared" si="2"/>
        <v>0</v>
      </c>
      <c r="F161" s="45"/>
      <c r="H161" s="45"/>
      <c r="J161" s="45"/>
    </row>
    <row r="162">
      <c r="A162" s="22" t="s">
        <v>604</v>
      </c>
      <c r="B162" s="21">
        <f t="shared" si="1"/>
        <v>0</v>
      </c>
      <c r="C162" s="21" t="str">
        <f>VLOOKUP(A162, hash!A$2:B$500, 2, 0)</f>
        <v>#N/A</v>
      </c>
      <c r="D162" s="23">
        <f t="shared" si="2"/>
        <v>0</v>
      </c>
      <c r="F162" s="45"/>
      <c r="H162" s="45"/>
      <c r="J162" s="45"/>
    </row>
    <row r="163">
      <c r="A163" s="22" t="s">
        <v>103</v>
      </c>
      <c r="B163" s="21">
        <f t="shared" si="1"/>
        <v>0</v>
      </c>
      <c r="C163" s="21" t="str">
        <f>VLOOKUP(A163, hash!A$2:B$500, 2, 0)</f>
        <v>6376b58661fba9785d07416f</v>
      </c>
      <c r="D163" s="23">
        <f t="shared" si="2"/>
        <v>0</v>
      </c>
      <c r="F163" s="45"/>
      <c r="H163" s="45"/>
      <c r="J163" s="45"/>
    </row>
    <row r="164">
      <c r="A164" s="22" t="s">
        <v>605</v>
      </c>
      <c r="B164" s="21">
        <f t="shared" si="1"/>
        <v>0</v>
      </c>
      <c r="C164" s="21" t="str">
        <f>VLOOKUP(A164, hash!A$2:B$500, 2, 0)</f>
        <v>#N/A</v>
      </c>
      <c r="D164" s="23">
        <f t="shared" si="2"/>
        <v>0</v>
      </c>
      <c r="F164" s="45"/>
      <c r="H164" s="45"/>
      <c r="J164" s="45"/>
    </row>
    <row r="165">
      <c r="A165" s="22" t="s">
        <v>606</v>
      </c>
      <c r="B165" s="21">
        <f t="shared" si="1"/>
        <v>0</v>
      </c>
      <c r="C165" s="21" t="str">
        <f>VLOOKUP(A165, hash!A$2:B$500, 2, 0)</f>
        <v>#N/A</v>
      </c>
      <c r="D165" s="23">
        <f t="shared" si="2"/>
        <v>0</v>
      </c>
      <c r="F165" s="45"/>
      <c r="H165" s="45"/>
      <c r="J165" s="45"/>
    </row>
    <row r="166">
      <c r="A166" s="22" t="s">
        <v>104</v>
      </c>
      <c r="B166" s="21">
        <f t="shared" si="1"/>
        <v>0</v>
      </c>
      <c r="C166" s="21" t="str">
        <f>VLOOKUP(A166, hash!A$2:B$500, 2, 0)</f>
        <v>6387bb73c1e51a839dd5a996</v>
      </c>
      <c r="D166" s="23">
        <f t="shared" si="2"/>
        <v>0</v>
      </c>
      <c r="F166" s="45"/>
      <c r="H166" s="45"/>
      <c r="J166" s="45"/>
    </row>
    <row r="167">
      <c r="A167" s="22" t="s">
        <v>105</v>
      </c>
      <c r="B167" s="21">
        <f t="shared" si="1"/>
        <v>0</v>
      </c>
      <c r="C167" s="21" t="str">
        <f>VLOOKUP(A167, hash!A$2:B$500, 2, 0)</f>
        <v>6387bbc6c1e51a839dd5a9a4</v>
      </c>
      <c r="D167" s="23">
        <f t="shared" si="2"/>
        <v>0</v>
      </c>
      <c r="F167" s="45"/>
      <c r="H167" s="45"/>
      <c r="J167" s="45"/>
    </row>
    <row r="168">
      <c r="A168" s="22" t="s">
        <v>106</v>
      </c>
      <c r="B168" s="21">
        <f t="shared" si="1"/>
        <v>0</v>
      </c>
      <c r="C168" s="21" t="str">
        <f>VLOOKUP(A168, hash!A$2:B$500, 2, 0)</f>
        <v>639a2e9e3b748bad962c153c</v>
      </c>
      <c r="D168" s="23">
        <f t="shared" si="2"/>
        <v>0</v>
      </c>
      <c r="F168" s="45"/>
      <c r="H168" s="45"/>
      <c r="J168" s="45"/>
    </row>
    <row r="169">
      <c r="A169" s="22" t="s">
        <v>107</v>
      </c>
      <c r="B169" s="21">
        <f t="shared" si="1"/>
        <v>0</v>
      </c>
      <c r="C169" s="21" t="str">
        <f>VLOOKUP(A169, hash!A$2:B$500, 2, 0)</f>
        <v>63b5d35a964a47f092354843</v>
      </c>
      <c r="D169" s="23">
        <f t="shared" si="2"/>
        <v>0</v>
      </c>
      <c r="F169" s="45"/>
      <c r="H169" s="45"/>
      <c r="J169" s="45"/>
    </row>
    <row r="170">
      <c r="A170" s="22" t="s">
        <v>108</v>
      </c>
      <c r="B170" s="21">
        <f t="shared" si="1"/>
        <v>0</v>
      </c>
      <c r="C170" s="21" t="str">
        <f>VLOOKUP(A170, hash!A$2:B$500, 2, 0)</f>
        <v>63c833ef38ef4ba2f7bbe919</v>
      </c>
      <c r="D170" s="23">
        <f t="shared" si="2"/>
        <v>0</v>
      </c>
      <c r="F170" s="45"/>
      <c r="H170" s="45"/>
      <c r="J170" s="45"/>
    </row>
    <row r="171">
      <c r="A171" s="22" t="s">
        <v>109</v>
      </c>
      <c r="B171" s="21">
        <f t="shared" si="1"/>
        <v>0</v>
      </c>
      <c r="C171" s="21" t="str">
        <f>VLOOKUP(A171, hash!A$2:B$500, 2, 0)</f>
        <v>63c8473f511ce7e89481b00b</v>
      </c>
      <c r="D171" s="23">
        <f t="shared" si="2"/>
        <v>0</v>
      </c>
      <c r="F171" s="45"/>
      <c r="H171" s="45"/>
      <c r="J171" s="45"/>
    </row>
    <row r="172">
      <c r="A172" s="22" t="s">
        <v>110</v>
      </c>
      <c r="B172" s="21">
        <f t="shared" si="1"/>
        <v>0</v>
      </c>
      <c r="C172" s="21" t="str">
        <f>VLOOKUP(A172, hash!A$2:B$500, 2, 0)</f>
        <v>63c8477b67bbb48b24b073b9</v>
      </c>
      <c r="D172" s="23">
        <f t="shared" si="2"/>
        <v>0</v>
      </c>
      <c r="F172" s="45"/>
      <c r="H172" s="45"/>
      <c r="J172" s="45"/>
    </row>
    <row r="173">
      <c r="A173" s="22" t="s">
        <v>607</v>
      </c>
      <c r="B173" s="21">
        <f t="shared" si="1"/>
        <v>0</v>
      </c>
      <c r="C173" s="21" t="str">
        <f>VLOOKUP(A173, hash!A$2:B$500, 2, 0)</f>
        <v>#N/A</v>
      </c>
      <c r="D173" s="23">
        <f t="shared" si="2"/>
        <v>0</v>
      </c>
      <c r="F173" s="45"/>
      <c r="H173" s="45"/>
      <c r="J173" s="45"/>
    </row>
    <row r="174">
      <c r="A174" s="22" t="s">
        <v>608</v>
      </c>
      <c r="B174" s="21">
        <f t="shared" si="1"/>
        <v>0</v>
      </c>
      <c r="C174" s="21" t="str">
        <f>VLOOKUP(A174, hash!A$2:B$500, 2, 0)</f>
        <v>#N/A</v>
      </c>
      <c r="D174" s="23">
        <f t="shared" si="2"/>
        <v>0</v>
      </c>
      <c r="F174" s="45"/>
      <c r="H174" s="45"/>
      <c r="J174" s="45"/>
    </row>
    <row r="175">
      <c r="A175" s="22" t="s">
        <v>111</v>
      </c>
      <c r="B175" s="21">
        <f t="shared" si="1"/>
        <v>0</v>
      </c>
      <c r="C175" s="21" t="str">
        <f>VLOOKUP(A175, hash!A$2:B$500, 2, 0)</f>
        <v>63dabd0663f6b9aef34df313</v>
      </c>
      <c r="D175" s="23">
        <f t="shared" si="2"/>
        <v>0</v>
      </c>
      <c r="F175" s="45"/>
      <c r="H175" s="45"/>
      <c r="J175" s="45"/>
    </row>
    <row r="176">
      <c r="A176" s="22" t="s">
        <v>112</v>
      </c>
      <c r="B176" s="21">
        <f t="shared" si="1"/>
        <v>0</v>
      </c>
      <c r="C176" s="21" t="str">
        <f>VLOOKUP(A176, hash!A$2:B$500, 2, 0)</f>
        <v>63dabd3d9dab57a89c8ed2ec</v>
      </c>
      <c r="D176" s="23">
        <f t="shared" si="2"/>
        <v>0</v>
      </c>
      <c r="F176" s="45"/>
      <c r="H176" s="45"/>
      <c r="J176" s="45"/>
    </row>
    <row r="177">
      <c r="A177" s="22" t="s">
        <v>609</v>
      </c>
      <c r="B177" s="21">
        <f t="shared" si="1"/>
        <v>0</v>
      </c>
      <c r="C177" s="21" t="str">
        <f>VLOOKUP(A177, hash!A$2:B$500, 2, 0)</f>
        <v>#N/A</v>
      </c>
      <c r="D177" s="23">
        <f t="shared" si="2"/>
        <v>0</v>
      </c>
      <c r="F177" s="45"/>
      <c r="H177" s="45"/>
      <c r="J177" s="45"/>
    </row>
    <row r="178">
      <c r="A178" s="22" t="s">
        <v>113</v>
      </c>
      <c r="B178" s="21">
        <f t="shared" si="1"/>
        <v>0</v>
      </c>
      <c r="C178" s="21" t="str">
        <f>VLOOKUP(A178, hash!A$2:B$500, 2, 0)</f>
        <v>63ddd5541cf7a4a53455fa2b</v>
      </c>
      <c r="D178" s="23">
        <f t="shared" si="2"/>
        <v>0</v>
      </c>
      <c r="F178" s="45"/>
      <c r="H178" s="45"/>
      <c r="J178" s="45"/>
    </row>
    <row r="179">
      <c r="A179" s="22" t="s">
        <v>610</v>
      </c>
      <c r="B179" s="21">
        <f t="shared" si="1"/>
        <v>0</v>
      </c>
      <c r="C179" s="21" t="str">
        <f>VLOOKUP(A179, hash!A$2:B$500, 2, 0)</f>
        <v>#N/A</v>
      </c>
      <c r="D179" s="23">
        <f t="shared" si="2"/>
        <v>0</v>
      </c>
      <c r="F179" s="45"/>
      <c r="H179" s="45"/>
      <c r="J179" s="45"/>
    </row>
    <row r="180">
      <c r="A180" s="22" t="s">
        <v>114</v>
      </c>
      <c r="B180" s="21">
        <f t="shared" si="1"/>
        <v>0</v>
      </c>
      <c r="C180" s="21" t="str">
        <f>VLOOKUP(A180, hash!A$2:B$500, 2, 0)</f>
        <v>63ed3c20ba3040bfda3dc990</v>
      </c>
      <c r="D180" s="23">
        <f t="shared" si="2"/>
        <v>0</v>
      </c>
      <c r="F180" s="45"/>
      <c r="H180" s="45"/>
      <c r="J180" s="45"/>
    </row>
    <row r="181">
      <c r="A181" s="22" t="s">
        <v>115</v>
      </c>
      <c r="B181" s="21">
        <f t="shared" si="1"/>
        <v>0</v>
      </c>
      <c r="C181" s="21" t="str">
        <f>VLOOKUP(A181, hash!A$2:B$500, 2, 0)</f>
        <v>63f67889c8ff9ace793384df</v>
      </c>
      <c r="D181" s="23">
        <f t="shared" si="2"/>
        <v>0</v>
      </c>
      <c r="F181" s="45"/>
      <c r="H181" s="45"/>
      <c r="J181" s="45"/>
    </row>
    <row r="182">
      <c r="A182" s="22" t="s">
        <v>116</v>
      </c>
      <c r="B182" s="21">
        <f t="shared" si="1"/>
        <v>0</v>
      </c>
      <c r="C182" s="21" t="str">
        <f>VLOOKUP(A182, hash!A$2:B$500, 2, 0)</f>
        <v>63f67911eb2d54539e475aef</v>
      </c>
      <c r="D182" s="23">
        <f t="shared" si="2"/>
        <v>0</v>
      </c>
      <c r="F182" s="45"/>
      <c r="H182" s="45"/>
      <c r="J182" s="45"/>
    </row>
    <row r="183">
      <c r="A183" s="22" t="s">
        <v>611</v>
      </c>
      <c r="B183" s="21">
        <f t="shared" si="1"/>
        <v>0</v>
      </c>
      <c r="C183" s="21" t="str">
        <f>VLOOKUP(A183, hash!A$2:B$500, 2, 0)</f>
        <v>#N/A</v>
      </c>
      <c r="D183" s="23">
        <f t="shared" si="2"/>
        <v>0</v>
      </c>
      <c r="F183" s="45"/>
      <c r="H183" s="45"/>
      <c r="J183" s="45"/>
    </row>
    <row r="184">
      <c r="A184" s="22" t="s">
        <v>612</v>
      </c>
      <c r="B184" s="21">
        <f t="shared" si="1"/>
        <v>0</v>
      </c>
      <c r="C184" s="21" t="str">
        <f>VLOOKUP(A184, hash!A$2:B$500, 2, 0)</f>
        <v>#N/A</v>
      </c>
      <c r="D184" s="23">
        <f t="shared" si="2"/>
        <v>0</v>
      </c>
      <c r="F184" s="45"/>
      <c r="H184" s="45"/>
      <c r="J184" s="45"/>
    </row>
    <row r="185">
      <c r="A185" s="22" t="s">
        <v>117</v>
      </c>
      <c r="B185" s="21">
        <f t="shared" si="1"/>
        <v>0</v>
      </c>
      <c r="C185" s="21" t="str">
        <f>VLOOKUP(A185, hash!A$2:B$500, 2, 0)</f>
        <v>64120eb5cd7bcbc0e50f33da</v>
      </c>
      <c r="D185" s="23">
        <f t="shared" si="2"/>
        <v>0</v>
      </c>
      <c r="F185" s="45"/>
      <c r="H185" s="45"/>
      <c r="J185" s="45"/>
    </row>
    <row r="186">
      <c r="A186" s="22" t="s">
        <v>118</v>
      </c>
      <c r="B186" s="21">
        <f t="shared" si="1"/>
        <v>0</v>
      </c>
      <c r="C186" s="21" t="str">
        <f>VLOOKUP(A186, hash!A$2:B$500, 2, 0)</f>
        <v>64403390f40f176b87a687a7</v>
      </c>
      <c r="D186" s="23">
        <f t="shared" si="2"/>
        <v>0</v>
      </c>
      <c r="F186" s="45"/>
      <c r="H186" s="45"/>
      <c r="J186" s="45"/>
    </row>
    <row r="187">
      <c r="A187" s="22" t="s">
        <v>119</v>
      </c>
      <c r="B187" s="21">
        <f t="shared" si="1"/>
        <v>0</v>
      </c>
      <c r="C187" s="21" t="str">
        <f>VLOOKUP(A187, hash!A$2:B$500, 2, 0)</f>
        <v>64403395ea1fa9a912edb699</v>
      </c>
      <c r="D187" s="23">
        <f t="shared" si="2"/>
        <v>0</v>
      </c>
      <c r="F187" s="45"/>
      <c r="H187" s="45"/>
      <c r="J187" s="51"/>
    </row>
    <row r="188">
      <c r="A188" s="22" t="s">
        <v>120</v>
      </c>
      <c r="B188" s="21">
        <f t="shared" si="1"/>
        <v>0</v>
      </c>
      <c r="C188" s="21" t="str">
        <f>VLOOKUP(A188, hash!A$2:B$500, 2, 0)</f>
        <v>64403399ea1fa9a912edb69a</v>
      </c>
      <c r="D188" s="23">
        <f t="shared" si="2"/>
        <v>0</v>
      </c>
      <c r="F188" s="45"/>
      <c r="H188" s="45"/>
      <c r="J188" s="45"/>
    </row>
    <row r="189">
      <c r="A189" s="22" t="s">
        <v>121</v>
      </c>
      <c r="B189" s="21">
        <f t="shared" si="1"/>
        <v>0</v>
      </c>
      <c r="C189" s="21" t="str">
        <f>VLOOKUP(A189, hash!A$2:B$500, 2, 0)</f>
        <v>644033a6ea1fa9a912edb69b</v>
      </c>
      <c r="D189" s="23">
        <f t="shared" si="2"/>
        <v>0</v>
      </c>
      <c r="F189" s="45"/>
      <c r="H189" s="45"/>
      <c r="J189" s="45"/>
    </row>
    <row r="190">
      <c r="A190" s="22" t="s">
        <v>122</v>
      </c>
      <c r="B190" s="21">
        <f t="shared" si="1"/>
        <v>0</v>
      </c>
      <c r="C190" s="21" t="str">
        <f>VLOOKUP(A190, hash!A$2:B$500, 2, 0)</f>
        <v>6440343c3d99f5a46dd56558</v>
      </c>
      <c r="D190" s="23">
        <f t="shared" si="2"/>
        <v>0</v>
      </c>
      <c r="F190" s="45"/>
      <c r="H190" s="45"/>
      <c r="J190" s="45"/>
    </row>
    <row r="191">
      <c r="A191" s="22" t="s">
        <v>123</v>
      </c>
      <c r="B191" s="21">
        <f t="shared" si="1"/>
        <v>0</v>
      </c>
      <c r="C191" s="21" t="str">
        <f>VLOOKUP(A191, hash!A$2:B$500, 2, 0)</f>
        <v>644034954fa829a66b219e95</v>
      </c>
      <c r="D191" s="23">
        <f t="shared" si="2"/>
        <v>0</v>
      </c>
      <c r="F191" s="45"/>
      <c r="H191" s="45"/>
      <c r="J191" s="45"/>
    </row>
    <row r="192">
      <c r="A192" s="22" t="s">
        <v>124</v>
      </c>
      <c r="B192" s="21">
        <f t="shared" si="1"/>
        <v>0</v>
      </c>
      <c r="C192" s="21" t="str">
        <f>VLOOKUP(A192, hash!A$2:B$500, 2, 0)</f>
        <v>6451565d77ece8ad709943e6</v>
      </c>
      <c r="D192" s="23">
        <f t="shared" si="2"/>
        <v>0</v>
      </c>
      <c r="F192" s="45"/>
      <c r="H192" s="45"/>
      <c r="J192" s="45"/>
    </row>
    <row r="193">
      <c r="A193" s="22" t="s">
        <v>125</v>
      </c>
      <c r="B193" s="21">
        <f t="shared" si="1"/>
        <v>0</v>
      </c>
      <c r="C193" s="21" t="str">
        <f>VLOOKUP(A193, hash!A$2:B$500, 2, 0)</f>
        <v>6451566b3e57b23a771eb77e</v>
      </c>
      <c r="D193" s="23">
        <f t="shared" si="2"/>
        <v>0</v>
      </c>
      <c r="F193" s="45"/>
      <c r="H193" s="45"/>
      <c r="J193" s="45"/>
    </row>
    <row r="194">
      <c r="A194" s="22" t="s">
        <v>126</v>
      </c>
      <c r="B194" s="21">
        <f t="shared" si="1"/>
        <v>0</v>
      </c>
      <c r="C194" s="21" t="str">
        <f>VLOOKUP(A194, hash!A$2:B$500, 2, 0)</f>
        <v>64515f40d1db94b82bde4768</v>
      </c>
      <c r="D194" s="23">
        <f t="shared" si="2"/>
        <v>0</v>
      </c>
      <c r="F194" s="45"/>
      <c r="H194" s="45"/>
      <c r="J194" s="45"/>
    </row>
    <row r="195">
      <c r="A195" s="22" t="s">
        <v>56</v>
      </c>
      <c r="B195" s="21">
        <f t="shared" si="1"/>
        <v>0</v>
      </c>
      <c r="C195" s="21" t="str">
        <f>VLOOKUP(A195, hash!A$2:B$500, 2, 0)</f>
        <v>64515f804c53122bd367c958</v>
      </c>
      <c r="D195" s="23">
        <f t="shared" si="2"/>
        <v>0</v>
      </c>
      <c r="E195" s="14">
        <v>0.0</v>
      </c>
      <c r="F195" s="27">
        <v>0.0</v>
      </c>
      <c r="G195" s="14">
        <v>0.0</v>
      </c>
      <c r="H195" s="27">
        <v>0.0</v>
      </c>
      <c r="I195" s="14">
        <v>0.0</v>
      </c>
      <c r="J195" s="27">
        <v>0.0</v>
      </c>
    </row>
    <row r="196">
      <c r="A196" s="22" t="s">
        <v>613</v>
      </c>
      <c r="B196" s="21">
        <f t="shared" si="1"/>
        <v>0</v>
      </c>
      <c r="C196" s="21" t="str">
        <f>VLOOKUP(A196, hash!A$2:B$500, 2, 0)</f>
        <v>#N/A</v>
      </c>
      <c r="D196" s="23">
        <f t="shared" si="2"/>
        <v>0</v>
      </c>
      <c r="F196" s="45"/>
      <c r="H196" s="45"/>
      <c r="J196" s="45"/>
    </row>
    <row r="197">
      <c r="A197" s="22" t="s">
        <v>127</v>
      </c>
      <c r="B197" s="21">
        <f t="shared" si="1"/>
        <v>0</v>
      </c>
      <c r="C197" s="21" t="str">
        <f>VLOOKUP(A197, hash!A$2:B$500, 2, 0)</f>
        <v>6501ffd91d8cbbbd315ad51c</v>
      </c>
      <c r="D197" s="23">
        <f t="shared" si="2"/>
        <v>0</v>
      </c>
      <c r="F197" s="45"/>
      <c r="H197" s="45"/>
      <c r="J197" s="45"/>
    </row>
    <row r="198">
      <c r="A198" s="22" t="s">
        <v>128</v>
      </c>
      <c r="B198" s="21">
        <f t="shared" si="1"/>
        <v>0</v>
      </c>
      <c r="C198" s="21" t="str">
        <f>VLOOKUP(A198, hash!A$2:B$500, 2, 0)</f>
        <v>6501ffe41d8cbbbd315ad51d</v>
      </c>
      <c r="D198" s="23">
        <f t="shared" si="2"/>
        <v>0</v>
      </c>
      <c r="F198" s="45"/>
      <c r="H198" s="45"/>
      <c r="J198" s="45"/>
    </row>
    <row r="199">
      <c r="A199" s="22" t="s">
        <v>129</v>
      </c>
      <c r="B199" s="21">
        <f t="shared" si="1"/>
        <v>0</v>
      </c>
      <c r="C199" s="21" t="str">
        <f>VLOOKUP(A199, hash!A$2:B$500, 2, 0)</f>
        <v>6501fff01d8cbbbd315ad51f</v>
      </c>
      <c r="D199" s="23">
        <f t="shared" si="2"/>
        <v>0</v>
      </c>
      <c r="F199" s="45"/>
      <c r="H199" s="45"/>
      <c r="J199" s="45"/>
    </row>
    <row r="200">
      <c r="A200" s="22" t="s">
        <v>131</v>
      </c>
      <c r="B200" s="21">
        <f t="shared" si="1"/>
        <v>0</v>
      </c>
      <c r="C200" s="21" t="str">
        <f>VLOOKUP(A200, hash!A$2:B$500, 2, 0)</f>
        <v>6501fffc96a576d9fa03f988</v>
      </c>
      <c r="D200" s="23">
        <f t="shared" si="2"/>
        <v>0</v>
      </c>
      <c r="F200" s="45"/>
      <c r="H200" s="45"/>
      <c r="J200" s="45"/>
    </row>
    <row r="201">
      <c r="A201" s="22" t="s">
        <v>132</v>
      </c>
      <c r="B201" s="21">
        <f t="shared" si="1"/>
        <v>0</v>
      </c>
      <c r="C201" s="21" t="str">
        <f>VLOOKUP(A201, hash!A$2:B$500, 2, 0)</f>
        <v>6501fffd96a576d9fa03f989</v>
      </c>
      <c r="D201" s="23">
        <f t="shared" si="2"/>
        <v>0</v>
      </c>
      <c r="F201" s="45"/>
      <c r="H201" s="45"/>
      <c r="J201" s="45"/>
    </row>
    <row r="202">
      <c r="A202" s="22" t="s">
        <v>133</v>
      </c>
      <c r="B202" s="21">
        <f t="shared" si="1"/>
        <v>0</v>
      </c>
      <c r="C202" s="21" t="str">
        <f>VLOOKUP(A202, hash!A$2:B$500, 2, 0)</f>
        <v>6502000096a576d9fa03f98a</v>
      </c>
      <c r="D202" s="23">
        <f t="shared" si="2"/>
        <v>0</v>
      </c>
      <c r="F202" s="45"/>
      <c r="H202" s="45"/>
      <c r="J202" s="45"/>
    </row>
    <row r="203">
      <c r="A203" s="22" t="s">
        <v>134</v>
      </c>
      <c r="B203" s="21">
        <f t="shared" si="1"/>
        <v>0</v>
      </c>
      <c r="C203" s="21" t="str">
        <f>VLOOKUP(A203, hash!A$2:B$500, 2, 0)</f>
        <v>6502000196a576d9fa03f98b</v>
      </c>
      <c r="D203" s="23">
        <f t="shared" si="2"/>
        <v>0</v>
      </c>
      <c r="E203" s="14">
        <v>0.0</v>
      </c>
      <c r="F203" s="45"/>
      <c r="H203" s="45"/>
      <c r="J203" s="45"/>
    </row>
    <row r="204">
      <c r="A204" s="22" t="s">
        <v>135</v>
      </c>
      <c r="B204" s="21">
        <f t="shared" si="1"/>
        <v>0</v>
      </c>
      <c r="C204" s="21" t="str">
        <f>VLOOKUP(A204, hash!A$2:B$500, 2, 0)</f>
        <v>65020008540ba7cc68909a94</v>
      </c>
      <c r="D204" s="23">
        <f t="shared" si="2"/>
        <v>0</v>
      </c>
      <c r="F204" s="45"/>
      <c r="H204" s="45"/>
      <c r="J204" s="45"/>
    </row>
    <row r="205">
      <c r="A205" s="22" t="s">
        <v>136</v>
      </c>
      <c r="B205" s="21">
        <f t="shared" si="1"/>
        <v>0</v>
      </c>
      <c r="C205" s="21" t="str">
        <f>VLOOKUP(A205, hash!A$2:B$500, 2, 0)</f>
        <v>6502000b1d8cbbbd315ad521</v>
      </c>
      <c r="D205" s="23">
        <f t="shared" si="2"/>
        <v>0</v>
      </c>
      <c r="F205" s="45"/>
      <c r="H205" s="45"/>
      <c r="J205" s="45"/>
    </row>
    <row r="206">
      <c r="A206" s="22" t="s">
        <v>137</v>
      </c>
      <c r="B206" s="21">
        <f t="shared" si="1"/>
        <v>0</v>
      </c>
      <c r="C206" s="21" t="str">
        <f>VLOOKUP(A206, hash!A$2:B$500, 2, 0)</f>
        <v>65020010540ba7cc68909a95</v>
      </c>
      <c r="D206" s="23">
        <f t="shared" si="2"/>
        <v>0</v>
      </c>
      <c r="F206" s="45"/>
      <c r="H206" s="45"/>
      <c r="J206" s="45"/>
    </row>
    <row r="207">
      <c r="A207" s="22" t="s">
        <v>138</v>
      </c>
      <c r="B207" s="21">
        <f t="shared" si="1"/>
        <v>0</v>
      </c>
      <c r="C207" s="21" t="str">
        <f>VLOOKUP(A207, hash!A$2:B$500, 2, 0)</f>
        <v>6502001196a576d9fa03f98c</v>
      </c>
      <c r="D207" s="23">
        <f t="shared" si="2"/>
        <v>0</v>
      </c>
      <c r="F207" s="45"/>
      <c r="H207" s="45"/>
      <c r="J207" s="45"/>
    </row>
    <row r="208">
      <c r="A208" s="22" t="s">
        <v>139</v>
      </c>
      <c r="B208" s="21">
        <f t="shared" si="1"/>
        <v>0</v>
      </c>
      <c r="C208" s="21" t="str">
        <f>VLOOKUP(A208, hash!A$2:B$500, 2, 0)</f>
        <v>6502001196a576d9fa03f98d</v>
      </c>
      <c r="D208" s="23">
        <f t="shared" si="2"/>
        <v>0</v>
      </c>
      <c r="F208" s="45"/>
      <c r="H208" s="45"/>
      <c r="J208" s="45"/>
    </row>
    <row r="209">
      <c r="A209" s="22" t="s">
        <v>141</v>
      </c>
      <c r="B209" s="21">
        <f t="shared" si="1"/>
        <v>0</v>
      </c>
      <c r="C209" s="21" t="str">
        <f>VLOOKUP(A209, hash!A$2:B$500, 2, 0)</f>
        <v>6502001d540ba7cc68909a96</v>
      </c>
      <c r="D209" s="23">
        <f t="shared" si="2"/>
        <v>0</v>
      </c>
      <c r="F209" s="45"/>
      <c r="H209" s="45"/>
      <c r="J209" s="45"/>
    </row>
    <row r="210">
      <c r="A210" s="22" t="s">
        <v>142</v>
      </c>
      <c r="B210" s="21">
        <f t="shared" si="1"/>
        <v>0</v>
      </c>
      <c r="C210" s="21" t="str">
        <f>VLOOKUP(A210, hash!A$2:B$500, 2, 0)</f>
        <v>6502001f96a576d9fa03f991</v>
      </c>
      <c r="D210" s="23">
        <f t="shared" si="2"/>
        <v>0</v>
      </c>
      <c r="F210" s="45"/>
      <c r="H210" s="45"/>
      <c r="J210" s="45"/>
    </row>
    <row r="211">
      <c r="A211" s="22" t="s">
        <v>143</v>
      </c>
      <c r="B211" s="21">
        <f t="shared" si="1"/>
        <v>0</v>
      </c>
      <c r="C211" s="21" t="str">
        <f>VLOOKUP(A211, hash!A$2:B$500, 2, 0)</f>
        <v>6502002296a576d9fa03f993</v>
      </c>
      <c r="D211" s="23">
        <f t="shared" si="2"/>
        <v>0</v>
      </c>
      <c r="F211" s="45"/>
      <c r="H211" s="45"/>
      <c r="J211" s="45"/>
    </row>
    <row r="212">
      <c r="A212" s="22" t="s">
        <v>144</v>
      </c>
      <c r="B212" s="21">
        <f t="shared" si="1"/>
        <v>0</v>
      </c>
      <c r="C212" s="21" t="str">
        <f>VLOOKUP(A212, hash!A$2:B$500, 2, 0)</f>
        <v>6502002396a576d9fa03f994</v>
      </c>
      <c r="D212" s="23">
        <f t="shared" si="2"/>
        <v>0</v>
      </c>
      <c r="F212" s="45"/>
      <c r="H212" s="45"/>
      <c r="J212" s="45"/>
    </row>
    <row r="213">
      <c r="A213" s="22" t="s">
        <v>94</v>
      </c>
      <c r="B213" s="21">
        <f t="shared" si="1"/>
        <v>0</v>
      </c>
      <c r="C213" s="21" t="str">
        <f>VLOOKUP(A213, hash!A$2:B$500, 2, 0)</f>
        <v>6502002b1d8cbbbd315ad524</v>
      </c>
      <c r="D213" s="23">
        <f t="shared" si="2"/>
        <v>0</v>
      </c>
      <c r="F213" s="45"/>
      <c r="H213" s="45"/>
      <c r="J213" s="45"/>
    </row>
    <row r="214">
      <c r="A214" s="22" t="s">
        <v>145</v>
      </c>
      <c r="B214" s="21">
        <f t="shared" si="1"/>
        <v>0</v>
      </c>
      <c r="C214" s="21" t="str">
        <f>VLOOKUP(A214, hash!A$2:B$500, 2, 0)</f>
        <v>6502003c96a576d9fa03f99d</v>
      </c>
      <c r="D214" s="23">
        <f t="shared" si="2"/>
        <v>0</v>
      </c>
      <c r="F214" s="45"/>
      <c r="H214" s="45"/>
      <c r="J214" s="45"/>
    </row>
    <row r="215">
      <c r="A215" s="22" t="s">
        <v>614</v>
      </c>
      <c r="B215" s="21">
        <f t="shared" si="1"/>
        <v>0</v>
      </c>
      <c r="C215" s="21" t="str">
        <f>VLOOKUP(A215, hash!A$2:B$500, 2, 0)</f>
        <v>#N/A</v>
      </c>
      <c r="D215" s="23">
        <f t="shared" si="2"/>
        <v>0</v>
      </c>
      <c r="F215" s="45"/>
      <c r="H215" s="45"/>
      <c r="J215" s="45"/>
    </row>
    <row r="216">
      <c r="A216" s="22" t="s">
        <v>146</v>
      </c>
      <c r="B216" s="21">
        <f t="shared" si="1"/>
        <v>0</v>
      </c>
      <c r="C216" s="21" t="str">
        <f>VLOOKUP(A216, hash!A$2:B$500, 2, 0)</f>
        <v>6502003d57ae167867eac21c</v>
      </c>
      <c r="D216" s="23">
        <f t="shared" si="2"/>
        <v>0</v>
      </c>
      <c r="E216" s="14">
        <v>0.0</v>
      </c>
      <c r="F216" s="27"/>
      <c r="H216" s="27"/>
      <c r="J216" s="27"/>
    </row>
    <row r="217">
      <c r="A217" s="22" t="s">
        <v>147</v>
      </c>
      <c r="B217" s="21">
        <f t="shared" si="1"/>
        <v>0</v>
      </c>
      <c r="C217" s="21" t="str">
        <f>VLOOKUP(A217, hash!A$2:B$500, 2, 0)</f>
        <v>65020041540ba7cc68909aa3</v>
      </c>
      <c r="D217" s="23">
        <f t="shared" si="2"/>
        <v>0</v>
      </c>
      <c r="F217" s="45"/>
      <c r="H217" s="45"/>
      <c r="J217" s="45"/>
    </row>
    <row r="218">
      <c r="A218" s="22" t="s">
        <v>615</v>
      </c>
      <c r="B218" s="21">
        <f t="shared" si="1"/>
        <v>0</v>
      </c>
      <c r="C218" s="21" t="str">
        <f>VLOOKUP(A218, hash!A$2:B$500, 2, 0)</f>
        <v>#N/A</v>
      </c>
      <c r="D218" s="23">
        <f t="shared" si="2"/>
        <v>0</v>
      </c>
      <c r="F218" s="45"/>
      <c r="H218" s="45"/>
      <c r="J218" s="45"/>
    </row>
    <row r="219">
      <c r="A219" s="22" t="s">
        <v>148</v>
      </c>
      <c r="B219" s="21">
        <f t="shared" si="1"/>
        <v>0</v>
      </c>
      <c r="C219" s="21" t="str">
        <f>VLOOKUP(A219, hash!A$2:B$500, 2, 0)</f>
        <v>650200481d8cbbbd315ad528</v>
      </c>
      <c r="D219" s="23">
        <f t="shared" si="2"/>
        <v>0</v>
      </c>
      <c r="F219" s="45"/>
      <c r="H219" s="45"/>
      <c r="J219" s="45"/>
    </row>
    <row r="220">
      <c r="A220" s="22" t="s">
        <v>149</v>
      </c>
      <c r="B220" s="21">
        <f t="shared" si="1"/>
        <v>0</v>
      </c>
      <c r="C220" s="21" t="str">
        <f>VLOOKUP(A220, hash!A$2:B$500, 2, 0)</f>
        <v>6502004f1d8cbbbd315ad52a</v>
      </c>
      <c r="D220" s="23">
        <f t="shared" si="2"/>
        <v>0</v>
      </c>
      <c r="F220" s="45"/>
      <c r="H220" s="45"/>
      <c r="J220" s="45"/>
    </row>
    <row r="221">
      <c r="A221" s="22" t="s">
        <v>616</v>
      </c>
      <c r="B221" s="21">
        <f t="shared" si="1"/>
        <v>0</v>
      </c>
      <c r="C221" s="21" t="str">
        <f>VLOOKUP(A221, hash!A$2:B$500, 2, 0)</f>
        <v>#N/A</v>
      </c>
      <c r="D221" s="23">
        <f t="shared" si="2"/>
        <v>0</v>
      </c>
      <c r="F221" s="45"/>
      <c r="H221" s="45"/>
      <c r="J221" s="45"/>
    </row>
    <row r="222">
      <c r="A222" s="22" t="s">
        <v>150</v>
      </c>
      <c r="B222" s="21">
        <f t="shared" si="1"/>
        <v>0</v>
      </c>
      <c r="C222" s="21" t="str">
        <f>VLOOKUP(A222, hash!A$2:B$500, 2, 0)</f>
        <v>6502005118c31aadb7469b1a</v>
      </c>
      <c r="D222" s="23">
        <f t="shared" si="2"/>
        <v>0</v>
      </c>
      <c r="E222" s="14">
        <v>0.0</v>
      </c>
      <c r="F222" s="27">
        <v>0.0</v>
      </c>
      <c r="G222" s="14">
        <v>0.0</v>
      </c>
      <c r="H222" s="27">
        <v>0.0</v>
      </c>
      <c r="I222" s="14">
        <v>0.0</v>
      </c>
      <c r="J222" s="27">
        <v>0.0</v>
      </c>
    </row>
    <row r="223">
      <c r="A223" s="22" t="s">
        <v>151</v>
      </c>
      <c r="B223" s="21">
        <f t="shared" si="1"/>
        <v>0</v>
      </c>
      <c r="C223" s="21" t="str">
        <f>VLOOKUP(A223, hash!A$2:B$500, 2, 0)</f>
        <v>650200601d8cbbbd315ad52d</v>
      </c>
      <c r="D223" s="23">
        <f t="shared" si="2"/>
        <v>0</v>
      </c>
      <c r="F223" s="45"/>
      <c r="H223" s="45"/>
      <c r="J223" s="45"/>
    </row>
    <row r="224">
      <c r="A224" s="22" t="s">
        <v>152</v>
      </c>
      <c r="B224" s="21">
        <f t="shared" si="1"/>
        <v>0</v>
      </c>
      <c r="C224" s="21" t="str">
        <f>VLOOKUP(A224, hash!A$2:B$500, 2, 0)</f>
        <v>6502007218c31aadb7469b1d</v>
      </c>
      <c r="D224" s="23">
        <f t="shared" si="2"/>
        <v>0</v>
      </c>
      <c r="F224" s="45"/>
      <c r="H224" s="45"/>
      <c r="J224" s="45"/>
    </row>
    <row r="225">
      <c r="A225" s="22" t="s">
        <v>153</v>
      </c>
      <c r="B225" s="21">
        <f t="shared" si="1"/>
        <v>0</v>
      </c>
      <c r="C225" s="21" t="str">
        <f>VLOOKUP(A225, hash!A$2:B$500, 2, 0)</f>
        <v>6502007618c31aadb7469b1f</v>
      </c>
      <c r="D225" s="23">
        <f t="shared" si="2"/>
        <v>0</v>
      </c>
      <c r="F225" s="45"/>
      <c r="H225" s="45"/>
      <c r="J225" s="45"/>
    </row>
    <row r="226">
      <c r="A226" s="22" t="s">
        <v>617</v>
      </c>
      <c r="B226" s="21">
        <f t="shared" si="1"/>
        <v>0</v>
      </c>
      <c r="C226" s="21" t="str">
        <f>VLOOKUP(A226, hash!A$2:B$500, 2, 0)</f>
        <v>#N/A</v>
      </c>
      <c r="D226" s="23">
        <f t="shared" si="2"/>
        <v>0</v>
      </c>
      <c r="F226" s="45"/>
      <c r="H226" s="45"/>
      <c r="J226" s="45"/>
    </row>
    <row r="227">
      <c r="A227" s="22" t="s">
        <v>154</v>
      </c>
      <c r="B227" s="21">
        <f t="shared" si="1"/>
        <v>0</v>
      </c>
      <c r="C227" s="21" t="str">
        <f>VLOOKUP(A227, hash!A$2:B$500, 2, 0)</f>
        <v>6502008357ae167867eac228</v>
      </c>
      <c r="D227" s="23">
        <f t="shared" si="2"/>
        <v>0</v>
      </c>
      <c r="F227" s="45"/>
      <c r="H227" s="45"/>
      <c r="J227" s="45"/>
    </row>
    <row r="228">
      <c r="A228" s="22" t="s">
        <v>155</v>
      </c>
      <c r="B228" s="21">
        <f t="shared" si="1"/>
        <v>0</v>
      </c>
      <c r="C228" s="21" t="str">
        <f>VLOOKUP(A228, hash!A$2:B$500, 2, 0)</f>
        <v>650200931d8cbbbd315ad536</v>
      </c>
      <c r="D228" s="23">
        <f t="shared" si="2"/>
        <v>0</v>
      </c>
      <c r="F228" s="45"/>
      <c r="H228" s="45"/>
      <c r="J228" s="45"/>
    </row>
    <row r="229">
      <c r="A229" s="22" t="s">
        <v>156</v>
      </c>
      <c r="B229" s="21">
        <f t="shared" si="1"/>
        <v>0</v>
      </c>
      <c r="C229" s="21" t="str">
        <f>VLOOKUP(A229, hash!A$2:B$500, 2, 0)</f>
        <v>65020bcc03dd812a55d3a1fd</v>
      </c>
      <c r="D229" s="23">
        <f t="shared" si="2"/>
        <v>0</v>
      </c>
      <c r="F229" s="45"/>
      <c r="H229" s="45"/>
      <c r="J229" s="45"/>
    </row>
    <row r="230">
      <c r="A230" s="22" t="s">
        <v>157</v>
      </c>
      <c r="B230" s="21">
        <f t="shared" si="1"/>
        <v>0</v>
      </c>
      <c r="C230" s="21" t="str">
        <f>VLOOKUP(A230, hash!A$2:B$500, 2, 0)</f>
        <v>65020bcd03dd812a55d3a1fe</v>
      </c>
      <c r="D230" s="23">
        <f t="shared" si="2"/>
        <v>0</v>
      </c>
      <c r="F230" s="45"/>
      <c r="H230" s="45"/>
      <c r="J230" s="45"/>
    </row>
    <row r="231">
      <c r="A231" s="22" t="s">
        <v>158</v>
      </c>
      <c r="B231" s="21">
        <f t="shared" si="1"/>
        <v>0</v>
      </c>
      <c r="C231" s="21" t="str">
        <f>VLOOKUP(A231, hash!A$2:B$500, 2, 0)</f>
        <v>65020bcf8f2b101294bb3da0</v>
      </c>
      <c r="D231" s="23">
        <f t="shared" si="2"/>
        <v>0</v>
      </c>
      <c r="F231" s="45"/>
      <c r="H231" s="45"/>
      <c r="J231" s="45"/>
    </row>
    <row r="232">
      <c r="A232" s="22" t="s">
        <v>159</v>
      </c>
      <c r="B232" s="21">
        <f t="shared" si="1"/>
        <v>0</v>
      </c>
      <c r="C232" s="21" t="str">
        <f>VLOOKUP(A232, hash!A$2:B$500, 2, 0)</f>
        <v>65020bd28f2b101294bb3da1</v>
      </c>
      <c r="D232" s="23">
        <f t="shared" si="2"/>
        <v>0</v>
      </c>
      <c r="F232" s="45"/>
      <c r="H232" s="45"/>
      <c r="J232" s="45"/>
    </row>
    <row r="233">
      <c r="A233" s="22" t="s">
        <v>160</v>
      </c>
      <c r="B233" s="21">
        <f t="shared" si="1"/>
        <v>0</v>
      </c>
      <c r="C233" s="21" t="str">
        <f>VLOOKUP(A233, hash!A$2:B$500, 2, 0)</f>
        <v>65020bd203dd812a55d3a1ff</v>
      </c>
      <c r="D233" s="23">
        <f t="shared" si="2"/>
        <v>0</v>
      </c>
      <c r="F233" s="45"/>
      <c r="H233" s="45"/>
      <c r="J233" s="45"/>
    </row>
    <row r="234">
      <c r="A234" s="22" t="s">
        <v>161</v>
      </c>
      <c r="B234" s="21">
        <f t="shared" si="1"/>
        <v>0</v>
      </c>
      <c r="C234" s="21" t="str">
        <f>VLOOKUP(A234, hash!A$2:B$500, 2, 0)</f>
        <v>65020bd2967e3c86d1681e9e</v>
      </c>
      <c r="D234" s="23">
        <f t="shared" si="2"/>
        <v>0</v>
      </c>
      <c r="F234" s="45"/>
      <c r="H234" s="45"/>
      <c r="J234" s="45"/>
    </row>
    <row r="235">
      <c r="A235" s="22" t="s">
        <v>93</v>
      </c>
      <c r="B235" s="21">
        <f t="shared" si="1"/>
        <v>0</v>
      </c>
      <c r="C235" s="21" t="str">
        <f>VLOOKUP(A235, hash!A$2:B$500, 2, 0)</f>
        <v>65020bd203dd812a55d3a200</v>
      </c>
      <c r="D235" s="23">
        <f t="shared" si="2"/>
        <v>0</v>
      </c>
      <c r="F235" s="27"/>
      <c r="H235" s="27"/>
      <c r="J235" s="27"/>
    </row>
    <row r="236">
      <c r="A236" s="22" t="s">
        <v>162</v>
      </c>
      <c r="B236" s="21">
        <f t="shared" si="1"/>
        <v>0</v>
      </c>
      <c r="C236" s="21" t="str">
        <f>VLOOKUP(A236, hash!A$2:B$500, 2, 0)</f>
        <v>65020bdb03dd812a55d3a202</v>
      </c>
      <c r="D236" s="23">
        <f t="shared" si="2"/>
        <v>0</v>
      </c>
      <c r="F236" s="45"/>
      <c r="H236" s="45"/>
      <c r="J236" s="45"/>
    </row>
    <row r="237">
      <c r="A237" s="22" t="s">
        <v>163</v>
      </c>
      <c r="B237" s="21">
        <f t="shared" si="1"/>
        <v>0</v>
      </c>
      <c r="C237" s="21" t="str">
        <f>VLOOKUP(A237, hash!A$2:B$500, 2, 0)</f>
        <v>65020bde03dd812a55d3a203</v>
      </c>
      <c r="D237" s="23">
        <f t="shared" si="2"/>
        <v>0</v>
      </c>
      <c r="F237" s="45"/>
      <c r="H237" s="45"/>
      <c r="J237" s="45"/>
    </row>
    <row r="238">
      <c r="A238" s="22" t="s">
        <v>164</v>
      </c>
      <c r="B238" s="21">
        <f t="shared" si="1"/>
        <v>0</v>
      </c>
      <c r="C238" s="21" t="str">
        <f>VLOOKUP(A238, hash!A$2:B$500, 2, 0)</f>
        <v>65020be303dd812a55d3a205</v>
      </c>
      <c r="D238" s="23">
        <f t="shared" si="2"/>
        <v>0</v>
      </c>
      <c r="F238" s="45"/>
      <c r="H238" s="45"/>
      <c r="J238" s="45"/>
    </row>
    <row r="239">
      <c r="A239" s="22" t="s">
        <v>165</v>
      </c>
      <c r="B239" s="21">
        <f t="shared" si="1"/>
        <v>0</v>
      </c>
      <c r="C239" s="21" t="str">
        <f>VLOOKUP(A239, hash!A$2:B$500, 2, 0)</f>
        <v>65020be48f2b101294bb3da4</v>
      </c>
      <c r="D239" s="23">
        <f t="shared" si="2"/>
        <v>0</v>
      </c>
      <c r="F239" s="45"/>
      <c r="H239" s="45"/>
      <c r="J239" s="45"/>
    </row>
    <row r="240">
      <c r="A240" s="22" t="s">
        <v>166</v>
      </c>
      <c r="B240" s="21">
        <f t="shared" si="1"/>
        <v>0</v>
      </c>
      <c r="C240" s="21" t="str">
        <f>VLOOKUP(A240, hash!A$2:B$500, 2, 0)</f>
        <v>65020be58f2b101294bb3da6</v>
      </c>
      <c r="D240" s="23">
        <f t="shared" si="2"/>
        <v>0</v>
      </c>
      <c r="F240" s="45"/>
      <c r="H240" s="45"/>
      <c r="J240" s="45"/>
    </row>
    <row r="241">
      <c r="A241" s="22" t="s">
        <v>167</v>
      </c>
      <c r="B241" s="21">
        <f t="shared" si="1"/>
        <v>0</v>
      </c>
      <c r="C241" s="21" t="str">
        <f>VLOOKUP(A241, hash!A$2:B$500, 2, 0)</f>
        <v>65020be68f2b101294bb3da7</v>
      </c>
      <c r="D241" s="23">
        <f t="shared" si="2"/>
        <v>0</v>
      </c>
      <c r="F241" s="45"/>
      <c r="H241" s="45"/>
      <c r="J241" s="45"/>
    </row>
    <row r="242">
      <c r="A242" s="24" t="s">
        <v>618</v>
      </c>
      <c r="B242" s="21">
        <f t="shared" si="1"/>
        <v>0</v>
      </c>
      <c r="C242" s="21" t="str">
        <f>VLOOKUP(A242, hash!A$2:B$500, 2, 0)</f>
        <v>#N/A</v>
      </c>
      <c r="D242" s="23">
        <f t="shared" si="2"/>
        <v>0</v>
      </c>
      <c r="F242" s="45"/>
      <c r="H242" s="45"/>
      <c r="J242" s="45"/>
    </row>
    <row r="243">
      <c r="A243" s="22" t="s">
        <v>168</v>
      </c>
      <c r="B243" s="21">
        <f t="shared" si="1"/>
        <v>0</v>
      </c>
      <c r="C243" s="21" t="str">
        <f>VLOOKUP(A243, hash!A$2:B$500, 2, 0)</f>
        <v>65020bec8f2b101294bb3da9</v>
      </c>
      <c r="D243" s="23">
        <f t="shared" si="2"/>
        <v>0</v>
      </c>
      <c r="F243" s="45"/>
      <c r="H243" s="45"/>
      <c r="J243" s="45"/>
    </row>
    <row r="244">
      <c r="A244" s="22" t="s">
        <v>169</v>
      </c>
      <c r="B244" s="21">
        <f t="shared" si="1"/>
        <v>0</v>
      </c>
      <c r="C244" s="21" t="str">
        <f>VLOOKUP(A244, hash!A$2:B$500, 2, 0)</f>
        <v>65020bf103dd812a55d3a208</v>
      </c>
      <c r="D244" s="23">
        <f t="shared" si="2"/>
        <v>0</v>
      </c>
      <c r="F244" s="45"/>
      <c r="H244" s="45"/>
      <c r="J244" s="45"/>
    </row>
    <row r="245">
      <c r="A245" s="22" t="s">
        <v>170</v>
      </c>
      <c r="B245" s="21">
        <f t="shared" si="1"/>
        <v>0</v>
      </c>
      <c r="C245" s="21" t="str">
        <f>VLOOKUP(A245, hash!A$2:B$500, 2, 0)</f>
        <v>65020bf203dd812a55d3a209</v>
      </c>
      <c r="D245" s="23">
        <f t="shared" si="2"/>
        <v>0</v>
      </c>
      <c r="F245" s="45"/>
      <c r="H245" s="45"/>
      <c r="J245" s="45"/>
    </row>
    <row r="246">
      <c r="A246" s="22" t="s">
        <v>171</v>
      </c>
      <c r="B246" s="21">
        <f t="shared" si="1"/>
        <v>0</v>
      </c>
      <c r="C246" s="21" t="str">
        <f>VLOOKUP(A246, hash!A$2:B$500, 2, 0)</f>
        <v>65020bf603dd812a55d3a20a</v>
      </c>
      <c r="D246" s="23">
        <f t="shared" si="2"/>
        <v>0</v>
      </c>
      <c r="F246" s="45"/>
      <c r="H246" s="45"/>
      <c r="J246" s="45"/>
    </row>
    <row r="247">
      <c r="A247" s="22" t="s">
        <v>172</v>
      </c>
      <c r="B247" s="21">
        <f t="shared" si="1"/>
        <v>0</v>
      </c>
      <c r="C247" s="21" t="str">
        <f>VLOOKUP(A247, hash!A$2:B$500, 2, 0)</f>
        <v>65020bf8097ac3c9d063264a</v>
      </c>
      <c r="D247" s="23">
        <f t="shared" si="2"/>
        <v>0</v>
      </c>
      <c r="F247" s="45"/>
      <c r="H247" s="45"/>
      <c r="J247" s="45"/>
    </row>
    <row r="248">
      <c r="A248" s="22" t="s">
        <v>619</v>
      </c>
      <c r="B248" s="21">
        <f t="shared" si="1"/>
        <v>0</v>
      </c>
      <c r="C248" s="21" t="str">
        <f>VLOOKUP(A248, hash!A$2:B$500, 2, 0)</f>
        <v>#N/A</v>
      </c>
      <c r="D248" s="23">
        <f t="shared" si="2"/>
        <v>0</v>
      </c>
      <c r="F248" s="45"/>
      <c r="H248" s="45"/>
      <c r="J248" s="45"/>
    </row>
    <row r="249">
      <c r="A249" s="22" t="s">
        <v>173</v>
      </c>
      <c r="B249" s="21">
        <f t="shared" si="1"/>
        <v>0</v>
      </c>
      <c r="C249" s="21" t="str">
        <f>VLOOKUP(A249, hash!A$2:B$500, 2, 0)</f>
        <v>65020bfb097ac3c9d063264c</v>
      </c>
      <c r="D249" s="23">
        <f t="shared" si="2"/>
        <v>0</v>
      </c>
      <c r="F249" s="45"/>
      <c r="H249" s="45"/>
      <c r="J249" s="45"/>
    </row>
    <row r="250">
      <c r="A250" s="22" t="s">
        <v>174</v>
      </c>
      <c r="B250" s="21">
        <f t="shared" si="1"/>
        <v>0</v>
      </c>
      <c r="C250" s="21" t="str">
        <f>VLOOKUP(A250, hash!A$2:B$500, 2, 0)</f>
        <v>65020bfc097ac3c9d063264e</v>
      </c>
      <c r="D250" s="23">
        <f t="shared" si="2"/>
        <v>0</v>
      </c>
      <c r="F250" s="45"/>
      <c r="H250" s="45"/>
      <c r="J250" s="45"/>
    </row>
    <row r="251">
      <c r="A251" s="22" t="s">
        <v>175</v>
      </c>
      <c r="B251" s="21">
        <f t="shared" si="1"/>
        <v>0</v>
      </c>
      <c r="C251" s="21" t="str">
        <f>VLOOKUP(A251, hash!A$2:B$500, 2, 0)</f>
        <v>65020c00097ac3c9d0632650</v>
      </c>
      <c r="D251" s="23">
        <f t="shared" si="2"/>
        <v>0</v>
      </c>
      <c r="F251" s="45"/>
      <c r="H251" s="45"/>
      <c r="J251" s="45"/>
    </row>
    <row r="252">
      <c r="A252" s="22" t="s">
        <v>176</v>
      </c>
      <c r="B252" s="21">
        <f t="shared" si="1"/>
        <v>0</v>
      </c>
      <c r="C252" s="21" t="str">
        <f>VLOOKUP(A252, hash!A$2:B$500, 2, 0)</f>
        <v>65020c058f2b101294bb3daa</v>
      </c>
      <c r="D252" s="23">
        <f t="shared" si="2"/>
        <v>0</v>
      </c>
      <c r="F252" s="45"/>
      <c r="H252" s="45"/>
      <c r="J252" s="45"/>
    </row>
    <row r="253">
      <c r="A253" s="22" t="s">
        <v>177</v>
      </c>
      <c r="B253" s="21">
        <f t="shared" si="1"/>
        <v>0</v>
      </c>
      <c r="C253" s="21" t="str">
        <f>VLOOKUP(A253, hash!A$2:B$500, 2, 0)</f>
        <v>65020c068f2b101294bb3dab</v>
      </c>
      <c r="D253" s="23">
        <f t="shared" si="2"/>
        <v>0</v>
      </c>
      <c r="F253" s="45"/>
      <c r="H253" s="45"/>
      <c r="J253" s="45"/>
    </row>
    <row r="254">
      <c r="A254" s="22" t="s">
        <v>178</v>
      </c>
      <c r="B254" s="21">
        <f t="shared" si="1"/>
        <v>0</v>
      </c>
      <c r="C254" s="21" t="str">
        <f>VLOOKUP(A254, hash!A$2:B$500, 2, 0)</f>
        <v>65020c06097ac3c9d0632652</v>
      </c>
      <c r="D254" s="23">
        <f t="shared" si="2"/>
        <v>0</v>
      </c>
      <c r="F254" s="45"/>
      <c r="H254" s="45"/>
      <c r="J254" s="45"/>
    </row>
    <row r="255">
      <c r="A255" s="22" t="s">
        <v>180</v>
      </c>
      <c r="B255" s="21">
        <f t="shared" si="1"/>
        <v>0</v>
      </c>
      <c r="C255" s="21" t="str">
        <f>VLOOKUP(A255, hash!A$2:B$500, 2, 0)</f>
        <v>65020c0f03dd812a55d3a20d</v>
      </c>
      <c r="D255" s="23">
        <f t="shared" si="2"/>
        <v>0</v>
      </c>
      <c r="F255" s="45"/>
      <c r="H255" s="45"/>
      <c r="J255" s="45"/>
    </row>
    <row r="256">
      <c r="A256" s="22" t="s">
        <v>181</v>
      </c>
      <c r="B256" s="21">
        <f t="shared" si="1"/>
        <v>0</v>
      </c>
      <c r="C256" s="21" t="str">
        <f>VLOOKUP(A256, hash!A$2:B$500, 2, 0)</f>
        <v>65020c158f2b101294bb3daf</v>
      </c>
      <c r="D256" s="23">
        <f t="shared" si="2"/>
        <v>0</v>
      </c>
      <c r="F256" s="45"/>
      <c r="H256" s="45"/>
      <c r="J256" s="45"/>
    </row>
    <row r="257">
      <c r="A257" s="22" t="s">
        <v>182</v>
      </c>
      <c r="B257" s="21">
        <f t="shared" si="1"/>
        <v>0</v>
      </c>
      <c r="C257" s="21" t="str">
        <f>VLOOKUP(A257, hash!A$2:B$500, 2, 0)</f>
        <v>65020c188f2b101294bb3db0</v>
      </c>
      <c r="D257" s="23">
        <f t="shared" si="2"/>
        <v>0</v>
      </c>
      <c r="F257" s="45"/>
      <c r="H257" s="45"/>
      <c r="J257" s="45"/>
    </row>
    <row r="258">
      <c r="A258" s="22" t="s">
        <v>620</v>
      </c>
      <c r="B258" s="21">
        <f t="shared" si="1"/>
        <v>0</v>
      </c>
      <c r="C258" s="21" t="str">
        <f>VLOOKUP(A258, hash!A$2:B$500, 2, 0)</f>
        <v>#N/A</v>
      </c>
      <c r="D258" s="23">
        <f t="shared" si="2"/>
        <v>0</v>
      </c>
      <c r="F258" s="45"/>
      <c r="H258" s="45"/>
      <c r="J258" s="45"/>
    </row>
    <row r="259">
      <c r="A259" s="22" t="s">
        <v>183</v>
      </c>
      <c r="B259" s="21">
        <f t="shared" si="1"/>
        <v>0</v>
      </c>
      <c r="C259" s="21" t="str">
        <f>VLOOKUP(A259, hash!A$2:B$500, 2, 0)</f>
        <v>65020c5b097ac3c9d0632661</v>
      </c>
      <c r="D259" s="23">
        <f t="shared" si="2"/>
        <v>0</v>
      </c>
      <c r="F259" s="45"/>
      <c r="H259" s="45"/>
      <c r="J259" s="45"/>
    </row>
    <row r="260">
      <c r="A260" s="22" t="s">
        <v>184</v>
      </c>
      <c r="B260" s="21">
        <f t="shared" si="1"/>
        <v>0</v>
      </c>
      <c r="C260" s="21" t="str">
        <f>VLOOKUP(A260, hash!A$2:B$500, 2, 0)</f>
        <v>65020cea8f2b101294bb3dbe</v>
      </c>
      <c r="D260" s="23">
        <f t="shared" si="2"/>
        <v>0</v>
      </c>
      <c r="F260" s="45"/>
      <c r="H260" s="45"/>
      <c r="J260" s="45"/>
    </row>
    <row r="261">
      <c r="A261" s="22" t="s">
        <v>185</v>
      </c>
      <c r="B261" s="21">
        <f t="shared" si="1"/>
        <v>0</v>
      </c>
      <c r="C261" s="21" t="str">
        <f>VLOOKUP(A261, hash!A$2:B$500, 2, 0)</f>
        <v>65020d4b097ac3c9d063266a</v>
      </c>
      <c r="D261" s="23">
        <f t="shared" si="2"/>
        <v>0</v>
      </c>
      <c r="F261" s="45"/>
      <c r="H261" s="45"/>
      <c r="J261" s="45"/>
    </row>
    <row r="262">
      <c r="A262" s="22" t="s">
        <v>186</v>
      </c>
      <c r="B262" s="21">
        <f t="shared" si="1"/>
        <v>0</v>
      </c>
      <c r="C262" s="21" t="str">
        <f>VLOOKUP(A262, hash!A$2:B$500, 2, 0)</f>
        <v>65044a78c61c6a809dc7166a</v>
      </c>
      <c r="D262" s="23">
        <f t="shared" si="2"/>
        <v>0</v>
      </c>
      <c r="F262" s="45"/>
      <c r="H262" s="45"/>
      <c r="J262" s="45"/>
    </row>
    <row r="263">
      <c r="A263" s="22" t="s">
        <v>187</v>
      </c>
      <c r="B263" s="21">
        <f t="shared" si="1"/>
        <v>0</v>
      </c>
      <c r="C263" s="21" t="str">
        <f>VLOOKUP(A263, hash!A$2:B$500, 2, 0)</f>
        <v>650b3a05831593811cfcd7a6</v>
      </c>
      <c r="D263" s="23">
        <f t="shared" si="2"/>
        <v>0</v>
      </c>
      <c r="F263" s="45"/>
      <c r="H263" s="45"/>
      <c r="J263" s="45"/>
    </row>
    <row r="264">
      <c r="A264" s="22" t="s">
        <v>188</v>
      </c>
      <c r="B264" s="21">
        <f t="shared" si="1"/>
        <v>0</v>
      </c>
      <c r="C264" s="21" t="str">
        <f>VLOOKUP(A264, hash!A$2:B$500, 2, 0)</f>
        <v>650b3a079d801acd9fe283a1</v>
      </c>
      <c r="D264" s="23">
        <f t="shared" si="2"/>
        <v>0</v>
      </c>
      <c r="E264" s="14">
        <v>0.0</v>
      </c>
      <c r="F264" s="45"/>
      <c r="H264" s="45"/>
      <c r="J264" s="45"/>
    </row>
    <row r="265">
      <c r="A265" s="22" t="s">
        <v>189</v>
      </c>
      <c r="B265" s="21">
        <f t="shared" si="1"/>
        <v>0</v>
      </c>
      <c r="C265" s="21" t="str">
        <f>VLOOKUP(A265, hash!A$2:B$500, 2, 0)</f>
        <v>650b3a09ed7955a527757145</v>
      </c>
      <c r="D265" s="23">
        <f t="shared" si="2"/>
        <v>0</v>
      </c>
      <c r="F265" s="45"/>
      <c r="H265" s="45"/>
      <c r="J265" s="45"/>
    </row>
    <row r="266">
      <c r="A266" s="22" t="s">
        <v>190</v>
      </c>
      <c r="B266" s="21">
        <f t="shared" si="1"/>
        <v>0</v>
      </c>
      <c r="C266" s="21" t="str">
        <f>VLOOKUP(A266, hash!A$2:B$500, 2, 0)</f>
        <v>650b3a0ded7955a527757147</v>
      </c>
      <c r="D266" s="23">
        <f t="shared" si="2"/>
        <v>0</v>
      </c>
      <c r="F266" s="45"/>
      <c r="H266" s="45"/>
      <c r="J266" s="45"/>
    </row>
    <row r="267">
      <c r="A267" s="22" t="s">
        <v>191</v>
      </c>
      <c r="B267" s="21">
        <f t="shared" si="1"/>
        <v>0</v>
      </c>
      <c r="C267" s="21" t="str">
        <f>VLOOKUP(A267, hash!A$2:B$500, 2, 0)</f>
        <v>650b3a0eacb6c663527423b7</v>
      </c>
      <c r="D267" s="23">
        <f t="shared" si="2"/>
        <v>0</v>
      </c>
      <c r="F267" s="45"/>
      <c r="H267" s="45"/>
      <c r="J267" s="45"/>
    </row>
    <row r="268">
      <c r="A268" s="22" t="s">
        <v>192</v>
      </c>
      <c r="B268" s="21">
        <f t="shared" si="1"/>
        <v>0</v>
      </c>
      <c r="C268" s="21" t="str">
        <f>VLOOKUP(A268, hash!A$2:B$500, 2, 0)</f>
        <v>650b3a0e9d801acd9fe283a2</v>
      </c>
      <c r="D268" s="23">
        <f t="shared" si="2"/>
        <v>0</v>
      </c>
      <c r="F268" s="45"/>
      <c r="H268" s="45"/>
      <c r="J268" s="45"/>
    </row>
    <row r="269">
      <c r="A269" s="22" t="s">
        <v>193</v>
      </c>
      <c r="B269" s="21">
        <f t="shared" si="1"/>
        <v>0</v>
      </c>
      <c r="C269" s="21" t="str">
        <f>VLOOKUP(A269, hash!A$2:B$500, 2, 0)</f>
        <v>650b3a15ed7955a527757149</v>
      </c>
      <c r="D269" s="23">
        <f t="shared" si="2"/>
        <v>0</v>
      </c>
      <c r="F269" s="45"/>
      <c r="H269" s="45"/>
      <c r="J269" s="45"/>
    </row>
    <row r="270">
      <c r="A270" s="22" t="s">
        <v>194</v>
      </c>
      <c r="B270" s="21">
        <f t="shared" si="1"/>
        <v>0</v>
      </c>
      <c r="C270" s="21" t="str">
        <f>VLOOKUP(A270, hash!A$2:B$500, 2, 0)</f>
        <v>650b3a1ced7955a52775714b</v>
      </c>
      <c r="D270" s="23">
        <f t="shared" si="2"/>
        <v>0</v>
      </c>
      <c r="F270" s="45"/>
      <c r="H270" s="45"/>
      <c r="J270" s="45"/>
    </row>
    <row r="271">
      <c r="A271" s="22" t="s">
        <v>195</v>
      </c>
      <c r="B271" s="21">
        <f t="shared" si="1"/>
        <v>0</v>
      </c>
      <c r="C271" s="21" t="str">
        <f>VLOOKUP(A271, hash!A$2:B$500, 2, 0)</f>
        <v>650b3a9e41c634acd2e8f3d0</v>
      </c>
      <c r="D271" s="23">
        <f t="shared" si="2"/>
        <v>0</v>
      </c>
      <c r="F271" s="45"/>
      <c r="H271" s="45"/>
      <c r="J271" s="45"/>
    </row>
    <row r="272">
      <c r="A272" s="22" t="s">
        <v>196</v>
      </c>
      <c r="B272" s="21">
        <f t="shared" si="1"/>
        <v>0</v>
      </c>
      <c r="C272" s="21" t="str">
        <f>VLOOKUP(A272, hash!A$2:B$500, 2, 0)</f>
        <v>650b40c463d8964b8e363b3b</v>
      </c>
      <c r="D272" s="23">
        <f t="shared" si="2"/>
        <v>0</v>
      </c>
      <c r="F272" s="45"/>
      <c r="H272" s="45"/>
      <c r="J272" s="45"/>
    </row>
    <row r="273">
      <c r="A273" s="22" t="s">
        <v>197</v>
      </c>
      <c r="B273" s="21">
        <f t="shared" si="1"/>
        <v>0</v>
      </c>
      <c r="C273" s="21" t="str">
        <f>VLOOKUP(A273, hash!A$2:B$500, 2, 0)</f>
        <v>650b40ce63d8964b8e363b3d</v>
      </c>
      <c r="D273" s="23">
        <f t="shared" si="2"/>
        <v>0</v>
      </c>
      <c r="F273" s="45"/>
      <c r="H273" s="45"/>
      <c r="J273" s="45"/>
    </row>
    <row r="274">
      <c r="A274" s="22" t="s">
        <v>198</v>
      </c>
      <c r="B274" s="21">
        <f t="shared" si="1"/>
        <v>0</v>
      </c>
      <c r="C274" s="21" t="str">
        <f>VLOOKUP(A274, hash!A$2:B$500, 2, 0)</f>
        <v>650b446c63d8964b8e363b40</v>
      </c>
      <c r="D274" s="23">
        <f t="shared" si="2"/>
        <v>0</v>
      </c>
      <c r="F274" s="45"/>
      <c r="H274" s="45"/>
      <c r="J274" s="45"/>
    </row>
    <row r="275">
      <c r="A275" s="22" t="s">
        <v>199</v>
      </c>
      <c r="B275" s="21">
        <f t="shared" si="1"/>
        <v>0</v>
      </c>
      <c r="C275" s="21" t="str">
        <f>VLOOKUP(A275, hash!A$2:B$500, 2, 0)</f>
        <v>650b44847b17d110a03d7208</v>
      </c>
      <c r="D275" s="23">
        <f t="shared" si="2"/>
        <v>0</v>
      </c>
      <c r="F275" s="45"/>
      <c r="H275" s="45"/>
      <c r="J275" s="45"/>
    </row>
    <row r="276">
      <c r="A276" s="22" t="s">
        <v>200</v>
      </c>
      <c r="B276" s="21">
        <f t="shared" si="1"/>
        <v>0</v>
      </c>
      <c r="C276" s="21" t="str">
        <f>VLOOKUP(A276, hash!A$2:B$500, 2, 0)</f>
        <v>650b44997b17d110a03d7209</v>
      </c>
      <c r="D276" s="23">
        <f t="shared" si="2"/>
        <v>0</v>
      </c>
      <c r="F276" s="45"/>
      <c r="H276" s="45"/>
      <c r="J276" s="45"/>
    </row>
    <row r="277">
      <c r="A277" s="22" t="s">
        <v>201</v>
      </c>
      <c r="B277" s="21">
        <f t="shared" si="1"/>
        <v>0</v>
      </c>
      <c r="C277" s="21" t="str">
        <f>VLOOKUP(A277, hash!A$2:B$500, 2, 0)</f>
        <v>650b45dd0df4236622e51063</v>
      </c>
      <c r="D277" s="23">
        <f t="shared" si="2"/>
        <v>0</v>
      </c>
      <c r="F277" s="45"/>
      <c r="H277" s="45"/>
      <c r="J277" s="45"/>
    </row>
    <row r="278">
      <c r="A278" s="22" t="s">
        <v>202</v>
      </c>
      <c r="B278" s="21">
        <f t="shared" si="1"/>
        <v>0</v>
      </c>
      <c r="C278" s="21" t="str">
        <f>VLOOKUP(A278, hash!A$2:B$500, 2, 0)</f>
        <v>650b461a1798582bd25e6f14</v>
      </c>
      <c r="D278" s="23">
        <f t="shared" si="2"/>
        <v>0</v>
      </c>
      <c r="F278" s="45"/>
      <c r="H278" s="45"/>
      <c r="J278" s="45"/>
    </row>
    <row r="279">
      <c r="A279" s="22" t="s">
        <v>203</v>
      </c>
      <c r="B279" s="21">
        <f t="shared" si="1"/>
        <v>0</v>
      </c>
      <c r="C279" s="21" t="str">
        <f>VLOOKUP(A279, hash!A$2:B$500, 2, 0)</f>
        <v>650b466f0ebdcd576cc45c6f</v>
      </c>
      <c r="D279" s="23">
        <f t="shared" si="2"/>
        <v>0</v>
      </c>
      <c r="F279" s="45"/>
      <c r="H279" s="45"/>
      <c r="J279" s="45"/>
    </row>
    <row r="280">
      <c r="A280" s="22" t="s">
        <v>204</v>
      </c>
      <c r="B280" s="21">
        <f t="shared" si="1"/>
        <v>0</v>
      </c>
      <c r="C280" s="21" t="str">
        <f>VLOOKUP(A280, hash!A$2:B$500, 2, 0)</f>
        <v>650b46820ebdcd576cc45c70</v>
      </c>
      <c r="D280" s="23">
        <f t="shared" si="2"/>
        <v>0</v>
      </c>
      <c r="F280" s="45"/>
      <c r="H280" s="45"/>
      <c r="J280" s="45"/>
    </row>
    <row r="281">
      <c r="A281" s="22" t="s">
        <v>205</v>
      </c>
      <c r="B281" s="21">
        <f t="shared" si="1"/>
        <v>0</v>
      </c>
      <c r="C281" s="21" t="str">
        <f>VLOOKUP(A281, hash!A$2:B$500, 2, 0)</f>
        <v>650b477d7b17d110a03d7221</v>
      </c>
      <c r="D281" s="23">
        <f t="shared" si="2"/>
        <v>0</v>
      </c>
      <c r="F281" s="45"/>
      <c r="H281" s="45"/>
      <c r="J281" s="45"/>
    </row>
    <row r="282">
      <c r="A282" s="22" t="s">
        <v>621</v>
      </c>
      <c r="B282" s="21">
        <f t="shared" si="1"/>
        <v>0</v>
      </c>
      <c r="C282" s="21" t="str">
        <f>VLOOKUP(A282, hash!A$2:B$500, 2, 0)</f>
        <v>#N/A</v>
      </c>
      <c r="D282" s="23">
        <f t="shared" si="2"/>
        <v>0</v>
      </c>
      <c r="F282" s="45"/>
      <c r="H282" s="45"/>
      <c r="J282" s="45"/>
    </row>
    <row r="283">
      <c r="A283" s="22" t="s">
        <v>206</v>
      </c>
      <c r="B283" s="21">
        <f t="shared" si="1"/>
        <v>0</v>
      </c>
      <c r="C283" s="21" t="str">
        <f>VLOOKUP(A283, hash!A$2:B$500, 2, 0)</f>
        <v>651473b073ba37322a56bc86</v>
      </c>
      <c r="D283" s="23">
        <f t="shared" si="2"/>
        <v>0</v>
      </c>
      <c r="F283" s="45"/>
      <c r="H283" s="45"/>
      <c r="J283" s="45"/>
    </row>
    <row r="284">
      <c r="A284" s="22" t="s">
        <v>207</v>
      </c>
      <c r="B284" s="21">
        <f t="shared" si="1"/>
        <v>0</v>
      </c>
      <c r="C284" s="21" t="str">
        <f>VLOOKUP(A284, hash!A$2:B$500, 2, 0)</f>
        <v>6514746bcb3856acbe2e045e</v>
      </c>
      <c r="D284" s="23">
        <f t="shared" si="2"/>
        <v>0</v>
      </c>
      <c r="F284" s="45"/>
      <c r="H284" s="45"/>
      <c r="J284" s="45"/>
    </row>
    <row r="285">
      <c r="A285" s="22" t="s">
        <v>208</v>
      </c>
      <c r="B285" s="21">
        <f t="shared" si="1"/>
        <v>0</v>
      </c>
      <c r="C285" s="21" t="str">
        <f>VLOOKUP(A285, hash!A$2:B$500, 2, 0)</f>
        <v>651474adbad0d569bbd8c620</v>
      </c>
      <c r="D285" s="23">
        <f t="shared" si="2"/>
        <v>0</v>
      </c>
      <c r="F285" s="45"/>
      <c r="H285" s="45"/>
      <c r="J285" s="45"/>
    </row>
    <row r="286">
      <c r="A286" s="22" t="s">
        <v>622</v>
      </c>
      <c r="B286" s="21">
        <f t="shared" si="1"/>
        <v>0</v>
      </c>
      <c r="C286" s="21" t="str">
        <f>VLOOKUP(A286, hash!A$2:B$500, 2, 0)</f>
        <v>#N/A</v>
      </c>
      <c r="D286" s="23">
        <f t="shared" si="2"/>
        <v>0</v>
      </c>
      <c r="F286" s="45"/>
      <c r="H286" s="45"/>
      <c r="J286" s="45"/>
    </row>
    <row r="287">
      <c r="A287" s="22" t="s">
        <v>209</v>
      </c>
      <c r="B287" s="21">
        <f t="shared" si="1"/>
        <v>0</v>
      </c>
      <c r="C287" s="21" t="str">
        <f>VLOOKUP(A287, hash!A$2:B$500, 2, 0)</f>
        <v>651480e5b25a8777756c8277</v>
      </c>
      <c r="D287" s="23">
        <f t="shared" si="2"/>
        <v>0</v>
      </c>
      <c r="F287" s="45"/>
      <c r="H287" s="45"/>
      <c r="J287" s="45"/>
    </row>
    <row r="288">
      <c r="A288" s="22" t="s">
        <v>210</v>
      </c>
      <c r="B288" s="21">
        <f t="shared" si="1"/>
        <v>0</v>
      </c>
      <c r="C288" s="21" t="str">
        <f>VLOOKUP(A288, hash!A$2:B$500, 2, 0)</f>
        <v>651621a7755b5ba7402891b3</v>
      </c>
      <c r="D288" s="23">
        <f t="shared" si="2"/>
        <v>0</v>
      </c>
      <c r="F288" s="45"/>
      <c r="H288" s="45"/>
      <c r="J288" s="45"/>
    </row>
    <row r="289">
      <c r="A289" s="22" t="s">
        <v>12</v>
      </c>
      <c r="B289" s="21">
        <f t="shared" si="1"/>
        <v>0</v>
      </c>
      <c r="C289" s="21" t="str">
        <f>VLOOKUP(A289, hash!A$2:B$500, 2, 0)</f>
        <v>651dadf4a69631c34bde617f</v>
      </c>
      <c r="D289" s="23">
        <f t="shared" si="2"/>
        <v>0</v>
      </c>
      <c r="E289" s="14">
        <v>0.0</v>
      </c>
      <c r="F289" s="27">
        <v>0.0</v>
      </c>
      <c r="G289" s="14">
        <v>0.0</v>
      </c>
      <c r="H289" s="27">
        <v>0.0</v>
      </c>
      <c r="I289" s="14">
        <v>0.0</v>
      </c>
      <c r="J289" s="27">
        <v>0.0</v>
      </c>
    </row>
    <row r="290">
      <c r="A290" s="22" t="s">
        <v>211</v>
      </c>
      <c r="B290" s="21">
        <f t="shared" si="1"/>
        <v>0</v>
      </c>
      <c r="C290" s="21" t="str">
        <f>VLOOKUP(A290, hash!A$2:B$500, 2, 0)</f>
        <v>651daf0edc9060f76fe584c7</v>
      </c>
      <c r="D290" s="23">
        <f t="shared" si="2"/>
        <v>0</v>
      </c>
      <c r="F290" s="45"/>
      <c r="H290" s="45"/>
      <c r="J290" s="45"/>
    </row>
    <row r="291">
      <c r="A291" s="22" t="s">
        <v>212</v>
      </c>
      <c r="B291" s="21">
        <f t="shared" si="1"/>
        <v>0</v>
      </c>
      <c r="C291" s="21" t="str">
        <f>VLOOKUP(A291, hash!A$2:B$500, 2, 0)</f>
        <v>651db9af9dea57c7cb020129</v>
      </c>
      <c r="D291" s="23">
        <f t="shared" si="2"/>
        <v>0</v>
      </c>
      <c r="F291" s="27"/>
      <c r="H291" s="27"/>
      <c r="J291" s="27"/>
    </row>
    <row r="292">
      <c r="A292" s="22" t="s">
        <v>213</v>
      </c>
      <c r="B292" s="21">
        <f t="shared" si="1"/>
        <v>0</v>
      </c>
      <c r="C292" s="21" t="str">
        <f>VLOOKUP(A292, hash!A$2:B$500, 2, 0)</f>
        <v>651dbad69dea57c7cb020139</v>
      </c>
      <c r="D292" s="23">
        <f t="shared" si="2"/>
        <v>0</v>
      </c>
      <c r="F292" s="45"/>
      <c r="H292" s="45"/>
      <c r="J292" s="45"/>
    </row>
    <row r="293">
      <c r="A293" s="22" t="s">
        <v>214</v>
      </c>
      <c r="B293" s="21">
        <f t="shared" si="1"/>
        <v>0</v>
      </c>
      <c r="C293" s="21" t="str">
        <f>VLOOKUP(A293, hash!A$2:B$500, 2, 0)</f>
        <v>651dbae7d54b632818878f41</v>
      </c>
      <c r="D293" s="23">
        <f t="shared" si="2"/>
        <v>0</v>
      </c>
      <c r="F293" s="45"/>
      <c r="H293" s="45"/>
      <c r="J293" s="45"/>
    </row>
    <row r="294">
      <c r="A294" s="22" t="s">
        <v>215</v>
      </c>
      <c r="B294" s="21">
        <f t="shared" si="1"/>
        <v>0</v>
      </c>
      <c r="C294" s="21" t="str">
        <f>VLOOKUP(A294, hash!A$2:B$500, 2, 0)</f>
        <v>651dbb15d54b632818878f43</v>
      </c>
      <c r="D294" s="23">
        <f t="shared" si="2"/>
        <v>0</v>
      </c>
      <c r="F294" s="45"/>
      <c r="H294" s="45"/>
      <c r="J294" s="45"/>
    </row>
    <row r="295">
      <c r="A295" s="22" t="s">
        <v>216</v>
      </c>
      <c r="B295" s="21">
        <f t="shared" si="1"/>
        <v>0</v>
      </c>
      <c r="C295" s="21" t="str">
        <f>VLOOKUP(A295, hash!A$2:B$500, 2, 0)</f>
        <v>651dbb299dea57c7cb020142</v>
      </c>
      <c r="D295" s="23">
        <f t="shared" si="2"/>
        <v>0</v>
      </c>
      <c r="F295" s="45"/>
      <c r="H295" s="45"/>
      <c r="J295" s="45"/>
    </row>
    <row r="296">
      <c r="A296" s="22" t="s">
        <v>217</v>
      </c>
      <c r="B296" s="21">
        <f t="shared" si="1"/>
        <v>0</v>
      </c>
      <c r="C296" s="21" t="str">
        <f>VLOOKUP(A296, hash!A$2:B$500, 2, 0)</f>
        <v>651dbb3f9dea57c7cb020143</v>
      </c>
      <c r="D296" s="23">
        <f t="shared" si="2"/>
        <v>0</v>
      </c>
      <c r="F296" s="45"/>
      <c r="H296" s="45"/>
      <c r="J296" s="45"/>
    </row>
    <row r="297">
      <c r="A297" s="22" t="s">
        <v>218</v>
      </c>
      <c r="B297" s="21">
        <f t="shared" si="1"/>
        <v>0</v>
      </c>
      <c r="C297" s="21" t="str">
        <f>VLOOKUP(A297, hash!A$2:B$500, 2, 0)</f>
        <v>651dbc99ca156cc80367f4eb</v>
      </c>
      <c r="D297" s="23">
        <f t="shared" si="2"/>
        <v>0</v>
      </c>
      <c r="F297" s="45"/>
      <c r="H297" s="45"/>
      <c r="J297" s="45"/>
    </row>
    <row r="298">
      <c r="A298" s="22" t="s">
        <v>623</v>
      </c>
      <c r="B298" s="21">
        <f t="shared" si="1"/>
        <v>0</v>
      </c>
      <c r="C298" s="21" t="str">
        <f>VLOOKUP(A298, hash!A$2:B$500, 2, 0)</f>
        <v>#N/A</v>
      </c>
      <c r="D298" s="23">
        <f t="shared" si="2"/>
        <v>0</v>
      </c>
      <c r="F298" s="45"/>
      <c r="H298" s="45"/>
      <c r="J298" s="45"/>
    </row>
    <row r="299">
      <c r="A299" s="22" t="s">
        <v>219</v>
      </c>
      <c r="B299" s="21">
        <f t="shared" si="1"/>
        <v>0</v>
      </c>
      <c r="C299" s="21" t="str">
        <f>VLOOKUP(A299, hash!A$2:B$500, 2, 0)</f>
        <v>652403893fc5d4c9ab851009</v>
      </c>
      <c r="D299" s="23">
        <f t="shared" si="2"/>
        <v>0</v>
      </c>
      <c r="F299" s="27"/>
      <c r="H299" s="27"/>
      <c r="J299" s="27"/>
    </row>
    <row r="300">
      <c r="A300" s="22" t="s">
        <v>220</v>
      </c>
      <c r="B300" s="21">
        <f t="shared" si="1"/>
        <v>0</v>
      </c>
      <c r="C300" s="21" t="str">
        <f>VLOOKUP(A300, hash!A$2:B$500, 2, 0)</f>
        <v>6530232bcf7c5adcfb301ec7</v>
      </c>
      <c r="D300" s="23">
        <f t="shared" si="2"/>
        <v>0</v>
      </c>
      <c r="F300" s="45"/>
      <c r="H300" s="45"/>
      <c r="J300" s="45"/>
    </row>
    <row r="301">
      <c r="A301" s="22" t="s">
        <v>221</v>
      </c>
      <c r="B301" s="21">
        <f t="shared" si="1"/>
        <v>0</v>
      </c>
      <c r="C301" s="21" t="str">
        <f>VLOOKUP(A301, hash!A$2:B$500, 2, 0)</f>
        <v>65302e080e286366617e4629</v>
      </c>
      <c r="D301" s="23">
        <f t="shared" si="2"/>
        <v>0</v>
      </c>
      <c r="F301" s="45"/>
      <c r="H301" s="45"/>
      <c r="J301" s="45"/>
    </row>
    <row r="302">
      <c r="A302" s="22" t="s">
        <v>222</v>
      </c>
      <c r="B302" s="21">
        <f t="shared" si="1"/>
        <v>0</v>
      </c>
      <c r="C302" s="21" t="str">
        <f>VLOOKUP(A302, hash!A$2:B$500, 2, 0)</f>
        <v>65395d6799af0b0f3444fd51</v>
      </c>
      <c r="D302" s="23">
        <f t="shared" si="2"/>
        <v>0</v>
      </c>
      <c r="E302" s="14">
        <v>0.0</v>
      </c>
      <c r="F302" s="27">
        <v>0.0</v>
      </c>
      <c r="G302" s="14">
        <v>0.0</v>
      </c>
      <c r="H302" s="27">
        <v>0.0</v>
      </c>
      <c r="I302" s="14">
        <v>0.0</v>
      </c>
      <c r="J302" s="27">
        <v>0.0</v>
      </c>
    </row>
    <row r="303">
      <c r="A303" s="22" t="s">
        <v>223</v>
      </c>
      <c r="B303" s="21">
        <f t="shared" si="1"/>
        <v>0</v>
      </c>
      <c r="C303" s="21" t="str">
        <f>VLOOKUP(A303, hash!A$2:B$500, 2, 0)</f>
        <v>6539689ac8f6bb22aba878d1</v>
      </c>
      <c r="D303" s="23">
        <f t="shared" si="2"/>
        <v>0</v>
      </c>
      <c r="F303" s="45"/>
      <c r="H303" s="45"/>
      <c r="J303" s="45"/>
    </row>
    <row r="304">
      <c r="A304" s="22" t="s">
        <v>224</v>
      </c>
      <c r="B304" s="21">
        <f t="shared" si="1"/>
        <v>0</v>
      </c>
      <c r="C304" s="21" t="str">
        <f>VLOOKUP(A304, hash!A$2:B$500, 2, 0)</f>
        <v>6542987e2bee7559f37bee8d</v>
      </c>
      <c r="D304" s="23">
        <f t="shared" si="2"/>
        <v>0</v>
      </c>
      <c r="F304" s="45"/>
      <c r="H304" s="45"/>
      <c r="J304" s="45"/>
    </row>
    <row r="305">
      <c r="A305" s="22" t="s">
        <v>225</v>
      </c>
      <c r="B305" s="21">
        <f t="shared" si="1"/>
        <v>0</v>
      </c>
      <c r="C305" s="21" t="str">
        <f>VLOOKUP(A305, hash!A$2:B$500, 2, 0)</f>
        <v>65429927208c9c77b87ab693</v>
      </c>
      <c r="D305" s="23">
        <f t="shared" si="2"/>
        <v>0</v>
      </c>
      <c r="F305" s="45"/>
      <c r="H305" s="45"/>
      <c r="J305" s="45"/>
    </row>
    <row r="306">
      <c r="A306" s="22" t="s">
        <v>226</v>
      </c>
      <c r="B306" s="21">
        <f t="shared" si="1"/>
        <v>0</v>
      </c>
      <c r="C306" s="21" t="str">
        <f>VLOOKUP(A306, hash!A$2:B$500, 2, 0)</f>
        <v>654a6fba5f40f5f7b7c97164</v>
      </c>
      <c r="D306" s="23">
        <f t="shared" si="2"/>
        <v>0</v>
      </c>
      <c r="F306" s="45"/>
      <c r="H306" s="45"/>
      <c r="J306" s="45"/>
    </row>
    <row r="307">
      <c r="A307" s="22" t="s">
        <v>227</v>
      </c>
      <c r="B307" s="21">
        <f t="shared" si="1"/>
        <v>0</v>
      </c>
      <c r="C307" s="21" t="str">
        <f>VLOOKUP(A307, hash!A$2:B$500, 2, 0)</f>
        <v>65551bef3234b9c505dd527e</v>
      </c>
      <c r="D307" s="23">
        <f t="shared" si="2"/>
        <v>0</v>
      </c>
      <c r="F307" s="45"/>
      <c r="H307" s="45"/>
      <c r="J307" s="45"/>
    </row>
    <row r="308">
      <c r="A308" s="22" t="s">
        <v>228</v>
      </c>
      <c r="B308" s="21">
        <f t="shared" si="1"/>
        <v>0</v>
      </c>
      <c r="C308" s="21" t="str">
        <f>VLOOKUP(A308, hash!A$2:B$500, 2, 0)</f>
        <v>655528e7b6dffbe82fb08e97</v>
      </c>
      <c r="D308" s="23">
        <f t="shared" si="2"/>
        <v>0</v>
      </c>
      <c r="F308" s="45"/>
      <c r="H308" s="45"/>
      <c r="J308" s="45"/>
    </row>
    <row r="309">
      <c r="A309" s="22" t="s">
        <v>624</v>
      </c>
      <c r="B309" s="21">
        <f t="shared" si="1"/>
        <v>0</v>
      </c>
      <c r="C309" s="21" t="str">
        <f>VLOOKUP(A309, hash!A$2:B$500, 2, 0)</f>
        <v>#N/A</v>
      </c>
      <c r="D309" s="23">
        <f t="shared" si="2"/>
        <v>0</v>
      </c>
      <c r="F309" s="45"/>
      <c r="H309" s="45"/>
      <c r="J309" s="45"/>
    </row>
    <row r="310">
      <c r="A310" s="22" t="s">
        <v>229</v>
      </c>
      <c r="B310" s="21">
        <f t="shared" si="1"/>
        <v>0</v>
      </c>
      <c r="C310" s="21" t="str">
        <f>VLOOKUP(A310, hash!A$2:B$500, 2, 0)</f>
        <v>655bb33eff8d447e7d019f70</v>
      </c>
      <c r="D310" s="23">
        <f t="shared" si="2"/>
        <v>0</v>
      </c>
      <c r="F310" s="45"/>
      <c r="H310" s="45"/>
      <c r="J310" s="45"/>
    </row>
    <row r="311">
      <c r="A311" s="22" t="s">
        <v>230</v>
      </c>
      <c r="B311" s="21">
        <f t="shared" si="1"/>
        <v>0</v>
      </c>
      <c r="C311" s="21" t="str">
        <f>VLOOKUP(A311, hash!A$2:B$500, 2, 0)</f>
        <v>655bc0057093eb94b1c6cc92</v>
      </c>
      <c r="D311" s="23">
        <f t="shared" si="2"/>
        <v>0</v>
      </c>
      <c r="F311" s="45"/>
      <c r="H311" s="45"/>
      <c r="J311" s="45"/>
    </row>
    <row r="312">
      <c r="A312" s="22" t="s">
        <v>231</v>
      </c>
      <c r="B312" s="21">
        <f t="shared" si="1"/>
        <v>0</v>
      </c>
      <c r="C312" s="21" t="str">
        <f>VLOOKUP(A312, hash!A$2:B$500, 2, 0)</f>
        <v>655bc0097093eb94b1c6cc93</v>
      </c>
      <c r="D312" s="23">
        <f t="shared" si="2"/>
        <v>0</v>
      </c>
      <c r="F312" s="45"/>
      <c r="H312" s="45"/>
      <c r="J312" s="45"/>
    </row>
    <row r="313">
      <c r="A313" s="22" t="s">
        <v>625</v>
      </c>
      <c r="B313" s="21">
        <f t="shared" si="1"/>
        <v>0</v>
      </c>
      <c r="C313" s="21" t="str">
        <f>VLOOKUP(A313, hash!A$2:B$500, 2, 0)</f>
        <v>#N/A</v>
      </c>
      <c r="D313" s="23">
        <f t="shared" si="2"/>
        <v>0</v>
      </c>
      <c r="F313" s="45"/>
      <c r="H313" s="45"/>
      <c r="J313" s="45"/>
    </row>
    <row r="314">
      <c r="A314" s="22" t="s">
        <v>232</v>
      </c>
      <c r="B314" s="21">
        <f t="shared" si="1"/>
        <v>0</v>
      </c>
      <c r="C314" s="21" t="str">
        <f>VLOOKUP(A314, hash!A$2:B$500, 2, 0)</f>
        <v>6595977fb46b00d2f83c52c5</v>
      </c>
      <c r="D314" s="23">
        <f t="shared" si="2"/>
        <v>0</v>
      </c>
      <c r="F314" s="45"/>
      <c r="H314" s="45"/>
      <c r="J314" s="45"/>
    </row>
    <row r="315">
      <c r="A315" s="22" t="s">
        <v>233</v>
      </c>
      <c r="B315" s="21">
        <f t="shared" si="1"/>
        <v>0</v>
      </c>
      <c r="C315" s="21" t="str">
        <f>VLOOKUP(A315, hash!A$2:B$500, 2, 0)</f>
        <v>6595b65ec49a903206004ba0</v>
      </c>
      <c r="D315" s="23">
        <f t="shared" si="2"/>
        <v>0</v>
      </c>
      <c r="F315" s="45"/>
      <c r="H315" s="45"/>
      <c r="J315" s="45"/>
    </row>
    <row r="316">
      <c r="A316" s="22" t="s">
        <v>234</v>
      </c>
      <c r="B316" s="21">
        <f t="shared" si="1"/>
        <v>0</v>
      </c>
      <c r="C316" s="21" t="str">
        <f>VLOOKUP(A316, hash!A$2:B$500, 2, 0)</f>
        <v>6595bf45b775f9fc5a64da54</v>
      </c>
      <c r="D316" s="23">
        <f t="shared" si="2"/>
        <v>0</v>
      </c>
      <c r="F316" s="45"/>
      <c r="H316" s="45"/>
      <c r="J316" s="45"/>
    </row>
    <row r="317">
      <c r="A317" s="22" t="s">
        <v>235</v>
      </c>
      <c r="B317" s="21">
        <f t="shared" si="1"/>
        <v>0</v>
      </c>
      <c r="C317" s="21" t="str">
        <f>VLOOKUP(A317, hash!A$2:B$500, 2, 0)</f>
        <v>6595c208b775f9fc5a64da66</v>
      </c>
      <c r="D317" s="23">
        <f t="shared" si="2"/>
        <v>0</v>
      </c>
      <c r="F317" s="45"/>
      <c r="H317" s="45"/>
      <c r="J317" s="45"/>
    </row>
    <row r="318">
      <c r="A318" s="22" t="s">
        <v>236</v>
      </c>
      <c r="B318" s="21">
        <f t="shared" si="1"/>
        <v>0</v>
      </c>
      <c r="C318" s="21" t="str">
        <f>VLOOKUP(A318, hash!A$2:B$500, 2, 0)</f>
        <v>6595c23e2fa1031babec0ce3</v>
      </c>
      <c r="D318" s="23">
        <f t="shared" si="2"/>
        <v>0</v>
      </c>
      <c r="F318" s="45"/>
      <c r="H318" s="45"/>
      <c r="J318" s="45"/>
    </row>
    <row r="319">
      <c r="A319" s="22" t="s">
        <v>237</v>
      </c>
      <c r="B319" s="21">
        <f t="shared" si="1"/>
        <v>0</v>
      </c>
      <c r="C319" s="21" t="str">
        <f>VLOOKUP(A319, hash!A$2:B$500, 2, 0)</f>
        <v>6595c391cd5b972b6b680d1b</v>
      </c>
      <c r="D319" s="23">
        <f t="shared" si="2"/>
        <v>0</v>
      </c>
      <c r="F319" s="45"/>
      <c r="H319" s="45"/>
      <c r="J319" s="45"/>
    </row>
    <row r="320">
      <c r="A320" s="22" t="s">
        <v>626</v>
      </c>
      <c r="B320" s="21">
        <f t="shared" si="1"/>
        <v>0</v>
      </c>
      <c r="C320" s="21" t="str">
        <f>VLOOKUP(A320, hash!A$2:B$500, 2, 0)</f>
        <v>#N/A</v>
      </c>
      <c r="D320" s="23">
        <f t="shared" si="2"/>
        <v>0</v>
      </c>
      <c r="F320" s="45"/>
      <c r="H320" s="45"/>
      <c r="J320" s="45"/>
    </row>
    <row r="321">
      <c r="A321" s="22" t="s">
        <v>627</v>
      </c>
      <c r="B321" s="21">
        <f t="shared" si="1"/>
        <v>0</v>
      </c>
      <c r="C321" s="21" t="str">
        <f>VLOOKUP(A321, hash!A$2:B$500, 2, 0)</f>
        <v>#N/A</v>
      </c>
      <c r="D321" s="23">
        <f t="shared" si="2"/>
        <v>0</v>
      </c>
      <c r="F321" s="45"/>
      <c r="H321" s="45"/>
      <c r="J321" s="45"/>
    </row>
    <row r="322">
      <c r="A322" s="22" t="s">
        <v>628</v>
      </c>
      <c r="B322" s="21">
        <f t="shared" si="1"/>
        <v>0</v>
      </c>
      <c r="C322" s="21" t="str">
        <f>VLOOKUP(A322, hash!A$2:B$500, 2, 0)</f>
        <v>#N/A</v>
      </c>
      <c r="D322" s="23">
        <f t="shared" si="2"/>
        <v>0</v>
      </c>
      <c r="F322" s="45"/>
      <c r="H322" s="45"/>
      <c r="J322" s="45"/>
    </row>
    <row r="323">
      <c r="A323" s="22" t="s">
        <v>238</v>
      </c>
      <c r="B323" s="21">
        <f t="shared" si="1"/>
        <v>0</v>
      </c>
      <c r="C323" s="21" t="str">
        <f>VLOOKUP(A323, hash!A$2:B$500, 2, 0)</f>
        <v>65ba9f33f33e907d7c81d87a</v>
      </c>
      <c r="D323" s="23">
        <f t="shared" si="2"/>
        <v>0</v>
      </c>
      <c r="F323" s="45"/>
      <c r="H323" s="45"/>
      <c r="J323" s="45"/>
    </row>
    <row r="324">
      <c r="A324" s="22" t="s">
        <v>239</v>
      </c>
      <c r="B324" s="21">
        <f t="shared" si="1"/>
        <v>0</v>
      </c>
      <c r="C324" s="21" t="str">
        <f>VLOOKUP(A324, hash!A$2:B$500, 2, 0)</f>
        <v>65baa01d2b367c7ed72fe8b9</v>
      </c>
      <c r="D324" s="23">
        <f t="shared" si="2"/>
        <v>0</v>
      </c>
      <c r="F324" s="45"/>
      <c r="H324" s="45"/>
      <c r="J324" s="45"/>
    </row>
    <row r="325">
      <c r="A325" s="22" t="s">
        <v>629</v>
      </c>
      <c r="B325" s="21">
        <f t="shared" si="1"/>
        <v>0</v>
      </c>
      <c r="C325" s="21" t="str">
        <f>VLOOKUP(A325, hash!A$2:B$500, 2, 0)</f>
        <v>#N/A</v>
      </c>
      <c r="D325" s="23">
        <f t="shared" si="2"/>
        <v>0</v>
      </c>
      <c r="F325" s="45"/>
      <c r="H325" s="45"/>
      <c r="J325" s="45"/>
    </row>
    <row r="326">
      <c r="A326" s="22" t="s">
        <v>240</v>
      </c>
      <c r="B326" s="21">
        <f t="shared" si="1"/>
        <v>0</v>
      </c>
      <c r="C326" s="21" t="str">
        <f>VLOOKUP(A326, hash!A$2:B$500, 2, 0)</f>
        <v>65baa01e2b367c7ed72fe8bb</v>
      </c>
      <c r="D326" s="23">
        <f t="shared" si="2"/>
        <v>0</v>
      </c>
      <c r="F326" s="45"/>
      <c r="H326" s="45"/>
      <c r="J326" s="45"/>
    </row>
    <row r="327">
      <c r="A327" s="22" t="s">
        <v>630</v>
      </c>
      <c r="B327" s="21">
        <f t="shared" si="1"/>
        <v>0</v>
      </c>
      <c r="C327" s="21" t="str">
        <f>VLOOKUP(A327, hash!A$2:B$500, 2, 0)</f>
        <v>#N/A</v>
      </c>
      <c r="D327" s="23">
        <f t="shared" si="2"/>
        <v>0</v>
      </c>
      <c r="F327" s="45"/>
      <c r="H327" s="45"/>
      <c r="J327" s="45"/>
    </row>
    <row r="328">
      <c r="A328" s="22" t="s">
        <v>631</v>
      </c>
      <c r="B328" s="21">
        <f t="shared" si="1"/>
        <v>0</v>
      </c>
      <c r="C328" s="21" t="str">
        <f>VLOOKUP(A328, hash!A$2:B$500, 2, 0)</f>
        <v>#N/A</v>
      </c>
      <c r="D328" s="23">
        <f t="shared" si="2"/>
        <v>0</v>
      </c>
      <c r="F328" s="45"/>
      <c r="H328" s="45"/>
      <c r="J328" s="45"/>
    </row>
    <row r="329">
      <c r="A329" s="22" t="s">
        <v>241</v>
      </c>
      <c r="B329" s="21">
        <f t="shared" si="1"/>
        <v>0</v>
      </c>
      <c r="C329" s="21" t="str">
        <f>VLOOKUP(A329, hash!A$2:B$500, 2, 0)</f>
        <v>65baa03da330104d5ca80be5</v>
      </c>
      <c r="D329" s="23">
        <f t="shared" si="2"/>
        <v>0</v>
      </c>
      <c r="F329" s="45"/>
      <c r="H329" s="45"/>
      <c r="J329" s="45"/>
    </row>
    <row r="330">
      <c r="A330" s="22" t="s">
        <v>632</v>
      </c>
      <c r="B330" s="21">
        <f t="shared" si="1"/>
        <v>0</v>
      </c>
      <c r="C330" s="21" t="str">
        <f>VLOOKUP(A330, hash!A$2:B$500, 2, 0)</f>
        <v>#N/A</v>
      </c>
      <c r="D330" s="23">
        <f t="shared" si="2"/>
        <v>0</v>
      </c>
      <c r="F330" s="45"/>
      <c r="H330" s="45"/>
      <c r="J330" s="45"/>
    </row>
    <row r="331">
      <c r="A331" s="22" t="s">
        <v>633</v>
      </c>
      <c r="B331" s="21">
        <f t="shared" si="1"/>
        <v>0</v>
      </c>
      <c r="C331" s="21" t="str">
        <f>VLOOKUP(A331, hash!A$2:B$500, 2, 0)</f>
        <v>#N/A</v>
      </c>
      <c r="D331" s="23">
        <f t="shared" si="2"/>
        <v>0</v>
      </c>
      <c r="F331" s="45"/>
      <c r="H331" s="45"/>
      <c r="J331" s="45"/>
    </row>
    <row r="332">
      <c r="A332" s="22" t="s">
        <v>242</v>
      </c>
      <c r="B332" s="21">
        <f t="shared" si="1"/>
        <v>0</v>
      </c>
      <c r="C332" s="21" t="str">
        <f>VLOOKUP(A332, hash!A$2:B$500, 2, 0)</f>
        <v>65baadabac6fa639d08b8070</v>
      </c>
      <c r="D332" s="23">
        <f t="shared" si="2"/>
        <v>0</v>
      </c>
      <c r="F332" s="45"/>
      <c r="H332" s="45"/>
      <c r="J332" s="45"/>
    </row>
    <row r="333">
      <c r="A333" s="22" t="s">
        <v>243</v>
      </c>
      <c r="B333" s="21">
        <f t="shared" si="1"/>
        <v>0</v>
      </c>
      <c r="C333" s="21" t="str">
        <f>VLOOKUP(A333, hash!A$2:B$500, 2, 0)</f>
        <v>65baadd90004ffbc54b03ece</v>
      </c>
      <c r="D333" s="23">
        <f t="shared" si="2"/>
        <v>0</v>
      </c>
      <c r="F333" s="45"/>
      <c r="H333" s="45"/>
      <c r="J333" s="45"/>
    </row>
    <row r="334">
      <c r="A334" s="22" t="s">
        <v>244</v>
      </c>
      <c r="B334" s="21">
        <f t="shared" si="1"/>
        <v>0</v>
      </c>
      <c r="C334" s="21" t="str">
        <f>VLOOKUP(A334, hash!A$2:B$500, 2, 0)</f>
        <v>65baadf10004ffbc54b03ed0</v>
      </c>
      <c r="D334" s="23">
        <f t="shared" si="2"/>
        <v>0</v>
      </c>
      <c r="F334" s="45"/>
      <c r="H334" s="45"/>
      <c r="J334" s="45"/>
    </row>
    <row r="335">
      <c r="A335" s="22" t="s">
        <v>245</v>
      </c>
      <c r="B335" s="21">
        <f t="shared" si="1"/>
        <v>0</v>
      </c>
      <c r="C335" s="21" t="str">
        <f>VLOOKUP(A335, hash!A$2:B$500, 2, 0)</f>
        <v>65bab1380004ffbc54b03ee7</v>
      </c>
      <c r="D335" s="23">
        <f t="shared" si="2"/>
        <v>0</v>
      </c>
      <c r="F335" s="45"/>
      <c r="H335" s="45"/>
      <c r="J335" s="45"/>
    </row>
    <row r="336">
      <c r="A336" s="22" t="s">
        <v>246</v>
      </c>
      <c r="B336" s="21">
        <f t="shared" si="1"/>
        <v>0</v>
      </c>
      <c r="C336" s="21" t="str">
        <f>VLOOKUP(A336, hash!A$2:B$500, 2, 0)</f>
        <v>65bab52de7bd7da7ace0d1c3</v>
      </c>
      <c r="D336" s="23">
        <f t="shared" si="2"/>
        <v>0</v>
      </c>
      <c r="F336" s="45"/>
      <c r="H336" s="45"/>
      <c r="J336" s="45"/>
    </row>
    <row r="337">
      <c r="A337" s="22" t="s">
        <v>247</v>
      </c>
      <c r="B337" s="21">
        <f t="shared" si="1"/>
        <v>0</v>
      </c>
      <c r="C337" s="21" t="str">
        <f>VLOOKUP(A337, hash!A$2:B$500, 2, 0)</f>
        <v>65bb2c752930129875dd966e</v>
      </c>
      <c r="D337" s="23">
        <f t="shared" si="2"/>
        <v>0</v>
      </c>
      <c r="F337" s="45"/>
      <c r="H337" s="45"/>
      <c r="J337" s="45"/>
    </row>
    <row r="338">
      <c r="A338" s="22" t="s">
        <v>248</v>
      </c>
      <c r="B338" s="21">
        <f t="shared" si="1"/>
        <v>0</v>
      </c>
      <c r="C338" s="21" t="str">
        <f>VLOOKUP(A338, hash!A$2:B$500, 2, 0)</f>
        <v>65c3d9c7d68ebf8c5aaf9473</v>
      </c>
      <c r="D338" s="23">
        <f t="shared" si="2"/>
        <v>0</v>
      </c>
      <c r="F338" s="45"/>
      <c r="H338" s="45"/>
      <c r="J338" s="45"/>
    </row>
    <row r="339">
      <c r="A339" s="22" t="s">
        <v>249</v>
      </c>
      <c r="B339" s="21">
        <f t="shared" si="1"/>
        <v>0</v>
      </c>
      <c r="C339" s="21" t="str">
        <f>VLOOKUP(A339, hash!A$2:B$500, 2, 0)</f>
        <v>65c3db43dc2e959b628fb2d3</v>
      </c>
      <c r="D339" s="23">
        <f t="shared" si="2"/>
        <v>0</v>
      </c>
      <c r="F339" s="45"/>
      <c r="H339" s="45"/>
      <c r="J339" s="45"/>
    </row>
    <row r="340">
      <c r="A340" s="22" t="s">
        <v>250</v>
      </c>
      <c r="B340" s="21">
        <f t="shared" si="1"/>
        <v>0</v>
      </c>
      <c r="C340" s="21" t="str">
        <f>VLOOKUP(A340, hash!A$2:B$500, 2, 0)</f>
        <v>65c3e17176cb308ec1a40c91</v>
      </c>
      <c r="D340" s="23">
        <f t="shared" si="2"/>
        <v>0</v>
      </c>
      <c r="F340" s="45"/>
      <c r="H340" s="45"/>
      <c r="J340" s="45"/>
    </row>
    <row r="341">
      <c r="A341" s="22" t="s">
        <v>251</v>
      </c>
      <c r="B341" s="21">
        <f t="shared" si="1"/>
        <v>0</v>
      </c>
      <c r="C341" s="21" t="str">
        <f>VLOOKUP(A341, hash!A$2:B$500, 2, 0)</f>
        <v>65c3e474f24067cac00a6560</v>
      </c>
      <c r="D341" s="23">
        <f t="shared" si="2"/>
        <v>0</v>
      </c>
      <c r="F341" s="45"/>
      <c r="H341" s="45"/>
      <c r="J341" s="45"/>
    </row>
    <row r="342">
      <c r="A342" s="22" t="s">
        <v>252</v>
      </c>
      <c r="B342" s="21">
        <f t="shared" si="1"/>
        <v>0</v>
      </c>
      <c r="C342" s="21" t="str">
        <f>VLOOKUP(A342, hash!A$2:B$500, 2, 0)</f>
        <v>65c3e7519c89c663f1bf9f3a</v>
      </c>
      <c r="D342" s="23">
        <f t="shared" si="2"/>
        <v>0</v>
      </c>
      <c r="F342" s="45"/>
      <c r="H342" s="45"/>
      <c r="J342" s="45"/>
    </row>
    <row r="343">
      <c r="A343" s="22" t="s">
        <v>253</v>
      </c>
      <c r="B343" s="21">
        <f t="shared" si="1"/>
        <v>0</v>
      </c>
      <c r="C343" s="21" t="str">
        <f>VLOOKUP(A343, hash!A$2:B$500, 2, 0)</f>
        <v>65c404d5adbf166dfd681f4c</v>
      </c>
      <c r="D343" s="23">
        <f t="shared" si="2"/>
        <v>0</v>
      </c>
      <c r="F343" s="45"/>
      <c r="H343" s="45"/>
      <c r="J343" s="45"/>
    </row>
    <row r="344">
      <c r="A344" s="22" t="s">
        <v>254</v>
      </c>
      <c r="B344" s="21">
        <f t="shared" si="1"/>
        <v>0</v>
      </c>
      <c r="C344" s="21" t="str">
        <f>VLOOKUP(A344, hash!A$2:B$500, 2, 0)</f>
        <v>65c452c7bdf2b49b06b9f1e8</v>
      </c>
      <c r="D344" s="23">
        <f t="shared" si="2"/>
        <v>0</v>
      </c>
      <c r="F344" s="45"/>
      <c r="H344" s="45"/>
      <c r="J344" s="45"/>
    </row>
    <row r="345">
      <c r="A345" s="22" t="s">
        <v>634</v>
      </c>
      <c r="B345" s="21">
        <f t="shared" si="1"/>
        <v>0</v>
      </c>
      <c r="C345" s="21" t="str">
        <f>VLOOKUP(A345, hash!A$2:B$500, 2, 0)</f>
        <v>#N/A</v>
      </c>
      <c r="D345" s="23">
        <f t="shared" si="2"/>
        <v>0</v>
      </c>
      <c r="F345" s="45"/>
      <c r="H345" s="45"/>
      <c r="J345" s="45"/>
    </row>
    <row r="346">
      <c r="A346" s="22" t="s">
        <v>635</v>
      </c>
      <c r="B346" s="21">
        <f t="shared" si="1"/>
        <v>0</v>
      </c>
      <c r="C346" s="21" t="str">
        <f>VLOOKUP(A346, hash!A$2:B$500, 2, 0)</f>
        <v>#N/A</v>
      </c>
      <c r="D346" s="23">
        <f t="shared" si="2"/>
        <v>0</v>
      </c>
      <c r="F346" s="45"/>
      <c r="H346" s="45"/>
      <c r="J346" s="45"/>
    </row>
    <row r="347">
      <c r="A347" s="22" t="s">
        <v>636</v>
      </c>
      <c r="B347" s="21">
        <f t="shared" si="1"/>
        <v>0</v>
      </c>
      <c r="C347" s="21" t="str">
        <f>VLOOKUP(A347, hash!A$2:B$500, 2, 0)</f>
        <v>#N/A</v>
      </c>
      <c r="D347" s="23">
        <f t="shared" si="2"/>
        <v>0</v>
      </c>
      <c r="F347" s="45"/>
      <c r="H347" s="45"/>
      <c r="J347" s="45"/>
    </row>
    <row r="348">
      <c r="A348" s="22" t="s">
        <v>637</v>
      </c>
      <c r="B348" s="21">
        <f t="shared" si="1"/>
        <v>0</v>
      </c>
      <c r="C348" s="21" t="str">
        <f>VLOOKUP(A348, hash!A$2:B$500, 2, 0)</f>
        <v>#N/A</v>
      </c>
      <c r="D348" s="23">
        <f t="shared" si="2"/>
        <v>0</v>
      </c>
      <c r="F348" s="45"/>
      <c r="H348" s="45"/>
      <c r="J348" s="45"/>
    </row>
    <row r="349">
      <c r="A349" s="22" t="s">
        <v>255</v>
      </c>
      <c r="B349" s="21">
        <f t="shared" si="1"/>
        <v>0</v>
      </c>
      <c r="C349" s="21" t="str">
        <f>VLOOKUP(A349, hash!A$2:B$500, 2, 0)</f>
        <v>65cd13d251407ce2e1c4e690</v>
      </c>
      <c r="D349" s="23">
        <f t="shared" si="2"/>
        <v>0</v>
      </c>
      <c r="F349" s="45"/>
      <c r="H349" s="45"/>
      <c r="J349" s="45"/>
    </row>
    <row r="350">
      <c r="A350" s="22" t="s">
        <v>256</v>
      </c>
      <c r="B350" s="21">
        <f t="shared" si="1"/>
        <v>0</v>
      </c>
      <c r="C350" s="21" t="str">
        <f>VLOOKUP(A350, hash!A$2:B$500, 2, 0)</f>
        <v>65cd13f6adf37a1fed1cd455</v>
      </c>
      <c r="D350" s="23">
        <f t="shared" si="2"/>
        <v>0</v>
      </c>
      <c r="F350" s="45"/>
      <c r="H350" s="45"/>
      <c r="J350" s="45"/>
    </row>
    <row r="351">
      <c r="A351" s="22" t="s">
        <v>638</v>
      </c>
      <c r="B351" s="21">
        <f t="shared" si="1"/>
        <v>0</v>
      </c>
      <c r="C351" s="21" t="str">
        <f>VLOOKUP(A351, hash!A$2:B$500, 2, 0)</f>
        <v>#N/A</v>
      </c>
      <c r="D351" s="23">
        <f t="shared" si="2"/>
        <v>0</v>
      </c>
      <c r="F351" s="45"/>
      <c r="H351" s="45"/>
      <c r="J351" s="45"/>
    </row>
    <row r="352">
      <c r="A352" s="22" t="s">
        <v>257</v>
      </c>
      <c r="B352" s="21">
        <f t="shared" si="1"/>
        <v>0</v>
      </c>
      <c r="C352" s="21" t="str">
        <f>VLOOKUP(A352, hash!A$2:B$500, 2, 0)</f>
        <v>65cd2a48c6e20b3c3d4798b8</v>
      </c>
      <c r="D352" s="23">
        <f t="shared" si="2"/>
        <v>0</v>
      </c>
      <c r="F352" s="45"/>
      <c r="H352" s="45"/>
      <c r="J352" s="45"/>
    </row>
    <row r="353">
      <c r="A353" s="22" t="s">
        <v>258</v>
      </c>
      <c r="B353" s="21">
        <f t="shared" si="1"/>
        <v>0</v>
      </c>
      <c r="C353" s="21" t="str">
        <f>VLOOKUP(A353, hash!A$2:B$500, 2, 0)</f>
        <v>65d65a5fe2aa0ab4944e133f</v>
      </c>
      <c r="D353" s="23">
        <f t="shared" si="2"/>
        <v>0</v>
      </c>
      <c r="F353" s="45"/>
      <c r="H353" s="45"/>
      <c r="J353" s="45"/>
    </row>
    <row r="354">
      <c r="A354" s="22" t="s">
        <v>259</v>
      </c>
      <c r="B354" s="21">
        <f t="shared" si="1"/>
        <v>0</v>
      </c>
      <c r="C354" s="21" t="str">
        <f>VLOOKUP(A354, hash!A$2:B$500, 2, 0)</f>
        <v>65d65b94ec98c933c1065a3c</v>
      </c>
      <c r="D354" s="23">
        <f t="shared" si="2"/>
        <v>0</v>
      </c>
      <c r="F354" s="45"/>
      <c r="H354" s="45"/>
      <c r="J354" s="45"/>
    </row>
    <row r="355">
      <c r="A355" s="22" t="s">
        <v>260</v>
      </c>
      <c r="B355" s="21">
        <f t="shared" si="1"/>
        <v>0</v>
      </c>
      <c r="C355" s="21" t="str">
        <f>VLOOKUP(A355, hash!A$2:B$500, 2, 0)</f>
        <v>65d65bdbec98c933c1065a41</v>
      </c>
      <c r="D355" s="23">
        <f t="shared" si="2"/>
        <v>0</v>
      </c>
      <c r="F355" s="45"/>
      <c r="H355" s="45"/>
      <c r="J355" s="45"/>
    </row>
    <row r="356">
      <c r="A356" s="22" t="s">
        <v>261</v>
      </c>
      <c r="B356" s="21">
        <f t="shared" si="1"/>
        <v>0</v>
      </c>
      <c r="C356" s="21" t="str">
        <f>VLOOKUP(A356, hash!A$2:B$500, 2, 0)</f>
        <v>65d65beaec98c933c1065a42</v>
      </c>
      <c r="D356" s="23">
        <f t="shared" si="2"/>
        <v>0</v>
      </c>
      <c r="F356" s="45"/>
      <c r="H356" s="45"/>
      <c r="J356" s="45"/>
    </row>
    <row r="357">
      <c r="A357" s="22" t="s">
        <v>262</v>
      </c>
      <c r="B357" s="21">
        <f t="shared" si="1"/>
        <v>0</v>
      </c>
      <c r="C357" s="21" t="str">
        <f>VLOOKUP(A357, hash!A$2:B$500, 2, 0)</f>
        <v>65d65befec98c933c1065a43</v>
      </c>
      <c r="D357" s="23">
        <f t="shared" si="2"/>
        <v>0</v>
      </c>
      <c r="F357" s="45"/>
      <c r="H357" s="45"/>
      <c r="J357" s="45"/>
    </row>
    <row r="358">
      <c r="A358" s="22" t="s">
        <v>263</v>
      </c>
      <c r="B358" s="21">
        <f t="shared" si="1"/>
        <v>0</v>
      </c>
      <c r="C358" s="21" t="str">
        <f>VLOOKUP(A358, hash!A$2:B$500, 2, 0)</f>
        <v>65fb2f31f305810d3c392009</v>
      </c>
      <c r="D358" s="23">
        <f t="shared" si="2"/>
        <v>0</v>
      </c>
      <c r="F358" s="45"/>
      <c r="H358" s="45"/>
      <c r="J358" s="45"/>
    </row>
    <row r="359">
      <c r="A359" s="22" t="s">
        <v>639</v>
      </c>
      <c r="B359" s="21">
        <f t="shared" si="1"/>
        <v>0</v>
      </c>
      <c r="C359" s="21" t="str">
        <f>VLOOKUP(A359, hash!A$2:B$500, 2, 0)</f>
        <v>#N/A</v>
      </c>
      <c r="D359" s="23">
        <f t="shared" si="2"/>
        <v>0</v>
      </c>
      <c r="F359" s="45"/>
      <c r="H359" s="45"/>
      <c r="J359" s="45"/>
    </row>
    <row r="360">
      <c r="A360" s="22" t="s">
        <v>264</v>
      </c>
      <c r="B360" s="21">
        <f t="shared" si="1"/>
        <v>0</v>
      </c>
      <c r="C360" s="21" t="str">
        <f>VLOOKUP(A360, hash!A$2:B$500, 2, 0)</f>
        <v>661437cbd0884a240a6505ae</v>
      </c>
      <c r="D360" s="23">
        <f t="shared" si="2"/>
        <v>0</v>
      </c>
      <c r="F360" s="45"/>
      <c r="H360" s="45"/>
      <c r="J360" s="45"/>
    </row>
    <row r="361">
      <c r="A361" s="22" t="s">
        <v>265</v>
      </c>
      <c r="B361" s="21">
        <f t="shared" si="1"/>
        <v>0</v>
      </c>
      <c r="C361" s="21" t="str">
        <f>VLOOKUP(A361, hash!A$2:B$500, 2, 0)</f>
        <v>66144853927e0e420e0cbc96</v>
      </c>
      <c r="D361" s="23">
        <f t="shared" si="2"/>
        <v>0</v>
      </c>
      <c r="F361" s="45"/>
      <c r="H361" s="45"/>
      <c r="J361" s="45"/>
    </row>
    <row r="362">
      <c r="A362" s="22" t="s">
        <v>266</v>
      </c>
      <c r="B362" s="21">
        <f t="shared" si="1"/>
        <v>0</v>
      </c>
      <c r="C362" s="21" t="str">
        <f>VLOOKUP(A362, hash!A$2:B$500, 2, 0)</f>
        <v>6614485b927e0e420e0cbc97</v>
      </c>
      <c r="D362" s="23">
        <f t="shared" si="2"/>
        <v>0</v>
      </c>
      <c r="F362" s="45"/>
      <c r="H362" s="45"/>
      <c r="J362" s="45"/>
    </row>
    <row r="363">
      <c r="A363" s="22" t="s">
        <v>267</v>
      </c>
      <c r="B363" s="21">
        <f t="shared" si="1"/>
        <v>0</v>
      </c>
      <c r="C363" s="21" t="str">
        <f>VLOOKUP(A363, hash!A$2:B$500, 2, 0)</f>
        <v>6614485f927e0e420e0cbc99</v>
      </c>
      <c r="D363" s="23">
        <f t="shared" si="2"/>
        <v>0</v>
      </c>
      <c r="F363" s="45"/>
      <c r="H363" s="45"/>
      <c r="J363" s="45"/>
    </row>
    <row r="364">
      <c r="A364" s="22" t="s">
        <v>640</v>
      </c>
      <c r="B364" s="21">
        <f t="shared" si="1"/>
        <v>0</v>
      </c>
      <c r="C364" s="21" t="str">
        <f>VLOOKUP(A364, hash!A$2:B$500, 2, 0)</f>
        <v>#N/A</v>
      </c>
      <c r="D364" s="23">
        <f t="shared" si="2"/>
        <v>0</v>
      </c>
      <c r="F364" s="45"/>
      <c r="H364" s="45"/>
      <c r="J364" s="45"/>
    </row>
    <row r="365">
      <c r="A365" s="22" t="s">
        <v>641</v>
      </c>
      <c r="B365" s="21">
        <f t="shared" si="1"/>
        <v>0</v>
      </c>
      <c r="C365" s="21" t="str">
        <f>VLOOKUP(A365, hash!A$2:B$500, 2, 0)</f>
        <v>#N/A</v>
      </c>
      <c r="D365" s="23">
        <f t="shared" si="2"/>
        <v>0</v>
      </c>
      <c r="F365" s="45"/>
      <c r="H365" s="45"/>
      <c r="J365" s="45"/>
    </row>
    <row r="366">
      <c r="A366" s="22" t="s">
        <v>268</v>
      </c>
      <c r="B366" s="21">
        <f t="shared" si="1"/>
        <v>0</v>
      </c>
      <c r="C366" s="21" t="str">
        <f>VLOOKUP(A366, hash!A$2:B$500, 2, 0)</f>
        <v>662950e951eb7e9e714289d0</v>
      </c>
      <c r="D366" s="23">
        <f t="shared" si="2"/>
        <v>0</v>
      </c>
      <c r="F366" s="45"/>
      <c r="H366" s="45"/>
      <c r="J366" s="45"/>
    </row>
    <row r="367">
      <c r="A367" s="22" t="s">
        <v>269</v>
      </c>
      <c r="B367" s="21">
        <f t="shared" si="1"/>
        <v>0</v>
      </c>
      <c r="C367" s="21" t="str">
        <f>VLOOKUP(A367, hash!A$2:B$500, 2, 0)</f>
        <v>66328a4fa55f727a8c1b9f8b</v>
      </c>
      <c r="D367" s="23">
        <f t="shared" si="2"/>
        <v>0</v>
      </c>
      <c r="F367" s="45"/>
      <c r="H367" s="45"/>
      <c r="J367" s="45"/>
    </row>
    <row r="368">
      <c r="A368" s="22" t="s">
        <v>270</v>
      </c>
      <c r="B368" s="21">
        <f t="shared" si="1"/>
        <v>0</v>
      </c>
      <c r="C368" s="21" t="str">
        <f>VLOOKUP(A368, hash!A$2:B$500, 2, 0)</f>
        <v>66328a501875b701f3af072f</v>
      </c>
      <c r="D368" s="23">
        <f t="shared" si="2"/>
        <v>0</v>
      </c>
      <c r="F368" s="45"/>
      <c r="H368" s="45"/>
      <c r="J368" s="45"/>
    </row>
    <row r="369">
      <c r="A369" s="22" t="s">
        <v>271</v>
      </c>
      <c r="B369" s="21">
        <f t="shared" si="1"/>
        <v>0</v>
      </c>
      <c r="C369" s="21" t="str">
        <f>VLOOKUP(A369, hash!A$2:B$500, 2, 0)</f>
        <v>663a810cfd55cc6d42fc3373</v>
      </c>
      <c r="D369" s="23">
        <f t="shared" si="2"/>
        <v>0</v>
      </c>
      <c r="F369" s="45"/>
      <c r="H369" s="45"/>
      <c r="J369" s="45"/>
    </row>
    <row r="370">
      <c r="A370" s="22" t="s">
        <v>273</v>
      </c>
      <c r="B370" s="21">
        <f t="shared" si="1"/>
        <v>0</v>
      </c>
      <c r="C370" s="21" t="str">
        <f>VLOOKUP(A370, hash!A$2:B$500, 2, 0)</f>
        <v>664e3a49317dec867b3ddb30</v>
      </c>
      <c r="D370" s="23">
        <f t="shared" si="2"/>
        <v>0</v>
      </c>
      <c r="F370" s="45"/>
      <c r="H370" s="45"/>
      <c r="J370" s="45"/>
    </row>
    <row r="371">
      <c r="A371" s="22" t="s">
        <v>274</v>
      </c>
      <c r="B371" s="21">
        <f t="shared" si="1"/>
        <v>0</v>
      </c>
      <c r="C371" s="21" t="str">
        <f>VLOOKUP(A371, hash!A$2:B$500, 2, 0)</f>
        <v>664e45f07cadce18e9e94600</v>
      </c>
      <c r="D371" s="23">
        <f t="shared" si="2"/>
        <v>0</v>
      </c>
      <c r="F371" s="45"/>
      <c r="H371" s="45"/>
      <c r="J371" s="45"/>
    </row>
    <row r="372">
      <c r="A372" s="22" t="s">
        <v>275</v>
      </c>
      <c r="B372" s="21">
        <f t="shared" si="1"/>
        <v>0</v>
      </c>
      <c r="C372" s="21" t="str">
        <f>VLOOKUP(A372, hash!A$2:B$500, 2, 0)</f>
        <v>665773d4af4d86d206115ffb</v>
      </c>
      <c r="D372" s="23">
        <f t="shared" si="2"/>
        <v>0</v>
      </c>
      <c r="F372" s="45"/>
      <c r="H372" s="45"/>
      <c r="J372" s="45"/>
    </row>
    <row r="373">
      <c r="A373" s="22" t="s">
        <v>642</v>
      </c>
      <c r="B373" s="21">
        <f t="shared" si="1"/>
        <v>0</v>
      </c>
      <c r="C373" s="21" t="str">
        <f>VLOOKUP(A373, hash!A$2:B$500, 2, 0)</f>
        <v>#N/A</v>
      </c>
      <c r="D373" s="23">
        <f t="shared" si="2"/>
        <v>0</v>
      </c>
      <c r="F373" s="45"/>
      <c r="H373" s="45"/>
      <c r="J373" s="45"/>
    </row>
    <row r="374">
      <c r="A374" s="22" t="s">
        <v>643</v>
      </c>
      <c r="B374" s="21">
        <f t="shared" si="1"/>
        <v>0</v>
      </c>
      <c r="C374" s="21" t="str">
        <f>VLOOKUP(A374, hash!A$2:B$500, 2, 0)</f>
        <v>#N/A</v>
      </c>
      <c r="D374" s="23">
        <f t="shared" si="2"/>
        <v>0</v>
      </c>
      <c r="F374" s="45"/>
      <c r="H374" s="45"/>
      <c r="J374" s="45"/>
    </row>
    <row r="375">
      <c r="A375" s="22" t="s">
        <v>276</v>
      </c>
      <c r="B375" s="21">
        <f t="shared" si="1"/>
        <v>0</v>
      </c>
      <c r="C375" s="21" t="str">
        <f>VLOOKUP(A375, hash!A$2:B$500, 2, 0)</f>
        <v>66cac517e3728ef7a173d5b4</v>
      </c>
      <c r="D375" s="23">
        <f t="shared" si="2"/>
        <v>0</v>
      </c>
      <c r="F375" s="45"/>
      <c r="H375" s="45"/>
      <c r="J375" s="45"/>
    </row>
    <row r="376">
      <c r="A376" s="22" t="s">
        <v>277</v>
      </c>
      <c r="B376" s="21">
        <f t="shared" si="1"/>
        <v>0</v>
      </c>
      <c r="C376" s="21" t="str">
        <f>VLOOKUP(A376, hash!A$2:B$500, 2, 0)</f>
        <v>66d4dfe22c49b6570be6d76d</v>
      </c>
      <c r="D376" s="23">
        <f t="shared" si="2"/>
        <v>0</v>
      </c>
      <c r="E376" s="14">
        <v>0.0</v>
      </c>
      <c r="F376" s="27"/>
      <c r="H376" s="27"/>
      <c r="J376" s="27"/>
    </row>
    <row r="377">
      <c r="A377" s="22" t="s">
        <v>278</v>
      </c>
      <c r="B377" s="21">
        <f t="shared" si="1"/>
        <v>0</v>
      </c>
      <c r="C377" s="21" t="str">
        <f>VLOOKUP(A377, hash!A$2:B$500, 2, 0)</f>
        <v>66db0378ada861be3f1186a3</v>
      </c>
      <c r="D377" s="23">
        <f t="shared" si="2"/>
        <v>0</v>
      </c>
      <c r="F377" s="45"/>
      <c r="H377" s="45"/>
      <c r="J377" s="45"/>
    </row>
    <row r="378">
      <c r="A378" s="22" t="s">
        <v>279</v>
      </c>
      <c r="B378" s="21">
        <f t="shared" si="1"/>
        <v>0</v>
      </c>
      <c r="C378" s="21" t="str">
        <f>VLOOKUP(A378, hash!A$2:B$500, 2, 0)</f>
        <v>66dfaa6ed25069720af3c493</v>
      </c>
      <c r="D378" s="23">
        <f t="shared" si="2"/>
        <v>0</v>
      </c>
      <c r="F378" s="27"/>
      <c r="H378" s="27"/>
      <c r="J378" s="27"/>
    </row>
    <row r="379">
      <c r="A379" s="22" t="s">
        <v>280</v>
      </c>
      <c r="B379" s="21">
        <f t="shared" si="1"/>
        <v>0</v>
      </c>
      <c r="C379" s="21" t="str">
        <f>VLOOKUP(A379, hash!A$2:B$500, 2, 0)</f>
        <v>66e1e0ef855f2a7e8fb837e2</v>
      </c>
      <c r="D379" s="23">
        <f t="shared" si="2"/>
        <v>0</v>
      </c>
      <c r="F379" s="45"/>
      <c r="H379" s="45"/>
      <c r="J379" s="45"/>
    </row>
    <row r="380">
      <c r="A380" s="22" t="s">
        <v>281</v>
      </c>
      <c r="B380" s="21">
        <f t="shared" si="1"/>
        <v>0</v>
      </c>
      <c r="C380" s="21" t="str">
        <f>VLOOKUP(A380, hash!A$2:B$500, 2, 0)</f>
        <v>66e1e0fe855f2a7e8fb837e3</v>
      </c>
      <c r="D380" s="23">
        <f t="shared" si="2"/>
        <v>0</v>
      </c>
      <c r="F380" s="45"/>
      <c r="H380" s="45"/>
      <c r="J380" s="45"/>
    </row>
    <row r="381">
      <c r="A381" s="22" t="s">
        <v>282</v>
      </c>
      <c r="B381" s="21">
        <f t="shared" si="1"/>
        <v>0</v>
      </c>
      <c r="C381" s="21" t="str">
        <f>VLOOKUP(A381, hash!A$2:B$500, 2, 0)</f>
        <v>66e1e105a61e89c7c68f6e30</v>
      </c>
      <c r="D381" s="23">
        <f t="shared" si="2"/>
        <v>0</v>
      </c>
      <c r="F381" s="45"/>
      <c r="H381" s="45"/>
      <c r="J381" s="45"/>
    </row>
    <row r="382">
      <c r="A382" s="22" t="s">
        <v>283</v>
      </c>
      <c r="B382" s="21">
        <f t="shared" si="1"/>
        <v>0</v>
      </c>
      <c r="C382" s="21" t="str">
        <f>VLOOKUP(A382, hash!A$2:B$500, 2, 0)</f>
        <v>66e1e10bdb315cbd40043fc3</v>
      </c>
      <c r="D382" s="23">
        <f t="shared" si="2"/>
        <v>0</v>
      </c>
      <c r="F382" s="45"/>
      <c r="H382" s="45"/>
      <c r="J382" s="45"/>
    </row>
    <row r="383">
      <c r="A383" s="22" t="s">
        <v>284</v>
      </c>
      <c r="B383" s="21">
        <f t="shared" si="1"/>
        <v>0</v>
      </c>
      <c r="C383" s="21" t="str">
        <f>VLOOKUP(A383, hash!A$2:B$500, 2, 0)</f>
        <v>66e1e111f0db8f5922c91d81</v>
      </c>
      <c r="D383" s="23">
        <f t="shared" si="2"/>
        <v>0</v>
      </c>
      <c r="F383" s="45"/>
      <c r="H383" s="45"/>
      <c r="J383" s="45"/>
    </row>
    <row r="384">
      <c r="A384" s="22" t="s">
        <v>285</v>
      </c>
      <c r="B384" s="21">
        <f t="shared" si="1"/>
        <v>0</v>
      </c>
      <c r="C384" s="21" t="str">
        <f>VLOOKUP(A384, hash!A$2:B$500, 2, 0)</f>
        <v>66e1e116f0db8f5922c91d82</v>
      </c>
      <c r="D384" s="23">
        <f t="shared" si="2"/>
        <v>0</v>
      </c>
      <c r="F384" s="45"/>
      <c r="H384" s="45"/>
      <c r="J384" s="45"/>
    </row>
    <row r="385">
      <c r="A385" s="22" t="s">
        <v>286</v>
      </c>
      <c r="B385" s="21">
        <f t="shared" si="1"/>
        <v>0</v>
      </c>
      <c r="C385" s="21" t="str">
        <f>VLOOKUP(A385, hash!A$2:B$500, 2, 0)</f>
        <v>66e1e1187a8e6dc2aed3a63d</v>
      </c>
      <c r="D385" s="23">
        <f t="shared" si="2"/>
        <v>0</v>
      </c>
      <c r="F385" s="45"/>
      <c r="H385" s="45"/>
      <c r="J385" s="45"/>
    </row>
    <row r="386">
      <c r="A386" s="22" t="s">
        <v>287</v>
      </c>
      <c r="B386" s="21">
        <f t="shared" si="1"/>
        <v>0</v>
      </c>
      <c r="C386" s="21" t="str">
        <f>VLOOKUP(A386, hash!A$2:B$500, 2, 0)</f>
        <v>66e1e119f0db8f5922c91d83</v>
      </c>
      <c r="D386" s="23">
        <f t="shared" si="2"/>
        <v>0</v>
      </c>
      <c r="F386" s="45"/>
      <c r="H386" s="45"/>
      <c r="J386" s="45"/>
    </row>
    <row r="387">
      <c r="A387" s="22" t="s">
        <v>288</v>
      </c>
      <c r="B387" s="21">
        <f t="shared" si="1"/>
        <v>0</v>
      </c>
      <c r="C387" s="21" t="str">
        <f>VLOOKUP(A387, hash!A$2:B$500, 2, 0)</f>
        <v>66e1e11f45950d34f313912f</v>
      </c>
      <c r="D387" s="23">
        <f t="shared" si="2"/>
        <v>0</v>
      </c>
      <c r="F387" s="45"/>
      <c r="H387" s="45"/>
      <c r="J387" s="45"/>
    </row>
    <row r="388">
      <c r="A388" s="22" t="s">
        <v>100</v>
      </c>
      <c r="B388" s="21">
        <f t="shared" si="1"/>
        <v>0</v>
      </c>
      <c r="C388" s="21" t="str">
        <f>VLOOKUP(A388, hash!A$2:B$500, 2, 0)</f>
        <v>66e1e1207a8e6dc2aed3a63e</v>
      </c>
      <c r="D388" s="23">
        <f t="shared" si="2"/>
        <v>0</v>
      </c>
      <c r="F388" s="27"/>
      <c r="H388" s="27"/>
      <c r="J388" s="27"/>
    </row>
    <row r="389">
      <c r="A389" s="22" t="s">
        <v>289</v>
      </c>
      <c r="B389" s="21">
        <f t="shared" si="1"/>
        <v>0</v>
      </c>
      <c r="C389" s="21" t="str">
        <f>VLOOKUP(A389, hash!A$2:B$500, 2, 0)</f>
        <v>66e1e1217a8e6dc2aed3a63f</v>
      </c>
      <c r="D389" s="23">
        <f t="shared" si="2"/>
        <v>0</v>
      </c>
      <c r="F389" s="45"/>
      <c r="H389" s="45"/>
      <c r="J389" s="45"/>
    </row>
    <row r="390">
      <c r="A390" s="22" t="s">
        <v>50</v>
      </c>
      <c r="B390" s="21">
        <f t="shared" si="1"/>
        <v>0</v>
      </c>
      <c r="C390" s="21" t="str">
        <f>VLOOKUP(A390, hash!A$2:B$500, 2, 0)</f>
        <v>66e1e1227a8e6dc2aed3a641</v>
      </c>
      <c r="D390" s="23">
        <f t="shared" si="2"/>
        <v>0</v>
      </c>
      <c r="F390" s="45"/>
      <c r="H390" s="45"/>
      <c r="J390" s="45"/>
    </row>
    <row r="391">
      <c r="A391" s="22" t="s">
        <v>291</v>
      </c>
      <c r="B391" s="21">
        <f t="shared" si="1"/>
        <v>0</v>
      </c>
      <c r="C391" s="21" t="str">
        <f>VLOOKUP(A391, hash!A$2:B$500, 2, 0)</f>
        <v>66e1e122e2fbdff8a0c35634</v>
      </c>
      <c r="D391" s="23">
        <f t="shared" si="2"/>
        <v>0</v>
      </c>
      <c r="F391" s="27"/>
      <c r="H391" s="27"/>
      <c r="J391" s="27"/>
    </row>
    <row r="392">
      <c r="A392" s="22" t="s">
        <v>292</v>
      </c>
      <c r="B392" s="21">
        <f t="shared" si="1"/>
        <v>0</v>
      </c>
      <c r="C392" s="21" t="str">
        <f>VLOOKUP(A392, hash!A$2:B$500, 2, 0)</f>
        <v>66e1e1257a8e6dc2aed3a643</v>
      </c>
      <c r="D392" s="23">
        <f t="shared" si="2"/>
        <v>0</v>
      </c>
      <c r="F392" s="45"/>
      <c r="H392" s="45"/>
      <c r="J392" s="45"/>
    </row>
    <row r="393">
      <c r="A393" s="22" t="s">
        <v>16</v>
      </c>
      <c r="B393" s="21">
        <f t="shared" si="1"/>
        <v>0</v>
      </c>
      <c r="C393" s="21" t="str">
        <f>VLOOKUP(A393, hash!A$2:B$500, 2, 0)</f>
        <v>66e1e1267a8e6dc2aed3a644</v>
      </c>
      <c r="D393" s="23">
        <f t="shared" si="2"/>
        <v>0</v>
      </c>
      <c r="F393" s="45"/>
      <c r="H393" s="45"/>
      <c r="J393" s="45"/>
    </row>
    <row r="394">
      <c r="A394" s="22" t="s">
        <v>294</v>
      </c>
      <c r="B394" s="21">
        <f t="shared" si="1"/>
        <v>0</v>
      </c>
      <c r="C394" s="21" t="str">
        <f>VLOOKUP(A394, hash!A$2:B$500, 2, 0)</f>
        <v>66e1e127e2fbdff8a0c35636</v>
      </c>
      <c r="D394" s="23">
        <f t="shared" si="2"/>
        <v>0</v>
      </c>
      <c r="F394" s="45"/>
      <c r="H394" s="45"/>
      <c r="J394" s="45"/>
    </row>
    <row r="395">
      <c r="A395" s="22" t="s">
        <v>295</v>
      </c>
      <c r="B395" s="21">
        <f t="shared" si="1"/>
        <v>0</v>
      </c>
      <c r="C395" s="21" t="str">
        <f>VLOOKUP(A395, hash!A$2:B$500, 2, 0)</f>
        <v>66e1e128f0db8f5922c91d86</v>
      </c>
      <c r="D395" s="23">
        <f t="shared" si="2"/>
        <v>0</v>
      </c>
      <c r="F395" s="45"/>
      <c r="H395" s="45"/>
      <c r="J395" s="45"/>
    </row>
    <row r="396">
      <c r="A396" s="22" t="s">
        <v>296</v>
      </c>
      <c r="B396" s="21">
        <f t="shared" si="1"/>
        <v>0</v>
      </c>
      <c r="C396" s="21" t="str">
        <f>VLOOKUP(A396, hash!A$2:B$500, 2, 0)</f>
        <v>66e1e129f0db8f5922c91d87</v>
      </c>
      <c r="D396" s="23">
        <f t="shared" si="2"/>
        <v>0</v>
      </c>
      <c r="F396" s="45"/>
      <c r="H396" s="45"/>
      <c r="J396" s="45"/>
    </row>
    <row r="397">
      <c r="A397" s="22" t="s">
        <v>62</v>
      </c>
      <c r="B397" s="21">
        <f t="shared" si="1"/>
        <v>0</v>
      </c>
      <c r="C397" s="21" t="str">
        <f>VLOOKUP(A397, hash!A$2:B$500, 2, 0)</f>
        <v>66e1e12a45950d34f3139132</v>
      </c>
      <c r="D397" s="23">
        <f t="shared" si="2"/>
        <v>0</v>
      </c>
      <c r="F397" s="45"/>
      <c r="H397" s="45"/>
      <c r="J397" s="45"/>
    </row>
    <row r="398">
      <c r="A398" s="22" t="s">
        <v>297</v>
      </c>
      <c r="B398" s="21">
        <f t="shared" si="1"/>
        <v>0</v>
      </c>
      <c r="C398" s="21" t="str">
        <f>VLOOKUP(A398, hash!A$2:B$500, 2, 0)</f>
        <v>66e1e12bf0db8f5922c91d88</v>
      </c>
      <c r="D398" s="23">
        <f t="shared" si="2"/>
        <v>0</v>
      </c>
      <c r="F398" s="27"/>
      <c r="H398" s="27"/>
      <c r="J398" s="27"/>
    </row>
    <row r="399">
      <c r="A399" s="22" t="s">
        <v>299</v>
      </c>
      <c r="B399" s="21">
        <f t="shared" si="1"/>
        <v>0</v>
      </c>
      <c r="C399" s="21" t="str">
        <f>VLOOKUP(A399, hash!A$2:B$500, 2, 0)</f>
        <v>66e1e12c68fa766abf5d11d7</v>
      </c>
      <c r="D399" s="23">
        <f t="shared" si="2"/>
        <v>0</v>
      </c>
      <c r="F399" s="45"/>
      <c r="H399" s="45"/>
      <c r="J399" s="45"/>
    </row>
    <row r="400">
      <c r="A400" s="22" t="s">
        <v>300</v>
      </c>
      <c r="B400" s="21">
        <f t="shared" si="1"/>
        <v>0</v>
      </c>
      <c r="C400" s="21" t="str">
        <f>VLOOKUP(A400, hash!A$2:B$500, 2, 0)</f>
        <v>66e1e12df0db8f5922c91d8a</v>
      </c>
      <c r="D400" s="23">
        <f t="shared" si="2"/>
        <v>0</v>
      </c>
      <c r="F400" s="45"/>
      <c r="H400" s="45"/>
      <c r="J400" s="45"/>
    </row>
    <row r="401">
      <c r="A401" s="22" t="s">
        <v>301</v>
      </c>
      <c r="B401" s="21">
        <f t="shared" si="1"/>
        <v>0</v>
      </c>
      <c r="C401" s="21" t="str">
        <f>VLOOKUP(A401, hash!A$2:B$500, 2, 0)</f>
        <v>66e1e12ee2fbdff8a0c3563a</v>
      </c>
      <c r="D401" s="23">
        <f t="shared" si="2"/>
        <v>0</v>
      </c>
      <c r="F401" s="45"/>
      <c r="H401" s="45"/>
      <c r="J401" s="45"/>
    </row>
    <row r="402">
      <c r="A402" s="22" t="s">
        <v>302</v>
      </c>
      <c r="B402" s="21">
        <f t="shared" si="1"/>
        <v>0</v>
      </c>
      <c r="C402" s="21" t="str">
        <f>VLOOKUP(A402, hash!A$2:B$500, 2, 0)</f>
        <v>66e1e12f7a8e6dc2aed3a646</v>
      </c>
      <c r="D402" s="23">
        <f t="shared" si="2"/>
        <v>0</v>
      </c>
      <c r="E402" s="14">
        <v>0.0</v>
      </c>
      <c r="F402" s="27"/>
      <c r="H402" s="27"/>
      <c r="J402" s="27"/>
    </row>
    <row r="403">
      <c r="A403" s="22" t="s">
        <v>304</v>
      </c>
      <c r="B403" s="21">
        <f t="shared" si="1"/>
        <v>0</v>
      </c>
      <c r="C403" s="21" t="str">
        <f>VLOOKUP(A403, hash!A$2:B$500, 2, 0)</f>
        <v>66e1e139f0db8f5922c91d8d</v>
      </c>
      <c r="D403" s="23">
        <f t="shared" si="2"/>
        <v>0</v>
      </c>
      <c r="F403" s="45"/>
      <c r="H403" s="45"/>
      <c r="J403" s="45"/>
    </row>
    <row r="404">
      <c r="A404" s="22" t="s">
        <v>307</v>
      </c>
      <c r="B404" s="21">
        <f t="shared" si="1"/>
        <v>0</v>
      </c>
      <c r="C404" s="21" t="str">
        <f>VLOOKUP(A404, hash!A$2:B$500, 2, 0)</f>
        <v>66e1e14b7a8e6dc2aed3a649</v>
      </c>
      <c r="D404" s="23">
        <f t="shared" si="2"/>
        <v>0</v>
      </c>
      <c r="F404" s="45"/>
      <c r="H404" s="45"/>
      <c r="J404" s="45"/>
    </row>
    <row r="405">
      <c r="A405" s="22" t="s">
        <v>308</v>
      </c>
      <c r="B405" s="21">
        <f t="shared" si="1"/>
        <v>0</v>
      </c>
      <c r="C405" s="21" t="str">
        <f>VLOOKUP(A405, hash!A$2:B$500, 2, 0)</f>
        <v>66e1e14cf0db8f5922c91d94</v>
      </c>
      <c r="D405" s="23">
        <f t="shared" si="2"/>
        <v>0</v>
      </c>
      <c r="F405" s="45"/>
      <c r="H405" s="45"/>
      <c r="J405" s="45"/>
    </row>
    <row r="406">
      <c r="A406" s="22" t="s">
        <v>309</v>
      </c>
      <c r="B406" s="21">
        <f t="shared" si="1"/>
        <v>0</v>
      </c>
      <c r="C406" s="21" t="str">
        <f>VLOOKUP(A406, hash!A$2:B$500, 2, 0)</f>
        <v>66e1e200bbd279710a4f25a0</v>
      </c>
      <c r="D406" s="23">
        <f t="shared" si="2"/>
        <v>0</v>
      </c>
      <c r="F406" s="27"/>
      <c r="H406" s="27"/>
      <c r="J406" s="27"/>
    </row>
    <row r="407">
      <c r="A407" s="22" t="s">
        <v>38</v>
      </c>
      <c r="B407" s="21">
        <f t="shared" si="1"/>
        <v>0</v>
      </c>
      <c r="C407" s="21" t="str">
        <f>VLOOKUP(A407, hash!A$2:B$500, 2, 0)</f>
        <v>66e1e295c67d6a88d4309dde</v>
      </c>
      <c r="D407" s="23">
        <f t="shared" si="2"/>
        <v>0</v>
      </c>
      <c r="F407" s="45"/>
      <c r="H407" s="45"/>
      <c r="J407" s="45"/>
    </row>
    <row r="408">
      <c r="A408" s="22" t="s">
        <v>310</v>
      </c>
      <c r="B408" s="21">
        <f t="shared" si="1"/>
        <v>0</v>
      </c>
      <c r="C408" s="21" t="str">
        <f>VLOOKUP(A408, hash!A$2:B$500, 2, 0)</f>
        <v>66e1ed7ce62f650d943808d3</v>
      </c>
      <c r="D408" s="23">
        <f t="shared" si="2"/>
        <v>0</v>
      </c>
      <c r="F408" s="45"/>
      <c r="H408" s="45"/>
      <c r="J408" s="45"/>
    </row>
    <row r="409">
      <c r="A409" s="22" t="s">
        <v>311</v>
      </c>
      <c r="B409" s="21">
        <f t="shared" si="1"/>
        <v>0</v>
      </c>
      <c r="C409" s="21" t="str">
        <f>VLOOKUP(A409, hash!A$2:B$500, 2, 0)</f>
        <v>66e1ed80e62f650d943808d4</v>
      </c>
      <c r="D409" s="23">
        <f t="shared" si="2"/>
        <v>0</v>
      </c>
      <c r="F409" s="45"/>
      <c r="H409" s="45"/>
      <c r="J409" s="45"/>
    </row>
    <row r="410">
      <c r="A410" s="22" t="s">
        <v>313</v>
      </c>
      <c r="B410" s="21">
        <f t="shared" si="1"/>
        <v>0</v>
      </c>
      <c r="C410" s="21" t="str">
        <f>VLOOKUP(A410, hash!A$2:B$500, 2, 0)</f>
        <v>66e1ed8677e929b3df889a0a</v>
      </c>
      <c r="D410" s="23">
        <f t="shared" si="2"/>
        <v>0</v>
      </c>
      <c r="F410" s="27"/>
      <c r="H410" s="27"/>
      <c r="J410" s="27"/>
    </row>
    <row r="411">
      <c r="A411" s="22" t="s">
        <v>314</v>
      </c>
      <c r="B411" s="21">
        <f t="shared" si="1"/>
        <v>0</v>
      </c>
      <c r="C411" s="21" t="str">
        <f>VLOOKUP(A411, hash!A$2:B$500, 2, 0)</f>
        <v>66e1ed871129889a3e2c24a9</v>
      </c>
      <c r="D411" s="23">
        <f t="shared" si="2"/>
        <v>0</v>
      </c>
      <c r="F411" s="45"/>
      <c r="H411" s="45"/>
      <c r="J411" s="45"/>
    </row>
    <row r="412">
      <c r="A412" s="22" t="s">
        <v>64</v>
      </c>
      <c r="B412" s="21">
        <f t="shared" si="1"/>
        <v>0</v>
      </c>
      <c r="C412" s="21" t="str">
        <f>VLOOKUP(A412, hash!A$2:B$500, 2, 0)</f>
        <v>66e1ed8c1129889a3e2c24aa</v>
      </c>
      <c r="D412" s="23">
        <f t="shared" si="2"/>
        <v>0</v>
      </c>
      <c r="F412" s="45"/>
      <c r="H412" s="45"/>
      <c r="J412" s="45"/>
    </row>
    <row r="413">
      <c r="A413" s="22" t="s">
        <v>315</v>
      </c>
      <c r="B413" s="21">
        <f t="shared" si="1"/>
        <v>0</v>
      </c>
      <c r="C413" s="21" t="str">
        <f>VLOOKUP(A413, hash!A$2:B$500, 2, 0)</f>
        <v>66e1ed901129889a3e2c24ac</v>
      </c>
      <c r="D413" s="23">
        <f t="shared" si="2"/>
        <v>0</v>
      </c>
      <c r="F413" s="45"/>
      <c r="H413" s="45"/>
      <c r="J413" s="45"/>
    </row>
    <row r="414">
      <c r="A414" s="22" t="s">
        <v>316</v>
      </c>
      <c r="B414" s="21">
        <f t="shared" si="1"/>
        <v>0</v>
      </c>
      <c r="C414" s="21" t="str">
        <f>VLOOKUP(A414, hash!A$2:B$500, 2, 0)</f>
        <v>66e1ed9207067318cc1e18cb</v>
      </c>
      <c r="D414" s="23">
        <f t="shared" si="2"/>
        <v>0</v>
      </c>
      <c r="F414" s="45"/>
      <c r="H414" s="45"/>
      <c r="J414" s="45"/>
    </row>
    <row r="415">
      <c r="A415" s="22" t="s">
        <v>317</v>
      </c>
      <c r="B415" s="21">
        <f t="shared" si="1"/>
        <v>0</v>
      </c>
      <c r="C415" s="21" t="str">
        <f>VLOOKUP(A415, hash!A$2:B$500, 2, 0)</f>
        <v>66e1ed9207067318cc1e18cc</v>
      </c>
      <c r="D415" s="23">
        <f t="shared" si="2"/>
        <v>0</v>
      </c>
      <c r="F415" s="45"/>
      <c r="H415" s="45"/>
      <c r="J415" s="45"/>
    </row>
    <row r="416">
      <c r="A416" s="22" t="s">
        <v>319</v>
      </c>
      <c r="B416" s="21">
        <f t="shared" si="1"/>
        <v>0</v>
      </c>
      <c r="C416" s="21" t="str">
        <f>VLOOKUP(A416, hash!A$2:B$500, 2, 0)</f>
        <v>66e1ed96e62f650d943808d5</v>
      </c>
      <c r="D416" s="23">
        <f t="shared" si="2"/>
        <v>0</v>
      </c>
      <c r="F416" s="45"/>
      <c r="H416" s="45"/>
      <c r="J416" s="45"/>
    </row>
    <row r="417">
      <c r="A417" s="22" t="s">
        <v>320</v>
      </c>
      <c r="B417" s="21">
        <f t="shared" si="1"/>
        <v>0</v>
      </c>
      <c r="C417" s="21" t="str">
        <f>VLOOKUP(A417, hash!A$2:B$500, 2, 0)</f>
        <v>66e1ed97e62f650d943808d6</v>
      </c>
      <c r="D417" s="23">
        <f t="shared" si="2"/>
        <v>0</v>
      </c>
      <c r="F417" s="27"/>
      <c r="H417" s="27"/>
      <c r="J417" s="27"/>
    </row>
    <row r="418">
      <c r="A418" s="22" t="s">
        <v>321</v>
      </c>
      <c r="B418" s="21">
        <f t="shared" si="1"/>
        <v>0</v>
      </c>
      <c r="C418" s="21" t="str">
        <f>VLOOKUP(A418, hash!A$2:B$500, 2, 0)</f>
        <v>66e1ed9877e929b3df889a0b</v>
      </c>
      <c r="D418" s="23">
        <f t="shared" si="2"/>
        <v>0</v>
      </c>
      <c r="F418" s="27"/>
      <c r="H418" s="27"/>
      <c r="J418" s="27"/>
    </row>
    <row r="419">
      <c r="A419" s="22" t="s">
        <v>322</v>
      </c>
      <c r="B419" s="21">
        <f t="shared" si="1"/>
        <v>0</v>
      </c>
      <c r="C419" s="21" t="str">
        <f>VLOOKUP(A419, hash!A$2:B$500, 2, 0)</f>
        <v>66e1ed9877e929b3df889a0c</v>
      </c>
      <c r="D419" s="23">
        <f t="shared" si="2"/>
        <v>0</v>
      </c>
      <c r="F419" s="45"/>
      <c r="H419" s="45"/>
      <c r="J419" s="45"/>
    </row>
    <row r="420">
      <c r="A420" s="22" t="s">
        <v>323</v>
      </c>
      <c r="B420" s="21">
        <f t="shared" si="1"/>
        <v>0</v>
      </c>
      <c r="C420" s="21" t="str">
        <f>VLOOKUP(A420, hash!A$2:B$500, 2, 0)</f>
        <v>66e1ed98e62f650d943808d7</v>
      </c>
      <c r="D420" s="23">
        <f t="shared" si="2"/>
        <v>0</v>
      </c>
      <c r="F420" s="45"/>
      <c r="H420" s="45"/>
      <c r="J420" s="45"/>
    </row>
    <row r="421">
      <c r="A421" s="22" t="s">
        <v>324</v>
      </c>
      <c r="B421" s="21">
        <f t="shared" si="1"/>
        <v>0</v>
      </c>
      <c r="C421" s="21" t="str">
        <f>VLOOKUP(A421, hash!A$2:B$500, 2, 0)</f>
        <v>66e1ed9b535f0d0c02349bed</v>
      </c>
      <c r="D421" s="23">
        <f t="shared" si="2"/>
        <v>0</v>
      </c>
      <c r="F421" s="45"/>
      <c r="H421" s="45"/>
      <c r="J421" s="45"/>
    </row>
    <row r="422">
      <c r="A422" s="22" t="s">
        <v>325</v>
      </c>
      <c r="B422" s="21">
        <f t="shared" si="1"/>
        <v>0</v>
      </c>
      <c r="C422" s="21" t="str">
        <f>VLOOKUP(A422, hash!A$2:B$500, 2, 0)</f>
        <v>66e1ed9c07067318cc1e18ce</v>
      </c>
      <c r="D422" s="23">
        <f t="shared" si="2"/>
        <v>0</v>
      </c>
      <c r="E422" s="14">
        <v>0.0</v>
      </c>
      <c r="F422" s="27">
        <v>0.0</v>
      </c>
      <c r="G422" s="14">
        <v>0.0</v>
      </c>
      <c r="H422" s="27">
        <v>0.0</v>
      </c>
      <c r="I422" s="14">
        <v>0.0</v>
      </c>
      <c r="J422" s="27">
        <v>0.0</v>
      </c>
    </row>
    <row r="423">
      <c r="A423" s="22" t="s">
        <v>326</v>
      </c>
      <c r="B423" s="21">
        <f t="shared" si="1"/>
        <v>0</v>
      </c>
      <c r="C423" s="21" t="str">
        <f>VLOOKUP(A423, hash!A$2:B$500, 2, 0)</f>
        <v>66e1ed9e07067318cc1e18cf</v>
      </c>
      <c r="D423" s="23">
        <f t="shared" si="2"/>
        <v>0</v>
      </c>
      <c r="F423" s="45"/>
      <c r="H423" s="45"/>
      <c r="J423" s="45"/>
    </row>
    <row r="424">
      <c r="A424" s="22" t="s">
        <v>327</v>
      </c>
      <c r="B424" s="21">
        <f t="shared" si="1"/>
        <v>0</v>
      </c>
      <c r="C424" s="21" t="str">
        <f>VLOOKUP(A424, hash!A$2:B$500, 2, 0)</f>
        <v>66e1ed9f07067318cc1e18d0</v>
      </c>
      <c r="D424" s="23">
        <f t="shared" si="2"/>
        <v>0</v>
      </c>
      <c r="F424" s="45"/>
      <c r="H424" s="45"/>
      <c r="J424" s="45"/>
    </row>
    <row r="425">
      <c r="A425" s="22" t="s">
        <v>328</v>
      </c>
      <c r="B425" s="21">
        <f t="shared" si="1"/>
        <v>0</v>
      </c>
      <c r="C425" s="21" t="str">
        <f>VLOOKUP(A425, hash!A$2:B$500, 2, 0)</f>
        <v>66e1eda007067318cc1e18d1</v>
      </c>
      <c r="D425" s="23">
        <f t="shared" si="2"/>
        <v>0</v>
      </c>
      <c r="F425" s="45"/>
      <c r="H425" s="45"/>
      <c r="J425" s="45"/>
    </row>
    <row r="426">
      <c r="A426" s="22" t="s">
        <v>329</v>
      </c>
      <c r="B426" s="21">
        <f t="shared" si="1"/>
        <v>0</v>
      </c>
      <c r="C426" s="21" t="str">
        <f>VLOOKUP(A426, hash!A$2:B$500, 2, 0)</f>
        <v>66e1eda1535f0d0c02349bee</v>
      </c>
      <c r="D426" s="23">
        <f t="shared" si="2"/>
        <v>0</v>
      </c>
      <c r="F426" s="45"/>
      <c r="H426" s="45"/>
      <c r="J426" s="45"/>
    </row>
    <row r="427">
      <c r="A427" s="22" t="s">
        <v>330</v>
      </c>
      <c r="B427" s="21">
        <f t="shared" si="1"/>
        <v>0</v>
      </c>
      <c r="C427" s="21" t="str">
        <f>VLOOKUP(A427, hash!A$2:B$500, 2, 0)</f>
        <v>66e1eda5535f0d0c02349bef</v>
      </c>
      <c r="D427" s="23">
        <f t="shared" si="2"/>
        <v>0</v>
      </c>
      <c r="F427" s="45"/>
      <c r="H427" s="45"/>
      <c r="J427" s="27"/>
    </row>
    <row r="428">
      <c r="A428" s="22" t="s">
        <v>331</v>
      </c>
      <c r="B428" s="21">
        <f t="shared" si="1"/>
        <v>0</v>
      </c>
      <c r="C428" s="21" t="str">
        <f>VLOOKUP(A428, hash!A$2:B$500, 2, 0)</f>
        <v>66e1eda6535f0d0c02349bf0</v>
      </c>
      <c r="D428" s="23">
        <f t="shared" si="2"/>
        <v>0</v>
      </c>
      <c r="F428" s="45"/>
      <c r="H428" s="45"/>
      <c r="J428" s="45"/>
    </row>
    <row r="429">
      <c r="A429" s="22" t="s">
        <v>97</v>
      </c>
      <c r="B429" s="21">
        <f t="shared" si="1"/>
        <v>0</v>
      </c>
      <c r="C429" s="21" t="str">
        <f>VLOOKUP(A429, hash!A$2:B$500, 2, 0)</f>
        <v>66e1eda71129889a3e2c24ae</v>
      </c>
      <c r="D429" s="23">
        <f t="shared" si="2"/>
        <v>0</v>
      </c>
      <c r="F429" s="45"/>
      <c r="H429" s="45"/>
      <c r="J429" s="45"/>
    </row>
    <row r="430">
      <c r="A430" s="22" t="s">
        <v>332</v>
      </c>
      <c r="B430" s="21">
        <f t="shared" si="1"/>
        <v>0</v>
      </c>
      <c r="C430" s="21" t="str">
        <f>VLOOKUP(A430, hash!A$2:B$500, 2, 0)</f>
        <v>66e1eda81129889a3e2c24af</v>
      </c>
      <c r="D430" s="23">
        <f t="shared" si="2"/>
        <v>0</v>
      </c>
      <c r="F430" s="27"/>
      <c r="H430" s="27"/>
      <c r="J430" s="27"/>
    </row>
    <row r="431">
      <c r="A431" s="22" t="s">
        <v>333</v>
      </c>
      <c r="B431" s="21">
        <f t="shared" si="1"/>
        <v>0</v>
      </c>
      <c r="C431" s="21" t="str">
        <f>VLOOKUP(A431, hash!A$2:B$500, 2, 0)</f>
        <v>66e1eda807067318cc1e18d2</v>
      </c>
      <c r="D431" s="23">
        <f t="shared" si="2"/>
        <v>0</v>
      </c>
      <c r="F431" s="45"/>
      <c r="H431" s="45"/>
      <c r="J431" s="45"/>
    </row>
    <row r="432">
      <c r="A432" s="22" t="s">
        <v>90</v>
      </c>
      <c r="B432" s="21">
        <f t="shared" si="1"/>
        <v>0</v>
      </c>
      <c r="C432" s="21" t="str">
        <f>VLOOKUP(A432, hash!A$2:B$500, 2, 0)</f>
        <v>66e1edab07067318cc1e18d3</v>
      </c>
      <c r="D432" s="23">
        <f t="shared" si="2"/>
        <v>0</v>
      </c>
      <c r="F432" s="45"/>
      <c r="H432" s="45"/>
      <c r="J432" s="45"/>
    </row>
    <row r="433">
      <c r="A433" s="22" t="s">
        <v>334</v>
      </c>
      <c r="B433" s="21">
        <f t="shared" si="1"/>
        <v>0</v>
      </c>
      <c r="C433" s="21" t="str">
        <f>VLOOKUP(A433, hash!A$2:B$500, 2, 0)</f>
        <v>66e1edbc07067318cc1e18d8</v>
      </c>
      <c r="D433" s="23">
        <f t="shared" si="2"/>
        <v>0</v>
      </c>
      <c r="F433" s="45"/>
      <c r="H433" s="45"/>
      <c r="J433" s="45"/>
    </row>
    <row r="434">
      <c r="A434" s="22" t="s">
        <v>335</v>
      </c>
      <c r="B434" s="21">
        <f t="shared" si="1"/>
        <v>0</v>
      </c>
      <c r="C434" s="21" t="str">
        <f>VLOOKUP(A434, hash!A$2:B$500, 2, 0)</f>
        <v>66e1edd11129889a3e2c24ba</v>
      </c>
      <c r="D434" s="23">
        <f t="shared" si="2"/>
        <v>0</v>
      </c>
      <c r="F434" s="45"/>
      <c r="H434" s="45"/>
      <c r="J434" s="45"/>
    </row>
    <row r="435">
      <c r="A435" s="22" t="s">
        <v>336</v>
      </c>
      <c r="B435" s="21">
        <f t="shared" si="1"/>
        <v>0</v>
      </c>
      <c r="C435" s="21" t="str">
        <f>VLOOKUP(A435, hash!A$2:B$500, 2, 0)</f>
        <v>66e1ee9d77e929b3df889a14</v>
      </c>
      <c r="D435" s="23">
        <f t="shared" si="2"/>
        <v>0</v>
      </c>
      <c r="E435" s="14">
        <v>0.0</v>
      </c>
      <c r="F435" s="27">
        <v>0.0</v>
      </c>
      <c r="G435" s="14">
        <v>0.0</v>
      </c>
      <c r="H435" s="27">
        <v>0.0</v>
      </c>
      <c r="I435" s="14">
        <v>0.0</v>
      </c>
      <c r="J435" s="27">
        <v>0.0</v>
      </c>
    </row>
    <row r="436">
      <c r="A436" s="22" t="s">
        <v>337</v>
      </c>
      <c r="B436" s="21">
        <f t="shared" si="1"/>
        <v>0</v>
      </c>
      <c r="C436" s="21" t="str">
        <f>VLOOKUP(A436, hash!A$2:B$500, 2, 0)</f>
        <v>66e1f36e97e3bb4b1a02d659</v>
      </c>
      <c r="D436" s="23">
        <f t="shared" si="2"/>
        <v>0</v>
      </c>
      <c r="F436" s="45"/>
      <c r="H436" s="45"/>
      <c r="J436" s="45"/>
    </row>
    <row r="437">
      <c r="A437" s="22" t="s">
        <v>37</v>
      </c>
      <c r="B437" s="21">
        <f t="shared" si="1"/>
        <v>0</v>
      </c>
      <c r="C437" s="21" t="str">
        <f>VLOOKUP(A437, hash!A$2:B$500, 2, 0)</f>
        <v>66e21e0e9dc93e7d858c34ab</v>
      </c>
      <c r="D437" s="23">
        <f t="shared" si="2"/>
        <v>0</v>
      </c>
      <c r="F437" s="45"/>
      <c r="H437" s="45"/>
      <c r="J437" s="45"/>
    </row>
    <row r="438">
      <c r="A438" s="22" t="s">
        <v>98</v>
      </c>
      <c r="B438" s="21">
        <f t="shared" si="1"/>
        <v>0</v>
      </c>
      <c r="C438" s="21" t="str">
        <f>VLOOKUP(A438, hash!A$2:B$500, 2, 0)</f>
        <v>66e4659d317cf70a1c31109e</v>
      </c>
      <c r="D438" s="23">
        <f t="shared" si="2"/>
        <v>0</v>
      </c>
      <c r="F438" s="45"/>
      <c r="H438" s="45"/>
      <c r="J438" s="45"/>
    </row>
    <row r="439">
      <c r="A439" s="22" t="s">
        <v>338</v>
      </c>
      <c r="B439" s="21">
        <f t="shared" si="1"/>
        <v>0</v>
      </c>
      <c r="C439" s="21" t="str">
        <f>VLOOKUP(A439, hash!A$2:B$500, 2, 0)</f>
        <v>66ea1f306b0b246c2372bbac</v>
      </c>
      <c r="D439" s="23">
        <f t="shared" si="2"/>
        <v>0</v>
      </c>
      <c r="F439" s="45"/>
      <c r="H439" s="45"/>
      <c r="J439" s="45"/>
    </row>
    <row r="440">
      <c r="A440" s="22" t="s">
        <v>35</v>
      </c>
      <c r="B440" s="21">
        <f t="shared" si="1"/>
        <v>0</v>
      </c>
      <c r="C440" s="21" t="str">
        <f>VLOOKUP(A440, hash!A$2:B$500, 2, 0)</f>
        <v>66eb1b4237edf2b32f9fc2ec</v>
      </c>
      <c r="D440" s="23">
        <f t="shared" si="2"/>
        <v>0</v>
      </c>
      <c r="F440" s="45"/>
      <c r="H440" s="45"/>
      <c r="J440" s="45"/>
    </row>
    <row r="441">
      <c r="A441" s="22" t="s">
        <v>339</v>
      </c>
      <c r="B441" s="21">
        <f t="shared" si="1"/>
        <v>0</v>
      </c>
      <c r="C441" s="21" t="str">
        <f>VLOOKUP(A441, hash!A$2:B$500, 2, 0)</f>
        <v>66eb1bdf61b31c87a7ea090e</v>
      </c>
      <c r="D441" s="23">
        <f t="shared" si="2"/>
        <v>0</v>
      </c>
      <c r="F441" s="45"/>
      <c r="H441" s="45"/>
      <c r="J441" s="45"/>
    </row>
    <row r="442">
      <c r="A442" s="22" t="s">
        <v>340</v>
      </c>
      <c r="B442" s="21">
        <f t="shared" si="1"/>
        <v>0</v>
      </c>
      <c r="C442" s="21" t="str">
        <f>VLOOKUP(A442, hash!A$2:B$500, 2, 0)</f>
        <v>66eb1bedcb6c430d242f37c4</v>
      </c>
      <c r="D442" s="23">
        <f t="shared" si="2"/>
        <v>0</v>
      </c>
      <c r="F442" s="45"/>
      <c r="H442" s="45"/>
      <c r="J442" s="45"/>
    </row>
    <row r="443">
      <c r="A443" s="22" t="s">
        <v>341</v>
      </c>
      <c r="B443" s="21">
        <f t="shared" si="1"/>
        <v>0</v>
      </c>
      <c r="C443" s="21" t="str">
        <f>VLOOKUP(A443, hash!A$2:B$500, 2, 0)</f>
        <v>66eb1bf21132636931fb1927</v>
      </c>
      <c r="D443" s="23">
        <f t="shared" si="2"/>
        <v>0</v>
      </c>
      <c r="F443" s="27"/>
      <c r="H443" s="27"/>
      <c r="J443" s="27"/>
    </row>
    <row r="444">
      <c r="A444" s="22" t="s">
        <v>342</v>
      </c>
      <c r="B444" s="21">
        <f t="shared" si="1"/>
        <v>0</v>
      </c>
      <c r="C444" s="21" t="str">
        <f>VLOOKUP(A444, hash!A$2:B$500, 2, 0)</f>
        <v>66eb1bf5cb6c430d242f37c7</v>
      </c>
      <c r="D444" s="23">
        <f t="shared" si="2"/>
        <v>0</v>
      </c>
      <c r="F444" s="45"/>
      <c r="H444" s="45"/>
      <c r="J444" s="45"/>
    </row>
    <row r="445">
      <c r="A445" s="22" t="s">
        <v>343</v>
      </c>
      <c r="B445" s="21">
        <f t="shared" si="1"/>
        <v>0</v>
      </c>
      <c r="C445" s="21" t="str">
        <f>VLOOKUP(A445, hash!A$2:B$500, 2, 0)</f>
        <v>66eb1bf91132636931fb1929</v>
      </c>
      <c r="D445" s="23">
        <f t="shared" si="2"/>
        <v>0</v>
      </c>
      <c r="F445" s="45"/>
      <c r="H445" s="45"/>
      <c r="J445" s="45"/>
    </row>
    <row r="446">
      <c r="A446" s="22" t="s">
        <v>344</v>
      </c>
      <c r="B446" s="21">
        <f t="shared" si="1"/>
        <v>0</v>
      </c>
      <c r="C446" s="21" t="str">
        <f>VLOOKUP(A446, hash!A$2:B$500, 2, 0)</f>
        <v>66eb1bff8647681e6a2afbde</v>
      </c>
      <c r="D446" s="23">
        <f t="shared" si="2"/>
        <v>0</v>
      </c>
      <c r="F446" s="45"/>
      <c r="H446" s="45"/>
      <c r="J446" s="45"/>
    </row>
    <row r="447">
      <c r="A447" s="22" t="s">
        <v>345</v>
      </c>
      <c r="B447" s="21">
        <f t="shared" si="1"/>
        <v>0</v>
      </c>
      <c r="C447" s="21" t="str">
        <f>VLOOKUP(A447, hash!A$2:B$500, 2, 0)</f>
        <v>66eb1c00a52629221738126a</v>
      </c>
      <c r="D447" s="23">
        <f t="shared" si="2"/>
        <v>0</v>
      </c>
      <c r="F447" s="45"/>
      <c r="H447" s="45"/>
      <c r="J447" s="45"/>
    </row>
    <row r="448">
      <c r="A448" s="22" t="s">
        <v>347</v>
      </c>
      <c r="B448" s="21">
        <f t="shared" si="1"/>
        <v>0</v>
      </c>
      <c r="C448" s="21" t="str">
        <f>VLOOKUP(A448, hash!A$2:B$500, 2, 0)</f>
        <v>66eb1c248647681e6a2afbe7</v>
      </c>
      <c r="D448" s="23">
        <f t="shared" si="2"/>
        <v>0</v>
      </c>
      <c r="F448" s="45"/>
      <c r="H448" s="45"/>
      <c r="J448" s="45"/>
    </row>
    <row r="449">
      <c r="A449" s="22" t="s">
        <v>348</v>
      </c>
      <c r="B449" s="21">
        <f t="shared" si="1"/>
        <v>0</v>
      </c>
      <c r="C449" s="21" t="str">
        <f>VLOOKUP(A449, hash!A$2:B$500, 2, 0)</f>
        <v>66eb1c2ba526292217381274</v>
      </c>
      <c r="D449" s="23">
        <f t="shared" si="2"/>
        <v>0</v>
      </c>
      <c r="F449" s="45"/>
      <c r="H449" s="45"/>
      <c r="J449" s="45"/>
    </row>
    <row r="450">
      <c r="A450" s="22" t="s">
        <v>349</v>
      </c>
      <c r="B450" s="21">
        <f t="shared" si="1"/>
        <v>0</v>
      </c>
      <c r="C450" s="21" t="str">
        <f>VLOOKUP(A450, hash!A$2:B$500, 2, 0)</f>
        <v>66eb1c2b8647681e6a2afbe8</v>
      </c>
      <c r="D450" s="23">
        <f t="shared" si="2"/>
        <v>0</v>
      </c>
      <c r="F450" s="45"/>
      <c r="H450" s="45"/>
      <c r="J450" s="45"/>
    </row>
    <row r="451">
      <c r="A451" s="22" t="s">
        <v>350</v>
      </c>
      <c r="B451" s="21">
        <f t="shared" si="1"/>
        <v>0</v>
      </c>
      <c r="C451" s="21" t="str">
        <f>VLOOKUP(A451, hash!A$2:B$500, 2, 0)</f>
        <v>66eb1c33cb6c430d242f37d2</v>
      </c>
      <c r="D451" s="23">
        <f t="shared" si="2"/>
        <v>0</v>
      </c>
      <c r="F451" s="45"/>
      <c r="H451" s="45"/>
      <c r="J451" s="45"/>
    </row>
    <row r="452">
      <c r="A452" s="22" t="s">
        <v>351</v>
      </c>
      <c r="B452" s="21">
        <f t="shared" si="1"/>
        <v>0</v>
      </c>
      <c r="C452" s="21" t="str">
        <f>VLOOKUP(A452, hash!A$2:B$500, 2, 0)</f>
        <v>66eb1c341132636931fb192f</v>
      </c>
      <c r="D452" s="23">
        <f t="shared" si="2"/>
        <v>0</v>
      </c>
      <c r="F452" s="45"/>
      <c r="H452" s="45"/>
      <c r="J452" s="45"/>
    </row>
    <row r="453">
      <c r="A453" s="22" t="s">
        <v>352</v>
      </c>
      <c r="B453" s="21">
        <f t="shared" si="1"/>
        <v>0</v>
      </c>
      <c r="C453" s="21" t="str">
        <f>VLOOKUP(A453, hash!A$2:B$500, 2, 0)</f>
        <v>66eb1c681132636931fb1934</v>
      </c>
      <c r="D453" s="23">
        <f t="shared" si="2"/>
        <v>0</v>
      </c>
      <c r="F453" s="45"/>
      <c r="H453" s="45"/>
      <c r="J453" s="45"/>
    </row>
    <row r="454">
      <c r="A454" s="22" t="s">
        <v>353</v>
      </c>
      <c r="B454" s="21">
        <f t="shared" si="1"/>
        <v>0</v>
      </c>
      <c r="C454" s="21" t="str">
        <f>VLOOKUP(A454, hash!A$2:B$500, 2, 0)</f>
        <v>66eb1c6ecb6c430d242f37d9</v>
      </c>
      <c r="D454" s="23">
        <f t="shared" si="2"/>
        <v>0</v>
      </c>
      <c r="F454" s="45"/>
      <c r="H454" s="45"/>
      <c r="J454" s="45"/>
    </row>
    <row r="455">
      <c r="A455" s="22" t="s">
        <v>354</v>
      </c>
      <c r="B455" s="21">
        <f t="shared" si="1"/>
        <v>0</v>
      </c>
      <c r="C455" s="21" t="str">
        <f>VLOOKUP(A455, hash!A$2:B$500, 2, 0)</f>
        <v>66eb1c79cb6c430d242f37da</v>
      </c>
      <c r="D455" s="23">
        <f t="shared" si="2"/>
        <v>0</v>
      </c>
      <c r="F455" s="45"/>
      <c r="H455" s="45"/>
      <c r="J455" s="45"/>
    </row>
    <row r="456">
      <c r="A456" s="22" t="s">
        <v>355</v>
      </c>
      <c r="B456" s="21">
        <f t="shared" si="1"/>
        <v>0</v>
      </c>
      <c r="C456" s="21" t="str">
        <f>VLOOKUP(A456, hash!A$2:B$500, 2, 0)</f>
        <v>66eb1c7e1132636931fb1938</v>
      </c>
      <c r="D456" s="23">
        <f t="shared" si="2"/>
        <v>0</v>
      </c>
      <c r="F456" s="45"/>
      <c r="H456" s="45"/>
      <c r="J456" s="45"/>
    </row>
    <row r="457">
      <c r="A457" s="22" t="s">
        <v>356</v>
      </c>
      <c r="B457" s="21">
        <f t="shared" si="1"/>
        <v>0</v>
      </c>
      <c r="C457" s="21" t="str">
        <f>VLOOKUP(A457, hash!A$2:B$500, 2, 0)</f>
        <v>66eb1cb28647681e6a2afbec</v>
      </c>
      <c r="D457" s="23">
        <f t="shared" si="2"/>
        <v>0</v>
      </c>
      <c r="F457" s="45"/>
      <c r="H457" s="45"/>
      <c r="J457" s="45"/>
    </row>
    <row r="458">
      <c r="A458" s="22" t="s">
        <v>357</v>
      </c>
      <c r="B458" s="21">
        <f t="shared" si="1"/>
        <v>0</v>
      </c>
      <c r="C458" s="21" t="str">
        <f>VLOOKUP(A458, hash!A$2:B$500, 2, 0)</f>
        <v>66eb1ce18647681e6a2afbed</v>
      </c>
      <c r="D458" s="23">
        <f t="shared" si="2"/>
        <v>0</v>
      </c>
      <c r="F458" s="45"/>
      <c r="H458" s="45"/>
      <c r="J458" s="45"/>
    </row>
    <row r="459">
      <c r="A459" s="22" t="s">
        <v>358</v>
      </c>
      <c r="B459" s="21">
        <f t="shared" si="1"/>
        <v>0</v>
      </c>
      <c r="C459" s="21" t="str">
        <f>VLOOKUP(A459, hash!A$2:B$500, 2, 0)</f>
        <v>66eb26e01132636931fb1948</v>
      </c>
      <c r="D459" s="23">
        <f t="shared" si="2"/>
        <v>0</v>
      </c>
      <c r="F459" s="45"/>
      <c r="H459" s="45"/>
      <c r="J459" s="45"/>
    </row>
    <row r="460">
      <c r="A460" s="22" t="s">
        <v>359</v>
      </c>
      <c r="B460" s="21">
        <f t="shared" si="1"/>
        <v>0</v>
      </c>
      <c r="C460" s="21" t="str">
        <f>VLOOKUP(A460, hash!A$2:B$500, 2, 0)</f>
        <v>66eb2791f5cf341f2cef5f68</v>
      </c>
      <c r="D460" s="23">
        <f t="shared" si="2"/>
        <v>0</v>
      </c>
      <c r="F460" s="45"/>
      <c r="H460" s="45"/>
      <c r="J460" s="45"/>
    </row>
    <row r="461">
      <c r="A461" s="22" t="s">
        <v>360</v>
      </c>
      <c r="B461" s="21">
        <f t="shared" si="1"/>
        <v>0</v>
      </c>
      <c r="C461" s="21" t="str">
        <f>VLOOKUP(A461, hash!A$2:B$500, 2, 0)</f>
        <v>66eb283093ca556f981967dc</v>
      </c>
      <c r="D461" s="23">
        <f t="shared" si="2"/>
        <v>0</v>
      </c>
      <c r="F461" s="45"/>
      <c r="H461" s="45"/>
      <c r="J461" s="45"/>
    </row>
    <row r="462">
      <c r="A462" s="24" t="s">
        <v>361</v>
      </c>
      <c r="B462" s="21">
        <f t="shared" si="1"/>
        <v>0</v>
      </c>
      <c r="C462" s="21" t="str">
        <f>VLOOKUP(A462, hash!A$2:B$500, 2, 0)</f>
        <v>66eb283593ca556f981967de</v>
      </c>
      <c r="D462" s="23">
        <f t="shared" si="2"/>
        <v>0</v>
      </c>
      <c r="F462" s="45"/>
      <c r="H462" s="45"/>
      <c r="J462" s="45"/>
    </row>
    <row r="463">
      <c r="A463" s="22" t="s">
        <v>362</v>
      </c>
      <c r="B463" s="21">
        <f t="shared" si="1"/>
        <v>0</v>
      </c>
      <c r="C463" s="21" t="str">
        <f>VLOOKUP(A463, hash!A$2:B$500, 2, 0)</f>
        <v>66eb28586bd7ab0d5c9d8c1c</v>
      </c>
      <c r="D463" s="23">
        <f t="shared" si="2"/>
        <v>0</v>
      </c>
      <c r="F463" s="45"/>
      <c r="H463" s="45"/>
      <c r="J463" s="45"/>
    </row>
    <row r="464">
      <c r="A464" s="22" t="s">
        <v>644</v>
      </c>
      <c r="B464" s="21">
        <f t="shared" si="1"/>
        <v>0</v>
      </c>
      <c r="C464" s="21" t="str">
        <f>VLOOKUP(A464, hash!A$2:B$500, 2, 0)</f>
        <v>#N/A</v>
      </c>
      <c r="D464" s="23">
        <f t="shared" si="2"/>
        <v>0</v>
      </c>
      <c r="F464" s="45"/>
      <c r="H464" s="45"/>
      <c r="J464" s="45"/>
    </row>
    <row r="465">
      <c r="A465" s="22" t="s">
        <v>363</v>
      </c>
      <c r="B465" s="21">
        <f t="shared" si="1"/>
        <v>0</v>
      </c>
      <c r="C465" s="21" t="str">
        <f>VLOOKUP(A465, hash!A$2:B$500, 2, 0)</f>
        <v>66eb28b493ca556f981967e8</v>
      </c>
      <c r="D465" s="23">
        <f t="shared" si="2"/>
        <v>0</v>
      </c>
      <c r="F465" s="45"/>
      <c r="H465" s="45"/>
      <c r="J465" s="45"/>
    </row>
    <row r="466">
      <c r="A466" s="22" t="s">
        <v>364</v>
      </c>
      <c r="B466" s="21">
        <f t="shared" si="1"/>
        <v>0</v>
      </c>
      <c r="C466" s="21" t="str">
        <f>VLOOKUP(A466, hash!A$2:B$500, 2, 0)</f>
        <v>66eb293393ca556f981967ec</v>
      </c>
      <c r="D466" s="23">
        <f t="shared" si="2"/>
        <v>0</v>
      </c>
      <c r="F466" s="45"/>
      <c r="H466" s="45"/>
      <c r="J466" s="45"/>
    </row>
    <row r="467">
      <c r="A467" s="22" t="s">
        <v>365</v>
      </c>
      <c r="B467" s="21">
        <f t="shared" si="1"/>
        <v>0</v>
      </c>
      <c r="C467" s="21" t="str">
        <f>VLOOKUP(A467, hash!A$2:B$500, 2, 0)</f>
        <v>66eb295cf5cf341f2cef5f6e</v>
      </c>
      <c r="D467" s="23">
        <f t="shared" si="2"/>
        <v>0</v>
      </c>
      <c r="F467" s="45"/>
      <c r="H467" s="45"/>
      <c r="J467" s="45"/>
    </row>
    <row r="468">
      <c r="A468" s="22" t="s">
        <v>366</v>
      </c>
      <c r="B468" s="21">
        <f t="shared" si="1"/>
        <v>0</v>
      </c>
      <c r="C468" s="21" t="str">
        <f>VLOOKUP(A468, hash!A$2:B$500, 2, 0)</f>
        <v>66ec5f65155b01592e9cc06d</v>
      </c>
      <c r="D468" s="23">
        <f t="shared" si="2"/>
        <v>0</v>
      </c>
      <c r="F468" s="45"/>
      <c r="H468" s="45"/>
      <c r="J468" s="45"/>
    </row>
    <row r="469">
      <c r="A469" s="14" t="s">
        <v>613</v>
      </c>
      <c r="B469" s="21">
        <f t="shared" si="1"/>
        <v>0</v>
      </c>
      <c r="C469" s="21" t="str">
        <f>VLOOKUP(A469, hash!A$2:B$500, 2, 0)</f>
        <v>#N/A</v>
      </c>
      <c r="D469" s="23">
        <f t="shared" si="2"/>
        <v>0</v>
      </c>
      <c r="F469" s="38"/>
      <c r="G469" s="38"/>
      <c r="H469" s="38"/>
      <c r="I469" s="38"/>
      <c r="J469" s="38"/>
    </row>
    <row r="470">
      <c r="A470" s="14"/>
      <c r="E470" s="35"/>
      <c r="F470" s="38"/>
      <c r="G470" s="35"/>
      <c r="H470" s="38"/>
      <c r="I470" s="38"/>
      <c r="J470" s="38"/>
    </row>
    <row r="471">
      <c r="A471" s="14"/>
      <c r="E471" s="35"/>
      <c r="F471" s="38"/>
      <c r="G471" s="38"/>
      <c r="H471" s="38"/>
      <c r="I471" s="38"/>
      <c r="J471" s="38"/>
    </row>
    <row r="472">
      <c r="A472" s="14"/>
      <c r="E472" s="35"/>
      <c r="F472" s="38"/>
      <c r="G472" s="38"/>
      <c r="H472" s="38"/>
      <c r="I472" s="38"/>
      <c r="J472" s="38"/>
    </row>
    <row r="473">
      <c r="A473" s="14"/>
      <c r="E473" s="35"/>
      <c r="F473" s="38"/>
      <c r="G473" s="38"/>
      <c r="H473" s="38"/>
      <c r="I473" s="38"/>
      <c r="J473" s="38"/>
    </row>
    <row r="474">
      <c r="A474" s="14"/>
      <c r="E474" s="35"/>
      <c r="F474" s="38"/>
      <c r="G474" s="38"/>
      <c r="H474" s="38"/>
      <c r="I474" s="38"/>
      <c r="J474" s="38"/>
    </row>
    <row r="475">
      <c r="A475" s="14"/>
      <c r="E475" s="35"/>
      <c r="F475" s="38"/>
      <c r="G475" s="38"/>
      <c r="H475" s="38"/>
      <c r="I475" s="38"/>
      <c r="J475" s="38"/>
    </row>
    <row r="476">
      <c r="A476" s="14"/>
      <c r="E476" s="35"/>
      <c r="F476" s="38"/>
      <c r="G476" s="38"/>
      <c r="H476" s="38"/>
      <c r="I476" s="38"/>
      <c r="J476" s="38"/>
    </row>
    <row r="477">
      <c r="A477" s="14"/>
      <c r="E477" s="35"/>
      <c r="F477" s="38"/>
      <c r="G477" s="38"/>
      <c r="H477" s="38"/>
      <c r="I477" s="38"/>
      <c r="J477" s="38"/>
    </row>
    <row r="478">
      <c r="A478" s="14"/>
      <c r="E478" s="35"/>
      <c r="F478" s="38"/>
      <c r="G478" s="38"/>
      <c r="H478" s="38"/>
      <c r="I478" s="38"/>
      <c r="J478" s="38"/>
    </row>
    <row r="479">
      <c r="A479" s="14"/>
      <c r="E479" s="35"/>
      <c r="F479" s="38"/>
      <c r="G479" s="38"/>
      <c r="H479" s="38"/>
      <c r="I479" s="38"/>
      <c r="J479" s="38"/>
    </row>
    <row r="480">
      <c r="A480" s="14"/>
      <c r="E480" s="35"/>
      <c r="F480" s="38"/>
      <c r="G480" s="38"/>
      <c r="H480" s="38"/>
      <c r="I480" s="38"/>
      <c r="J480" s="38"/>
    </row>
    <row r="481">
      <c r="A481" s="14"/>
      <c r="E481" s="35"/>
      <c r="F481" s="38"/>
      <c r="G481" s="38"/>
      <c r="H481" s="38"/>
      <c r="I481" s="38"/>
      <c r="J481" s="38"/>
    </row>
    <row r="482">
      <c r="A482" s="14"/>
      <c r="E482" s="35"/>
      <c r="F482" s="38"/>
      <c r="G482" s="38"/>
      <c r="H482" s="38"/>
      <c r="I482" s="38"/>
      <c r="J482" s="38"/>
    </row>
    <row r="483">
      <c r="A483" s="14"/>
      <c r="E483" s="35"/>
      <c r="F483" s="38"/>
      <c r="G483" s="38"/>
      <c r="H483" s="38"/>
      <c r="I483" s="38"/>
      <c r="J483" s="38"/>
    </row>
    <row r="484">
      <c r="A484" s="14"/>
      <c r="E484" s="35"/>
      <c r="F484" s="38"/>
      <c r="G484" s="38"/>
      <c r="H484" s="38"/>
      <c r="I484" s="38"/>
      <c r="J484" s="38"/>
    </row>
    <row r="485">
      <c r="A485" s="14"/>
      <c r="E485" s="35"/>
      <c r="F485" s="38"/>
      <c r="G485" s="38"/>
      <c r="H485" s="38"/>
      <c r="I485" s="38"/>
      <c r="J485" s="38"/>
    </row>
    <row r="486">
      <c r="A486" s="14"/>
      <c r="E486" s="35"/>
      <c r="F486" s="38"/>
      <c r="G486" s="38"/>
      <c r="H486" s="38"/>
      <c r="I486" s="38"/>
      <c r="J486" s="38"/>
    </row>
    <row r="487">
      <c r="A487" s="14"/>
      <c r="E487" s="35"/>
      <c r="F487" s="38"/>
      <c r="G487" s="38"/>
      <c r="H487" s="38"/>
      <c r="I487" s="38"/>
      <c r="J487" s="38"/>
    </row>
    <row r="488">
      <c r="A488" s="14"/>
      <c r="E488" s="35"/>
      <c r="F488" s="38"/>
      <c r="G488" s="38"/>
      <c r="H488" s="38"/>
      <c r="I488" s="38"/>
      <c r="J488" s="38"/>
    </row>
    <row r="489">
      <c r="A489" s="14"/>
      <c r="E489" s="35"/>
      <c r="F489" s="38"/>
      <c r="G489" s="38"/>
      <c r="H489" s="38"/>
      <c r="I489" s="38"/>
      <c r="J489" s="38"/>
    </row>
    <row r="490">
      <c r="A490" s="14"/>
      <c r="E490" s="35"/>
      <c r="F490" s="38"/>
      <c r="G490" s="38"/>
      <c r="H490" s="38"/>
      <c r="I490" s="38"/>
      <c r="J490" s="38"/>
    </row>
    <row r="491">
      <c r="A491" s="14"/>
      <c r="E491" s="35"/>
      <c r="F491" s="38"/>
      <c r="G491" s="38"/>
      <c r="H491" s="38"/>
      <c r="I491" s="38"/>
      <c r="J491" s="38"/>
    </row>
    <row r="492">
      <c r="A492" s="14"/>
      <c r="E492" s="35"/>
      <c r="F492" s="38"/>
      <c r="G492" s="38"/>
      <c r="H492" s="38"/>
      <c r="I492" s="38"/>
      <c r="J492" s="38"/>
    </row>
    <row r="493">
      <c r="A493" s="14"/>
      <c r="E493" s="35"/>
      <c r="F493" s="38"/>
      <c r="G493" s="38"/>
      <c r="H493" s="38"/>
      <c r="I493" s="38"/>
      <c r="J493" s="38"/>
    </row>
    <row r="494">
      <c r="A494" s="14"/>
      <c r="E494" s="35"/>
      <c r="F494" s="38"/>
      <c r="G494" s="38"/>
      <c r="H494" s="38"/>
      <c r="I494" s="38"/>
      <c r="J494" s="38"/>
    </row>
    <row r="495">
      <c r="A495" s="14"/>
      <c r="E495" s="35"/>
      <c r="F495" s="38"/>
      <c r="G495" s="38"/>
      <c r="H495" s="38"/>
      <c r="I495" s="38"/>
      <c r="J495" s="38"/>
    </row>
    <row r="496">
      <c r="A496" s="14"/>
      <c r="E496" s="35"/>
      <c r="F496" s="38"/>
      <c r="G496" s="38"/>
      <c r="H496" s="38"/>
      <c r="I496" s="38"/>
      <c r="J496" s="38"/>
    </row>
    <row r="497">
      <c r="A497" s="14"/>
      <c r="E497" s="35"/>
      <c r="F497" s="38"/>
      <c r="G497" s="38"/>
      <c r="H497" s="38"/>
      <c r="I497" s="38"/>
      <c r="J497" s="38"/>
    </row>
    <row r="498">
      <c r="A498" s="14"/>
      <c r="E498" s="35"/>
      <c r="F498" s="38"/>
      <c r="G498" s="38"/>
      <c r="H498" s="38"/>
      <c r="I498" s="38"/>
      <c r="J498" s="38"/>
    </row>
    <row r="499">
      <c r="A499" s="14"/>
      <c r="E499" s="35"/>
      <c r="F499" s="38"/>
      <c r="G499" s="38"/>
      <c r="H499" s="38"/>
      <c r="I499" s="38"/>
      <c r="J499" s="38"/>
    </row>
    <row r="500">
      <c r="A500" s="14"/>
      <c r="E500" s="35"/>
      <c r="F500" s="38"/>
      <c r="G500" s="38"/>
      <c r="H500" s="38"/>
      <c r="I500" s="38"/>
      <c r="J500" s="38"/>
    </row>
    <row r="501">
      <c r="A501" s="14"/>
      <c r="E501" s="35"/>
      <c r="F501" s="38"/>
      <c r="G501" s="38"/>
      <c r="H501" s="38"/>
      <c r="I501" s="38"/>
      <c r="J501" s="38"/>
    </row>
    <row r="502">
      <c r="A502" s="14"/>
      <c r="E502" s="35"/>
      <c r="F502" s="38"/>
      <c r="G502" s="38"/>
      <c r="H502" s="38"/>
      <c r="I502" s="38"/>
      <c r="J502" s="38"/>
    </row>
    <row r="503">
      <c r="A503" s="14"/>
      <c r="E503" s="35"/>
      <c r="F503" s="38"/>
      <c r="G503" s="38"/>
      <c r="H503" s="38"/>
      <c r="I503" s="38"/>
      <c r="J503" s="38"/>
    </row>
    <row r="504">
      <c r="A504" s="14"/>
      <c r="E504" s="35"/>
      <c r="F504" s="38"/>
      <c r="G504" s="38"/>
      <c r="H504" s="38"/>
      <c r="I504" s="38"/>
      <c r="J504" s="38"/>
    </row>
    <row r="505">
      <c r="A505" s="14"/>
      <c r="E505" s="35"/>
      <c r="F505" s="38"/>
      <c r="G505" s="38"/>
      <c r="H505" s="38"/>
      <c r="I505" s="38"/>
      <c r="J505" s="38"/>
    </row>
    <row r="506">
      <c r="A506" s="14"/>
      <c r="E506" s="35"/>
      <c r="F506" s="38"/>
      <c r="G506" s="38"/>
      <c r="H506" s="38"/>
      <c r="I506" s="38"/>
      <c r="J506" s="38"/>
    </row>
    <row r="507">
      <c r="A507" s="14"/>
      <c r="E507" s="35"/>
      <c r="F507" s="38"/>
      <c r="G507" s="38"/>
      <c r="H507" s="38"/>
      <c r="I507" s="38"/>
      <c r="J507" s="38"/>
    </row>
    <row r="508">
      <c r="A508" s="14"/>
      <c r="E508" s="35"/>
      <c r="F508" s="38"/>
      <c r="G508" s="38"/>
      <c r="H508" s="38"/>
      <c r="I508" s="38"/>
      <c r="J508" s="38"/>
    </row>
    <row r="509">
      <c r="A509" s="14"/>
      <c r="E509" s="35"/>
      <c r="F509" s="38"/>
      <c r="G509" s="38"/>
      <c r="H509" s="38"/>
      <c r="I509" s="38"/>
      <c r="J509" s="38"/>
    </row>
    <row r="510">
      <c r="A510" s="14"/>
      <c r="E510" s="35"/>
      <c r="F510" s="38"/>
      <c r="G510" s="38"/>
      <c r="H510" s="38"/>
      <c r="I510" s="38"/>
      <c r="J510" s="38"/>
    </row>
    <row r="511">
      <c r="A511" s="14"/>
      <c r="E511" s="35"/>
      <c r="F511" s="38"/>
      <c r="G511" s="38"/>
      <c r="H511" s="38"/>
      <c r="I511" s="38"/>
      <c r="J511" s="38"/>
    </row>
    <row r="512">
      <c r="A512" s="14"/>
      <c r="E512" s="35"/>
      <c r="F512" s="38"/>
      <c r="G512" s="38"/>
      <c r="H512" s="38"/>
      <c r="I512" s="38"/>
      <c r="J512" s="38"/>
    </row>
    <row r="513">
      <c r="A513" s="14"/>
      <c r="E513" s="35"/>
      <c r="F513" s="38"/>
      <c r="G513" s="38"/>
      <c r="H513" s="38"/>
      <c r="I513" s="38"/>
      <c r="J513" s="38"/>
    </row>
    <row r="514">
      <c r="A514" s="14"/>
      <c r="E514" s="35"/>
      <c r="F514" s="38"/>
      <c r="G514" s="38"/>
      <c r="H514" s="38"/>
      <c r="I514" s="38"/>
      <c r="J514" s="38"/>
    </row>
    <row r="515">
      <c r="A515" s="14"/>
      <c r="E515" s="35"/>
      <c r="F515" s="38"/>
      <c r="G515" s="38"/>
      <c r="H515" s="38"/>
      <c r="I515" s="38"/>
      <c r="J515" s="38"/>
    </row>
    <row r="516">
      <c r="A516" s="14"/>
      <c r="E516" s="35"/>
      <c r="F516" s="38"/>
      <c r="G516" s="38"/>
      <c r="H516" s="38"/>
      <c r="I516" s="38"/>
      <c r="J516" s="38"/>
    </row>
    <row r="517">
      <c r="A517" s="14"/>
      <c r="E517" s="35"/>
      <c r="F517" s="38"/>
      <c r="G517" s="38"/>
      <c r="H517" s="38"/>
      <c r="I517" s="38"/>
      <c r="J517" s="38"/>
    </row>
    <row r="518">
      <c r="A518" s="14"/>
      <c r="E518" s="35"/>
      <c r="F518" s="38"/>
      <c r="G518" s="38"/>
      <c r="H518" s="38"/>
      <c r="I518" s="38"/>
      <c r="J518" s="38"/>
    </row>
    <row r="519">
      <c r="A519" s="14"/>
      <c r="E519" s="35"/>
      <c r="F519" s="38"/>
      <c r="G519" s="38"/>
      <c r="H519" s="38"/>
      <c r="I519" s="38"/>
      <c r="J519" s="38"/>
    </row>
    <row r="520">
      <c r="A520" s="14"/>
      <c r="E520" s="35"/>
      <c r="F520" s="38"/>
      <c r="G520" s="38"/>
      <c r="H520" s="38"/>
      <c r="I520" s="38"/>
      <c r="J520" s="38"/>
    </row>
    <row r="521">
      <c r="A521" s="14"/>
      <c r="E521" s="35"/>
      <c r="F521" s="38"/>
      <c r="G521" s="38"/>
      <c r="H521" s="38"/>
      <c r="I521" s="38"/>
      <c r="J521" s="38"/>
    </row>
    <row r="522">
      <c r="A522" s="14"/>
      <c r="E522" s="35"/>
      <c r="F522" s="38"/>
      <c r="G522" s="38"/>
      <c r="H522" s="38"/>
      <c r="I522" s="38"/>
      <c r="J522" s="38"/>
    </row>
    <row r="523">
      <c r="A523" s="14"/>
      <c r="E523" s="35"/>
      <c r="F523" s="38"/>
      <c r="G523" s="38"/>
      <c r="H523" s="38"/>
      <c r="I523" s="38"/>
      <c r="J523" s="38"/>
    </row>
    <row r="524">
      <c r="A524" s="14"/>
      <c r="E524" s="35"/>
      <c r="F524" s="38"/>
      <c r="G524" s="38"/>
      <c r="H524" s="38"/>
      <c r="I524" s="38"/>
      <c r="J524" s="38"/>
    </row>
    <row r="525">
      <c r="A525" s="14"/>
      <c r="E525" s="35"/>
      <c r="F525" s="38"/>
      <c r="G525" s="38"/>
      <c r="H525" s="38"/>
      <c r="I525" s="38"/>
      <c r="J525" s="38"/>
    </row>
    <row r="526">
      <c r="A526" s="14"/>
      <c r="E526" s="35"/>
      <c r="F526" s="38"/>
      <c r="G526" s="38"/>
      <c r="H526" s="38"/>
      <c r="I526" s="38"/>
      <c r="J526" s="38"/>
    </row>
    <row r="527">
      <c r="A527" s="14"/>
      <c r="E527" s="35"/>
      <c r="F527" s="38"/>
      <c r="G527" s="38"/>
      <c r="H527" s="38"/>
      <c r="I527" s="38"/>
      <c r="J527" s="38"/>
    </row>
    <row r="528">
      <c r="A528" s="14"/>
      <c r="E528" s="35"/>
      <c r="F528" s="38"/>
      <c r="G528" s="38"/>
      <c r="H528" s="38"/>
      <c r="I528" s="38"/>
      <c r="J528" s="38"/>
    </row>
    <row r="529">
      <c r="A529" s="14"/>
      <c r="E529" s="35"/>
      <c r="F529" s="38"/>
      <c r="G529" s="38"/>
      <c r="H529" s="38"/>
      <c r="I529" s="38"/>
      <c r="J529" s="38"/>
    </row>
    <row r="530">
      <c r="A530" s="14"/>
      <c r="E530" s="35"/>
      <c r="F530" s="38"/>
      <c r="G530" s="38"/>
      <c r="H530" s="38"/>
      <c r="I530" s="38"/>
      <c r="J530" s="38"/>
    </row>
    <row r="531">
      <c r="A531" s="14"/>
      <c r="E531" s="35"/>
      <c r="F531" s="38"/>
      <c r="G531" s="38"/>
      <c r="H531" s="38"/>
      <c r="I531" s="38"/>
      <c r="J531" s="38"/>
    </row>
    <row r="532">
      <c r="A532" s="14"/>
      <c r="E532" s="35"/>
      <c r="F532" s="38"/>
      <c r="G532" s="38"/>
      <c r="H532" s="38"/>
      <c r="I532" s="38"/>
      <c r="J532" s="38"/>
    </row>
    <row r="533">
      <c r="A533" s="14"/>
      <c r="E533" s="35"/>
      <c r="F533" s="38"/>
      <c r="G533" s="38"/>
      <c r="H533" s="38"/>
      <c r="I533" s="38"/>
      <c r="J533" s="38"/>
    </row>
    <row r="534">
      <c r="A534" s="14"/>
      <c r="E534" s="35"/>
      <c r="F534" s="38"/>
      <c r="G534" s="38"/>
      <c r="H534" s="38"/>
      <c r="I534" s="38"/>
      <c r="J534" s="38"/>
    </row>
    <row r="535">
      <c r="A535" s="14"/>
      <c r="E535" s="35"/>
      <c r="F535" s="38"/>
      <c r="G535" s="38"/>
      <c r="H535" s="38"/>
      <c r="I535" s="38"/>
      <c r="J535" s="38"/>
    </row>
    <row r="536">
      <c r="A536" s="14"/>
      <c r="E536" s="35"/>
      <c r="F536" s="38"/>
      <c r="G536" s="38"/>
      <c r="H536" s="38"/>
      <c r="I536" s="38"/>
      <c r="J536" s="38"/>
    </row>
    <row r="537">
      <c r="A537" s="14"/>
      <c r="E537" s="35"/>
      <c r="F537" s="38"/>
      <c r="G537" s="38"/>
      <c r="H537" s="38"/>
      <c r="I537" s="38"/>
      <c r="J537" s="38"/>
    </row>
    <row r="538">
      <c r="A538" s="14"/>
      <c r="E538" s="35"/>
      <c r="F538" s="38"/>
      <c r="G538" s="38"/>
      <c r="H538" s="38"/>
      <c r="I538" s="38"/>
      <c r="J538" s="38"/>
    </row>
    <row r="539">
      <c r="A539" s="14"/>
      <c r="E539" s="35"/>
      <c r="F539" s="38"/>
      <c r="G539" s="38"/>
      <c r="H539" s="38"/>
      <c r="I539" s="38"/>
      <c r="J539" s="38"/>
    </row>
    <row r="540">
      <c r="A540" s="14"/>
      <c r="E540" s="35"/>
      <c r="F540" s="38"/>
      <c r="G540" s="38"/>
      <c r="H540" s="38"/>
      <c r="I540" s="38"/>
      <c r="J540" s="38"/>
    </row>
    <row r="541">
      <c r="A541" s="14"/>
      <c r="E541" s="35"/>
      <c r="F541" s="38"/>
      <c r="G541" s="38"/>
      <c r="H541" s="38"/>
      <c r="I541" s="38"/>
      <c r="J541" s="38"/>
    </row>
    <row r="542">
      <c r="A542" s="14"/>
      <c r="E542" s="35"/>
      <c r="F542" s="38"/>
      <c r="G542" s="38"/>
      <c r="H542" s="38"/>
      <c r="I542" s="38"/>
      <c r="J542" s="38"/>
    </row>
    <row r="543">
      <c r="A543" s="14"/>
      <c r="E543" s="35"/>
      <c r="F543" s="38"/>
      <c r="G543" s="38"/>
      <c r="H543" s="38"/>
      <c r="I543" s="38"/>
      <c r="J543" s="38"/>
    </row>
    <row r="544">
      <c r="A544" s="14"/>
      <c r="E544" s="35"/>
      <c r="F544" s="38"/>
      <c r="G544" s="38"/>
      <c r="H544" s="38"/>
      <c r="I544" s="38"/>
      <c r="J544" s="38"/>
    </row>
    <row r="545">
      <c r="A545" s="14"/>
      <c r="E545" s="35"/>
      <c r="F545" s="38"/>
      <c r="G545" s="38"/>
      <c r="H545" s="38"/>
      <c r="I545" s="38"/>
      <c r="J545" s="38"/>
    </row>
    <row r="546">
      <c r="A546" s="14"/>
      <c r="E546" s="35"/>
      <c r="F546" s="38"/>
      <c r="G546" s="38"/>
      <c r="H546" s="38"/>
      <c r="I546" s="38"/>
      <c r="J546" s="38"/>
    </row>
    <row r="547">
      <c r="A547" s="14"/>
      <c r="E547" s="35"/>
      <c r="F547" s="38"/>
      <c r="G547" s="38"/>
      <c r="H547" s="38"/>
      <c r="I547" s="38"/>
      <c r="J547" s="38"/>
    </row>
    <row r="548">
      <c r="A548" s="14"/>
      <c r="E548" s="35"/>
      <c r="F548" s="38"/>
      <c r="G548" s="38"/>
      <c r="H548" s="38"/>
      <c r="I548" s="38"/>
      <c r="J548" s="38"/>
    </row>
    <row r="549">
      <c r="A549" s="14"/>
      <c r="E549" s="35"/>
      <c r="F549" s="38"/>
      <c r="G549" s="38"/>
      <c r="H549" s="38"/>
      <c r="I549" s="38"/>
      <c r="J549" s="38"/>
    </row>
    <row r="550">
      <c r="A550" s="14"/>
      <c r="E550" s="35"/>
      <c r="F550" s="38"/>
      <c r="G550" s="38"/>
      <c r="H550" s="38"/>
      <c r="I550" s="38"/>
      <c r="J550" s="38"/>
    </row>
    <row r="551">
      <c r="A551" s="14"/>
      <c r="E551" s="35"/>
      <c r="F551" s="38"/>
      <c r="G551" s="38"/>
      <c r="H551" s="38"/>
      <c r="I551" s="38"/>
      <c r="J551" s="38"/>
    </row>
    <row r="552">
      <c r="A552" s="14"/>
      <c r="E552" s="35"/>
      <c r="F552" s="38"/>
      <c r="G552" s="38"/>
      <c r="H552" s="38"/>
      <c r="I552" s="38"/>
      <c r="J552" s="38"/>
    </row>
    <row r="553">
      <c r="A553" s="14"/>
      <c r="E553" s="35"/>
      <c r="F553" s="38"/>
      <c r="G553" s="38"/>
      <c r="H553" s="38"/>
      <c r="I553" s="38"/>
      <c r="J553" s="38"/>
    </row>
    <row r="554">
      <c r="A554" s="14"/>
      <c r="E554" s="35"/>
      <c r="F554" s="38"/>
      <c r="G554" s="38"/>
      <c r="H554" s="38"/>
      <c r="I554" s="38"/>
      <c r="J554" s="38"/>
    </row>
    <row r="555">
      <c r="A555" s="14"/>
      <c r="E555" s="35"/>
      <c r="F555" s="38"/>
      <c r="G555" s="38"/>
      <c r="H555" s="38"/>
      <c r="I555" s="38"/>
      <c r="J555" s="38"/>
    </row>
    <row r="556">
      <c r="A556" s="14"/>
      <c r="E556" s="35"/>
      <c r="F556" s="38"/>
      <c r="G556" s="38"/>
      <c r="H556" s="38"/>
      <c r="I556" s="38"/>
      <c r="J556" s="38"/>
    </row>
    <row r="557">
      <c r="A557" s="14"/>
      <c r="E557" s="35"/>
      <c r="F557" s="38"/>
      <c r="G557" s="38"/>
      <c r="H557" s="38"/>
      <c r="I557" s="38"/>
      <c r="J557" s="38"/>
    </row>
    <row r="558">
      <c r="A558" s="14"/>
      <c r="E558" s="35"/>
      <c r="F558" s="38"/>
      <c r="G558" s="38"/>
      <c r="H558" s="38"/>
      <c r="I558" s="38"/>
      <c r="J558" s="38"/>
    </row>
    <row r="559">
      <c r="A559" s="14"/>
      <c r="E559" s="35"/>
      <c r="F559" s="38"/>
      <c r="G559" s="38"/>
      <c r="H559" s="38"/>
      <c r="I559" s="38"/>
      <c r="J559" s="38"/>
    </row>
    <row r="560">
      <c r="A560" s="14"/>
      <c r="E560" s="35"/>
      <c r="F560" s="38"/>
      <c r="G560" s="38"/>
      <c r="H560" s="38"/>
      <c r="I560" s="38"/>
      <c r="J560" s="38"/>
    </row>
    <row r="561">
      <c r="A561" s="14"/>
      <c r="E561" s="35"/>
      <c r="F561" s="38"/>
      <c r="G561" s="38"/>
      <c r="H561" s="38"/>
      <c r="I561" s="38"/>
      <c r="J561" s="38"/>
    </row>
    <row r="562">
      <c r="A562" s="14"/>
      <c r="E562" s="35"/>
      <c r="F562" s="38"/>
      <c r="G562" s="38"/>
      <c r="H562" s="38"/>
      <c r="I562" s="38"/>
      <c r="J562" s="38"/>
    </row>
    <row r="563">
      <c r="A563" s="14"/>
      <c r="E563" s="35"/>
      <c r="F563" s="38"/>
      <c r="G563" s="38"/>
      <c r="H563" s="38"/>
      <c r="I563" s="38"/>
      <c r="J563" s="38"/>
    </row>
    <row r="564">
      <c r="A564" s="14"/>
      <c r="E564" s="35"/>
      <c r="F564" s="38"/>
      <c r="G564" s="38"/>
      <c r="H564" s="38"/>
      <c r="I564" s="38"/>
      <c r="J564" s="38"/>
    </row>
    <row r="565">
      <c r="A565" s="14"/>
      <c r="E565" s="35"/>
      <c r="F565" s="38"/>
      <c r="G565" s="38"/>
      <c r="H565" s="38"/>
      <c r="I565" s="38"/>
      <c r="J565" s="38"/>
    </row>
    <row r="566">
      <c r="A566" s="14"/>
      <c r="E566" s="35"/>
      <c r="F566" s="38"/>
      <c r="G566" s="38"/>
      <c r="H566" s="38"/>
      <c r="I566" s="38"/>
      <c r="J566" s="38"/>
    </row>
    <row r="567">
      <c r="A567" s="14"/>
      <c r="E567" s="35"/>
      <c r="F567" s="38"/>
      <c r="G567" s="38"/>
      <c r="H567" s="38"/>
      <c r="I567" s="38"/>
      <c r="J567" s="38"/>
    </row>
    <row r="568">
      <c r="A568" s="14"/>
      <c r="E568" s="35"/>
      <c r="F568" s="38"/>
      <c r="G568" s="38"/>
      <c r="H568" s="38"/>
      <c r="I568" s="38"/>
      <c r="J568" s="38"/>
    </row>
    <row r="569">
      <c r="A569" s="14"/>
      <c r="E569" s="35"/>
      <c r="F569" s="38"/>
      <c r="G569" s="38"/>
      <c r="H569" s="38"/>
      <c r="I569" s="38"/>
      <c r="J569" s="38"/>
    </row>
    <row r="570">
      <c r="A570" s="14"/>
      <c r="E570" s="35"/>
      <c r="F570" s="38"/>
      <c r="G570" s="38"/>
      <c r="H570" s="38"/>
      <c r="I570" s="38"/>
      <c r="J570" s="38"/>
    </row>
    <row r="571">
      <c r="A571" s="14"/>
      <c r="E571" s="35"/>
      <c r="F571" s="38"/>
      <c r="G571" s="38"/>
      <c r="H571" s="38"/>
      <c r="I571" s="38"/>
      <c r="J571" s="38"/>
    </row>
    <row r="572">
      <c r="A572" s="14"/>
      <c r="E572" s="35"/>
      <c r="F572" s="38"/>
      <c r="G572" s="38"/>
      <c r="H572" s="38"/>
      <c r="I572" s="38"/>
      <c r="J572" s="38"/>
    </row>
    <row r="573">
      <c r="A573" s="14"/>
      <c r="E573" s="35"/>
      <c r="F573" s="38"/>
      <c r="G573" s="38"/>
      <c r="H573" s="38"/>
      <c r="I573" s="38"/>
      <c r="J573" s="38"/>
    </row>
    <row r="574">
      <c r="A574" s="14"/>
      <c r="E574" s="35"/>
      <c r="F574" s="38"/>
      <c r="G574" s="38"/>
      <c r="H574" s="38"/>
      <c r="I574" s="38"/>
      <c r="J574" s="38"/>
    </row>
    <row r="575">
      <c r="A575" s="14"/>
      <c r="E575" s="35"/>
      <c r="F575" s="38"/>
      <c r="G575" s="38"/>
      <c r="H575" s="38"/>
      <c r="I575" s="38"/>
      <c r="J575" s="38"/>
    </row>
    <row r="576">
      <c r="A576" s="14"/>
      <c r="E576" s="35"/>
      <c r="F576" s="38"/>
      <c r="G576" s="38"/>
      <c r="H576" s="38"/>
      <c r="I576" s="38"/>
      <c r="J576" s="38"/>
    </row>
    <row r="577">
      <c r="A577" s="14"/>
      <c r="E577" s="35"/>
      <c r="F577" s="38"/>
      <c r="G577" s="38"/>
      <c r="H577" s="38"/>
      <c r="I577" s="38"/>
      <c r="J577" s="38"/>
    </row>
    <row r="578">
      <c r="A578" s="14"/>
      <c r="E578" s="35"/>
      <c r="F578" s="38"/>
      <c r="G578" s="38"/>
      <c r="H578" s="38"/>
      <c r="I578" s="38"/>
      <c r="J578" s="38"/>
    </row>
    <row r="579">
      <c r="A579" s="14"/>
      <c r="E579" s="35"/>
      <c r="F579" s="38"/>
      <c r="G579" s="38"/>
      <c r="H579" s="38"/>
      <c r="I579" s="38"/>
      <c r="J579" s="38"/>
    </row>
    <row r="580">
      <c r="A580" s="14"/>
      <c r="E580" s="35"/>
      <c r="F580" s="38"/>
      <c r="G580" s="38"/>
      <c r="H580" s="38"/>
      <c r="I580" s="38"/>
      <c r="J580" s="38"/>
    </row>
    <row r="581">
      <c r="A581" s="14"/>
      <c r="E581" s="35"/>
      <c r="F581" s="38"/>
      <c r="G581" s="38"/>
      <c r="H581" s="38"/>
      <c r="I581" s="38"/>
      <c r="J581" s="38"/>
    </row>
    <row r="582">
      <c r="A582" s="14"/>
      <c r="E582" s="35"/>
      <c r="F582" s="38"/>
      <c r="G582" s="38"/>
      <c r="H582" s="38"/>
      <c r="I582" s="38"/>
      <c r="J582" s="38"/>
    </row>
    <row r="583">
      <c r="A583" s="14"/>
      <c r="E583" s="35"/>
      <c r="F583" s="38"/>
      <c r="G583" s="38"/>
      <c r="H583" s="38"/>
      <c r="I583" s="38"/>
      <c r="J583" s="38"/>
    </row>
    <row r="584">
      <c r="A584" s="14"/>
      <c r="E584" s="35"/>
      <c r="F584" s="38"/>
      <c r="G584" s="38"/>
      <c r="H584" s="38"/>
      <c r="I584" s="38"/>
      <c r="J584" s="38"/>
    </row>
    <row r="585">
      <c r="A585" s="14"/>
      <c r="E585" s="35"/>
      <c r="F585" s="38"/>
      <c r="G585" s="38"/>
      <c r="H585" s="38"/>
      <c r="I585" s="38"/>
      <c r="J585" s="38"/>
    </row>
    <row r="586">
      <c r="A586" s="14"/>
      <c r="E586" s="35"/>
      <c r="F586" s="38"/>
      <c r="G586" s="38"/>
      <c r="H586" s="38"/>
      <c r="I586" s="38"/>
      <c r="J586" s="38"/>
    </row>
    <row r="587">
      <c r="A587" s="14"/>
      <c r="E587" s="35"/>
      <c r="F587" s="38"/>
      <c r="G587" s="38"/>
      <c r="H587" s="38"/>
      <c r="I587" s="38"/>
      <c r="J587" s="38"/>
    </row>
    <row r="588">
      <c r="A588" s="14"/>
      <c r="E588" s="35"/>
      <c r="F588" s="38"/>
      <c r="G588" s="38"/>
      <c r="H588" s="38"/>
      <c r="I588" s="38"/>
      <c r="J588" s="38"/>
    </row>
    <row r="589">
      <c r="A589" s="14"/>
      <c r="E589" s="35"/>
      <c r="F589" s="38"/>
      <c r="G589" s="38"/>
      <c r="H589" s="38"/>
      <c r="I589" s="38"/>
      <c r="J589" s="38"/>
    </row>
    <row r="590">
      <c r="A590" s="14"/>
      <c r="E590" s="35"/>
      <c r="F590" s="38"/>
      <c r="G590" s="38"/>
      <c r="H590" s="38"/>
      <c r="I590" s="38"/>
      <c r="J590" s="38"/>
    </row>
    <row r="591">
      <c r="A591" s="14"/>
      <c r="E591" s="35"/>
      <c r="F591" s="38"/>
      <c r="G591" s="38"/>
      <c r="H591" s="38"/>
      <c r="I591" s="38"/>
      <c r="J591" s="38"/>
    </row>
    <row r="592">
      <c r="A592" s="14"/>
      <c r="E592" s="35"/>
      <c r="F592" s="38"/>
      <c r="G592" s="38"/>
      <c r="H592" s="38"/>
      <c r="I592" s="38"/>
      <c r="J592" s="38"/>
    </row>
    <row r="593">
      <c r="A593" s="14"/>
      <c r="E593" s="35"/>
      <c r="F593" s="38"/>
      <c r="G593" s="38"/>
      <c r="H593" s="38"/>
      <c r="I593" s="38"/>
      <c r="J593" s="38"/>
    </row>
    <row r="594">
      <c r="A594" s="14"/>
      <c r="E594" s="35"/>
      <c r="F594" s="38"/>
      <c r="G594" s="38"/>
      <c r="H594" s="38"/>
      <c r="I594" s="38"/>
      <c r="J594" s="38"/>
    </row>
    <row r="595">
      <c r="A595" s="14"/>
      <c r="E595" s="35"/>
      <c r="F595" s="38"/>
      <c r="G595" s="38"/>
      <c r="H595" s="38"/>
      <c r="I595" s="38"/>
      <c r="J595" s="38"/>
    </row>
    <row r="596">
      <c r="A596" s="14"/>
      <c r="E596" s="35"/>
      <c r="F596" s="38"/>
      <c r="G596" s="38"/>
      <c r="H596" s="38"/>
      <c r="I596" s="38"/>
      <c r="J596" s="38"/>
    </row>
    <row r="597">
      <c r="A597" s="14"/>
      <c r="E597" s="35"/>
      <c r="F597" s="38"/>
      <c r="G597" s="38"/>
      <c r="H597" s="38"/>
      <c r="I597" s="38"/>
      <c r="J597" s="38"/>
    </row>
    <row r="598">
      <c r="A598" s="14"/>
      <c r="E598" s="35"/>
      <c r="F598" s="38"/>
      <c r="G598" s="38"/>
      <c r="H598" s="38"/>
      <c r="I598" s="38"/>
      <c r="J598" s="38"/>
    </row>
    <row r="599">
      <c r="A599" s="14"/>
      <c r="E599" s="35"/>
      <c r="F599" s="38"/>
      <c r="G599" s="38"/>
      <c r="H599" s="38"/>
      <c r="I599" s="38"/>
      <c r="J599" s="38"/>
    </row>
    <row r="600">
      <c r="A600" s="14"/>
      <c r="E600" s="35"/>
      <c r="F600" s="38"/>
      <c r="G600" s="38"/>
      <c r="H600" s="38"/>
      <c r="I600" s="38"/>
      <c r="J600" s="38"/>
    </row>
    <row r="601">
      <c r="A601" s="14"/>
      <c r="E601" s="35"/>
      <c r="F601" s="38"/>
      <c r="G601" s="38"/>
      <c r="H601" s="38"/>
      <c r="I601" s="38"/>
      <c r="J601" s="38"/>
    </row>
    <row r="602">
      <c r="A602" s="14"/>
      <c r="E602" s="35"/>
      <c r="F602" s="38"/>
      <c r="G602" s="38"/>
      <c r="H602" s="38"/>
      <c r="I602" s="38"/>
      <c r="J602" s="38"/>
    </row>
    <row r="603">
      <c r="A603" s="14"/>
      <c r="E603" s="35"/>
      <c r="F603" s="38"/>
      <c r="G603" s="38"/>
      <c r="H603" s="38"/>
      <c r="I603" s="38"/>
      <c r="J603" s="38"/>
    </row>
    <row r="604">
      <c r="A604" s="14"/>
      <c r="E604" s="35"/>
      <c r="F604" s="38"/>
      <c r="G604" s="38"/>
      <c r="H604" s="38"/>
      <c r="I604" s="38"/>
      <c r="J604" s="38"/>
    </row>
    <row r="605">
      <c r="A605" s="14"/>
      <c r="E605" s="35"/>
      <c r="F605" s="38"/>
      <c r="G605" s="38"/>
      <c r="H605" s="38"/>
      <c r="I605" s="38"/>
      <c r="J605" s="38"/>
    </row>
    <row r="606">
      <c r="A606" s="14"/>
      <c r="E606" s="35"/>
      <c r="F606" s="38"/>
      <c r="G606" s="38"/>
      <c r="H606" s="38"/>
      <c r="I606" s="38"/>
      <c r="J606" s="38"/>
    </row>
    <row r="607">
      <c r="A607" s="14"/>
      <c r="E607" s="35"/>
      <c r="F607" s="38"/>
      <c r="G607" s="38"/>
      <c r="H607" s="38"/>
      <c r="I607" s="38"/>
      <c r="J607" s="38"/>
    </row>
    <row r="608">
      <c r="A608" s="14"/>
      <c r="E608" s="35"/>
      <c r="F608" s="38"/>
      <c r="G608" s="38"/>
      <c r="H608" s="38"/>
      <c r="I608" s="38"/>
      <c r="J608" s="38"/>
    </row>
    <row r="609">
      <c r="A609" s="14"/>
      <c r="E609" s="35"/>
      <c r="F609" s="38"/>
      <c r="G609" s="38"/>
      <c r="H609" s="38"/>
      <c r="I609" s="38"/>
      <c r="J609" s="38"/>
    </row>
    <row r="610">
      <c r="A610" s="14"/>
      <c r="E610" s="35"/>
      <c r="F610" s="38"/>
      <c r="G610" s="38"/>
      <c r="H610" s="38"/>
      <c r="I610" s="38"/>
      <c r="J610" s="38"/>
    </row>
    <row r="611">
      <c r="A611" s="14"/>
      <c r="E611" s="35"/>
      <c r="F611" s="38"/>
      <c r="G611" s="38"/>
      <c r="H611" s="38"/>
      <c r="I611" s="38"/>
      <c r="J611" s="38"/>
    </row>
    <row r="612">
      <c r="A612" s="14"/>
      <c r="E612" s="35"/>
      <c r="F612" s="38"/>
      <c r="G612" s="38"/>
      <c r="H612" s="38"/>
      <c r="I612" s="38"/>
      <c r="J612" s="38"/>
    </row>
    <row r="613">
      <c r="A613" s="14"/>
      <c r="E613" s="35"/>
      <c r="F613" s="38"/>
      <c r="G613" s="38"/>
      <c r="H613" s="38"/>
      <c r="I613" s="38"/>
      <c r="J613" s="38"/>
    </row>
    <row r="614">
      <c r="A614" s="14"/>
      <c r="E614" s="35"/>
      <c r="F614" s="38"/>
      <c r="G614" s="38"/>
      <c r="H614" s="38"/>
      <c r="I614" s="38"/>
      <c r="J614" s="38"/>
    </row>
    <row r="615">
      <c r="A615" s="14"/>
      <c r="E615" s="35"/>
      <c r="F615" s="38"/>
      <c r="G615" s="38"/>
      <c r="H615" s="38"/>
      <c r="I615" s="38"/>
      <c r="J615" s="38"/>
    </row>
    <row r="616">
      <c r="A616" s="14"/>
      <c r="E616" s="35"/>
      <c r="F616" s="38"/>
      <c r="G616" s="38"/>
      <c r="H616" s="38"/>
      <c r="I616" s="38"/>
      <c r="J616" s="38"/>
    </row>
    <row r="617">
      <c r="A617" s="14"/>
      <c r="E617" s="35"/>
      <c r="F617" s="38"/>
      <c r="G617" s="38"/>
      <c r="H617" s="38"/>
      <c r="I617" s="38"/>
      <c r="J617" s="38"/>
    </row>
    <row r="618">
      <c r="A618" s="14"/>
      <c r="E618" s="35"/>
      <c r="F618" s="38"/>
      <c r="G618" s="38"/>
      <c r="H618" s="38"/>
      <c r="I618" s="38"/>
      <c r="J618" s="38"/>
    </row>
    <row r="619">
      <c r="A619" s="14"/>
      <c r="E619" s="35"/>
      <c r="F619" s="38"/>
      <c r="G619" s="38"/>
      <c r="H619" s="38"/>
      <c r="I619" s="38"/>
      <c r="J619" s="38"/>
    </row>
    <row r="620">
      <c r="A620" s="14"/>
      <c r="E620" s="35"/>
      <c r="F620" s="38"/>
      <c r="G620" s="38"/>
      <c r="H620" s="38"/>
      <c r="I620" s="38"/>
      <c r="J620" s="38"/>
    </row>
    <row r="621">
      <c r="A621" s="14"/>
      <c r="E621" s="35"/>
      <c r="F621" s="38"/>
      <c r="G621" s="38"/>
      <c r="H621" s="38"/>
      <c r="I621" s="38"/>
      <c r="J621" s="38"/>
    </row>
    <row r="622">
      <c r="A622" s="14"/>
      <c r="E622" s="35"/>
      <c r="F622" s="38"/>
      <c r="G622" s="38"/>
      <c r="H622" s="38"/>
      <c r="I622" s="38"/>
      <c r="J622" s="38"/>
    </row>
    <row r="623">
      <c r="A623" s="14"/>
      <c r="E623" s="35"/>
      <c r="F623" s="38"/>
      <c r="G623" s="38"/>
      <c r="H623" s="38"/>
      <c r="I623" s="38"/>
      <c r="J623" s="38"/>
    </row>
    <row r="624">
      <c r="A624" s="14"/>
      <c r="E624" s="35"/>
      <c r="F624" s="38"/>
      <c r="G624" s="38"/>
      <c r="H624" s="38"/>
      <c r="I624" s="38"/>
      <c r="J624" s="38"/>
    </row>
    <row r="625">
      <c r="A625" s="14"/>
      <c r="E625" s="35"/>
      <c r="F625" s="38"/>
      <c r="G625" s="38"/>
      <c r="H625" s="38"/>
      <c r="I625" s="38"/>
      <c r="J625" s="38"/>
    </row>
    <row r="626">
      <c r="A626" s="14"/>
      <c r="E626" s="35"/>
      <c r="F626" s="38"/>
      <c r="G626" s="38"/>
      <c r="H626" s="38"/>
      <c r="I626" s="38"/>
      <c r="J626" s="38"/>
    </row>
    <row r="627">
      <c r="A627" s="14"/>
      <c r="E627" s="35"/>
      <c r="F627" s="38"/>
      <c r="G627" s="38"/>
      <c r="H627" s="38"/>
      <c r="I627" s="38"/>
      <c r="J627" s="38"/>
    </row>
    <row r="628">
      <c r="A628" s="14"/>
      <c r="E628" s="35"/>
      <c r="F628" s="38"/>
      <c r="G628" s="38"/>
      <c r="H628" s="38"/>
      <c r="I628" s="38"/>
      <c r="J628" s="38"/>
    </row>
    <row r="629">
      <c r="A629" s="14"/>
      <c r="E629" s="35"/>
      <c r="F629" s="38"/>
      <c r="G629" s="38"/>
      <c r="H629" s="38"/>
      <c r="I629" s="38"/>
      <c r="J629" s="38"/>
    </row>
    <row r="630">
      <c r="A630" s="14"/>
      <c r="E630" s="35"/>
      <c r="F630" s="38"/>
      <c r="G630" s="38"/>
      <c r="H630" s="38"/>
      <c r="I630" s="38"/>
      <c r="J630" s="38"/>
    </row>
    <row r="631">
      <c r="A631" s="14"/>
      <c r="E631" s="35"/>
      <c r="F631" s="38"/>
      <c r="G631" s="38"/>
      <c r="H631" s="38"/>
      <c r="I631" s="38"/>
      <c r="J631" s="38"/>
    </row>
    <row r="632">
      <c r="A632" s="14"/>
      <c r="E632" s="35"/>
      <c r="F632" s="38"/>
      <c r="G632" s="38"/>
      <c r="H632" s="38"/>
      <c r="I632" s="38"/>
      <c r="J632" s="38"/>
    </row>
    <row r="633">
      <c r="A633" s="14"/>
      <c r="E633" s="35"/>
      <c r="F633" s="38"/>
      <c r="G633" s="38"/>
      <c r="H633" s="38"/>
      <c r="I633" s="38"/>
      <c r="J633" s="38"/>
    </row>
    <row r="634">
      <c r="A634" s="14"/>
      <c r="E634" s="35"/>
      <c r="F634" s="38"/>
      <c r="G634" s="38"/>
      <c r="H634" s="38"/>
      <c r="I634" s="38"/>
      <c r="J634" s="38"/>
    </row>
    <row r="635">
      <c r="A635" s="14"/>
      <c r="E635" s="35"/>
      <c r="F635" s="38"/>
      <c r="G635" s="38"/>
      <c r="H635" s="38"/>
      <c r="I635" s="38"/>
      <c r="J635" s="38"/>
    </row>
    <row r="636">
      <c r="A636" s="14"/>
      <c r="E636" s="35"/>
      <c r="F636" s="38"/>
      <c r="G636" s="38"/>
      <c r="H636" s="38"/>
      <c r="I636" s="38"/>
      <c r="J636" s="38"/>
    </row>
    <row r="637">
      <c r="A637" s="14"/>
      <c r="E637" s="35"/>
      <c r="F637" s="38"/>
      <c r="G637" s="38"/>
      <c r="H637" s="38"/>
      <c r="I637" s="38"/>
      <c r="J637" s="38"/>
    </row>
    <row r="638">
      <c r="A638" s="14"/>
      <c r="E638" s="35"/>
      <c r="F638" s="38"/>
      <c r="G638" s="38"/>
      <c r="H638" s="38"/>
      <c r="I638" s="38"/>
      <c r="J638" s="38"/>
    </row>
    <row r="639">
      <c r="A639" s="14"/>
      <c r="E639" s="35"/>
      <c r="F639" s="38"/>
      <c r="G639" s="38"/>
      <c r="H639" s="38"/>
      <c r="I639" s="38"/>
      <c r="J639" s="38"/>
    </row>
    <row r="640">
      <c r="A640" s="14"/>
      <c r="E640" s="35"/>
      <c r="F640" s="38"/>
      <c r="G640" s="38"/>
      <c r="H640" s="38"/>
      <c r="I640" s="38"/>
      <c r="J640" s="38"/>
    </row>
    <row r="641">
      <c r="A641" s="14"/>
      <c r="E641" s="35"/>
      <c r="F641" s="38"/>
      <c r="G641" s="38"/>
      <c r="H641" s="38"/>
      <c r="I641" s="38"/>
      <c r="J641" s="38"/>
    </row>
    <row r="642">
      <c r="A642" s="14"/>
      <c r="E642" s="35"/>
      <c r="F642" s="38"/>
      <c r="G642" s="38"/>
      <c r="H642" s="38"/>
      <c r="I642" s="38"/>
      <c r="J642" s="38"/>
    </row>
    <row r="643">
      <c r="A643" s="14"/>
      <c r="E643" s="35"/>
      <c r="F643" s="38"/>
      <c r="G643" s="38"/>
      <c r="H643" s="38"/>
      <c r="I643" s="38"/>
      <c r="J643" s="38"/>
    </row>
    <row r="644">
      <c r="A644" s="14"/>
      <c r="E644" s="35"/>
      <c r="F644" s="38"/>
      <c r="G644" s="38"/>
      <c r="H644" s="38"/>
      <c r="I644" s="38"/>
      <c r="J644" s="38"/>
    </row>
    <row r="645">
      <c r="A645" s="14"/>
      <c r="E645" s="35"/>
      <c r="F645" s="38"/>
      <c r="G645" s="38"/>
      <c r="H645" s="38"/>
      <c r="I645" s="38"/>
      <c r="J645" s="38"/>
    </row>
    <row r="646">
      <c r="A646" s="14"/>
      <c r="E646" s="35"/>
      <c r="F646" s="38"/>
      <c r="G646" s="38"/>
      <c r="H646" s="38"/>
      <c r="I646" s="38"/>
      <c r="J646" s="38"/>
    </row>
    <row r="647">
      <c r="A647" s="14"/>
      <c r="E647" s="35"/>
      <c r="F647" s="38"/>
      <c r="G647" s="38"/>
      <c r="H647" s="38"/>
      <c r="I647" s="38"/>
      <c r="J647" s="38"/>
    </row>
    <row r="648">
      <c r="A648" s="14"/>
      <c r="E648" s="35"/>
      <c r="F648" s="38"/>
      <c r="G648" s="38"/>
      <c r="H648" s="38"/>
      <c r="I648" s="38"/>
      <c r="J648" s="38"/>
    </row>
    <row r="649">
      <c r="A649" s="14"/>
      <c r="E649" s="35"/>
      <c r="F649" s="38"/>
      <c r="G649" s="38"/>
      <c r="H649" s="38"/>
      <c r="I649" s="38"/>
      <c r="J649" s="38"/>
    </row>
    <row r="650">
      <c r="A650" s="14"/>
      <c r="E650" s="35"/>
      <c r="F650" s="38"/>
      <c r="G650" s="38"/>
      <c r="H650" s="38"/>
      <c r="I650" s="38"/>
      <c r="J650" s="38"/>
    </row>
    <row r="651">
      <c r="A651" s="14"/>
      <c r="E651" s="35"/>
      <c r="F651" s="38"/>
      <c r="G651" s="38"/>
      <c r="H651" s="38"/>
      <c r="I651" s="38"/>
      <c r="J651" s="38"/>
    </row>
    <row r="652">
      <c r="A652" s="14"/>
      <c r="E652" s="35"/>
      <c r="F652" s="38"/>
      <c r="G652" s="38"/>
      <c r="H652" s="38"/>
      <c r="I652" s="38"/>
      <c r="J652" s="38"/>
    </row>
    <row r="653">
      <c r="A653" s="14"/>
      <c r="E653" s="35"/>
      <c r="F653" s="38"/>
      <c r="G653" s="38"/>
      <c r="H653" s="38"/>
      <c r="I653" s="38"/>
      <c r="J653" s="38"/>
    </row>
    <row r="654">
      <c r="A654" s="14"/>
      <c r="E654" s="35"/>
      <c r="F654" s="38"/>
      <c r="G654" s="38"/>
      <c r="H654" s="38"/>
      <c r="I654" s="38"/>
      <c r="J654" s="38"/>
    </row>
    <row r="655">
      <c r="A655" s="14"/>
      <c r="E655" s="35"/>
      <c r="F655" s="38"/>
      <c r="G655" s="38"/>
      <c r="H655" s="38"/>
      <c r="I655" s="38"/>
      <c r="J655" s="38"/>
    </row>
    <row r="656">
      <c r="A656" s="14"/>
      <c r="E656" s="35"/>
      <c r="F656" s="38"/>
      <c r="G656" s="38"/>
      <c r="H656" s="38"/>
      <c r="I656" s="38"/>
      <c r="J656" s="38"/>
    </row>
    <row r="657">
      <c r="A657" s="14"/>
      <c r="E657" s="35"/>
      <c r="F657" s="38"/>
      <c r="G657" s="38"/>
      <c r="H657" s="38"/>
      <c r="I657" s="38"/>
      <c r="J657" s="38"/>
    </row>
    <row r="658">
      <c r="A658" s="14"/>
      <c r="E658" s="35"/>
      <c r="F658" s="38"/>
      <c r="G658" s="38"/>
      <c r="H658" s="38"/>
      <c r="I658" s="38"/>
      <c r="J658" s="38"/>
    </row>
    <row r="659">
      <c r="A659" s="14"/>
      <c r="E659" s="35"/>
      <c r="F659" s="38"/>
      <c r="G659" s="38"/>
      <c r="H659" s="38"/>
      <c r="I659" s="38"/>
      <c r="J659" s="38"/>
    </row>
    <row r="660">
      <c r="A660" s="14"/>
      <c r="E660" s="35"/>
      <c r="F660" s="38"/>
      <c r="G660" s="38"/>
      <c r="H660" s="38"/>
      <c r="I660" s="38"/>
      <c r="J660" s="38"/>
    </row>
    <row r="661">
      <c r="A661" s="14"/>
      <c r="E661" s="35"/>
      <c r="F661" s="38"/>
      <c r="G661" s="38"/>
      <c r="H661" s="38"/>
      <c r="I661" s="38"/>
      <c r="J661" s="38"/>
    </row>
    <row r="662">
      <c r="A662" s="14"/>
      <c r="E662" s="35"/>
      <c r="F662" s="38"/>
      <c r="G662" s="38"/>
      <c r="H662" s="38"/>
      <c r="I662" s="38"/>
      <c r="J662" s="38"/>
    </row>
    <row r="663">
      <c r="A663" s="14"/>
      <c r="E663" s="35"/>
      <c r="F663" s="38"/>
      <c r="G663" s="38"/>
      <c r="H663" s="38"/>
      <c r="I663" s="38"/>
      <c r="J663" s="38"/>
    </row>
    <row r="664">
      <c r="A664" s="14"/>
      <c r="E664" s="35"/>
      <c r="F664" s="38"/>
      <c r="G664" s="38"/>
      <c r="H664" s="38"/>
      <c r="I664" s="38"/>
      <c r="J664" s="38"/>
    </row>
    <row r="665">
      <c r="A665" s="14"/>
      <c r="E665" s="35"/>
      <c r="F665" s="38"/>
      <c r="G665" s="38"/>
      <c r="H665" s="38"/>
      <c r="I665" s="38"/>
      <c r="J665" s="38"/>
    </row>
    <row r="666">
      <c r="A666" s="14"/>
      <c r="E666" s="35"/>
      <c r="F666" s="38"/>
      <c r="G666" s="38"/>
      <c r="H666" s="38"/>
      <c r="I666" s="38"/>
      <c r="J666" s="38"/>
    </row>
    <row r="667">
      <c r="A667" s="14"/>
      <c r="E667" s="35"/>
      <c r="F667" s="38"/>
      <c r="G667" s="38"/>
      <c r="H667" s="38"/>
      <c r="I667" s="38"/>
      <c r="J667" s="38"/>
    </row>
    <row r="668">
      <c r="A668" s="14"/>
      <c r="E668" s="35"/>
      <c r="F668" s="38"/>
      <c r="G668" s="38"/>
      <c r="H668" s="38"/>
      <c r="I668" s="38"/>
      <c r="J668" s="38"/>
    </row>
    <row r="669">
      <c r="A669" s="14"/>
      <c r="E669" s="35"/>
      <c r="F669" s="38"/>
      <c r="G669" s="38"/>
      <c r="H669" s="38"/>
      <c r="I669" s="38"/>
      <c r="J669" s="38"/>
    </row>
    <row r="670">
      <c r="A670" s="14"/>
      <c r="E670" s="35"/>
      <c r="F670" s="38"/>
      <c r="G670" s="38"/>
      <c r="H670" s="38"/>
      <c r="I670" s="38"/>
      <c r="J670" s="38"/>
    </row>
    <row r="671">
      <c r="A671" s="14"/>
      <c r="E671" s="35"/>
      <c r="F671" s="38"/>
      <c r="G671" s="38"/>
      <c r="H671" s="38"/>
      <c r="I671" s="38"/>
      <c r="J671" s="38"/>
    </row>
    <row r="672">
      <c r="A672" s="14"/>
      <c r="E672" s="35"/>
      <c r="F672" s="38"/>
      <c r="G672" s="38"/>
      <c r="H672" s="38"/>
      <c r="I672" s="38"/>
      <c r="J672" s="38"/>
    </row>
    <row r="673">
      <c r="A673" s="14"/>
      <c r="E673" s="35"/>
      <c r="F673" s="38"/>
      <c r="G673" s="38"/>
      <c r="H673" s="38"/>
      <c r="I673" s="38"/>
      <c r="J673" s="38"/>
    </row>
    <row r="674">
      <c r="A674" s="14"/>
      <c r="E674" s="35"/>
      <c r="F674" s="38"/>
      <c r="G674" s="38"/>
      <c r="H674" s="38"/>
      <c r="I674" s="38"/>
      <c r="J674" s="38"/>
    </row>
    <row r="675">
      <c r="A675" s="14"/>
      <c r="E675" s="35"/>
      <c r="F675" s="38"/>
      <c r="G675" s="38"/>
      <c r="H675" s="38"/>
      <c r="I675" s="38"/>
      <c r="J675" s="38"/>
    </row>
    <row r="676">
      <c r="A676" s="14"/>
      <c r="E676" s="35"/>
      <c r="F676" s="38"/>
      <c r="G676" s="38"/>
      <c r="H676" s="38"/>
      <c r="I676" s="38"/>
      <c r="J676" s="38"/>
    </row>
    <row r="677">
      <c r="A677" s="14"/>
      <c r="E677" s="35"/>
      <c r="F677" s="38"/>
      <c r="G677" s="38"/>
      <c r="H677" s="38"/>
      <c r="I677" s="38"/>
      <c r="J677" s="38"/>
    </row>
    <row r="678">
      <c r="A678" s="14"/>
      <c r="E678" s="35"/>
      <c r="F678" s="38"/>
      <c r="G678" s="38"/>
      <c r="H678" s="38"/>
      <c r="I678" s="38"/>
      <c r="J678" s="38"/>
    </row>
    <row r="679">
      <c r="A679" s="14"/>
      <c r="E679" s="35"/>
      <c r="F679" s="38"/>
      <c r="G679" s="38"/>
      <c r="H679" s="38"/>
      <c r="I679" s="38"/>
      <c r="J679" s="38"/>
    </row>
    <row r="680">
      <c r="A680" s="14"/>
      <c r="E680" s="35"/>
      <c r="F680" s="38"/>
      <c r="G680" s="38"/>
      <c r="H680" s="38"/>
      <c r="I680" s="38"/>
      <c r="J680" s="38"/>
    </row>
    <row r="681">
      <c r="A681" s="14"/>
      <c r="E681" s="35"/>
      <c r="F681" s="38"/>
      <c r="G681" s="38"/>
      <c r="H681" s="38"/>
      <c r="I681" s="38"/>
      <c r="J681" s="38"/>
    </row>
    <row r="682">
      <c r="A682" s="14"/>
      <c r="E682" s="35"/>
      <c r="F682" s="38"/>
      <c r="G682" s="38"/>
      <c r="H682" s="38"/>
      <c r="I682" s="38"/>
      <c r="J682" s="38"/>
    </row>
    <row r="683">
      <c r="A683" s="14"/>
      <c r="E683" s="35"/>
      <c r="F683" s="38"/>
      <c r="G683" s="38"/>
      <c r="H683" s="38"/>
      <c r="I683" s="38"/>
      <c r="J683" s="38"/>
    </row>
    <row r="684">
      <c r="A684" s="14"/>
      <c r="E684" s="35"/>
      <c r="F684" s="38"/>
      <c r="G684" s="38"/>
      <c r="H684" s="38"/>
      <c r="I684" s="38"/>
      <c r="J684" s="38"/>
    </row>
    <row r="685">
      <c r="A685" s="14"/>
      <c r="E685" s="35"/>
      <c r="F685" s="38"/>
      <c r="G685" s="38"/>
      <c r="H685" s="38"/>
      <c r="I685" s="38"/>
      <c r="J685" s="38"/>
    </row>
    <row r="686">
      <c r="A686" s="14"/>
      <c r="E686" s="35"/>
      <c r="F686" s="38"/>
      <c r="G686" s="38"/>
      <c r="H686" s="38"/>
      <c r="I686" s="38"/>
      <c r="J686" s="38"/>
    </row>
    <row r="687">
      <c r="A687" s="14"/>
      <c r="E687" s="35"/>
      <c r="F687" s="38"/>
      <c r="G687" s="38"/>
      <c r="H687" s="38"/>
      <c r="I687" s="38"/>
      <c r="J687" s="38"/>
    </row>
    <row r="688">
      <c r="A688" s="14"/>
      <c r="E688" s="35"/>
      <c r="F688" s="38"/>
      <c r="G688" s="38"/>
      <c r="H688" s="38"/>
      <c r="I688" s="38"/>
      <c r="J688" s="38"/>
    </row>
    <row r="689">
      <c r="A689" s="14"/>
      <c r="E689" s="35"/>
      <c r="F689" s="38"/>
      <c r="G689" s="38"/>
      <c r="H689" s="38"/>
      <c r="I689" s="38"/>
      <c r="J689" s="38"/>
    </row>
    <row r="690">
      <c r="A690" s="14"/>
      <c r="E690" s="35"/>
      <c r="F690" s="38"/>
      <c r="G690" s="38"/>
      <c r="H690" s="38"/>
      <c r="I690" s="38"/>
      <c r="J690" s="38"/>
    </row>
    <row r="691">
      <c r="A691" s="14"/>
      <c r="E691" s="35"/>
      <c r="F691" s="38"/>
      <c r="G691" s="38"/>
      <c r="H691" s="38"/>
      <c r="I691" s="38"/>
      <c r="J691" s="38"/>
    </row>
    <row r="692">
      <c r="A692" s="14"/>
      <c r="E692" s="35"/>
      <c r="F692" s="38"/>
      <c r="G692" s="38"/>
      <c r="H692" s="38"/>
      <c r="I692" s="38"/>
      <c r="J692" s="38"/>
    </row>
    <row r="693">
      <c r="A693" s="14"/>
      <c r="E693" s="35"/>
      <c r="F693" s="38"/>
      <c r="G693" s="38"/>
      <c r="H693" s="38"/>
      <c r="I693" s="38"/>
      <c r="J693" s="38"/>
    </row>
    <row r="694">
      <c r="A694" s="14"/>
      <c r="E694" s="35"/>
      <c r="F694" s="38"/>
      <c r="G694" s="38"/>
      <c r="H694" s="38"/>
      <c r="I694" s="38"/>
      <c r="J694" s="38"/>
    </row>
    <row r="695">
      <c r="A695" s="14"/>
      <c r="E695" s="35"/>
      <c r="F695" s="38"/>
      <c r="G695" s="38"/>
      <c r="H695" s="38"/>
      <c r="I695" s="38"/>
      <c r="J695" s="38"/>
    </row>
    <row r="696">
      <c r="A696" s="14"/>
      <c r="E696" s="35"/>
      <c r="F696" s="38"/>
      <c r="G696" s="38"/>
      <c r="H696" s="38"/>
      <c r="I696" s="38"/>
      <c r="J696" s="38"/>
    </row>
    <row r="697">
      <c r="A697" s="14"/>
      <c r="E697" s="35"/>
      <c r="F697" s="38"/>
      <c r="G697" s="38"/>
      <c r="H697" s="38"/>
      <c r="I697" s="38"/>
      <c r="J697" s="38"/>
    </row>
    <row r="698">
      <c r="A698" s="14"/>
      <c r="E698" s="35"/>
      <c r="F698" s="38"/>
      <c r="G698" s="38"/>
      <c r="H698" s="38"/>
      <c r="I698" s="38"/>
      <c r="J698" s="38"/>
    </row>
    <row r="699">
      <c r="A699" s="14"/>
      <c r="E699" s="35"/>
      <c r="F699" s="38"/>
      <c r="G699" s="38"/>
      <c r="H699" s="38"/>
      <c r="I699" s="38"/>
      <c r="J699" s="38"/>
    </row>
    <row r="700">
      <c r="A700" s="14"/>
      <c r="E700" s="35"/>
      <c r="F700" s="38"/>
      <c r="G700" s="38"/>
      <c r="H700" s="38"/>
      <c r="I700" s="38"/>
      <c r="J700" s="38"/>
    </row>
    <row r="701">
      <c r="A701" s="14"/>
      <c r="E701" s="35"/>
      <c r="F701" s="38"/>
      <c r="G701" s="38"/>
      <c r="H701" s="38"/>
      <c r="I701" s="38"/>
      <c r="J701" s="38"/>
    </row>
    <row r="702">
      <c r="A702" s="14"/>
      <c r="E702" s="35"/>
      <c r="F702" s="38"/>
      <c r="G702" s="38"/>
      <c r="H702" s="38"/>
      <c r="I702" s="38"/>
      <c r="J702" s="38"/>
    </row>
    <row r="703">
      <c r="A703" s="14"/>
      <c r="E703" s="35"/>
      <c r="F703" s="38"/>
      <c r="G703" s="38"/>
      <c r="H703" s="38"/>
      <c r="I703" s="38"/>
      <c r="J703" s="38"/>
    </row>
    <row r="704">
      <c r="A704" s="14"/>
      <c r="E704" s="35"/>
      <c r="F704" s="38"/>
      <c r="G704" s="38"/>
      <c r="H704" s="38"/>
      <c r="I704" s="38"/>
      <c r="J704" s="38"/>
    </row>
    <row r="705">
      <c r="A705" s="14"/>
      <c r="E705" s="35"/>
      <c r="F705" s="38"/>
      <c r="G705" s="38"/>
      <c r="H705" s="38"/>
      <c r="I705" s="38"/>
      <c r="J705" s="38"/>
    </row>
    <row r="706">
      <c r="A706" s="14"/>
      <c r="E706" s="35"/>
      <c r="F706" s="38"/>
      <c r="G706" s="38"/>
      <c r="H706" s="38"/>
      <c r="I706" s="38"/>
      <c r="J706" s="38"/>
    </row>
    <row r="707">
      <c r="A707" s="14"/>
      <c r="E707" s="35"/>
      <c r="F707" s="38"/>
      <c r="G707" s="38"/>
      <c r="H707" s="38"/>
      <c r="I707" s="38"/>
      <c r="J707" s="38"/>
    </row>
    <row r="708">
      <c r="A708" s="14"/>
      <c r="E708" s="35"/>
      <c r="F708" s="38"/>
      <c r="G708" s="38"/>
      <c r="H708" s="38"/>
      <c r="I708" s="38"/>
      <c r="J708" s="38"/>
    </row>
    <row r="709">
      <c r="A709" s="14"/>
      <c r="E709" s="35"/>
      <c r="F709" s="38"/>
      <c r="G709" s="38"/>
      <c r="H709" s="38"/>
      <c r="I709" s="38"/>
      <c r="J709" s="38"/>
    </row>
    <row r="710">
      <c r="A710" s="14"/>
      <c r="E710" s="35"/>
      <c r="F710" s="38"/>
      <c r="G710" s="38"/>
      <c r="H710" s="38"/>
      <c r="I710" s="38"/>
      <c r="J710" s="38"/>
    </row>
    <row r="711">
      <c r="A711" s="14"/>
      <c r="E711" s="35"/>
      <c r="F711" s="38"/>
      <c r="G711" s="38"/>
      <c r="H711" s="38"/>
      <c r="I711" s="38"/>
      <c r="J711" s="38"/>
    </row>
    <row r="712">
      <c r="A712" s="14"/>
      <c r="E712" s="35"/>
      <c r="F712" s="38"/>
      <c r="G712" s="38"/>
      <c r="H712" s="38"/>
      <c r="I712" s="38"/>
      <c r="J712" s="38"/>
    </row>
    <row r="713">
      <c r="A713" s="14"/>
      <c r="E713" s="35"/>
      <c r="F713" s="38"/>
      <c r="G713" s="38"/>
      <c r="H713" s="38"/>
      <c r="I713" s="38"/>
      <c r="J713" s="38"/>
    </row>
    <row r="714">
      <c r="A714" s="14"/>
      <c r="E714" s="35"/>
      <c r="F714" s="38"/>
      <c r="G714" s="38"/>
      <c r="H714" s="38"/>
      <c r="I714" s="38"/>
      <c r="J714" s="38"/>
    </row>
    <row r="715">
      <c r="A715" s="14"/>
      <c r="E715" s="35"/>
      <c r="F715" s="38"/>
      <c r="G715" s="38"/>
      <c r="H715" s="38"/>
      <c r="I715" s="38"/>
      <c r="J715" s="38"/>
    </row>
    <row r="716">
      <c r="A716" s="14"/>
      <c r="E716" s="35"/>
      <c r="F716" s="38"/>
      <c r="G716" s="38"/>
      <c r="H716" s="38"/>
      <c r="I716" s="38"/>
      <c r="J716" s="38"/>
    </row>
    <row r="717">
      <c r="A717" s="14"/>
      <c r="E717" s="35"/>
      <c r="F717" s="38"/>
      <c r="G717" s="38"/>
      <c r="H717" s="38"/>
      <c r="I717" s="38"/>
      <c r="J717" s="38"/>
    </row>
    <row r="718">
      <c r="A718" s="14"/>
      <c r="E718" s="35"/>
      <c r="F718" s="38"/>
      <c r="G718" s="38"/>
      <c r="H718" s="38"/>
      <c r="I718" s="38"/>
      <c r="J718" s="38"/>
    </row>
    <row r="719">
      <c r="A719" s="14"/>
      <c r="E719" s="35"/>
      <c r="F719" s="38"/>
      <c r="G719" s="38"/>
      <c r="H719" s="38"/>
      <c r="I719" s="38"/>
      <c r="J719" s="38"/>
    </row>
    <row r="720">
      <c r="A720" s="14"/>
      <c r="E720" s="35"/>
      <c r="F720" s="38"/>
      <c r="G720" s="38"/>
      <c r="H720" s="38"/>
      <c r="I720" s="38"/>
      <c r="J720" s="38"/>
    </row>
    <row r="721">
      <c r="A721" s="14"/>
      <c r="E721" s="35"/>
      <c r="F721" s="38"/>
      <c r="G721" s="38"/>
      <c r="H721" s="38"/>
      <c r="I721" s="38"/>
      <c r="J721" s="38"/>
    </row>
    <row r="722">
      <c r="A722" s="14"/>
      <c r="E722" s="35"/>
      <c r="F722" s="38"/>
      <c r="G722" s="38"/>
      <c r="H722" s="38"/>
      <c r="I722" s="38"/>
      <c r="J722" s="38"/>
    </row>
    <row r="723">
      <c r="A723" s="14"/>
      <c r="E723" s="35"/>
      <c r="F723" s="38"/>
      <c r="G723" s="38"/>
      <c r="H723" s="38"/>
      <c r="I723" s="38"/>
      <c r="J723" s="38"/>
    </row>
    <row r="724">
      <c r="A724" s="14"/>
      <c r="E724" s="35"/>
      <c r="F724" s="38"/>
      <c r="G724" s="38"/>
      <c r="H724" s="38"/>
      <c r="I724" s="38"/>
      <c r="J724" s="38"/>
    </row>
    <row r="725">
      <c r="A725" s="14"/>
      <c r="E725" s="35"/>
      <c r="F725" s="38"/>
      <c r="G725" s="38"/>
      <c r="H725" s="38"/>
      <c r="I725" s="38"/>
      <c r="J725" s="38"/>
    </row>
    <row r="726">
      <c r="A726" s="14"/>
      <c r="E726" s="35"/>
      <c r="F726" s="38"/>
      <c r="G726" s="38"/>
      <c r="H726" s="38"/>
      <c r="I726" s="38"/>
      <c r="J726" s="38"/>
    </row>
    <row r="727">
      <c r="A727" s="14"/>
      <c r="E727" s="35"/>
      <c r="F727" s="38"/>
      <c r="G727" s="38"/>
      <c r="H727" s="38"/>
      <c r="I727" s="38"/>
      <c r="J727" s="38"/>
    </row>
    <row r="728">
      <c r="A728" s="14"/>
      <c r="E728" s="35"/>
      <c r="F728" s="38"/>
      <c r="G728" s="38"/>
      <c r="H728" s="38"/>
      <c r="I728" s="38"/>
      <c r="J728" s="38"/>
    </row>
    <row r="729">
      <c r="A729" s="14"/>
      <c r="E729" s="35"/>
      <c r="F729" s="38"/>
      <c r="G729" s="38"/>
      <c r="H729" s="38"/>
      <c r="I729" s="38"/>
      <c r="J729" s="38"/>
    </row>
    <row r="730">
      <c r="A730" s="14"/>
      <c r="E730" s="35"/>
      <c r="F730" s="38"/>
      <c r="G730" s="38"/>
      <c r="H730" s="38"/>
      <c r="I730" s="38"/>
      <c r="J730" s="38"/>
    </row>
    <row r="731">
      <c r="A731" s="14"/>
      <c r="E731" s="35"/>
      <c r="F731" s="38"/>
      <c r="G731" s="38"/>
      <c r="H731" s="38"/>
      <c r="I731" s="38"/>
      <c r="J731" s="38"/>
    </row>
    <row r="732">
      <c r="A732" s="14"/>
      <c r="E732" s="35"/>
      <c r="F732" s="38"/>
      <c r="G732" s="38"/>
      <c r="H732" s="38"/>
      <c r="I732" s="38"/>
      <c r="J732" s="38"/>
    </row>
    <row r="733">
      <c r="A733" s="14"/>
      <c r="E733" s="35"/>
      <c r="F733" s="38"/>
      <c r="G733" s="38"/>
      <c r="H733" s="38"/>
      <c r="I733" s="38"/>
      <c r="J733" s="38"/>
    </row>
    <row r="734">
      <c r="A734" s="14"/>
      <c r="E734" s="35"/>
      <c r="F734" s="38"/>
      <c r="G734" s="38"/>
      <c r="H734" s="38"/>
      <c r="I734" s="38"/>
      <c r="J734" s="38"/>
    </row>
    <row r="735">
      <c r="A735" s="14"/>
      <c r="E735" s="35"/>
      <c r="F735" s="38"/>
      <c r="G735" s="38"/>
      <c r="H735" s="38"/>
      <c r="I735" s="38"/>
      <c r="J735" s="38"/>
    </row>
    <row r="736">
      <c r="A736" s="14"/>
      <c r="E736" s="35"/>
      <c r="F736" s="38"/>
      <c r="G736" s="38"/>
      <c r="H736" s="38"/>
      <c r="I736" s="38"/>
      <c r="J736" s="38"/>
    </row>
    <row r="737">
      <c r="A737" s="14"/>
      <c r="E737" s="35"/>
      <c r="F737" s="38"/>
      <c r="G737" s="38"/>
      <c r="H737" s="38"/>
      <c r="I737" s="38"/>
      <c r="J737" s="38"/>
    </row>
    <row r="738">
      <c r="A738" s="14"/>
      <c r="E738" s="35"/>
      <c r="F738" s="38"/>
      <c r="G738" s="38"/>
      <c r="H738" s="38"/>
      <c r="I738" s="38"/>
      <c r="J738" s="38"/>
    </row>
    <row r="739">
      <c r="A739" s="14"/>
      <c r="E739" s="35"/>
      <c r="F739" s="38"/>
      <c r="G739" s="38"/>
      <c r="H739" s="38"/>
      <c r="I739" s="38"/>
      <c r="J739" s="38"/>
    </row>
    <row r="740">
      <c r="A740" s="14"/>
      <c r="E740" s="35"/>
      <c r="F740" s="38"/>
      <c r="G740" s="38"/>
      <c r="H740" s="38"/>
      <c r="I740" s="38"/>
      <c r="J740" s="38"/>
    </row>
    <row r="741">
      <c r="A741" s="14"/>
      <c r="E741" s="35"/>
      <c r="F741" s="38"/>
      <c r="G741" s="38"/>
      <c r="H741" s="38"/>
      <c r="I741" s="38"/>
      <c r="J741" s="38"/>
    </row>
    <row r="742">
      <c r="A742" s="14"/>
      <c r="E742" s="35"/>
      <c r="F742" s="38"/>
      <c r="G742" s="38"/>
      <c r="H742" s="38"/>
      <c r="I742" s="38"/>
      <c r="J742" s="38"/>
    </row>
    <row r="743">
      <c r="A743" s="14"/>
      <c r="E743" s="35"/>
      <c r="F743" s="38"/>
      <c r="G743" s="38"/>
      <c r="H743" s="38"/>
      <c r="I743" s="38"/>
      <c r="J743" s="38"/>
    </row>
    <row r="744">
      <c r="A744" s="14"/>
      <c r="E744" s="35"/>
      <c r="F744" s="38"/>
      <c r="G744" s="38"/>
      <c r="H744" s="38"/>
      <c r="I744" s="38"/>
      <c r="J744" s="38"/>
    </row>
    <row r="745">
      <c r="A745" s="14"/>
      <c r="E745" s="35"/>
      <c r="F745" s="38"/>
      <c r="G745" s="38"/>
      <c r="H745" s="38"/>
      <c r="I745" s="38"/>
      <c r="J745" s="38"/>
    </row>
    <row r="746">
      <c r="A746" s="14"/>
      <c r="E746" s="35"/>
      <c r="F746" s="38"/>
      <c r="G746" s="38"/>
      <c r="H746" s="38"/>
      <c r="I746" s="38"/>
      <c r="J746" s="38"/>
    </row>
    <row r="747">
      <c r="A747" s="14"/>
      <c r="E747" s="35"/>
      <c r="F747" s="38"/>
      <c r="G747" s="38"/>
      <c r="H747" s="38"/>
      <c r="I747" s="38"/>
      <c r="J747" s="38"/>
    </row>
    <row r="748">
      <c r="A748" s="14"/>
      <c r="E748" s="35"/>
      <c r="F748" s="38"/>
      <c r="G748" s="38"/>
      <c r="H748" s="38"/>
      <c r="I748" s="38"/>
      <c r="J748" s="38"/>
    </row>
    <row r="749">
      <c r="A749" s="14"/>
      <c r="E749" s="35"/>
      <c r="F749" s="38"/>
      <c r="G749" s="38"/>
      <c r="H749" s="38"/>
      <c r="I749" s="38"/>
      <c r="J749" s="38"/>
    </row>
    <row r="750">
      <c r="A750" s="14"/>
      <c r="E750" s="35"/>
      <c r="F750" s="38"/>
      <c r="G750" s="38"/>
      <c r="H750" s="38"/>
      <c r="I750" s="38"/>
      <c r="J750" s="38"/>
    </row>
    <row r="751">
      <c r="A751" s="14"/>
      <c r="E751" s="35"/>
      <c r="F751" s="38"/>
      <c r="G751" s="38"/>
      <c r="H751" s="38"/>
      <c r="I751" s="38"/>
      <c r="J751" s="38"/>
    </row>
    <row r="752">
      <c r="A752" s="14"/>
      <c r="E752" s="35"/>
      <c r="F752" s="38"/>
      <c r="G752" s="38"/>
      <c r="H752" s="38"/>
      <c r="I752" s="38"/>
      <c r="J752" s="38"/>
    </row>
    <row r="753">
      <c r="A753" s="14"/>
      <c r="E753" s="35"/>
      <c r="F753" s="38"/>
      <c r="G753" s="38"/>
      <c r="H753" s="38"/>
      <c r="I753" s="38"/>
      <c r="J753" s="38"/>
    </row>
    <row r="754">
      <c r="A754" s="14"/>
      <c r="E754" s="35"/>
      <c r="F754" s="38"/>
      <c r="G754" s="38"/>
      <c r="H754" s="38"/>
      <c r="I754" s="38"/>
      <c r="J754" s="38"/>
    </row>
    <row r="755">
      <c r="A755" s="14"/>
      <c r="E755" s="35"/>
      <c r="F755" s="38"/>
      <c r="G755" s="38"/>
      <c r="H755" s="38"/>
      <c r="I755" s="38"/>
      <c r="J755" s="38"/>
    </row>
    <row r="756">
      <c r="A756" s="14"/>
      <c r="E756" s="35"/>
      <c r="F756" s="38"/>
      <c r="G756" s="38"/>
      <c r="H756" s="38"/>
      <c r="I756" s="38"/>
      <c r="J756" s="38"/>
    </row>
    <row r="757">
      <c r="A757" s="14"/>
      <c r="E757" s="35"/>
      <c r="F757" s="38"/>
      <c r="G757" s="38"/>
      <c r="H757" s="38"/>
      <c r="I757" s="38"/>
      <c r="J757" s="38"/>
    </row>
    <row r="758">
      <c r="A758" s="14"/>
      <c r="E758" s="35"/>
      <c r="F758" s="38"/>
      <c r="G758" s="38"/>
      <c r="H758" s="38"/>
      <c r="I758" s="38"/>
      <c r="J758" s="38"/>
    </row>
    <row r="759">
      <c r="A759" s="14"/>
      <c r="E759" s="35"/>
      <c r="F759" s="38"/>
      <c r="G759" s="38"/>
      <c r="H759" s="38"/>
      <c r="I759" s="38"/>
      <c r="J759" s="38"/>
    </row>
    <row r="760">
      <c r="A760" s="14"/>
      <c r="E760" s="35"/>
      <c r="F760" s="38"/>
      <c r="G760" s="38"/>
      <c r="H760" s="38"/>
      <c r="I760" s="38"/>
      <c r="J760" s="38"/>
    </row>
    <row r="761">
      <c r="A761" s="14"/>
      <c r="E761" s="35"/>
      <c r="F761" s="38"/>
      <c r="G761" s="38"/>
      <c r="H761" s="38"/>
      <c r="I761" s="38"/>
      <c r="J761" s="38"/>
    </row>
    <row r="762">
      <c r="A762" s="14"/>
      <c r="E762" s="35"/>
      <c r="F762" s="38"/>
      <c r="G762" s="38"/>
      <c r="H762" s="38"/>
      <c r="I762" s="38"/>
      <c r="J762" s="38"/>
    </row>
    <row r="763">
      <c r="A763" s="14"/>
      <c r="E763" s="35"/>
      <c r="F763" s="38"/>
      <c r="G763" s="38"/>
      <c r="H763" s="38"/>
      <c r="I763" s="38"/>
      <c r="J763" s="38"/>
    </row>
    <row r="764">
      <c r="A764" s="14"/>
      <c r="E764" s="35"/>
      <c r="F764" s="38"/>
      <c r="G764" s="38"/>
      <c r="H764" s="38"/>
      <c r="I764" s="38"/>
      <c r="J764" s="38"/>
    </row>
    <row r="765">
      <c r="A765" s="14"/>
      <c r="E765" s="35"/>
      <c r="F765" s="38"/>
      <c r="G765" s="38"/>
      <c r="H765" s="38"/>
      <c r="I765" s="38"/>
      <c r="J765" s="38"/>
    </row>
    <row r="766">
      <c r="A766" s="14"/>
      <c r="E766" s="35"/>
      <c r="F766" s="38"/>
      <c r="G766" s="38"/>
      <c r="H766" s="38"/>
      <c r="I766" s="38"/>
      <c r="J766" s="38"/>
    </row>
    <row r="767">
      <c r="A767" s="14"/>
      <c r="E767" s="35"/>
      <c r="F767" s="38"/>
      <c r="G767" s="38"/>
      <c r="H767" s="38"/>
      <c r="I767" s="38"/>
      <c r="J767" s="38"/>
    </row>
    <row r="768">
      <c r="A768" s="14"/>
      <c r="E768" s="35"/>
      <c r="F768" s="38"/>
      <c r="G768" s="38"/>
      <c r="H768" s="38"/>
      <c r="I768" s="38"/>
      <c r="J768" s="38"/>
    </row>
    <row r="769">
      <c r="A769" s="14"/>
      <c r="E769" s="35"/>
      <c r="F769" s="38"/>
      <c r="G769" s="38"/>
      <c r="H769" s="38"/>
      <c r="I769" s="38"/>
      <c r="J769" s="38"/>
    </row>
    <row r="770">
      <c r="A770" s="14"/>
      <c r="E770" s="35"/>
      <c r="F770" s="38"/>
      <c r="G770" s="38"/>
      <c r="H770" s="38"/>
      <c r="I770" s="38"/>
      <c r="J770" s="38"/>
    </row>
    <row r="771">
      <c r="A771" s="14"/>
      <c r="E771" s="35"/>
      <c r="F771" s="38"/>
      <c r="G771" s="38"/>
      <c r="H771" s="38"/>
      <c r="I771" s="38"/>
      <c r="J771" s="38"/>
    </row>
    <row r="772">
      <c r="A772" s="14"/>
      <c r="E772" s="35"/>
      <c r="F772" s="38"/>
      <c r="G772" s="38"/>
      <c r="H772" s="38"/>
      <c r="I772" s="38"/>
      <c r="J772" s="38"/>
    </row>
    <row r="773">
      <c r="A773" s="14"/>
      <c r="E773" s="35"/>
      <c r="F773" s="38"/>
      <c r="G773" s="38"/>
      <c r="H773" s="38"/>
      <c r="I773" s="38"/>
      <c r="J773" s="38"/>
    </row>
    <row r="774">
      <c r="A774" s="14"/>
      <c r="E774" s="35"/>
      <c r="F774" s="38"/>
      <c r="G774" s="38"/>
      <c r="H774" s="38"/>
      <c r="I774" s="38"/>
      <c r="J774" s="38"/>
    </row>
    <row r="775">
      <c r="A775" s="14"/>
      <c r="E775" s="35"/>
      <c r="F775" s="38"/>
      <c r="G775" s="38"/>
      <c r="H775" s="38"/>
      <c r="I775" s="38"/>
      <c r="J775" s="38"/>
    </row>
    <row r="776">
      <c r="A776" s="14"/>
      <c r="E776" s="35"/>
      <c r="F776" s="38"/>
      <c r="G776" s="38"/>
      <c r="H776" s="38"/>
      <c r="I776" s="38"/>
      <c r="J776" s="38"/>
    </row>
    <row r="777">
      <c r="A777" s="14"/>
      <c r="E777" s="35"/>
      <c r="F777" s="38"/>
      <c r="G777" s="38"/>
      <c r="H777" s="38"/>
      <c r="I777" s="38"/>
      <c r="J777" s="38"/>
    </row>
    <row r="778">
      <c r="A778" s="14"/>
      <c r="E778" s="35"/>
      <c r="F778" s="38"/>
      <c r="G778" s="38"/>
      <c r="H778" s="38"/>
      <c r="I778" s="38"/>
      <c r="J778" s="38"/>
    </row>
    <row r="779">
      <c r="A779" s="14"/>
      <c r="E779" s="35"/>
      <c r="F779" s="38"/>
      <c r="G779" s="38"/>
      <c r="H779" s="38"/>
      <c r="I779" s="38"/>
      <c r="J779" s="38"/>
    </row>
    <row r="780">
      <c r="A780" s="14"/>
      <c r="E780" s="35"/>
      <c r="F780" s="38"/>
      <c r="G780" s="38"/>
      <c r="H780" s="38"/>
      <c r="I780" s="38"/>
      <c r="J780" s="38"/>
    </row>
    <row r="781">
      <c r="A781" s="14"/>
      <c r="E781" s="35"/>
      <c r="F781" s="38"/>
      <c r="G781" s="38"/>
      <c r="H781" s="38"/>
      <c r="I781" s="38"/>
      <c r="J781" s="38"/>
    </row>
    <row r="782">
      <c r="A782" s="14"/>
      <c r="E782" s="35"/>
      <c r="F782" s="38"/>
      <c r="G782" s="38"/>
      <c r="H782" s="38"/>
      <c r="I782" s="38"/>
      <c r="J782" s="38"/>
    </row>
    <row r="783">
      <c r="A783" s="14"/>
      <c r="E783" s="35"/>
      <c r="F783" s="38"/>
      <c r="G783" s="38"/>
      <c r="H783" s="38"/>
      <c r="I783" s="38"/>
      <c r="J783" s="38"/>
    </row>
    <row r="784">
      <c r="A784" s="14"/>
      <c r="E784" s="35"/>
      <c r="F784" s="38"/>
      <c r="G784" s="38"/>
      <c r="H784" s="38"/>
      <c r="I784" s="38"/>
      <c r="J784" s="38"/>
    </row>
    <row r="785">
      <c r="A785" s="14"/>
      <c r="E785" s="35"/>
      <c r="F785" s="38"/>
      <c r="G785" s="38"/>
      <c r="H785" s="38"/>
      <c r="I785" s="38"/>
      <c r="J785" s="38"/>
    </row>
    <row r="786">
      <c r="A786" s="14"/>
      <c r="E786" s="35"/>
      <c r="F786" s="38"/>
      <c r="G786" s="38"/>
      <c r="H786" s="38"/>
      <c r="I786" s="38"/>
      <c r="J786" s="38"/>
    </row>
    <row r="787">
      <c r="A787" s="14"/>
      <c r="E787" s="35"/>
      <c r="F787" s="38"/>
      <c r="G787" s="38"/>
      <c r="H787" s="38"/>
      <c r="I787" s="38"/>
      <c r="J787" s="38"/>
    </row>
    <row r="788">
      <c r="A788" s="14"/>
      <c r="E788" s="35"/>
      <c r="F788" s="38"/>
      <c r="G788" s="38"/>
      <c r="H788" s="38"/>
      <c r="I788" s="38"/>
      <c r="J788" s="38"/>
    </row>
    <row r="789">
      <c r="A789" s="14"/>
      <c r="E789" s="35"/>
      <c r="F789" s="38"/>
      <c r="G789" s="38"/>
      <c r="H789" s="38"/>
      <c r="I789" s="38"/>
      <c r="J789" s="38"/>
    </row>
    <row r="790">
      <c r="A790" s="14"/>
      <c r="E790" s="35"/>
      <c r="F790" s="38"/>
      <c r="G790" s="38"/>
      <c r="H790" s="38"/>
      <c r="I790" s="38"/>
      <c r="J790" s="38"/>
    </row>
    <row r="791">
      <c r="A791" s="14"/>
      <c r="E791" s="35"/>
      <c r="F791" s="38"/>
      <c r="G791" s="38"/>
      <c r="H791" s="38"/>
      <c r="I791" s="38"/>
      <c r="J791" s="38"/>
    </row>
    <row r="792">
      <c r="A792" s="14"/>
      <c r="E792" s="35"/>
      <c r="F792" s="38"/>
      <c r="G792" s="38"/>
      <c r="H792" s="38"/>
      <c r="I792" s="38"/>
      <c r="J792" s="38"/>
    </row>
    <row r="793">
      <c r="A793" s="14"/>
      <c r="E793" s="35"/>
      <c r="F793" s="38"/>
      <c r="G793" s="38"/>
      <c r="H793" s="38"/>
      <c r="I793" s="38"/>
      <c r="J793" s="38"/>
    </row>
    <row r="794">
      <c r="A794" s="14"/>
      <c r="E794" s="35"/>
      <c r="F794" s="38"/>
      <c r="G794" s="38"/>
      <c r="H794" s="38"/>
      <c r="I794" s="38"/>
      <c r="J794" s="38"/>
    </row>
    <row r="795">
      <c r="A795" s="14"/>
      <c r="E795" s="35"/>
      <c r="F795" s="38"/>
      <c r="G795" s="38"/>
      <c r="H795" s="38"/>
      <c r="I795" s="38"/>
      <c r="J795" s="38"/>
    </row>
    <row r="796">
      <c r="A796" s="14"/>
      <c r="E796" s="35"/>
      <c r="F796" s="38"/>
      <c r="G796" s="38"/>
      <c r="H796" s="38"/>
      <c r="I796" s="38"/>
      <c r="J796" s="38"/>
    </row>
    <row r="797">
      <c r="A797" s="14"/>
      <c r="E797" s="35"/>
      <c r="F797" s="38"/>
      <c r="G797" s="38"/>
      <c r="H797" s="38"/>
      <c r="I797" s="38"/>
      <c r="J797" s="38"/>
    </row>
    <row r="798">
      <c r="A798" s="14"/>
      <c r="E798" s="35"/>
      <c r="F798" s="38"/>
      <c r="G798" s="38"/>
      <c r="H798" s="38"/>
      <c r="I798" s="38"/>
      <c r="J798" s="38"/>
    </row>
    <row r="799">
      <c r="A799" s="14"/>
      <c r="E799" s="35"/>
      <c r="F799" s="38"/>
      <c r="G799" s="38"/>
      <c r="H799" s="38"/>
      <c r="I799" s="38"/>
      <c r="J799" s="38"/>
    </row>
    <row r="800">
      <c r="A800" s="14"/>
      <c r="E800" s="35"/>
      <c r="F800" s="38"/>
      <c r="G800" s="38"/>
      <c r="H800" s="38"/>
      <c r="I800" s="38"/>
      <c r="J800" s="38"/>
    </row>
    <row r="801">
      <c r="A801" s="14"/>
      <c r="E801" s="35"/>
      <c r="F801" s="38"/>
      <c r="G801" s="38"/>
      <c r="H801" s="38"/>
      <c r="I801" s="38"/>
      <c r="J801" s="38"/>
    </row>
    <row r="802">
      <c r="A802" s="14"/>
      <c r="E802" s="35"/>
      <c r="F802" s="38"/>
      <c r="G802" s="38"/>
      <c r="H802" s="38"/>
      <c r="I802" s="38"/>
      <c r="J802" s="38"/>
    </row>
    <row r="803">
      <c r="A803" s="14"/>
      <c r="E803" s="35"/>
      <c r="F803" s="38"/>
      <c r="G803" s="38"/>
      <c r="H803" s="38"/>
      <c r="I803" s="38"/>
      <c r="J803" s="38"/>
    </row>
    <row r="804">
      <c r="A804" s="14"/>
      <c r="E804" s="35"/>
      <c r="F804" s="38"/>
      <c r="G804" s="38"/>
      <c r="H804" s="38"/>
      <c r="I804" s="38"/>
      <c r="J804" s="38"/>
    </row>
    <row r="805">
      <c r="A805" s="14"/>
      <c r="E805" s="35"/>
      <c r="F805" s="38"/>
      <c r="G805" s="38"/>
      <c r="H805" s="38"/>
      <c r="I805" s="38"/>
      <c r="J805" s="38"/>
    </row>
    <row r="806">
      <c r="A806" s="14"/>
      <c r="E806" s="35"/>
      <c r="F806" s="38"/>
      <c r="G806" s="38"/>
      <c r="H806" s="38"/>
      <c r="I806" s="38"/>
      <c r="J806" s="38"/>
    </row>
    <row r="807">
      <c r="A807" s="14"/>
      <c r="E807" s="35"/>
      <c r="F807" s="38"/>
      <c r="G807" s="38"/>
      <c r="H807" s="38"/>
      <c r="I807" s="38"/>
      <c r="J807" s="38"/>
    </row>
    <row r="808">
      <c r="A808" s="14"/>
      <c r="E808" s="35"/>
      <c r="F808" s="38"/>
      <c r="G808" s="38"/>
      <c r="H808" s="38"/>
      <c r="I808" s="38"/>
      <c r="J808" s="38"/>
    </row>
    <row r="809">
      <c r="A809" s="14"/>
      <c r="E809" s="35"/>
      <c r="F809" s="38"/>
      <c r="G809" s="38"/>
      <c r="H809" s="38"/>
      <c r="I809" s="38"/>
      <c r="J809" s="38"/>
    </row>
    <row r="810">
      <c r="A810" s="14"/>
      <c r="E810" s="35"/>
      <c r="F810" s="38"/>
      <c r="G810" s="38"/>
      <c r="H810" s="38"/>
      <c r="I810" s="38"/>
      <c r="J810" s="38"/>
    </row>
    <row r="811">
      <c r="A811" s="14"/>
      <c r="E811" s="35"/>
      <c r="F811" s="38"/>
      <c r="G811" s="38"/>
      <c r="H811" s="38"/>
      <c r="I811" s="38"/>
      <c r="J811" s="38"/>
    </row>
    <row r="812">
      <c r="A812" s="14"/>
      <c r="E812" s="35"/>
      <c r="F812" s="38"/>
      <c r="G812" s="38"/>
      <c r="H812" s="38"/>
      <c r="I812" s="38"/>
      <c r="J812" s="38"/>
    </row>
    <row r="813">
      <c r="A813" s="14"/>
      <c r="E813" s="35"/>
      <c r="F813" s="38"/>
      <c r="G813" s="38"/>
      <c r="H813" s="38"/>
      <c r="I813" s="38"/>
      <c r="J813" s="38"/>
    </row>
    <row r="814">
      <c r="A814" s="14"/>
      <c r="E814" s="35"/>
      <c r="F814" s="38"/>
      <c r="G814" s="38"/>
      <c r="H814" s="38"/>
      <c r="I814" s="38"/>
      <c r="J814" s="38"/>
    </row>
    <row r="815">
      <c r="A815" s="14"/>
      <c r="E815" s="35"/>
      <c r="F815" s="38"/>
      <c r="G815" s="38"/>
      <c r="H815" s="38"/>
      <c r="I815" s="38"/>
      <c r="J815" s="38"/>
    </row>
    <row r="816">
      <c r="A816" s="14"/>
      <c r="E816" s="35"/>
      <c r="F816" s="38"/>
      <c r="G816" s="38"/>
      <c r="H816" s="38"/>
      <c r="I816" s="38"/>
      <c r="J816" s="38"/>
    </row>
    <row r="817">
      <c r="A817" s="14"/>
      <c r="E817" s="35"/>
      <c r="F817" s="38"/>
      <c r="G817" s="38"/>
      <c r="H817" s="38"/>
      <c r="I817" s="38"/>
      <c r="J817" s="38"/>
    </row>
    <row r="818">
      <c r="A818" s="14"/>
      <c r="E818" s="35"/>
      <c r="F818" s="38"/>
      <c r="G818" s="38"/>
      <c r="H818" s="38"/>
      <c r="I818" s="38"/>
      <c r="J818" s="38"/>
    </row>
    <row r="819">
      <c r="A819" s="14"/>
      <c r="E819" s="35"/>
      <c r="F819" s="38"/>
      <c r="G819" s="38"/>
      <c r="H819" s="38"/>
      <c r="I819" s="38"/>
      <c r="J819" s="38"/>
    </row>
    <row r="820">
      <c r="A820" s="14"/>
      <c r="E820" s="35"/>
      <c r="F820" s="38"/>
      <c r="G820" s="38"/>
      <c r="H820" s="38"/>
      <c r="I820" s="38"/>
      <c r="J820" s="38"/>
    </row>
    <row r="821">
      <c r="A821" s="14"/>
      <c r="E821" s="35"/>
      <c r="F821" s="38"/>
      <c r="G821" s="38"/>
      <c r="H821" s="38"/>
      <c r="I821" s="38"/>
      <c r="J821" s="38"/>
    </row>
    <row r="822">
      <c r="A822" s="14"/>
      <c r="E822" s="35"/>
      <c r="F822" s="38"/>
      <c r="G822" s="38"/>
      <c r="H822" s="38"/>
      <c r="I822" s="38"/>
      <c r="J822" s="38"/>
    </row>
    <row r="823">
      <c r="A823" s="14"/>
      <c r="E823" s="35"/>
      <c r="F823" s="38"/>
      <c r="G823" s="38"/>
      <c r="H823" s="38"/>
      <c r="I823" s="38"/>
      <c r="J823" s="38"/>
    </row>
    <row r="824">
      <c r="A824" s="14"/>
      <c r="E824" s="35"/>
      <c r="F824" s="38"/>
      <c r="G824" s="38"/>
      <c r="H824" s="38"/>
      <c r="I824" s="38"/>
      <c r="J824" s="38"/>
    </row>
    <row r="825">
      <c r="A825" s="14"/>
      <c r="E825" s="35"/>
      <c r="F825" s="38"/>
      <c r="G825" s="38"/>
      <c r="H825" s="38"/>
      <c r="I825" s="38"/>
      <c r="J825" s="38"/>
    </row>
    <row r="826">
      <c r="A826" s="14"/>
      <c r="E826" s="35"/>
      <c r="F826" s="38"/>
      <c r="G826" s="38"/>
      <c r="H826" s="38"/>
      <c r="I826" s="38"/>
      <c r="J826" s="38"/>
    </row>
    <row r="827">
      <c r="A827" s="14"/>
      <c r="E827" s="35"/>
      <c r="F827" s="38"/>
      <c r="G827" s="38"/>
      <c r="H827" s="38"/>
      <c r="I827" s="38"/>
      <c r="J827" s="38"/>
    </row>
    <row r="828">
      <c r="A828" s="14"/>
      <c r="E828" s="35"/>
      <c r="F828" s="38"/>
      <c r="G828" s="38"/>
      <c r="H828" s="38"/>
      <c r="I828" s="38"/>
      <c r="J828" s="38"/>
    </row>
    <row r="829">
      <c r="A829" s="14"/>
      <c r="E829" s="35"/>
      <c r="F829" s="38"/>
      <c r="G829" s="38"/>
      <c r="H829" s="38"/>
      <c r="I829" s="38"/>
      <c r="J829" s="38"/>
    </row>
    <row r="830">
      <c r="A830" s="14"/>
      <c r="E830" s="35"/>
      <c r="F830" s="38"/>
      <c r="G830" s="38"/>
      <c r="H830" s="38"/>
      <c r="I830" s="38"/>
      <c r="J830" s="38"/>
    </row>
    <row r="831">
      <c r="A831" s="14"/>
      <c r="E831" s="35"/>
      <c r="F831" s="38"/>
      <c r="G831" s="38"/>
      <c r="H831" s="38"/>
      <c r="I831" s="38"/>
      <c r="J831" s="38"/>
    </row>
    <row r="832">
      <c r="A832" s="14"/>
      <c r="E832" s="35"/>
      <c r="F832" s="38"/>
      <c r="G832" s="38"/>
      <c r="H832" s="38"/>
      <c r="I832" s="38"/>
      <c r="J832" s="38"/>
    </row>
    <row r="833">
      <c r="A833" s="14"/>
      <c r="E833" s="35"/>
      <c r="F833" s="38"/>
      <c r="G833" s="38"/>
      <c r="H833" s="38"/>
      <c r="I833" s="38"/>
      <c r="J833" s="38"/>
    </row>
    <row r="834">
      <c r="A834" s="14"/>
      <c r="E834" s="35"/>
      <c r="F834" s="38"/>
      <c r="G834" s="38"/>
      <c r="H834" s="38"/>
      <c r="I834" s="38"/>
      <c r="J834" s="38"/>
    </row>
    <row r="835">
      <c r="A835" s="14"/>
      <c r="E835" s="35"/>
      <c r="F835" s="38"/>
      <c r="G835" s="38"/>
      <c r="H835" s="38"/>
      <c r="I835" s="38"/>
      <c r="J835" s="38"/>
    </row>
    <row r="836">
      <c r="A836" s="14"/>
      <c r="E836" s="35"/>
      <c r="F836" s="38"/>
      <c r="G836" s="38"/>
      <c r="H836" s="38"/>
      <c r="I836" s="38"/>
      <c r="J836" s="38"/>
    </row>
    <row r="837">
      <c r="A837" s="14"/>
      <c r="E837" s="35"/>
      <c r="F837" s="38"/>
      <c r="G837" s="38"/>
      <c r="H837" s="38"/>
      <c r="I837" s="38"/>
      <c r="J837" s="38"/>
    </row>
    <row r="838">
      <c r="A838" s="14"/>
      <c r="E838" s="35"/>
      <c r="F838" s="38"/>
      <c r="G838" s="38"/>
      <c r="H838" s="38"/>
      <c r="I838" s="38"/>
      <c r="J838" s="38"/>
    </row>
    <row r="839">
      <c r="A839" s="14"/>
      <c r="E839" s="35"/>
      <c r="F839" s="38"/>
      <c r="G839" s="38"/>
      <c r="H839" s="38"/>
      <c r="I839" s="38"/>
      <c r="J839" s="38"/>
    </row>
    <row r="840">
      <c r="A840" s="14"/>
      <c r="E840" s="35"/>
      <c r="F840" s="38"/>
      <c r="G840" s="38"/>
      <c r="H840" s="38"/>
      <c r="I840" s="38"/>
      <c r="J840" s="38"/>
    </row>
    <row r="841">
      <c r="A841" s="14"/>
      <c r="E841" s="35"/>
      <c r="F841" s="38"/>
      <c r="G841" s="38"/>
      <c r="H841" s="38"/>
      <c r="I841" s="38"/>
      <c r="J841" s="38"/>
    </row>
    <row r="842">
      <c r="A842" s="14"/>
      <c r="E842" s="35"/>
      <c r="F842" s="38"/>
      <c r="G842" s="38"/>
      <c r="H842" s="38"/>
      <c r="I842" s="38"/>
      <c r="J842" s="38"/>
    </row>
    <row r="843">
      <c r="A843" s="14"/>
      <c r="E843" s="35"/>
      <c r="F843" s="38"/>
      <c r="G843" s="38"/>
      <c r="H843" s="38"/>
      <c r="I843" s="38"/>
      <c r="J843" s="38"/>
    </row>
    <row r="844">
      <c r="A844" s="14"/>
      <c r="E844" s="35"/>
      <c r="F844" s="38"/>
      <c r="G844" s="38"/>
      <c r="H844" s="38"/>
      <c r="I844" s="38"/>
      <c r="J844" s="38"/>
    </row>
    <row r="845">
      <c r="A845" s="14"/>
      <c r="E845" s="35"/>
      <c r="F845" s="38"/>
      <c r="G845" s="38"/>
      <c r="H845" s="38"/>
      <c r="I845" s="38"/>
      <c r="J845" s="38"/>
    </row>
    <row r="846">
      <c r="A846" s="14"/>
      <c r="E846" s="35"/>
      <c r="F846" s="38"/>
      <c r="G846" s="38"/>
      <c r="H846" s="38"/>
      <c r="I846" s="38"/>
      <c r="J846" s="38"/>
    </row>
    <row r="847">
      <c r="A847" s="14"/>
      <c r="E847" s="35"/>
      <c r="F847" s="38"/>
      <c r="G847" s="38"/>
      <c r="H847" s="38"/>
      <c r="I847" s="38"/>
      <c r="J847" s="38"/>
    </row>
    <row r="848">
      <c r="A848" s="14"/>
      <c r="E848" s="35"/>
      <c r="F848" s="38"/>
      <c r="G848" s="38"/>
      <c r="H848" s="38"/>
      <c r="I848" s="38"/>
      <c r="J848" s="38"/>
    </row>
    <row r="849">
      <c r="A849" s="14"/>
      <c r="E849" s="35"/>
      <c r="F849" s="38"/>
      <c r="G849" s="38"/>
      <c r="H849" s="38"/>
      <c r="I849" s="38"/>
      <c r="J849" s="38"/>
    </row>
    <row r="850">
      <c r="A850" s="14"/>
      <c r="E850" s="35"/>
      <c r="F850" s="38"/>
      <c r="G850" s="38"/>
      <c r="H850" s="38"/>
      <c r="I850" s="38"/>
      <c r="J850" s="38"/>
    </row>
    <row r="851">
      <c r="A851" s="14"/>
      <c r="E851" s="35"/>
      <c r="F851" s="38"/>
      <c r="G851" s="38"/>
      <c r="H851" s="38"/>
      <c r="I851" s="38"/>
      <c r="J851" s="38"/>
    </row>
    <row r="852">
      <c r="A852" s="14"/>
      <c r="E852" s="35"/>
      <c r="F852" s="38"/>
      <c r="G852" s="38"/>
      <c r="H852" s="38"/>
      <c r="I852" s="38"/>
      <c r="J852" s="38"/>
    </row>
    <row r="853">
      <c r="A853" s="14"/>
      <c r="E853" s="35"/>
      <c r="F853" s="38"/>
      <c r="G853" s="38"/>
      <c r="H853" s="38"/>
      <c r="I853" s="38"/>
      <c r="J853" s="38"/>
    </row>
    <row r="854">
      <c r="A854" s="14"/>
      <c r="E854" s="35"/>
      <c r="F854" s="38"/>
      <c r="G854" s="38"/>
      <c r="H854" s="38"/>
      <c r="I854" s="38"/>
      <c r="J854" s="38"/>
    </row>
    <row r="855">
      <c r="A855" s="14"/>
      <c r="E855" s="35"/>
      <c r="F855" s="38"/>
      <c r="G855" s="38"/>
      <c r="H855" s="38"/>
      <c r="I855" s="38"/>
      <c r="J855" s="38"/>
    </row>
    <row r="856">
      <c r="A856" s="14"/>
      <c r="E856" s="35"/>
      <c r="F856" s="38"/>
      <c r="G856" s="38"/>
      <c r="H856" s="38"/>
      <c r="I856" s="38"/>
      <c r="J856" s="38"/>
    </row>
    <row r="857">
      <c r="A857" s="14"/>
      <c r="E857" s="35"/>
      <c r="F857" s="38"/>
      <c r="G857" s="38"/>
      <c r="H857" s="38"/>
      <c r="I857" s="38"/>
      <c r="J857" s="38"/>
    </row>
    <row r="858">
      <c r="A858" s="14"/>
      <c r="E858" s="35"/>
      <c r="F858" s="38"/>
      <c r="G858" s="38"/>
      <c r="H858" s="38"/>
      <c r="I858" s="38"/>
      <c r="J858" s="38"/>
    </row>
    <row r="859">
      <c r="A859" s="14"/>
      <c r="E859" s="35"/>
      <c r="F859" s="38"/>
      <c r="G859" s="38"/>
      <c r="H859" s="38"/>
      <c r="I859" s="38"/>
      <c r="J859" s="38"/>
    </row>
    <row r="860">
      <c r="A860" s="14"/>
      <c r="E860" s="35"/>
      <c r="F860" s="38"/>
      <c r="G860" s="38"/>
      <c r="H860" s="38"/>
      <c r="I860" s="38"/>
      <c r="J860" s="38"/>
    </row>
    <row r="861">
      <c r="A861" s="14"/>
      <c r="E861" s="35"/>
      <c r="F861" s="38"/>
      <c r="G861" s="38"/>
      <c r="H861" s="38"/>
      <c r="I861" s="38"/>
      <c r="J861" s="38"/>
    </row>
    <row r="862">
      <c r="A862" s="14"/>
      <c r="E862" s="35"/>
      <c r="F862" s="38"/>
      <c r="G862" s="38"/>
      <c r="H862" s="38"/>
      <c r="I862" s="38"/>
      <c r="J862" s="38"/>
    </row>
    <row r="863">
      <c r="A863" s="14"/>
      <c r="E863" s="35"/>
      <c r="F863" s="38"/>
      <c r="G863" s="38"/>
      <c r="H863" s="38"/>
      <c r="I863" s="38"/>
      <c r="J863" s="38"/>
    </row>
    <row r="864">
      <c r="A864" s="14"/>
      <c r="E864" s="35"/>
      <c r="F864" s="38"/>
      <c r="G864" s="38"/>
      <c r="H864" s="38"/>
      <c r="I864" s="38"/>
      <c r="J864" s="38"/>
    </row>
    <row r="865">
      <c r="A865" s="14"/>
      <c r="E865" s="35"/>
      <c r="F865" s="38"/>
      <c r="G865" s="38"/>
      <c r="H865" s="38"/>
      <c r="I865" s="38"/>
      <c r="J865" s="38"/>
    </row>
    <row r="866">
      <c r="A866" s="14"/>
      <c r="E866" s="35"/>
      <c r="F866" s="38"/>
      <c r="G866" s="38"/>
      <c r="H866" s="38"/>
      <c r="I866" s="38"/>
      <c r="J866" s="38"/>
    </row>
    <row r="867">
      <c r="A867" s="14"/>
      <c r="E867" s="35"/>
      <c r="F867" s="38"/>
      <c r="G867" s="38"/>
      <c r="H867" s="38"/>
      <c r="I867" s="38"/>
      <c r="J867" s="38"/>
    </row>
    <row r="868">
      <c r="A868" s="14"/>
      <c r="E868" s="35"/>
      <c r="F868" s="38"/>
      <c r="G868" s="38"/>
      <c r="H868" s="38"/>
      <c r="I868" s="38"/>
      <c r="J868" s="38"/>
    </row>
    <row r="869">
      <c r="A869" s="14"/>
      <c r="E869" s="35"/>
      <c r="F869" s="38"/>
      <c r="G869" s="38"/>
      <c r="H869" s="38"/>
      <c r="I869" s="38"/>
      <c r="J869" s="38"/>
    </row>
    <row r="870">
      <c r="A870" s="14"/>
      <c r="E870" s="35"/>
      <c r="F870" s="38"/>
      <c r="G870" s="38"/>
      <c r="H870" s="38"/>
      <c r="I870" s="38"/>
      <c r="J870" s="38"/>
    </row>
    <row r="871">
      <c r="A871" s="14"/>
      <c r="E871" s="35"/>
      <c r="F871" s="38"/>
      <c r="G871" s="38"/>
      <c r="H871" s="38"/>
      <c r="I871" s="38"/>
      <c r="J871" s="38"/>
    </row>
    <row r="872">
      <c r="A872" s="14"/>
      <c r="E872" s="35"/>
      <c r="F872" s="38"/>
      <c r="G872" s="38"/>
      <c r="H872" s="38"/>
      <c r="I872" s="38"/>
      <c r="J872" s="38"/>
    </row>
    <row r="873">
      <c r="A873" s="14"/>
      <c r="E873" s="35"/>
      <c r="F873" s="38"/>
      <c r="G873" s="38"/>
      <c r="H873" s="38"/>
      <c r="I873" s="38"/>
      <c r="J873" s="38"/>
    </row>
    <row r="874">
      <c r="A874" s="14"/>
      <c r="E874" s="35"/>
      <c r="F874" s="38"/>
      <c r="G874" s="38"/>
      <c r="H874" s="38"/>
      <c r="I874" s="38"/>
      <c r="J874" s="38"/>
    </row>
    <row r="875">
      <c r="A875" s="14"/>
      <c r="E875" s="35"/>
      <c r="F875" s="38"/>
      <c r="G875" s="38"/>
      <c r="H875" s="38"/>
      <c r="I875" s="38"/>
      <c r="J875" s="38"/>
    </row>
    <row r="876">
      <c r="A876" s="14"/>
      <c r="E876" s="35"/>
      <c r="F876" s="38"/>
      <c r="G876" s="38"/>
      <c r="H876" s="38"/>
      <c r="I876" s="38"/>
      <c r="J876" s="38"/>
    </row>
    <row r="877">
      <c r="A877" s="14"/>
      <c r="E877" s="35"/>
      <c r="F877" s="38"/>
      <c r="G877" s="38"/>
      <c r="H877" s="38"/>
      <c r="I877" s="38"/>
      <c r="J877" s="38"/>
    </row>
    <row r="878">
      <c r="A878" s="14"/>
      <c r="E878" s="35"/>
      <c r="F878" s="38"/>
      <c r="G878" s="38"/>
      <c r="H878" s="38"/>
      <c r="I878" s="38"/>
      <c r="J878" s="38"/>
    </row>
    <row r="879">
      <c r="A879" s="14"/>
      <c r="E879" s="35"/>
      <c r="F879" s="38"/>
      <c r="G879" s="38"/>
      <c r="H879" s="38"/>
      <c r="I879" s="38"/>
      <c r="J879" s="38"/>
    </row>
    <row r="880">
      <c r="A880" s="14"/>
      <c r="E880" s="35"/>
      <c r="F880" s="38"/>
      <c r="G880" s="38"/>
      <c r="H880" s="38"/>
      <c r="I880" s="38"/>
      <c r="J880" s="38"/>
    </row>
    <row r="881">
      <c r="A881" s="14"/>
      <c r="E881" s="35"/>
      <c r="F881" s="38"/>
      <c r="G881" s="38"/>
      <c r="H881" s="38"/>
      <c r="I881" s="38"/>
      <c r="J881" s="38"/>
    </row>
    <row r="882">
      <c r="A882" s="14"/>
      <c r="E882" s="35"/>
      <c r="F882" s="38"/>
      <c r="G882" s="38"/>
      <c r="H882" s="38"/>
      <c r="I882" s="38"/>
      <c r="J882" s="38"/>
    </row>
    <row r="883">
      <c r="A883" s="14"/>
      <c r="E883" s="35"/>
      <c r="F883" s="38"/>
      <c r="G883" s="38"/>
      <c r="H883" s="38"/>
      <c r="I883" s="38"/>
      <c r="J883" s="38"/>
    </row>
    <row r="884">
      <c r="A884" s="14"/>
      <c r="E884" s="35"/>
      <c r="F884" s="38"/>
      <c r="G884" s="38"/>
      <c r="H884" s="38"/>
      <c r="I884" s="38"/>
      <c r="J884" s="38"/>
    </row>
    <row r="885">
      <c r="A885" s="14"/>
      <c r="E885" s="35"/>
      <c r="F885" s="38"/>
      <c r="G885" s="38"/>
      <c r="H885" s="38"/>
      <c r="I885" s="38"/>
      <c r="J885" s="38"/>
    </row>
    <row r="886">
      <c r="A886" s="14"/>
      <c r="E886" s="35"/>
      <c r="F886" s="38"/>
      <c r="G886" s="38"/>
      <c r="H886" s="38"/>
      <c r="I886" s="38"/>
      <c r="J886" s="38"/>
    </row>
    <row r="887">
      <c r="A887" s="14"/>
      <c r="E887" s="35"/>
      <c r="F887" s="38"/>
      <c r="G887" s="38"/>
      <c r="H887" s="38"/>
      <c r="I887" s="38"/>
      <c r="J887" s="38"/>
    </row>
    <row r="888">
      <c r="A888" s="14"/>
      <c r="E888" s="35"/>
      <c r="F888" s="38"/>
      <c r="G888" s="38"/>
      <c r="H888" s="38"/>
      <c r="I888" s="38"/>
      <c r="J888" s="38"/>
    </row>
    <row r="889">
      <c r="A889" s="14"/>
      <c r="E889" s="35"/>
      <c r="F889" s="38"/>
      <c r="G889" s="38"/>
      <c r="H889" s="38"/>
      <c r="I889" s="38"/>
      <c r="J889" s="38"/>
    </row>
    <row r="890">
      <c r="A890" s="14"/>
      <c r="E890" s="35"/>
      <c r="F890" s="38"/>
      <c r="G890" s="38"/>
      <c r="H890" s="38"/>
      <c r="I890" s="38"/>
      <c r="J890" s="38"/>
    </row>
    <row r="891">
      <c r="A891" s="14"/>
      <c r="E891" s="35"/>
      <c r="F891" s="38"/>
      <c r="G891" s="38"/>
      <c r="H891" s="38"/>
      <c r="I891" s="38"/>
      <c r="J891" s="38"/>
    </row>
    <row r="892">
      <c r="A892" s="14"/>
      <c r="E892" s="35"/>
      <c r="F892" s="38"/>
      <c r="G892" s="38"/>
      <c r="H892" s="38"/>
      <c r="I892" s="38"/>
      <c r="J892" s="38"/>
    </row>
    <row r="893">
      <c r="A893" s="14"/>
      <c r="E893" s="35"/>
      <c r="F893" s="38"/>
      <c r="G893" s="38"/>
      <c r="H893" s="38"/>
      <c r="I893" s="38"/>
      <c r="J893" s="38"/>
    </row>
    <row r="894">
      <c r="A894" s="14"/>
      <c r="E894" s="35"/>
      <c r="F894" s="38"/>
      <c r="G894" s="38"/>
      <c r="H894" s="38"/>
      <c r="I894" s="38"/>
      <c r="J894" s="38"/>
    </row>
    <row r="895">
      <c r="A895" s="14"/>
      <c r="E895" s="35"/>
      <c r="F895" s="38"/>
      <c r="G895" s="38"/>
      <c r="H895" s="38"/>
      <c r="I895" s="38"/>
      <c r="J895" s="38"/>
    </row>
    <row r="896">
      <c r="A896" s="14"/>
      <c r="E896" s="35"/>
      <c r="F896" s="38"/>
      <c r="G896" s="38"/>
      <c r="H896" s="38"/>
      <c r="I896" s="38"/>
      <c r="J896" s="38"/>
    </row>
    <row r="897">
      <c r="A897" s="14"/>
      <c r="E897" s="35"/>
      <c r="F897" s="38"/>
      <c r="G897" s="38"/>
      <c r="H897" s="38"/>
      <c r="I897" s="38"/>
      <c r="J897" s="38"/>
    </row>
    <row r="898">
      <c r="A898" s="14"/>
      <c r="E898" s="35"/>
      <c r="F898" s="38"/>
      <c r="G898" s="38"/>
      <c r="H898" s="38"/>
      <c r="I898" s="38"/>
      <c r="J898" s="38"/>
    </row>
    <row r="899">
      <c r="A899" s="14"/>
      <c r="E899" s="35"/>
      <c r="F899" s="38"/>
      <c r="G899" s="38"/>
      <c r="H899" s="38"/>
      <c r="I899" s="38"/>
      <c r="J899" s="38"/>
    </row>
    <row r="900">
      <c r="A900" s="14"/>
      <c r="E900" s="35"/>
      <c r="F900" s="38"/>
      <c r="G900" s="38"/>
      <c r="H900" s="38"/>
      <c r="I900" s="38"/>
      <c r="J900" s="38"/>
    </row>
    <row r="901">
      <c r="A901" s="14"/>
      <c r="E901" s="35"/>
      <c r="F901" s="38"/>
      <c r="G901" s="38"/>
      <c r="H901" s="38"/>
      <c r="I901" s="38"/>
      <c r="J901" s="38"/>
    </row>
    <row r="902">
      <c r="A902" s="14"/>
      <c r="E902" s="35"/>
      <c r="F902" s="38"/>
      <c r="G902" s="38"/>
      <c r="H902" s="38"/>
      <c r="I902" s="38"/>
      <c r="J902" s="38"/>
    </row>
    <row r="903">
      <c r="A903" s="14"/>
      <c r="E903" s="35"/>
      <c r="F903" s="38"/>
      <c r="G903" s="38"/>
      <c r="H903" s="38"/>
      <c r="I903" s="38"/>
      <c r="J903" s="38"/>
    </row>
    <row r="904">
      <c r="A904" s="14"/>
      <c r="E904" s="35"/>
      <c r="F904" s="38"/>
      <c r="G904" s="38"/>
      <c r="H904" s="38"/>
      <c r="I904" s="38"/>
      <c r="J904" s="38"/>
    </row>
    <row r="905">
      <c r="A905" s="14"/>
      <c r="E905" s="35"/>
      <c r="F905" s="38"/>
      <c r="G905" s="38"/>
      <c r="H905" s="38"/>
      <c r="I905" s="38"/>
      <c r="J905" s="38"/>
    </row>
    <row r="906">
      <c r="A906" s="14"/>
      <c r="E906" s="35"/>
      <c r="F906" s="38"/>
      <c r="G906" s="38"/>
      <c r="H906" s="38"/>
      <c r="I906" s="38"/>
      <c r="J906" s="38"/>
    </row>
    <row r="907">
      <c r="A907" s="14"/>
      <c r="E907" s="35"/>
      <c r="F907" s="38"/>
      <c r="G907" s="38"/>
      <c r="H907" s="38"/>
      <c r="I907" s="38"/>
      <c r="J907" s="38"/>
    </row>
    <row r="908">
      <c r="A908" s="14"/>
      <c r="E908" s="35"/>
      <c r="F908" s="38"/>
      <c r="G908" s="38"/>
      <c r="H908" s="38"/>
      <c r="I908" s="38"/>
      <c r="J908" s="38"/>
    </row>
    <row r="909">
      <c r="A909" s="14"/>
      <c r="E909" s="35"/>
      <c r="F909" s="38"/>
      <c r="G909" s="38"/>
      <c r="H909" s="38"/>
      <c r="I909" s="38"/>
      <c r="J909" s="38"/>
    </row>
    <row r="910">
      <c r="A910" s="14"/>
      <c r="E910" s="35"/>
      <c r="F910" s="38"/>
      <c r="G910" s="38"/>
      <c r="H910" s="38"/>
      <c r="I910" s="38"/>
      <c r="J910" s="38"/>
    </row>
    <row r="911">
      <c r="A911" s="14"/>
      <c r="E911" s="35"/>
      <c r="F911" s="38"/>
      <c r="G911" s="38"/>
      <c r="H911" s="38"/>
      <c r="I911" s="38"/>
      <c r="J911" s="38"/>
    </row>
    <row r="912">
      <c r="A912" s="14"/>
      <c r="E912" s="35"/>
      <c r="F912" s="38"/>
      <c r="G912" s="38"/>
      <c r="H912" s="38"/>
      <c r="I912" s="38"/>
      <c r="J912" s="38"/>
    </row>
    <row r="913">
      <c r="A913" s="14"/>
      <c r="E913" s="35"/>
      <c r="F913" s="38"/>
      <c r="G913" s="38"/>
      <c r="H913" s="38"/>
      <c r="I913" s="38"/>
      <c r="J913" s="38"/>
    </row>
    <row r="914">
      <c r="A914" s="14"/>
      <c r="E914" s="35"/>
      <c r="F914" s="38"/>
      <c r="G914" s="38"/>
      <c r="H914" s="38"/>
      <c r="I914" s="38"/>
      <c r="J914" s="38"/>
    </row>
    <row r="915">
      <c r="A915" s="14"/>
      <c r="E915" s="35"/>
      <c r="F915" s="38"/>
      <c r="G915" s="38"/>
      <c r="H915" s="38"/>
      <c r="I915" s="38"/>
      <c r="J915" s="38"/>
    </row>
    <row r="916">
      <c r="A916" s="14"/>
      <c r="E916" s="35"/>
      <c r="F916" s="38"/>
      <c r="G916" s="38"/>
      <c r="H916" s="38"/>
      <c r="I916" s="38"/>
      <c r="J916" s="38"/>
    </row>
    <row r="917">
      <c r="A917" s="14"/>
      <c r="E917" s="35"/>
      <c r="F917" s="38"/>
      <c r="G917" s="38"/>
      <c r="H917" s="38"/>
      <c r="I917" s="38"/>
      <c r="J917" s="38"/>
    </row>
    <row r="918">
      <c r="A918" s="14"/>
      <c r="E918" s="35"/>
      <c r="F918" s="38"/>
      <c r="G918" s="38"/>
      <c r="H918" s="38"/>
      <c r="I918" s="38"/>
      <c r="J918" s="38"/>
    </row>
    <row r="919">
      <c r="A919" s="14"/>
      <c r="E919" s="35"/>
      <c r="F919" s="38"/>
      <c r="G919" s="38"/>
      <c r="H919" s="38"/>
      <c r="I919" s="38"/>
      <c r="J919" s="38"/>
    </row>
    <row r="920">
      <c r="A920" s="14"/>
      <c r="E920" s="35"/>
      <c r="F920" s="38"/>
      <c r="G920" s="38"/>
      <c r="H920" s="38"/>
      <c r="I920" s="38"/>
      <c r="J920" s="38"/>
    </row>
    <row r="921">
      <c r="A921" s="14"/>
      <c r="E921" s="35"/>
      <c r="F921" s="38"/>
      <c r="G921" s="38"/>
      <c r="H921" s="38"/>
      <c r="I921" s="38"/>
      <c r="J921" s="38"/>
    </row>
    <row r="922">
      <c r="A922" s="14"/>
      <c r="E922" s="35"/>
      <c r="F922" s="38"/>
      <c r="G922" s="38"/>
      <c r="H922" s="38"/>
      <c r="I922" s="38"/>
      <c r="J922" s="38"/>
    </row>
    <row r="923">
      <c r="A923" s="14"/>
      <c r="E923" s="35"/>
      <c r="F923" s="38"/>
      <c r="G923" s="38"/>
      <c r="H923" s="38"/>
      <c r="I923" s="38"/>
      <c r="J923" s="38"/>
    </row>
    <row r="924">
      <c r="A924" s="14"/>
      <c r="E924" s="35"/>
      <c r="F924" s="38"/>
      <c r="G924" s="38"/>
      <c r="H924" s="38"/>
      <c r="I924" s="38"/>
      <c r="J924" s="38"/>
    </row>
    <row r="925">
      <c r="A925" s="14"/>
      <c r="E925" s="35"/>
      <c r="F925" s="38"/>
      <c r="G925" s="38"/>
      <c r="H925" s="38"/>
      <c r="I925" s="38"/>
      <c r="J925" s="38"/>
    </row>
    <row r="926">
      <c r="A926" s="14"/>
      <c r="E926" s="35"/>
      <c r="F926" s="38"/>
      <c r="G926" s="38"/>
      <c r="H926" s="38"/>
      <c r="I926" s="38"/>
      <c r="J926" s="38"/>
    </row>
    <row r="927">
      <c r="A927" s="14"/>
      <c r="E927" s="35"/>
      <c r="F927" s="38"/>
      <c r="G927" s="38"/>
      <c r="H927" s="38"/>
      <c r="I927" s="38"/>
      <c r="J927" s="38"/>
    </row>
    <row r="928">
      <c r="A928" s="14"/>
      <c r="E928" s="35"/>
      <c r="F928" s="38"/>
      <c r="G928" s="38"/>
      <c r="H928" s="38"/>
      <c r="I928" s="38"/>
      <c r="J928" s="38"/>
    </row>
    <row r="929">
      <c r="A929" s="14"/>
      <c r="E929" s="35"/>
      <c r="F929" s="38"/>
      <c r="G929" s="38"/>
      <c r="H929" s="38"/>
      <c r="I929" s="38"/>
      <c r="J929" s="38"/>
    </row>
    <row r="930">
      <c r="A930" s="14"/>
      <c r="E930" s="35"/>
      <c r="F930" s="38"/>
      <c r="G930" s="38"/>
      <c r="H930" s="38"/>
      <c r="I930" s="38"/>
      <c r="J930" s="38"/>
    </row>
    <row r="931">
      <c r="A931" s="14"/>
      <c r="E931" s="35"/>
      <c r="F931" s="38"/>
      <c r="G931" s="38"/>
      <c r="H931" s="38"/>
      <c r="I931" s="38"/>
      <c r="J931" s="38"/>
    </row>
    <row r="932">
      <c r="A932" s="14"/>
      <c r="E932" s="35"/>
      <c r="F932" s="38"/>
      <c r="G932" s="38"/>
      <c r="H932" s="38"/>
      <c r="I932" s="38"/>
      <c r="J932" s="38"/>
    </row>
    <row r="933">
      <c r="A933" s="14"/>
      <c r="E933" s="35"/>
      <c r="F933" s="38"/>
      <c r="G933" s="38"/>
      <c r="H933" s="38"/>
      <c r="I933" s="38"/>
      <c r="J933" s="38"/>
    </row>
    <row r="934">
      <c r="A934" s="14"/>
      <c r="E934" s="35"/>
      <c r="F934" s="38"/>
      <c r="G934" s="38"/>
      <c r="H934" s="38"/>
      <c r="I934" s="38"/>
      <c r="J934" s="38"/>
    </row>
    <row r="935">
      <c r="A935" s="14"/>
      <c r="E935" s="35"/>
      <c r="F935" s="38"/>
      <c r="G935" s="38"/>
      <c r="H935" s="38"/>
      <c r="I935" s="38"/>
      <c r="J935" s="38"/>
    </row>
    <row r="936">
      <c r="A936" s="14"/>
      <c r="E936" s="35"/>
      <c r="F936" s="38"/>
      <c r="G936" s="38"/>
      <c r="H936" s="38"/>
      <c r="I936" s="38"/>
      <c r="J936" s="38"/>
    </row>
    <row r="937">
      <c r="A937" s="14"/>
      <c r="E937" s="35"/>
      <c r="F937" s="38"/>
      <c r="G937" s="38"/>
      <c r="H937" s="38"/>
      <c r="I937" s="38"/>
      <c r="J937" s="38"/>
    </row>
    <row r="938">
      <c r="A938" s="14"/>
      <c r="E938" s="35"/>
      <c r="F938" s="38"/>
      <c r="G938" s="38"/>
      <c r="H938" s="38"/>
      <c r="I938" s="38"/>
      <c r="J938" s="38"/>
    </row>
    <row r="939">
      <c r="A939" s="14"/>
      <c r="E939" s="35"/>
      <c r="F939" s="38"/>
      <c r="G939" s="38"/>
      <c r="H939" s="38"/>
      <c r="I939" s="38"/>
      <c r="J939" s="38"/>
    </row>
    <row r="940">
      <c r="A940" s="14"/>
      <c r="E940" s="35"/>
      <c r="F940" s="38"/>
      <c r="G940" s="38"/>
      <c r="H940" s="38"/>
      <c r="I940" s="38"/>
      <c r="J940" s="38"/>
    </row>
    <row r="941">
      <c r="A941" s="14"/>
      <c r="E941" s="35"/>
      <c r="F941" s="38"/>
      <c r="G941" s="38"/>
      <c r="H941" s="38"/>
      <c r="I941" s="38"/>
      <c r="J941" s="38"/>
    </row>
    <row r="942">
      <c r="A942" s="14"/>
      <c r="E942" s="35"/>
      <c r="F942" s="38"/>
      <c r="G942" s="38"/>
      <c r="H942" s="38"/>
      <c r="I942" s="38"/>
      <c r="J942" s="38"/>
    </row>
    <row r="943">
      <c r="A943" s="14"/>
      <c r="E943" s="35"/>
      <c r="F943" s="38"/>
      <c r="G943" s="38"/>
      <c r="H943" s="38"/>
      <c r="I943" s="38"/>
      <c r="J943" s="38"/>
    </row>
    <row r="944">
      <c r="A944" s="14"/>
      <c r="E944" s="35"/>
      <c r="F944" s="38"/>
      <c r="G944" s="38"/>
      <c r="H944" s="38"/>
      <c r="I944" s="38"/>
      <c r="J944" s="38"/>
    </row>
    <row r="945">
      <c r="A945" s="14"/>
      <c r="E945" s="35"/>
      <c r="F945" s="38"/>
      <c r="G945" s="38"/>
      <c r="H945" s="38"/>
      <c r="I945" s="38"/>
      <c r="J945" s="38"/>
    </row>
    <row r="946">
      <c r="A946" s="14"/>
      <c r="E946" s="35"/>
      <c r="F946" s="38"/>
      <c r="G946" s="38"/>
      <c r="H946" s="38"/>
      <c r="I946" s="38"/>
      <c r="J946" s="38"/>
    </row>
    <row r="947">
      <c r="A947" s="14"/>
      <c r="E947" s="35"/>
      <c r="F947" s="38"/>
      <c r="G947" s="38"/>
      <c r="H947" s="38"/>
      <c r="I947" s="38"/>
      <c r="J947" s="38"/>
    </row>
    <row r="948">
      <c r="A948" s="14"/>
      <c r="E948" s="35"/>
      <c r="F948" s="38"/>
      <c r="G948" s="38"/>
      <c r="H948" s="38"/>
      <c r="I948" s="38"/>
      <c r="J948" s="38"/>
    </row>
    <row r="949">
      <c r="A949" s="14"/>
      <c r="E949" s="35"/>
      <c r="F949" s="38"/>
      <c r="G949" s="38"/>
      <c r="H949" s="38"/>
      <c r="I949" s="38"/>
      <c r="J949" s="38"/>
    </row>
    <row r="950">
      <c r="A950" s="14"/>
      <c r="E950" s="35"/>
      <c r="F950" s="38"/>
      <c r="G950" s="38"/>
      <c r="H950" s="38"/>
      <c r="I950" s="38"/>
      <c r="J950" s="38"/>
    </row>
    <row r="951">
      <c r="A951" s="14"/>
      <c r="E951" s="35"/>
      <c r="F951" s="38"/>
      <c r="G951" s="38"/>
      <c r="H951" s="38"/>
      <c r="I951" s="38"/>
      <c r="J951" s="38"/>
    </row>
    <row r="952">
      <c r="A952" s="14"/>
      <c r="E952" s="35"/>
      <c r="F952" s="38"/>
      <c r="G952" s="38"/>
      <c r="H952" s="38"/>
      <c r="I952" s="38"/>
      <c r="J952" s="38"/>
    </row>
    <row r="953">
      <c r="A953" s="14"/>
      <c r="E953" s="35"/>
      <c r="F953" s="38"/>
      <c r="G953" s="38"/>
      <c r="H953" s="38"/>
      <c r="I953" s="38"/>
      <c r="J953" s="38"/>
    </row>
    <row r="954">
      <c r="A954" s="14"/>
      <c r="E954" s="35"/>
      <c r="F954" s="38"/>
      <c r="G954" s="38"/>
      <c r="H954" s="38"/>
      <c r="I954" s="38"/>
      <c r="J954" s="38"/>
    </row>
    <row r="955">
      <c r="A955" s="14"/>
      <c r="E955" s="35"/>
      <c r="F955" s="38"/>
      <c r="G955" s="38"/>
      <c r="H955" s="38"/>
      <c r="I955" s="38"/>
      <c r="J955" s="38"/>
    </row>
    <row r="956">
      <c r="A956" s="14"/>
      <c r="E956" s="35"/>
      <c r="F956" s="38"/>
      <c r="G956" s="38"/>
      <c r="H956" s="38"/>
      <c r="I956" s="38"/>
      <c r="J956" s="38"/>
    </row>
    <row r="957">
      <c r="A957" s="14"/>
      <c r="E957" s="35"/>
      <c r="F957" s="38"/>
      <c r="G957" s="38"/>
      <c r="H957" s="38"/>
      <c r="I957" s="38"/>
      <c r="J957" s="38"/>
    </row>
    <row r="958">
      <c r="A958" s="14"/>
      <c r="E958" s="35"/>
      <c r="F958" s="38"/>
      <c r="G958" s="38"/>
      <c r="H958" s="38"/>
      <c r="I958" s="38"/>
      <c r="J958" s="38"/>
    </row>
    <row r="959">
      <c r="A959" s="14"/>
      <c r="E959" s="35"/>
      <c r="F959" s="38"/>
      <c r="G959" s="38"/>
      <c r="H959" s="38"/>
      <c r="I959" s="38"/>
      <c r="J959" s="38"/>
    </row>
    <row r="960">
      <c r="A960" s="14"/>
      <c r="E960" s="35"/>
      <c r="F960" s="38"/>
      <c r="G960" s="38"/>
      <c r="H960" s="38"/>
      <c r="I960" s="38"/>
      <c r="J960" s="38"/>
    </row>
    <row r="961">
      <c r="A961" s="14"/>
      <c r="E961" s="35"/>
      <c r="F961" s="38"/>
      <c r="G961" s="38"/>
      <c r="H961" s="38"/>
      <c r="I961" s="38"/>
      <c r="J961" s="38"/>
    </row>
    <row r="962">
      <c r="A962" s="14"/>
      <c r="E962" s="35"/>
      <c r="F962" s="38"/>
      <c r="G962" s="38"/>
      <c r="H962" s="38"/>
      <c r="I962" s="38"/>
      <c r="J962" s="38"/>
    </row>
    <row r="963">
      <c r="A963" s="14"/>
      <c r="E963" s="35"/>
      <c r="F963" s="38"/>
      <c r="G963" s="38"/>
      <c r="H963" s="38"/>
      <c r="I963" s="38"/>
      <c r="J963" s="38"/>
    </row>
    <row r="964">
      <c r="A964" s="14"/>
      <c r="E964" s="35"/>
      <c r="F964" s="38"/>
      <c r="G964" s="38"/>
      <c r="H964" s="38"/>
      <c r="I964" s="38"/>
      <c r="J964" s="38"/>
    </row>
    <row r="965">
      <c r="A965" s="14"/>
      <c r="E965" s="35"/>
      <c r="F965" s="38"/>
      <c r="G965" s="38"/>
      <c r="H965" s="38"/>
      <c r="I965" s="38"/>
      <c r="J965" s="38"/>
    </row>
    <row r="966">
      <c r="A966" s="14"/>
      <c r="E966" s="35"/>
      <c r="F966" s="38"/>
      <c r="G966" s="38"/>
      <c r="H966" s="38"/>
      <c r="I966" s="38"/>
      <c r="J966" s="38"/>
    </row>
    <row r="967">
      <c r="A967" s="14"/>
      <c r="E967" s="35"/>
      <c r="F967" s="38"/>
      <c r="G967" s="38"/>
      <c r="H967" s="38"/>
      <c r="I967" s="38"/>
      <c r="J967" s="38"/>
    </row>
    <row r="968">
      <c r="A968" s="14"/>
      <c r="E968" s="35"/>
      <c r="F968" s="38"/>
      <c r="G968" s="38"/>
      <c r="H968" s="38"/>
      <c r="I968" s="38"/>
      <c r="J968" s="38"/>
    </row>
    <row r="969">
      <c r="A969" s="14"/>
      <c r="E969" s="35"/>
      <c r="F969" s="38"/>
      <c r="G969" s="38"/>
      <c r="H969" s="38"/>
      <c r="I969" s="38"/>
      <c r="J969" s="38"/>
    </row>
    <row r="970">
      <c r="A970" s="14"/>
      <c r="E970" s="35"/>
      <c r="F970" s="38"/>
      <c r="G970" s="38"/>
      <c r="H970" s="38"/>
      <c r="I970" s="38"/>
      <c r="J970" s="38"/>
    </row>
    <row r="971">
      <c r="A971" s="14"/>
      <c r="E971" s="35"/>
      <c r="F971" s="38"/>
      <c r="G971" s="38"/>
      <c r="H971" s="38"/>
      <c r="I971" s="38"/>
      <c r="J971" s="38"/>
    </row>
    <row r="972">
      <c r="A972" s="14"/>
      <c r="E972" s="35"/>
      <c r="F972" s="38"/>
      <c r="G972" s="38"/>
      <c r="H972" s="38"/>
      <c r="I972" s="38"/>
      <c r="J972" s="38"/>
    </row>
    <row r="973">
      <c r="A973" s="14"/>
      <c r="E973" s="35"/>
      <c r="F973" s="38"/>
      <c r="G973" s="38"/>
      <c r="H973" s="38"/>
      <c r="I973" s="38"/>
      <c r="J973" s="38"/>
    </row>
    <row r="974">
      <c r="A974" s="14"/>
      <c r="E974" s="35"/>
      <c r="F974" s="38"/>
      <c r="G974" s="38"/>
      <c r="H974" s="38"/>
      <c r="I974" s="38"/>
      <c r="J974" s="38"/>
    </row>
    <row r="975">
      <c r="A975" s="14"/>
      <c r="E975" s="35"/>
      <c r="F975" s="38"/>
      <c r="G975" s="38"/>
      <c r="H975" s="38"/>
      <c r="I975" s="38"/>
      <c r="J975" s="38"/>
    </row>
    <row r="976">
      <c r="A976" s="14"/>
      <c r="E976" s="35"/>
      <c r="F976" s="38"/>
      <c r="G976" s="38"/>
      <c r="H976" s="38"/>
      <c r="I976" s="38"/>
      <c r="J976" s="38"/>
    </row>
    <row r="977">
      <c r="A977" s="14"/>
      <c r="E977" s="35"/>
      <c r="F977" s="38"/>
      <c r="G977" s="38"/>
      <c r="H977" s="38"/>
      <c r="I977" s="38"/>
      <c r="J977" s="38"/>
    </row>
    <row r="978">
      <c r="A978" s="14"/>
      <c r="E978" s="35"/>
      <c r="F978" s="38"/>
      <c r="G978" s="38"/>
      <c r="H978" s="38"/>
      <c r="I978" s="38"/>
      <c r="J978" s="38"/>
    </row>
    <row r="979">
      <c r="A979" s="14"/>
      <c r="E979" s="35"/>
      <c r="F979" s="38"/>
      <c r="G979" s="38"/>
      <c r="H979" s="38"/>
      <c r="I979" s="38"/>
      <c r="J979" s="38"/>
    </row>
    <row r="980">
      <c r="A980" s="14"/>
      <c r="E980" s="35"/>
      <c r="F980" s="38"/>
      <c r="G980" s="38"/>
      <c r="H980" s="38"/>
      <c r="I980" s="38"/>
      <c r="J980" s="38"/>
    </row>
    <row r="981">
      <c r="A981" s="14"/>
      <c r="E981" s="35"/>
      <c r="F981" s="38"/>
      <c r="G981" s="38"/>
      <c r="H981" s="38"/>
      <c r="I981" s="38"/>
      <c r="J981" s="38"/>
    </row>
    <row r="982">
      <c r="A982" s="14"/>
      <c r="E982" s="35"/>
      <c r="F982" s="38"/>
      <c r="G982" s="38"/>
      <c r="H982" s="38"/>
      <c r="I982" s="38"/>
      <c r="J982" s="38"/>
    </row>
    <row r="983">
      <c r="A983" s="14"/>
      <c r="E983" s="35"/>
      <c r="F983" s="38"/>
      <c r="G983" s="38"/>
      <c r="H983" s="38"/>
      <c r="I983" s="38"/>
      <c r="J983" s="38"/>
    </row>
    <row r="984">
      <c r="A984" s="14"/>
      <c r="E984" s="35"/>
      <c r="F984" s="38"/>
      <c r="G984" s="38"/>
      <c r="H984" s="38"/>
      <c r="I984" s="38"/>
      <c r="J984" s="38"/>
    </row>
    <row r="985">
      <c r="A985" s="14"/>
      <c r="E985" s="35"/>
      <c r="F985" s="38"/>
      <c r="G985" s="38"/>
      <c r="H985" s="38"/>
      <c r="I985" s="38"/>
      <c r="J985" s="38"/>
    </row>
    <row r="986">
      <c r="A986" s="14"/>
      <c r="E986" s="35"/>
      <c r="F986" s="38"/>
      <c r="G986" s="38"/>
      <c r="H986" s="38"/>
      <c r="I986" s="38"/>
      <c r="J986" s="38"/>
    </row>
    <row r="987">
      <c r="A987" s="14"/>
      <c r="E987" s="35"/>
      <c r="F987" s="38"/>
      <c r="G987" s="38"/>
      <c r="H987" s="38"/>
      <c r="I987" s="38"/>
      <c r="J987" s="38"/>
    </row>
    <row r="988">
      <c r="A988" s="14"/>
      <c r="E988" s="35"/>
      <c r="F988" s="38"/>
      <c r="G988" s="38"/>
      <c r="H988" s="38"/>
      <c r="I988" s="38"/>
      <c r="J988" s="38"/>
    </row>
    <row r="989">
      <c r="A989" s="14"/>
      <c r="E989" s="35"/>
      <c r="F989" s="38"/>
      <c r="G989" s="38"/>
      <c r="H989" s="38"/>
      <c r="I989" s="38"/>
      <c r="J989" s="38"/>
    </row>
    <row r="990">
      <c r="A990" s="14"/>
      <c r="E990" s="35"/>
      <c r="F990" s="38"/>
      <c r="G990" s="38"/>
      <c r="H990" s="38"/>
      <c r="I990" s="38"/>
      <c r="J990" s="38"/>
    </row>
    <row r="991">
      <c r="A991" s="14"/>
      <c r="E991" s="35"/>
      <c r="F991" s="38"/>
      <c r="G991" s="38"/>
      <c r="H991" s="38"/>
      <c r="I991" s="38"/>
      <c r="J991" s="38"/>
    </row>
    <row r="992">
      <c r="A992" s="14"/>
      <c r="E992" s="35"/>
      <c r="F992" s="38"/>
      <c r="G992" s="38"/>
      <c r="H992" s="38"/>
      <c r="I992" s="38"/>
      <c r="J992" s="38"/>
    </row>
    <row r="993">
      <c r="A993" s="14"/>
      <c r="E993" s="35"/>
      <c r="F993" s="38"/>
      <c r="G993" s="38"/>
      <c r="H993" s="38"/>
      <c r="I993" s="38"/>
      <c r="J993" s="38"/>
    </row>
    <row r="994">
      <c r="A994" s="14"/>
      <c r="E994" s="35"/>
      <c r="F994" s="38"/>
      <c r="G994" s="38"/>
      <c r="H994" s="38"/>
      <c r="I994" s="38"/>
      <c r="J994" s="38"/>
    </row>
    <row r="995">
      <c r="A995" s="14"/>
      <c r="E995" s="35"/>
      <c r="F995" s="38"/>
      <c r="G995" s="38"/>
      <c r="H995" s="38"/>
      <c r="I995" s="38"/>
      <c r="J995" s="38"/>
    </row>
    <row r="996">
      <c r="A996" s="14"/>
      <c r="E996" s="35"/>
      <c r="F996" s="38"/>
      <c r="G996" s="38"/>
      <c r="H996" s="38"/>
      <c r="I996" s="38"/>
      <c r="J996" s="38"/>
    </row>
    <row r="997">
      <c r="A997" s="14"/>
      <c r="E997" s="35"/>
      <c r="F997" s="38"/>
      <c r="G997" s="38"/>
      <c r="H997" s="38"/>
      <c r="I997" s="38"/>
      <c r="J997" s="38"/>
    </row>
    <row r="998">
      <c r="A998" s="14"/>
      <c r="E998" s="35"/>
      <c r="F998" s="38"/>
      <c r="G998" s="38"/>
      <c r="H998" s="38"/>
      <c r="I998" s="38"/>
      <c r="J998" s="38"/>
    </row>
    <row r="999">
      <c r="A999" s="14"/>
      <c r="E999" s="35"/>
      <c r="F999" s="38"/>
      <c r="G999" s="38"/>
      <c r="H999" s="38"/>
      <c r="I999" s="38"/>
      <c r="J999" s="38"/>
    </row>
    <row r="1000">
      <c r="A1000" s="14"/>
      <c r="E1000" s="35"/>
      <c r="F1000" s="38"/>
      <c r="G1000" s="38"/>
      <c r="H1000" s="38"/>
      <c r="I1000" s="38"/>
      <c r="J1000" s="38"/>
    </row>
    <row r="1001">
      <c r="A1001" s="14"/>
      <c r="E1001" s="35"/>
      <c r="F1001" s="38"/>
      <c r="G1001" s="38"/>
      <c r="H1001" s="38"/>
      <c r="I1001" s="38"/>
      <c r="J1001" s="38"/>
    </row>
    <row r="1002">
      <c r="A1002" s="14"/>
      <c r="E1002" s="35"/>
      <c r="F1002" s="38"/>
      <c r="G1002" s="38"/>
      <c r="H1002" s="38"/>
      <c r="I1002" s="38"/>
      <c r="J1002" s="38"/>
    </row>
    <row r="1003">
      <c r="A1003" s="14"/>
      <c r="E1003" s="35"/>
      <c r="F1003" s="38"/>
      <c r="G1003" s="38"/>
      <c r="H1003" s="38"/>
      <c r="I1003" s="38"/>
      <c r="J1003" s="38"/>
    </row>
    <row r="1004">
      <c r="A1004" s="14"/>
      <c r="E1004" s="35"/>
      <c r="F1004" s="38"/>
      <c r="G1004" s="38"/>
      <c r="H1004" s="38"/>
      <c r="I1004" s="38"/>
      <c r="J1004" s="38"/>
    </row>
    <row r="1005">
      <c r="A1005" s="14"/>
      <c r="E1005" s="35"/>
      <c r="F1005" s="38"/>
      <c r="G1005" s="38"/>
      <c r="H1005" s="38"/>
      <c r="I1005" s="38"/>
      <c r="J1005" s="38"/>
    </row>
    <row r="1006">
      <c r="A1006" s="14"/>
      <c r="E1006" s="35"/>
      <c r="F1006" s="38"/>
      <c r="G1006" s="38"/>
      <c r="H1006" s="38"/>
      <c r="I1006" s="38"/>
      <c r="J1006" s="38"/>
    </row>
    <row r="1007">
      <c r="A1007" s="14"/>
      <c r="E1007" s="35"/>
      <c r="F1007" s="38"/>
      <c r="G1007" s="38"/>
      <c r="H1007" s="38"/>
      <c r="I1007" s="38"/>
      <c r="J1007" s="38"/>
    </row>
    <row r="1008">
      <c r="A1008" s="14"/>
      <c r="E1008" s="35"/>
      <c r="F1008" s="38"/>
      <c r="G1008" s="38"/>
      <c r="H1008" s="38"/>
      <c r="I1008" s="38"/>
      <c r="J1008" s="38"/>
    </row>
    <row r="1009">
      <c r="A1009" s="14"/>
      <c r="E1009" s="35"/>
      <c r="F1009" s="38"/>
      <c r="G1009" s="38"/>
      <c r="H1009" s="38"/>
      <c r="I1009" s="38"/>
      <c r="J1009" s="38"/>
    </row>
    <row r="1010">
      <c r="A1010" s="14"/>
      <c r="E1010" s="35"/>
      <c r="F1010" s="38"/>
      <c r="G1010" s="38"/>
      <c r="H1010" s="38"/>
      <c r="I1010" s="38"/>
      <c r="J1010" s="38"/>
    </row>
    <row r="1011">
      <c r="A1011" s="14"/>
      <c r="E1011" s="35"/>
      <c r="F1011" s="38"/>
      <c r="G1011" s="38"/>
      <c r="H1011" s="38"/>
      <c r="I1011" s="38"/>
      <c r="J1011" s="38"/>
    </row>
    <row r="1012">
      <c r="A1012" s="14"/>
      <c r="E1012" s="35"/>
      <c r="F1012" s="38"/>
      <c r="G1012" s="38"/>
      <c r="H1012" s="38"/>
      <c r="I1012" s="38"/>
      <c r="J1012" s="38"/>
    </row>
    <row r="1013">
      <c r="A1013" s="14"/>
      <c r="E1013" s="35"/>
      <c r="F1013" s="38"/>
      <c r="G1013" s="38"/>
      <c r="H1013" s="38"/>
      <c r="I1013" s="38"/>
      <c r="J1013" s="38"/>
    </row>
    <row r="1014">
      <c r="A1014" s="14"/>
      <c r="E1014" s="35"/>
      <c r="F1014" s="38"/>
      <c r="G1014" s="38"/>
      <c r="H1014" s="38"/>
      <c r="I1014" s="38"/>
      <c r="J1014" s="38"/>
    </row>
    <row r="1015">
      <c r="A1015" s="14"/>
      <c r="E1015" s="35"/>
      <c r="F1015" s="38"/>
      <c r="G1015" s="38"/>
      <c r="H1015" s="38"/>
      <c r="I1015" s="38"/>
      <c r="J1015" s="38"/>
    </row>
    <row r="1016">
      <c r="A1016" s="14"/>
      <c r="E1016" s="35"/>
      <c r="F1016" s="38"/>
      <c r="G1016" s="38"/>
      <c r="H1016" s="38"/>
      <c r="I1016" s="38"/>
      <c r="J1016" s="38"/>
    </row>
    <row r="1017">
      <c r="A1017" s="14"/>
      <c r="E1017" s="35"/>
      <c r="F1017" s="38"/>
      <c r="G1017" s="38"/>
      <c r="H1017" s="38"/>
      <c r="I1017" s="38"/>
      <c r="J1017" s="38"/>
    </row>
    <row r="1018">
      <c r="A1018" s="14"/>
      <c r="E1018" s="35"/>
      <c r="F1018" s="38"/>
      <c r="G1018" s="38"/>
      <c r="H1018" s="38"/>
      <c r="I1018" s="38"/>
      <c r="J1018" s="38"/>
    </row>
    <row r="1019">
      <c r="A1019" s="14"/>
      <c r="E1019" s="35"/>
      <c r="F1019" s="38"/>
      <c r="G1019" s="38"/>
      <c r="H1019" s="38"/>
      <c r="I1019" s="38"/>
      <c r="J1019" s="38"/>
    </row>
    <row r="1020">
      <c r="A1020" s="14"/>
      <c r="E1020" s="35"/>
      <c r="F1020" s="38"/>
      <c r="G1020" s="38"/>
      <c r="H1020" s="38"/>
      <c r="I1020" s="38"/>
      <c r="J1020" s="38"/>
    </row>
    <row r="1021">
      <c r="A1021" s="14"/>
      <c r="E1021" s="35"/>
      <c r="F1021" s="38"/>
      <c r="G1021" s="38"/>
      <c r="H1021" s="38"/>
      <c r="I1021" s="38"/>
      <c r="J1021" s="38"/>
    </row>
    <row r="1022">
      <c r="A1022" s="14"/>
      <c r="E1022" s="35"/>
      <c r="F1022" s="38"/>
      <c r="G1022" s="38"/>
      <c r="H1022" s="38"/>
      <c r="I1022" s="38"/>
      <c r="J1022" s="38"/>
    </row>
    <row r="1023">
      <c r="A1023" s="14"/>
      <c r="E1023" s="35"/>
      <c r="F1023" s="38"/>
      <c r="G1023" s="38"/>
      <c r="H1023" s="38"/>
      <c r="I1023" s="38"/>
      <c r="J1023" s="38"/>
    </row>
    <row r="1024">
      <c r="A1024" s="14"/>
      <c r="E1024" s="35"/>
      <c r="F1024" s="38"/>
      <c r="G1024" s="38"/>
      <c r="H1024" s="38"/>
      <c r="I1024" s="38"/>
      <c r="J1024" s="38"/>
    </row>
    <row r="1025">
      <c r="A1025" s="14"/>
      <c r="E1025" s="35"/>
      <c r="F1025" s="38"/>
      <c r="G1025" s="38"/>
      <c r="H1025" s="38"/>
      <c r="I1025" s="38"/>
      <c r="J1025" s="38"/>
    </row>
    <row r="1026">
      <c r="A1026" s="14"/>
      <c r="E1026" s="35"/>
      <c r="F1026" s="38"/>
      <c r="G1026" s="38"/>
      <c r="H1026" s="38"/>
      <c r="I1026" s="38"/>
      <c r="J1026" s="38"/>
    </row>
    <row r="1027">
      <c r="A1027" s="14"/>
      <c r="E1027" s="35"/>
      <c r="F1027" s="38"/>
      <c r="G1027" s="38"/>
      <c r="H1027" s="38"/>
      <c r="I1027" s="38"/>
      <c r="J1027" s="38"/>
    </row>
    <row r="1028">
      <c r="A1028" s="14"/>
      <c r="E1028" s="35"/>
      <c r="F1028" s="38"/>
      <c r="G1028" s="38"/>
      <c r="H1028" s="38"/>
      <c r="I1028" s="38"/>
      <c r="J1028" s="38"/>
    </row>
    <row r="1029">
      <c r="A1029" s="14"/>
      <c r="E1029" s="35"/>
      <c r="F1029" s="38"/>
      <c r="G1029" s="38"/>
      <c r="H1029" s="38"/>
      <c r="I1029" s="38"/>
      <c r="J1029" s="38"/>
    </row>
    <row r="1030">
      <c r="A1030" s="14"/>
      <c r="E1030" s="35"/>
      <c r="F1030" s="38"/>
      <c r="G1030" s="38"/>
      <c r="H1030" s="38"/>
      <c r="I1030" s="38"/>
      <c r="J1030" s="38"/>
    </row>
    <row r="1031">
      <c r="A1031" s="14"/>
      <c r="E1031" s="35"/>
      <c r="F1031" s="38"/>
      <c r="G1031" s="38"/>
      <c r="H1031" s="38"/>
      <c r="I1031" s="38"/>
      <c r="J1031" s="38"/>
    </row>
    <row r="1032">
      <c r="A1032" s="14"/>
      <c r="E1032" s="35"/>
      <c r="F1032" s="38"/>
      <c r="G1032" s="38"/>
      <c r="H1032" s="38"/>
      <c r="I1032" s="38"/>
      <c r="J1032" s="38"/>
    </row>
    <row r="1033">
      <c r="A1033" s="14"/>
      <c r="E1033" s="35"/>
      <c r="F1033" s="38"/>
      <c r="G1033" s="38"/>
      <c r="H1033" s="38"/>
      <c r="I1033" s="38"/>
      <c r="J1033" s="38"/>
    </row>
    <row r="1034">
      <c r="A1034" s="14"/>
      <c r="E1034" s="35"/>
      <c r="F1034" s="38"/>
      <c r="G1034" s="38"/>
      <c r="H1034" s="38"/>
      <c r="I1034" s="38"/>
      <c r="J1034" s="38"/>
    </row>
    <row r="1035">
      <c r="A1035" s="14"/>
      <c r="E1035" s="35"/>
      <c r="F1035" s="38"/>
      <c r="G1035" s="38"/>
      <c r="H1035" s="38"/>
      <c r="I1035" s="38"/>
      <c r="J1035" s="38"/>
    </row>
    <row r="1036">
      <c r="A1036" s="14"/>
      <c r="E1036" s="35"/>
      <c r="F1036" s="38"/>
      <c r="G1036" s="38"/>
      <c r="H1036" s="38"/>
      <c r="I1036" s="38"/>
      <c r="J1036" s="38"/>
    </row>
    <row r="1037">
      <c r="A1037" s="14"/>
      <c r="E1037" s="35"/>
      <c r="F1037" s="38"/>
      <c r="G1037" s="38"/>
      <c r="H1037" s="38"/>
      <c r="I1037" s="38"/>
      <c r="J1037" s="38"/>
    </row>
    <row r="1038">
      <c r="A1038" s="14"/>
      <c r="E1038" s="35"/>
      <c r="F1038" s="38"/>
      <c r="G1038" s="38"/>
      <c r="H1038" s="38"/>
      <c r="I1038" s="38"/>
      <c r="J1038" s="38"/>
    </row>
    <row r="1039">
      <c r="A1039" s="14"/>
      <c r="E1039" s="35"/>
      <c r="F1039" s="38"/>
      <c r="G1039" s="38"/>
      <c r="H1039" s="38"/>
      <c r="I1039" s="38"/>
      <c r="J1039" s="38"/>
    </row>
    <row r="1040">
      <c r="A1040" s="14"/>
      <c r="E1040" s="35"/>
      <c r="F1040" s="38"/>
      <c r="G1040" s="38"/>
      <c r="H1040" s="38"/>
      <c r="I1040" s="38"/>
      <c r="J1040" s="38"/>
    </row>
    <row r="1041">
      <c r="A1041" s="14"/>
      <c r="E1041" s="35"/>
      <c r="F1041" s="38"/>
      <c r="G1041" s="38"/>
      <c r="H1041" s="38"/>
      <c r="I1041" s="38"/>
      <c r="J1041" s="38"/>
    </row>
    <row r="1042">
      <c r="A1042" s="14"/>
      <c r="E1042" s="35"/>
      <c r="F1042" s="38"/>
      <c r="G1042" s="38"/>
      <c r="H1042" s="38"/>
      <c r="I1042" s="38"/>
      <c r="J1042" s="38"/>
    </row>
    <row r="1043">
      <c r="A1043" s="14"/>
      <c r="E1043" s="35"/>
      <c r="F1043" s="38"/>
      <c r="G1043" s="38"/>
      <c r="H1043" s="38"/>
      <c r="I1043" s="38"/>
      <c r="J1043" s="38"/>
    </row>
    <row r="1044">
      <c r="A1044" s="14"/>
      <c r="E1044" s="35"/>
      <c r="F1044" s="38"/>
      <c r="G1044" s="38"/>
      <c r="H1044" s="38"/>
      <c r="I1044" s="38"/>
      <c r="J1044" s="38"/>
    </row>
    <row r="1045">
      <c r="A1045" s="14"/>
      <c r="E1045" s="35"/>
      <c r="F1045" s="38"/>
      <c r="G1045" s="38"/>
      <c r="H1045" s="38"/>
      <c r="I1045" s="38"/>
      <c r="J1045" s="38"/>
    </row>
    <row r="1046">
      <c r="A1046" s="14"/>
      <c r="E1046" s="35"/>
      <c r="F1046" s="38"/>
      <c r="G1046" s="38"/>
      <c r="H1046" s="38"/>
      <c r="I1046" s="38"/>
      <c r="J1046" s="38"/>
    </row>
    <row r="1047">
      <c r="A1047" s="14"/>
      <c r="E1047" s="35"/>
      <c r="F1047" s="38"/>
      <c r="G1047" s="38"/>
      <c r="H1047" s="38"/>
      <c r="I1047" s="38"/>
      <c r="J1047" s="38"/>
    </row>
    <row r="1048">
      <c r="A1048" s="14"/>
      <c r="E1048" s="35"/>
      <c r="F1048" s="38"/>
      <c r="G1048" s="38"/>
      <c r="H1048" s="38"/>
      <c r="I1048" s="38"/>
      <c r="J1048" s="38"/>
    </row>
    <row r="1049">
      <c r="A1049" s="14"/>
      <c r="E1049" s="35"/>
      <c r="F1049" s="38"/>
      <c r="G1049" s="38"/>
      <c r="H1049" s="38"/>
      <c r="I1049" s="38"/>
      <c r="J1049" s="38"/>
    </row>
    <row r="1050">
      <c r="A1050" s="14"/>
      <c r="E1050" s="35"/>
      <c r="F1050" s="38"/>
      <c r="G1050" s="38"/>
      <c r="H1050" s="38"/>
      <c r="I1050" s="38"/>
      <c r="J1050" s="38"/>
    </row>
    <row r="1051">
      <c r="A1051" s="14"/>
      <c r="E1051" s="35"/>
      <c r="F1051" s="38"/>
      <c r="G1051" s="38"/>
      <c r="H1051" s="38"/>
      <c r="I1051" s="38"/>
      <c r="J1051" s="38"/>
    </row>
    <row r="1052">
      <c r="A1052" s="14"/>
      <c r="E1052" s="35"/>
      <c r="F1052" s="38"/>
      <c r="G1052" s="38"/>
      <c r="H1052" s="38"/>
      <c r="I1052" s="38"/>
      <c r="J1052" s="38"/>
    </row>
    <row r="1053">
      <c r="A1053" s="14"/>
      <c r="E1053" s="35"/>
      <c r="F1053" s="38"/>
      <c r="G1053" s="38"/>
      <c r="H1053" s="38"/>
      <c r="I1053" s="38"/>
      <c r="J1053" s="38"/>
    </row>
    <row r="1054">
      <c r="A1054" s="14"/>
      <c r="E1054" s="35"/>
      <c r="F1054" s="38"/>
      <c r="G1054" s="38"/>
      <c r="H1054" s="38"/>
      <c r="I1054" s="38"/>
      <c r="J1054" s="38"/>
    </row>
    <row r="1055">
      <c r="A1055" s="14"/>
      <c r="E1055" s="35"/>
      <c r="F1055" s="38"/>
      <c r="G1055" s="38"/>
      <c r="H1055" s="38"/>
      <c r="I1055" s="38"/>
      <c r="J1055" s="38"/>
    </row>
    <row r="1056">
      <c r="A1056" s="14"/>
      <c r="E1056" s="35"/>
      <c r="F1056" s="38"/>
      <c r="G1056" s="38"/>
      <c r="H1056" s="38"/>
      <c r="I1056" s="38"/>
      <c r="J1056" s="38"/>
    </row>
    <row r="1057">
      <c r="A1057" s="14"/>
      <c r="E1057" s="35"/>
      <c r="F1057" s="38"/>
      <c r="G1057" s="38"/>
      <c r="H1057" s="38"/>
      <c r="I1057" s="38"/>
      <c r="J1057" s="38"/>
    </row>
    <row r="1058">
      <c r="A1058" s="14"/>
      <c r="E1058" s="35"/>
      <c r="F1058" s="38"/>
      <c r="G1058" s="38"/>
      <c r="H1058" s="38"/>
      <c r="I1058" s="38"/>
      <c r="J1058" s="38"/>
    </row>
    <row r="1059">
      <c r="A1059" s="14"/>
      <c r="E1059" s="35"/>
      <c r="F1059" s="38"/>
      <c r="G1059" s="38"/>
      <c r="H1059" s="38"/>
      <c r="I1059" s="38"/>
      <c r="J1059" s="38"/>
    </row>
    <row r="1060">
      <c r="A1060" s="14"/>
      <c r="E1060" s="35"/>
      <c r="F1060" s="38"/>
      <c r="G1060" s="38"/>
      <c r="H1060" s="38"/>
      <c r="I1060" s="38"/>
      <c r="J1060" s="38"/>
    </row>
    <row r="1061">
      <c r="A1061" s="14"/>
      <c r="E1061" s="35"/>
      <c r="F1061" s="38"/>
      <c r="G1061" s="38"/>
      <c r="H1061" s="38"/>
      <c r="I1061" s="38"/>
      <c r="J1061" s="38"/>
    </row>
    <row r="1062">
      <c r="A1062" s="14"/>
      <c r="E1062" s="35"/>
      <c r="F1062" s="38"/>
      <c r="G1062" s="38"/>
      <c r="H1062" s="38"/>
      <c r="I1062" s="38"/>
      <c r="J1062" s="38"/>
    </row>
    <row r="1063">
      <c r="A1063" s="14"/>
      <c r="E1063" s="35"/>
      <c r="F1063" s="38"/>
      <c r="G1063" s="38"/>
      <c r="H1063" s="38"/>
      <c r="I1063" s="38"/>
      <c r="J1063" s="38"/>
    </row>
    <row r="1064">
      <c r="A1064" s="14"/>
      <c r="E1064" s="35"/>
      <c r="F1064" s="38"/>
      <c r="G1064" s="38"/>
      <c r="H1064" s="38"/>
      <c r="I1064" s="38"/>
      <c r="J1064" s="38"/>
    </row>
    <row r="1065">
      <c r="A1065" s="14"/>
      <c r="E1065" s="35"/>
      <c r="F1065" s="38"/>
      <c r="G1065" s="38"/>
      <c r="H1065" s="38"/>
      <c r="I1065" s="38"/>
      <c r="J1065" s="38"/>
    </row>
    <row r="1066">
      <c r="A1066" s="14"/>
      <c r="E1066" s="35"/>
      <c r="F1066" s="38"/>
      <c r="G1066" s="38"/>
      <c r="H1066" s="38"/>
      <c r="I1066" s="38"/>
      <c r="J1066" s="38"/>
    </row>
    <row r="1067">
      <c r="A1067" s="14"/>
      <c r="E1067" s="35"/>
      <c r="F1067" s="38"/>
      <c r="G1067" s="38"/>
      <c r="H1067" s="38"/>
      <c r="I1067" s="38"/>
      <c r="J1067" s="38"/>
    </row>
    <row r="1068">
      <c r="A1068" s="14"/>
      <c r="E1068" s="35"/>
      <c r="F1068" s="38"/>
      <c r="G1068" s="38"/>
      <c r="H1068" s="38"/>
      <c r="I1068" s="38"/>
      <c r="J1068" s="38"/>
    </row>
    <row r="1069">
      <c r="A1069" s="14"/>
      <c r="E1069" s="35"/>
      <c r="F1069" s="38"/>
      <c r="G1069" s="38"/>
      <c r="H1069" s="38"/>
      <c r="I1069" s="38"/>
      <c r="J1069" s="38"/>
    </row>
    <row r="1070">
      <c r="A1070" s="14"/>
      <c r="E1070" s="35"/>
      <c r="F1070" s="38"/>
      <c r="G1070" s="38"/>
      <c r="H1070" s="38"/>
      <c r="I1070" s="38"/>
      <c r="J1070" s="38"/>
    </row>
    <row r="1071">
      <c r="A1071" s="14"/>
      <c r="E1071" s="35"/>
      <c r="F1071" s="38"/>
      <c r="G1071" s="38"/>
      <c r="H1071" s="38"/>
      <c r="I1071" s="38"/>
      <c r="J1071" s="38"/>
    </row>
    <row r="1072">
      <c r="A1072" s="14"/>
      <c r="E1072" s="35"/>
      <c r="F1072" s="38"/>
      <c r="G1072" s="38"/>
      <c r="H1072" s="38"/>
      <c r="I1072" s="38"/>
      <c r="J1072" s="38"/>
    </row>
    <row r="1073">
      <c r="A1073" s="14"/>
      <c r="E1073" s="35"/>
      <c r="F1073" s="38"/>
      <c r="G1073" s="38"/>
      <c r="H1073" s="38"/>
      <c r="I1073" s="38"/>
      <c r="J1073" s="38"/>
    </row>
    <row r="1074">
      <c r="A1074" s="14"/>
      <c r="E1074" s="35"/>
      <c r="F1074" s="38"/>
      <c r="G1074" s="38"/>
      <c r="H1074" s="38"/>
      <c r="I1074" s="38"/>
      <c r="J1074" s="38"/>
    </row>
    <row r="1075">
      <c r="A1075" s="14"/>
      <c r="E1075" s="35"/>
      <c r="F1075" s="38"/>
      <c r="G1075" s="38"/>
      <c r="H1075" s="38"/>
      <c r="I1075" s="38"/>
      <c r="J1075" s="38"/>
    </row>
    <row r="1076">
      <c r="A1076" s="14"/>
      <c r="E1076" s="35"/>
      <c r="F1076" s="38"/>
      <c r="G1076" s="38"/>
      <c r="H1076" s="38"/>
      <c r="I1076" s="38"/>
      <c r="J1076" s="38"/>
    </row>
    <row r="1077">
      <c r="A1077" s="14"/>
      <c r="E1077" s="35"/>
      <c r="F1077" s="38"/>
      <c r="G1077" s="38"/>
      <c r="H1077" s="38"/>
      <c r="I1077" s="38"/>
      <c r="J1077" s="38"/>
    </row>
    <row r="1078">
      <c r="A1078" s="14"/>
      <c r="E1078" s="35"/>
      <c r="F1078" s="38"/>
      <c r="G1078" s="38"/>
      <c r="H1078" s="38"/>
      <c r="I1078" s="38"/>
      <c r="J1078" s="38"/>
    </row>
    <row r="1079">
      <c r="A1079" s="14"/>
      <c r="E1079" s="35"/>
      <c r="F1079" s="38"/>
      <c r="G1079" s="38"/>
      <c r="H1079" s="38"/>
      <c r="I1079" s="38"/>
      <c r="J1079" s="38"/>
    </row>
    <row r="1080">
      <c r="A1080" s="14"/>
      <c r="E1080" s="35"/>
      <c r="F1080" s="38"/>
      <c r="G1080" s="38"/>
      <c r="H1080" s="38"/>
      <c r="I1080" s="38"/>
      <c r="J1080" s="38"/>
    </row>
    <row r="1081">
      <c r="A1081" s="14"/>
      <c r="E1081" s="35"/>
      <c r="F1081" s="38"/>
      <c r="G1081" s="38"/>
      <c r="H1081" s="38"/>
      <c r="I1081" s="38"/>
      <c r="J1081" s="38"/>
    </row>
    <row r="1082">
      <c r="A1082" s="14"/>
      <c r="E1082" s="35"/>
      <c r="F1082" s="38"/>
      <c r="G1082" s="38"/>
      <c r="H1082" s="38"/>
      <c r="I1082" s="38"/>
      <c r="J1082" s="38"/>
    </row>
    <row r="1083">
      <c r="A1083" s="14"/>
      <c r="E1083" s="35"/>
      <c r="F1083" s="38"/>
      <c r="G1083" s="38"/>
      <c r="H1083" s="38"/>
      <c r="I1083" s="38"/>
      <c r="J1083" s="38"/>
    </row>
    <row r="1084">
      <c r="A1084" s="14"/>
      <c r="E1084" s="35"/>
      <c r="F1084" s="38"/>
      <c r="G1084" s="38"/>
      <c r="H1084" s="38"/>
      <c r="I1084" s="38"/>
      <c r="J1084" s="38"/>
    </row>
    <row r="1085">
      <c r="A1085" s="14"/>
      <c r="E1085" s="35"/>
      <c r="F1085" s="38"/>
      <c r="G1085" s="38"/>
      <c r="H1085" s="38"/>
      <c r="I1085" s="38"/>
      <c r="J1085" s="38"/>
    </row>
    <row r="1086">
      <c r="A1086" s="14"/>
      <c r="E1086" s="35"/>
      <c r="F1086" s="38"/>
      <c r="G1086" s="38"/>
      <c r="H1086" s="38"/>
      <c r="I1086" s="38"/>
      <c r="J1086" s="38"/>
    </row>
    <row r="1087">
      <c r="A1087" s="14"/>
      <c r="E1087" s="35"/>
      <c r="F1087" s="38"/>
      <c r="G1087" s="38"/>
      <c r="H1087" s="38"/>
      <c r="I1087" s="38"/>
      <c r="J1087" s="38"/>
    </row>
    <row r="1088">
      <c r="A1088" s="14"/>
      <c r="E1088" s="35"/>
      <c r="F1088" s="38"/>
      <c r="G1088" s="38"/>
      <c r="H1088" s="38"/>
      <c r="I1088" s="38"/>
      <c r="J1088" s="38"/>
    </row>
    <row r="1089">
      <c r="A1089" s="14"/>
      <c r="E1089" s="35"/>
      <c r="F1089" s="38"/>
      <c r="G1089" s="38"/>
      <c r="H1089" s="38"/>
      <c r="I1089" s="38"/>
      <c r="J1089" s="38"/>
    </row>
    <row r="1090">
      <c r="A1090" s="14"/>
      <c r="E1090" s="35"/>
      <c r="F1090" s="38"/>
      <c r="G1090" s="38"/>
      <c r="H1090" s="38"/>
      <c r="I1090" s="38"/>
      <c r="J1090" s="38"/>
    </row>
    <row r="1091">
      <c r="A1091" s="14"/>
      <c r="E1091" s="35"/>
      <c r="F1091" s="38"/>
      <c r="G1091" s="38"/>
      <c r="H1091" s="38"/>
      <c r="I1091" s="38"/>
      <c r="J1091" s="38"/>
    </row>
    <row r="1092">
      <c r="A1092" s="14"/>
      <c r="E1092" s="35"/>
      <c r="F1092" s="38"/>
      <c r="G1092" s="38"/>
      <c r="H1092" s="38"/>
      <c r="I1092" s="38"/>
      <c r="J1092" s="38"/>
    </row>
    <row r="1093">
      <c r="A1093" s="14"/>
      <c r="E1093" s="35"/>
      <c r="F1093" s="38"/>
      <c r="G1093" s="38"/>
      <c r="H1093" s="38"/>
      <c r="I1093" s="38"/>
      <c r="J1093" s="38"/>
    </row>
    <row r="1094">
      <c r="A1094" s="14"/>
      <c r="E1094" s="35"/>
      <c r="F1094" s="38"/>
      <c r="G1094" s="38"/>
      <c r="H1094" s="38"/>
      <c r="I1094" s="38"/>
      <c r="J1094" s="38"/>
    </row>
    <row r="1095">
      <c r="A1095" s="14"/>
      <c r="E1095" s="35"/>
      <c r="F1095" s="38"/>
      <c r="G1095" s="38"/>
      <c r="H1095" s="38"/>
      <c r="I1095" s="38"/>
      <c r="J1095" s="38"/>
    </row>
    <row r="1096">
      <c r="A1096" s="14"/>
      <c r="E1096" s="35"/>
      <c r="F1096" s="38"/>
      <c r="G1096" s="38"/>
      <c r="H1096" s="38"/>
      <c r="I1096" s="38"/>
      <c r="J1096" s="38"/>
    </row>
    <row r="1097">
      <c r="A1097" s="14"/>
      <c r="E1097" s="35"/>
      <c r="F1097" s="38"/>
      <c r="G1097" s="38"/>
      <c r="H1097" s="38"/>
      <c r="I1097" s="38"/>
      <c r="J1097" s="38"/>
    </row>
    <row r="1098">
      <c r="A1098" s="14"/>
      <c r="E1098" s="35"/>
      <c r="F1098" s="38"/>
      <c r="G1098" s="38"/>
      <c r="H1098" s="38"/>
      <c r="I1098" s="38"/>
      <c r="J1098" s="38"/>
    </row>
    <row r="1099">
      <c r="A1099" s="14"/>
      <c r="E1099" s="35"/>
      <c r="F1099" s="38"/>
      <c r="G1099" s="38"/>
      <c r="H1099" s="38"/>
      <c r="I1099" s="38"/>
      <c r="J1099" s="38"/>
    </row>
    <row r="1100">
      <c r="A1100" s="14"/>
      <c r="E1100" s="35"/>
      <c r="F1100" s="38"/>
      <c r="G1100" s="38"/>
      <c r="H1100" s="38"/>
      <c r="I1100" s="38"/>
      <c r="J1100" s="38"/>
    </row>
    <row r="1101">
      <c r="A1101" s="14"/>
      <c r="E1101" s="35"/>
      <c r="F1101" s="38"/>
      <c r="G1101" s="38"/>
      <c r="H1101" s="38"/>
      <c r="I1101" s="38"/>
      <c r="J1101" s="38"/>
    </row>
    <row r="1102">
      <c r="A1102" s="14"/>
      <c r="E1102" s="35"/>
      <c r="F1102" s="38"/>
      <c r="G1102" s="38"/>
      <c r="H1102" s="38"/>
      <c r="I1102" s="38"/>
      <c r="J1102" s="38"/>
    </row>
    <row r="1103">
      <c r="A1103" s="14"/>
      <c r="E1103" s="35"/>
      <c r="F1103" s="38"/>
      <c r="G1103" s="38"/>
      <c r="H1103" s="38"/>
      <c r="I1103" s="38"/>
      <c r="J1103" s="38"/>
    </row>
    <row r="1104">
      <c r="A1104" s="14"/>
      <c r="E1104" s="35"/>
      <c r="F1104" s="38"/>
      <c r="G1104" s="38"/>
      <c r="H1104" s="38"/>
      <c r="I1104" s="38"/>
      <c r="J1104" s="38"/>
    </row>
    <row r="1105">
      <c r="A1105" s="14"/>
      <c r="E1105" s="35"/>
      <c r="F1105" s="38"/>
      <c r="G1105" s="38"/>
      <c r="H1105" s="38"/>
      <c r="I1105" s="38"/>
      <c r="J1105" s="38"/>
    </row>
    <row r="1106">
      <c r="A1106" s="14"/>
      <c r="E1106" s="35"/>
      <c r="F1106" s="38"/>
      <c r="G1106" s="38"/>
      <c r="H1106" s="38"/>
      <c r="I1106" s="38"/>
      <c r="J1106" s="38"/>
    </row>
    <row r="1107">
      <c r="A1107" s="14"/>
      <c r="E1107" s="35"/>
      <c r="F1107" s="38"/>
      <c r="G1107" s="38"/>
      <c r="H1107" s="38"/>
      <c r="I1107" s="38"/>
      <c r="J1107" s="38"/>
    </row>
    <row r="1108">
      <c r="A1108" s="14"/>
      <c r="E1108" s="35"/>
      <c r="F1108" s="38"/>
      <c r="G1108" s="38"/>
      <c r="H1108" s="38"/>
      <c r="I1108" s="38"/>
      <c r="J1108" s="38"/>
    </row>
    <row r="1109">
      <c r="A1109" s="14"/>
      <c r="E1109" s="35"/>
      <c r="F1109" s="38"/>
      <c r="G1109" s="38"/>
      <c r="H1109" s="38"/>
      <c r="I1109" s="38"/>
      <c r="J1109" s="38"/>
    </row>
    <row r="1110">
      <c r="A1110" s="14"/>
      <c r="E1110" s="35"/>
      <c r="F1110" s="38"/>
      <c r="G1110" s="38"/>
      <c r="H1110" s="38"/>
      <c r="I1110" s="38"/>
      <c r="J1110" s="38"/>
    </row>
    <row r="1111">
      <c r="A1111" s="14"/>
      <c r="E1111" s="35"/>
      <c r="F1111" s="38"/>
      <c r="G1111" s="38"/>
      <c r="H1111" s="38"/>
      <c r="I1111" s="38"/>
      <c r="J1111" s="38"/>
    </row>
    <row r="1112">
      <c r="A1112" s="14"/>
      <c r="E1112" s="35"/>
      <c r="F1112" s="38"/>
      <c r="G1112" s="38"/>
      <c r="H1112" s="38"/>
      <c r="I1112" s="38"/>
      <c r="J1112" s="38"/>
    </row>
    <row r="1113">
      <c r="A1113" s="14"/>
      <c r="E1113" s="35"/>
      <c r="F1113" s="38"/>
      <c r="G1113" s="38"/>
      <c r="H1113" s="38"/>
      <c r="I1113" s="38"/>
      <c r="J1113" s="38"/>
    </row>
    <row r="1114">
      <c r="A1114" s="14"/>
      <c r="E1114" s="35"/>
      <c r="F1114" s="38"/>
      <c r="G1114" s="38"/>
      <c r="H1114" s="38"/>
      <c r="I1114" s="38"/>
      <c r="J1114" s="38"/>
    </row>
    <row r="1115">
      <c r="A1115" s="14"/>
      <c r="E1115" s="35"/>
      <c r="F1115" s="38"/>
      <c r="G1115" s="38"/>
      <c r="H1115" s="38"/>
      <c r="I1115" s="38"/>
      <c r="J1115" s="38"/>
    </row>
    <row r="1116">
      <c r="A1116" s="14"/>
      <c r="E1116" s="35"/>
      <c r="F1116" s="38"/>
      <c r="G1116" s="38"/>
      <c r="H1116" s="38"/>
      <c r="I1116" s="38"/>
      <c r="J1116" s="38"/>
    </row>
    <row r="1117">
      <c r="A1117" s="14"/>
      <c r="E1117" s="35"/>
      <c r="F1117" s="38"/>
      <c r="G1117" s="38"/>
      <c r="H1117" s="38"/>
      <c r="I1117" s="38"/>
      <c r="J1117" s="38"/>
    </row>
    <row r="1118">
      <c r="A1118" s="14"/>
      <c r="E1118" s="35"/>
      <c r="F1118" s="38"/>
      <c r="G1118" s="38"/>
      <c r="H1118" s="38"/>
      <c r="I1118" s="38"/>
      <c r="J1118" s="38"/>
    </row>
    <row r="1119">
      <c r="A1119" s="14"/>
      <c r="E1119" s="35"/>
      <c r="F1119" s="38"/>
      <c r="G1119" s="38"/>
      <c r="H1119" s="38"/>
      <c r="I1119" s="38"/>
      <c r="J1119" s="38"/>
    </row>
    <row r="1120">
      <c r="A1120" s="14"/>
      <c r="E1120" s="35"/>
      <c r="F1120" s="38"/>
      <c r="G1120" s="38"/>
      <c r="H1120" s="38"/>
      <c r="I1120" s="38"/>
      <c r="J1120" s="38"/>
    </row>
    <row r="1121">
      <c r="A1121" s="14"/>
      <c r="E1121" s="35"/>
      <c r="F1121" s="38"/>
      <c r="G1121" s="38"/>
      <c r="H1121" s="38"/>
      <c r="I1121" s="38"/>
      <c r="J1121" s="38"/>
    </row>
    <row r="1122">
      <c r="A1122" s="14"/>
      <c r="E1122" s="35"/>
      <c r="F1122" s="38"/>
      <c r="G1122" s="38"/>
      <c r="H1122" s="38"/>
      <c r="I1122" s="38"/>
      <c r="J1122" s="38"/>
    </row>
    <row r="1123">
      <c r="A1123" s="14"/>
      <c r="E1123" s="35"/>
      <c r="F1123" s="38"/>
      <c r="G1123" s="38"/>
      <c r="H1123" s="38"/>
      <c r="I1123" s="38"/>
      <c r="J1123" s="38"/>
    </row>
    <row r="1124">
      <c r="A1124" s="14"/>
      <c r="E1124" s="35"/>
      <c r="F1124" s="38"/>
      <c r="G1124" s="38"/>
      <c r="H1124" s="38"/>
      <c r="I1124" s="38"/>
      <c r="J1124" s="38"/>
    </row>
    <row r="1125">
      <c r="A1125" s="14"/>
      <c r="E1125" s="35"/>
      <c r="F1125" s="38"/>
      <c r="G1125" s="38"/>
      <c r="H1125" s="38"/>
      <c r="I1125" s="38"/>
      <c r="J1125" s="38"/>
    </row>
    <row r="1126">
      <c r="A1126" s="14"/>
      <c r="E1126" s="35"/>
      <c r="F1126" s="38"/>
      <c r="G1126" s="38"/>
      <c r="H1126" s="38"/>
      <c r="I1126" s="38"/>
      <c r="J1126" s="38"/>
    </row>
    <row r="1127">
      <c r="A1127" s="14"/>
      <c r="E1127" s="35"/>
      <c r="F1127" s="38"/>
      <c r="G1127" s="38"/>
      <c r="H1127" s="38"/>
      <c r="I1127" s="38"/>
      <c r="J1127" s="38"/>
    </row>
    <row r="1128">
      <c r="A1128" s="14"/>
      <c r="E1128" s="35"/>
      <c r="F1128" s="38"/>
      <c r="G1128" s="38"/>
      <c r="H1128" s="38"/>
      <c r="I1128" s="38"/>
      <c r="J1128" s="38"/>
    </row>
    <row r="1129">
      <c r="A1129" s="14"/>
      <c r="E1129" s="35"/>
      <c r="F1129" s="38"/>
      <c r="G1129" s="38"/>
      <c r="H1129" s="38"/>
      <c r="I1129" s="38"/>
      <c r="J1129" s="38"/>
    </row>
    <row r="1130">
      <c r="A1130" s="14"/>
      <c r="E1130" s="35"/>
      <c r="F1130" s="38"/>
      <c r="G1130" s="38"/>
      <c r="H1130" s="38"/>
      <c r="I1130" s="38"/>
      <c r="J1130" s="38"/>
    </row>
    <row r="1131">
      <c r="A1131" s="14"/>
      <c r="E1131" s="35"/>
      <c r="F1131" s="38"/>
      <c r="G1131" s="38"/>
      <c r="H1131" s="38"/>
      <c r="I1131" s="38"/>
      <c r="J1131" s="38"/>
    </row>
    <row r="1132">
      <c r="A1132" s="14"/>
      <c r="E1132" s="35"/>
      <c r="F1132" s="38"/>
      <c r="G1132" s="38"/>
      <c r="H1132" s="38"/>
      <c r="I1132" s="38"/>
      <c r="J1132" s="38"/>
    </row>
    <row r="1133">
      <c r="A1133" s="14"/>
      <c r="E1133" s="35"/>
      <c r="F1133" s="38"/>
      <c r="G1133" s="38"/>
      <c r="H1133" s="38"/>
      <c r="I1133" s="38"/>
      <c r="J1133" s="38"/>
    </row>
    <row r="1134">
      <c r="A1134" s="14"/>
      <c r="E1134" s="35"/>
      <c r="F1134" s="38"/>
      <c r="G1134" s="38"/>
      <c r="H1134" s="38"/>
      <c r="I1134" s="38"/>
      <c r="J1134" s="38"/>
    </row>
    <row r="1135">
      <c r="A1135" s="14"/>
      <c r="E1135" s="35"/>
      <c r="F1135" s="38"/>
      <c r="G1135" s="38"/>
      <c r="H1135" s="38"/>
      <c r="I1135" s="38"/>
      <c r="J1135" s="38"/>
    </row>
    <row r="1136">
      <c r="A1136" s="14"/>
      <c r="E1136" s="35"/>
      <c r="F1136" s="38"/>
      <c r="G1136" s="38"/>
      <c r="H1136" s="38"/>
      <c r="I1136" s="38"/>
      <c r="J1136" s="38"/>
    </row>
    <row r="1137">
      <c r="A1137" s="14"/>
      <c r="E1137" s="35"/>
      <c r="F1137" s="38"/>
      <c r="G1137" s="38"/>
      <c r="H1137" s="38"/>
      <c r="I1137" s="38"/>
      <c r="J1137" s="38"/>
    </row>
    <row r="1138">
      <c r="A1138" s="14"/>
      <c r="E1138" s="35"/>
      <c r="F1138" s="38"/>
      <c r="G1138" s="38"/>
      <c r="H1138" s="38"/>
      <c r="I1138" s="38"/>
      <c r="J1138" s="38"/>
    </row>
    <row r="1139">
      <c r="A1139" s="14"/>
      <c r="E1139" s="35"/>
      <c r="F1139" s="38"/>
      <c r="G1139" s="38"/>
      <c r="H1139" s="38"/>
      <c r="I1139" s="38"/>
      <c r="J1139" s="38"/>
    </row>
    <row r="1140">
      <c r="A1140" s="14"/>
      <c r="E1140" s="35"/>
      <c r="F1140" s="38"/>
      <c r="G1140" s="38"/>
      <c r="H1140" s="38"/>
      <c r="I1140" s="38"/>
      <c r="J1140" s="38"/>
    </row>
    <row r="1141">
      <c r="A1141" s="14"/>
      <c r="E1141" s="35"/>
      <c r="F1141" s="38"/>
      <c r="G1141" s="38"/>
      <c r="H1141" s="38"/>
      <c r="I1141" s="38"/>
      <c r="J1141" s="38"/>
    </row>
    <row r="1142">
      <c r="A1142" s="14"/>
      <c r="E1142" s="35"/>
      <c r="F1142" s="38"/>
      <c r="G1142" s="38"/>
      <c r="H1142" s="38"/>
      <c r="I1142" s="38"/>
      <c r="J1142" s="38"/>
    </row>
    <row r="1143">
      <c r="A1143" s="14"/>
      <c r="E1143" s="35"/>
      <c r="F1143" s="38"/>
      <c r="G1143" s="38"/>
      <c r="H1143" s="38"/>
      <c r="I1143" s="38"/>
      <c r="J1143" s="38"/>
    </row>
    <row r="1144">
      <c r="A1144" s="14"/>
      <c r="E1144" s="35"/>
      <c r="F1144" s="38"/>
      <c r="G1144" s="38"/>
      <c r="H1144" s="38"/>
      <c r="I1144" s="38"/>
      <c r="J1144" s="38"/>
    </row>
    <row r="1145">
      <c r="A1145" s="14"/>
      <c r="E1145" s="35"/>
      <c r="F1145" s="38"/>
      <c r="G1145" s="38"/>
      <c r="H1145" s="38"/>
      <c r="I1145" s="38"/>
      <c r="J1145" s="38"/>
    </row>
    <row r="1146">
      <c r="A1146" s="14"/>
      <c r="E1146" s="35"/>
      <c r="F1146" s="38"/>
      <c r="G1146" s="38"/>
      <c r="H1146" s="38"/>
      <c r="I1146" s="38"/>
      <c r="J1146" s="38"/>
    </row>
    <row r="1147">
      <c r="A1147" s="14"/>
      <c r="E1147" s="35"/>
      <c r="F1147" s="38"/>
      <c r="G1147" s="38"/>
      <c r="H1147" s="38"/>
      <c r="I1147" s="38"/>
      <c r="J1147" s="38"/>
    </row>
    <row r="1148">
      <c r="A1148" s="14"/>
      <c r="E1148" s="35"/>
      <c r="F1148" s="38"/>
      <c r="G1148" s="38"/>
      <c r="H1148" s="38"/>
      <c r="I1148" s="38"/>
      <c r="J1148" s="38"/>
    </row>
    <row r="1149">
      <c r="A1149" s="14"/>
      <c r="E1149" s="35"/>
      <c r="F1149" s="38"/>
      <c r="G1149" s="38"/>
      <c r="H1149" s="38"/>
      <c r="I1149" s="38"/>
      <c r="J1149" s="38"/>
    </row>
    <row r="1150">
      <c r="A1150" s="14"/>
      <c r="E1150" s="35"/>
      <c r="F1150" s="38"/>
      <c r="G1150" s="38"/>
      <c r="H1150" s="38"/>
      <c r="I1150" s="38"/>
      <c r="J1150" s="38"/>
    </row>
    <row r="1151">
      <c r="A1151" s="14"/>
      <c r="E1151" s="35"/>
      <c r="F1151" s="38"/>
      <c r="G1151" s="38"/>
      <c r="H1151" s="38"/>
      <c r="I1151" s="38"/>
      <c r="J1151" s="38"/>
    </row>
    <row r="1152">
      <c r="A1152" s="14"/>
      <c r="E1152" s="35"/>
      <c r="F1152" s="38"/>
      <c r="G1152" s="38"/>
      <c r="H1152" s="38"/>
      <c r="I1152" s="38"/>
      <c r="J1152" s="38"/>
    </row>
    <row r="1153">
      <c r="A1153" s="14"/>
      <c r="E1153" s="35"/>
      <c r="F1153" s="38"/>
      <c r="G1153" s="38"/>
      <c r="H1153" s="38"/>
      <c r="I1153" s="38"/>
      <c r="J1153" s="38"/>
    </row>
    <row r="1154">
      <c r="A1154" s="14"/>
      <c r="E1154" s="35"/>
      <c r="F1154" s="38"/>
      <c r="G1154" s="38"/>
      <c r="H1154" s="38"/>
      <c r="I1154" s="38"/>
      <c r="J1154" s="38"/>
    </row>
    <row r="1155">
      <c r="A1155" s="14"/>
      <c r="E1155" s="35"/>
      <c r="F1155" s="38"/>
      <c r="G1155" s="38"/>
      <c r="H1155" s="38"/>
      <c r="I1155" s="38"/>
      <c r="J1155" s="38"/>
    </row>
    <row r="1156">
      <c r="A1156" s="14"/>
      <c r="E1156" s="35"/>
      <c r="F1156" s="38"/>
      <c r="G1156" s="38"/>
      <c r="H1156" s="38"/>
      <c r="I1156" s="38"/>
      <c r="J1156" s="38"/>
    </row>
    <row r="1157">
      <c r="A1157" s="14"/>
      <c r="E1157" s="35"/>
      <c r="F1157" s="38"/>
      <c r="G1157" s="38"/>
      <c r="H1157" s="38"/>
      <c r="I1157" s="38"/>
      <c r="J1157" s="38"/>
    </row>
    <row r="1158">
      <c r="A1158" s="14"/>
      <c r="E1158" s="35"/>
      <c r="F1158" s="38"/>
      <c r="G1158" s="38"/>
      <c r="H1158" s="38"/>
      <c r="I1158" s="38"/>
      <c r="J1158" s="38"/>
    </row>
    <row r="1159">
      <c r="A1159" s="14"/>
      <c r="E1159" s="35"/>
      <c r="F1159" s="38"/>
      <c r="G1159" s="38"/>
      <c r="H1159" s="38"/>
      <c r="I1159" s="38"/>
      <c r="J1159" s="38"/>
    </row>
    <row r="1160">
      <c r="A1160" s="14"/>
      <c r="E1160" s="35"/>
      <c r="F1160" s="38"/>
      <c r="G1160" s="38"/>
      <c r="H1160" s="38"/>
      <c r="I1160" s="38"/>
      <c r="J1160" s="38"/>
    </row>
    <row r="1161">
      <c r="A1161" s="14"/>
      <c r="E1161" s="35"/>
      <c r="F1161" s="38"/>
      <c r="G1161" s="38"/>
      <c r="H1161" s="38"/>
      <c r="I1161" s="38"/>
      <c r="J1161" s="38"/>
    </row>
    <row r="1162">
      <c r="A1162" s="14"/>
      <c r="E1162" s="35"/>
      <c r="F1162" s="38"/>
      <c r="G1162" s="38"/>
      <c r="H1162" s="38"/>
      <c r="I1162" s="38"/>
      <c r="J1162" s="38"/>
    </row>
    <row r="1163">
      <c r="A1163" s="14"/>
      <c r="E1163" s="35"/>
      <c r="F1163" s="38"/>
      <c r="G1163" s="38"/>
      <c r="H1163" s="38"/>
      <c r="I1163" s="38"/>
      <c r="J1163" s="38"/>
    </row>
    <row r="1164">
      <c r="A1164" s="14"/>
      <c r="E1164" s="35"/>
      <c r="F1164" s="38"/>
      <c r="G1164" s="38"/>
      <c r="H1164" s="38"/>
      <c r="I1164" s="38"/>
      <c r="J1164" s="38"/>
    </row>
    <row r="1165">
      <c r="A1165" s="14"/>
      <c r="E1165" s="35"/>
      <c r="F1165" s="38"/>
      <c r="G1165" s="38"/>
      <c r="H1165" s="38"/>
      <c r="I1165" s="38"/>
      <c r="J1165" s="38"/>
    </row>
    <row r="1166">
      <c r="A1166" s="14"/>
      <c r="E1166" s="35"/>
      <c r="F1166" s="38"/>
      <c r="G1166" s="38"/>
      <c r="H1166" s="38"/>
      <c r="I1166" s="38"/>
      <c r="J1166" s="38"/>
    </row>
    <row r="1167">
      <c r="A1167" s="14"/>
      <c r="E1167" s="35"/>
      <c r="F1167" s="38"/>
      <c r="G1167" s="38"/>
      <c r="H1167" s="38"/>
      <c r="I1167" s="38"/>
      <c r="J1167" s="38"/>
    </row>
    <row r="1168">
      <c r="A1168" s="14"/>
      <c r="E1168" s="35"/>
      <c r="F1168" s="38"/>
      <c r="G1168" s="38"/>
      <c r="H1168" s="38"/>
      <c r="I1168" s="38"/>
      <c r="J1168" s="38"/>
    </row>
    <row r="1169">
      <c r="A1169" s="14"/>
      <c r="E1169" s="35"/>
      <c r="F1169" s="38"/>
      <c r="G1169" s="38"/>
      <c r="H1169" s="38"/>
      <c r="I1169" s="38"/>
      <c r="J1169" s="38"/>
    </row>
    <row r="1170">
      <c r="A1170" s="14"/>
      <c r="E1170" s="35"/>
      <c r="F1170" s="38"/>
      <c r="G1170" s="38"/>
      <c r="H1170" s="38"/>
      <c r="I1170" s="38"/>
      <c r="J1170" s="38"/>
    </row>
    <row r="1171">
      <c r="A1171" s="14"/>
      <c r="E1171" s="35"/>
      <c r="F1171" s="38"/>
      <c r="G1171" s="38"/>
      <c r="H1171" s="38"/>
      <c r="I1171" s="38"/>
      <c r="J1171" s="38"/>
    </row>
    <row r="1172">
      <c r="A1172" s="14"/>
      <c r="E1172" s="35"/>
      <c r="F1172" s="38"/>
      <c r="G1172" s="38"/>
      <c r="H1172" s="38"/>
      <c r="I1172" s="38"/>
      <c r="J1172" s="38"/>
    </row>
    <row r="1173">
      <c r="A1173" s="14"/>
      <c r="E1173" s="35"/>
      <c r="F1173" s="38"/>
      <c r="G1173" s="38"/>
      <c r="H1173" s="38"/>
      <c r="I1173" s="38"/>
      <c r="J1173" s="38"/>
    </row>
    <row r="1174">
      <c r="A1174" s="14"/>
      <c r="E1174" s="35"/>
      <c r="F1174" s="38"/>
      <c r="G1174" s="38"/>
      <c r="H1174" s="38"/>
      <c r="I1174" s="38"/>
      <c r="J1174" s="38"/>
    </row>
    <row r="1175">
      <c r="A1175" s="14"/>
      <c r="E1175" s="35"/>
      <c r="F1175" s="38"/>
      <c r="G1175" s="38"/>
      <c r="H1175" s="38"/>
      <c r="I1175" s="38"/>
      <c r="J1175" s="38"/>
    </row>
    <row r="1176">
      <c r="A1176" s="14"/>
      <c r="E1176" s="35"/>
      <c r="F1176" s="38"/>
      <c r="G1176" s="38"/>
      <c r="H1176" s="38"/>
      <c r="I1176" s="38"/>
      <c r="J1176" s="38"/>
    </row>
    <row r="1177">
      <c r="A1177" s="14"/>
      <c r="E1177" s="35"/>
      <c r="F1177" s="38"/>
      <c r="G1177" s="38"/>
      <c r="H1177" s="38"/>
      <c r="I1177" s="38"/>
      <c r="J1177" s="38"/>
    </row>
    <row r="1178">
      <c r="A1178" s="14"/>
      <c r="E1178" s="35"/>
      <c r="F1178" s="38"/>
      <c r="G1178" s="38"/>
      <c r="H1178" s="38"/>
      <c r="I1178" s="38"/>
      <c r="J1178" s="38"/>
    </row>
    <row r="1179">
      <c r="A1179" s="14"/>
      <c r="E1179" s="35"/>
      <c r="F1179" s="38"/>
      <c r="G1179" s="38"/>
      <c r="H1179" s="38"/>
      <c r="I1179" s="38"/>
      <c r="J1179" s="38"/>
    </row>
    <row r="1180">
      <c r="A1180" s="14"/>
      <c r="E1180" s="35"/>
      <c r="F1180" s="38"/>
      <c r="G1180" s="38"/>
      <c r="H1180" s="38"/>
      <c r="I1180" s="38"/>
      <c r="J1180" s="38"/>
    </row>
    <row r="1181">
      <c r="A1181" s="14"/>
      <c r="E1181" s="35"/>
      <c r="F1181" s="38"/>
      <c r="G1181" s="38"/>
      <c r="H1181" s="38"/>
      <c r="I1181" s="38"/>
      <c r="J1181" s="38"/>
    </row>
    <row r="1182">
      <c r="A1182" s="14"/>
      <c r="E1182" s="35"/>
      <c r="F1182" s="38"/>
      <c r="G1182" s="38"/>
      <c r="H1182" s="38"/>
      <c r="I1182" s="38"/>
      <c r="J1182" s="38"/>
    </row>
    <row r="1183">
      <c r="A1183" s="14"/>
      <c r="E1183" s="35"/>
      <c r="F1183" s="38"/>
      <c r="G1183" s="38"/>
      <c r="H1183" s="38"/>
      <c r="I1183" s="38"/>
      <c r="J1183" s="38"/>
    </row>
    <row r="1184">
      <c r="A1184" s="14"/>
      <c r="E1184" s="35"/>
      <c r="F1184" s="38"/>
      <c r="G1184" s="38"/>
      <c r="H1184" s="38"/>
      <c r="I1184" s="38"/>
      <c r="J1184" s="38"/>
    </row>
    <row r="1185">
      <c r="A1185" s="14"/>
      <c r="E1185" s="35"/>
      <c r="F1185" s="38"/>
      <c r="G1185" s="38"/>
      <c r="H1185" s="38"/>
      <c r="I1185" s="38"/>
      <c r="J1185" s="38"/>
    </row>
    <row r="1186">
      <c r="A1186" s="14"/>
      <c r="E1186" s="35"/>
      <c r="F1186" s="38"/>
      <c r="G1186" s="38"/>
      <c r="H1186" s="38"/>
      <c r="I1186" s="38"/>
      <c r="J1186" s="38"/>
    </row>
    <row r="1187">
      <c r="A1187" s="14"/>
      <c r="E1187" s="35"/>
      <c r="F1187" s="38"/>
      <c r="G1187" s="38"/>
      <c r="H1187" s="38"/>
      <c r="I1187" s="38"/>
      <c r="J1187" s="38"/>
    </row>
    <row r="1188">
      <c r="A1188" s="14"/>
      <c r="E1188" s="35"/>
      <c r="F1188" s="38"/>
      <c r="G1188" s="38"/>
      <c r="H1188" s="38"/>
      <c r="I1188" s="38"/>
      <c r="J1188" s="38"/>
    </row>
    <row r="1189">
      <c r="A1189" s="14"/>
      <c r="E1189" s="35"/>
      <c r="F1189" s="38"/>
      <c r="G1189" s="38"/>
      <c r="H1189" s="38"/>
      <c r="I1189" s="38"/>
      <c r="J1189" s="38"/>
    </row>
    <row r="1190">
      <c r="A1190" s="14"/>
      <c r="E1190" s="35"/>
      <c r="F1190" s="38"/>
      <c r="G1190" s="38"/>
      <c r="H1190" s="38"/>
      <c r="I1190" s="38"/>
      <c r="J1190" s="38"/>
    </row>
    <row r="1191">
      <c r="A1191" s="14"/>
      <c r="E1191" s="35"/>
      <c r="F1191" s="38"/>
      <c r="G1191" s="38"/>
      <c r="H1191" s="38"/>
      <c r="I1191" s="38"/>
      <c r="J1191" s="38"/>
    </row>
    <row r="1192">
      <c r="A1192" s="14"/>
      <c r="E1192" s="35"/>
      <c r="F1192" s="38"/>
      <c r="G1192" s="38"/>
      <c r="H1192" s="38"/>
      <c r="I1192" s="38"/>
      <c r="J1192" s="38"/>
    </row>
    <row r="1193">
      <c r="A1193" s="14"/>
      <c r="E1193" s="35"/>
      <c r="F1193" s="38"/>
      <c r="G1193" s="38"/>
      <c r="H1193" s="38"/>
      <c r="I1193" s="38"/>
      <c r="J1193" s="38"/>
    </row>
    <row r="1194">
      <c r="A1194" s="14"/>
      <c r="E1194" s="35"/>
      <c r="F1194" s="38"/>
      <c r="G1194" s="38"/>
      <c r="H1194" s="38"/>
      <c r="I1194" s="38"/>
      <c r="J1194" s="38"/>
    </row>
    <row r="1195">
      <c r="A1195" s="14"/>
      <c r="E1195" s="35"/>
      <c r="F1195" s="38"/>
      <c r="G1195" s="38"/>
      <c r="H1195" s="38"/>
      <c r="I1195" s="38"/>
      <c r="J1195" s="38"/>
    </row>
    <row r="1196">
      <c r="A1196" s="14"/>
      <c r="E1196" s="35"/>
      <c r="F1196" s="38"/>
      <c r="G1196" s="38"/>
      <c r="H1196" s="38"/>
      <c r="I1196" s="38"/>
      <c r="J1196" s="38"/>
    </row>
    <row r="1197">
      <c r="A1197" s="14"/>
      <c r="E1197" s="35"/>
      <c r="F1197" s="38"/>
      <c r="G1197" s="38"/>
      <c r="H1197" s="38"/>
      <c r="I1197" s="38"/>
      <c r="J1197" s="38"/>
    </row>
    <row r="1198">
      <c r="A1198" s="14"/>
      <c r="E1198" s="35"/>
      <c r="F1198" s="38"/>
      <c r="G1198" s="38"/>
      <c r="H1198" s="38"/>
      <c r="I1198" s="38"/>
      <c r="J1198" s="38"/>
    </row>
    <row r="1199">
      <c r="A1199" s="14"/>
      <c r="E1199" s="35"/>
      <c r="F1199" s="38"/>
      <c r="G1199" s="38"/>
      <c r="H1199" s="38"/>
      <c r="I1199" s="38"/>
      <c r="J1199" s="38"/>
    </row>
    <row r="1200">
      <c r="A1200" s="14"/>
      <c r="E1200" s="35"/>
      <c r="F1200" s="38"/>
      <c r="G1200" s="38"/>
      <c r="H1200" s="38"/>
      <c r="I1200" s="38"/>
      <c r="J1200" s="38"/>
    </row>
    <row r="1201">
      <c r="A1201" s="14"/>
      <c r="E1201" s="35"/>
      <c r="F1201" s="38"/>
      <c r="G1201" s="38"/>
      <c r="H1201" s="38"/>
      <c r="I1201" s="38"/>
      <c r="J1201" s="38"/>
    </row>
    <row r="1202">
      <c r="A1202" s="14"/>
      <c r="E1202" s="35"/>
      <c r="F1202" s="38"/>
      <c r="G1202" s="38"/>
      <c r="H1202" s="38"/>
      <c r="I1202" s="38"/>
      <c r="J1202" s="38"/>
    </row>
    <row r="1203">
      <c r="A1203" s="14"/>
      <c r="E1203" s="35"/>
      <c r="F1203" s="38"/>
      <c r="G1203" s="38"/>
      <c r="H1203" s="38"/>
      <c r="I1203" s="38"/>
      <c r="J1203" s="38"/>
    </row>
    <row r="1204">
      <c r="A1204" s="14"/>
      <c r="E1204" s="35"/>
      <c r="F1204" s="38"/>
      <c r="G1204" s="38"/>
      <c r="H1204" s="38"/>
      <c r="I1204" s="38"/>
      <c r="J1204" s="38"/>
    </row>
    <row r="1205">
      <c r="A1205" s="14"/>
      <c r="E1205" s="35"/>
      <c r="F1205" s="38"/>
      <c r="G1205" s="38"/>
      <c r="H1205" s="38"/>
      <c r="I1205" s="38"/>
      <c r="J1205" s="38"/>
    </row>
    <row r="1206">
      <c r="A1206" s="14"/>
      <c r="E1206" s="35"/>
      <c r="F1206" s="38"/>
      <c r="G1206" s="38"/>
      <c r="H1206" s="38"/>
      <c r="I1206" s="38"/>
      <c r="J1206" s="38"/>
    </row>
    <row r="1207">
      <c r="A1207" s="14"/>
      <c r="E1207" s="35"/>
      <c r="F1207" s="38"/>
      <c r="G1207" s="38"/>
      <c r="H1207" s="38"/>
      <c r="I1207" s="38"/>
      <c r="J1207" s="38"/>
    </row>
    <row r="1208">
      <c r="A1208" s="14"/>
      <c r="E1208" s="35"/>
      <c r="F1208" s="38"/>
      <c r="G1208" s="38"/>
      <c r="H1208" s="38"/>
      <c r="I1208" s="38"/>
      <c r="J1208" s="38"/>
    </row>
    <row r="1209">
      <c r="A1209" s="14"/>
      <c r="E1209" s="35"/>
      <c r="F1209" s="38"/>
      <c r="G1209" s="38"/>
      <c r="H1209" s="38"/>
      <c r="I1209" s="38"/>
      <c r="J1209" s="38"/>
    </row>
    <row r="1210">
      <c r="A1210" s="14"/>
      <c r="E1210" s="35"/>
      <c r="F1210" s="38"/>
      <c r="G1210" s="38"/>
      <c r="H1210" s="38"/>
      <c r="I1210" s="38"/>
      <c r="J1210" s="38"/>
    </row>
    <row r="1211">
      <c r="A1211" s="14"/>
      <c r="E1211" s="35"/>
      <c r="F1211" s="38"/>
      <c r="G1211" s="38"/>
      <c r="H1211" s="38"/>
      <c r="I1211" s="38"/>
      <c r="J1211" s="38"/>
    </row>
    <row r="1212">
      <c r="A1212" s="14"/>
      <c r="E1212" s="35"/>
      <c r="F1212" s="38"/>
      <c r="G1212" s="38"/>
      <c r="H1212" s="38"/>
      <c r="I1212" s="38"/>
      <c r="J1212" s="38"/>
    </row>
    <row r="1213">
      <c r="A1213" s="14"/>
      <c r="E1213" s="35"/>
      <c r="F1213" s="38"/>
      <c r="G1213" s="38"/>
      <c r="H1213" s="38"/>
      <c r="I1213" s="38"/>
      <c r="J1213" s="38"/>
    </row>
    <row r="1214">
      <c r="A1214" s="14"/>
      <c r="E1214" s="35"/>
      <c r="F1214" s="38"/>
      <c r="G1214" s="38"/>
      <c r="H1214" s="38"/>
      <c r="I1214" s="38"/>
      <c r="J1214" s="38"/>
    </row>
    <row r="1215">
      <c r="A1215" s="14"/>
      <c r="E1215" s="35"/>
      <c r="F1215" s="38"/>
      <c r="G1215" s="38"/>
      <c r="H1215" s="38"/>
      <c r="I1215" s="38"/>
      <c r="J1215" s="38"/>
    </row>
    <row r="1216">
      <c r="A1216" s="14"/>
      <c r="E1216" s="35"/>
      <c r="F1216" s="38"/>
      <c r="G1216" s="38"/>
      <c r="H1216" s="38"/>
      <c r="I1216" s="38"/>
      <c r="J1216" s="38"/>
    </row>
    <row r="1217">
      <c r="A1217" s="14"/>
      <c r="E1217" s="35"/>
      <c r="F1217" s="38"/>
      <c r="G1217" s="38"/>
      <c r="H1217" s="38"/>
      <c r="I1217" s="38"/>
      <c r="J1217" s="38"/>
    </row>
    <row r="1218">
      <c r="A1218" s="14"/>
      <c r="E1218" s="35"/>
      <c r="F1218" s="38"/>
      <c r="G1218" s="38"/>
      <c r="H1218" s="38"/>
      <c r="I1218" s="38"/>
      <c r="J1218" s="38"/>
    </row>
    <row r="1219">
      <c r="A1219" s="14"/>
      <c r="E1219" s="35"/>
      <c r="F1219" s="38"/>
      <c r="G1219" s="38"/>
      <c r="H1219" s="38"/>
      <c r="I1219" s="38"/>
      <c r="J1219" s="38"/>
    </row>
    <row r="1220">
      <c r="A1220" s="14"/>
      <c r="E1220" s="35"/>
      <c r="F1220" s="38"/>
      <c r="G1220" s="38"/>
      <c r="H1220" s="38"/>
      <c r="I1220" s="38"/>
      <c r="J1220" s="38"/>
    </row>
    <row r="1221">
      <c r="A1221" s="14"/>
      <c r="E1221" s="35"/>
      <c r="F1221" s="38"/>
      <c r="G1221" s="38"/>
      <c r="H1221" s="38"/>
      <c r="I1221" s="38"/>
      <c r="J1221" s="38"/>
    </row>
    <row r="1222">
      <c r="A1222" s="14"/>
      <c r="E1222" s="35"/>
      <c r="F1222" s="38"/>
      <c r="G1222" s="38"/>
      <c r="H1222" s="38"/>
      <c r="I1222" s="38"/>
      <c r="J1222" s="38"/>
    </row>
    <row r="1223">
      <c r="A1223" s="14"/>
      <c r="E1223" s="35"/>
      <c r="F1223" s="38"/>
      <c r="G1223" s="38"/>
      <c r="H1223" s="38"/>
      <c r="I1223" s="38"/>
      <c r="J1223" s="38"/>
    </row>
    <row r="1224">
      <c r="A1224" s="14"/>
      <c r="E1224" s="35"/>
      <c r="F1224" s="38"/>
      <c r="G1224" s="38"/>
      <c r="H1224" s="38"/>
      <c r="I1224" s="38"/>
      <c r="J1224" s="38"/>
    </row>
    <row r="1225">
      <c r="A1225" s="14"/>
      <c r="E1225" s="35"/>
      <c r="F1225" s="38"/>
      <c r="G1225" s="38"/>
      <c r="H1225" s="38"/>
      <c r="I1225" s="38"/>
      <c r="J1225" s="38"/>
    </row>
    <row r="1226">
      <c r="A1226" s="14"/>
      <c r="E1226" s="35"/>
      <c r="F1226" s="38"/>
      <c r="G1226" s="38"/>
      <c r="H1226" s="38"/>
      <c r="I1226" s="38"/>
      <c r="J1226" s="38"/>
    </row>
    <row r="1227">
      <c r="A1227" s="14"/>
      <c r="E1227" s="35"/>
      <c r="F1227" s="38"/>
      <c r="G1227" s="38"/>
      <c r="H1227" s="38"/>
      <c r="I1227" s="38"/>
      <c r="J1227" s="38"/>
    </row>
    <row r="1228">
      <c r="A1228" s="14"/>
      <c r="E1228" s="35"/>
      <c r="F1228" s="38"/>
      <c r="G1228" s="38"/>
      <c r="H1228" s="38"/>
      <c r="I1228" s="38"/>
      <c r="J1228" s="38"/>
    </row>
    <row r="1229">
      <c r="A1229" s="14"/>
      <c r="E1229" s="35"/>
      <c r="F1229" s="38"/>
      <c r="G1229" s="38"/>
      <c r="H1229" s="38"/>
      <c r="I1229" s="38"/>
      <c r="J1229" s="38"/>
    </row>
    <row r="1230">
      <c r="A1230" s="14"/>
      <c r="E1230" s="35"/>
      <c r="F1230" s="38"/>
      <c r="G1230" s="38"/>
      <c r="H1230" s="38"/>
      <c r="I1230" s="38"/>
      <c r="J1230" s="38"/>
    </row>
    <row r="1231">
      <c r="A1231" s="14"/>
      <c r="E1231" s="35"/>
      <c r="F1231" s="38"/>
      <c r="G1231" s="38"/>
      <c r="H1231" s="38"/>
      <c r="I1231" s="38"/>
      <c r="J1231" s="38"/>
    </row>
    <row r="1232">
      <c r="A1232" s="14"/>
      <c r="E1232" s="35"/>
      <c r="F1232" s="38"/>
      <c r="G1232" s="38"/>
      <c r="H1232" s="38"/>
      <c r="I1232" s="38"/>
      <c r="J1232" s="38"/>
    </row>
    <row r="1233">
      <c r="A1233" s="14"/>
      <c r="E1233" s="35"/>
      <c r="F1233" s="38"/>
      <c r="G1233" s="38"/>
      <c r="H1233" s="38"/>
      <c r="I1233" s="38"/>
      <c r="J1233" s="38"/>
    </row>
    <row r="1234">
      <c r="A1234" s="14"/>
      <c r="E1234" s="35"/>
      <c r="F1234" s="38"/>
      <c r="G1234" s="38"/>
      <c r="H1234" s="38"/>
      <c r="I1234" s="38"/>
      <c r="J1234" s="38"/>
    </row>
    <row r="1235">
      <c r="A1235" s="14"/>
      <c r="E1235" s="35"/>
      <c r="F1235" s="38"/>
      <c r="G1235" s="38"/>
      <c r="H1235" s="38"/>
      <c r="I1235" s="38"/>
      <c r="J1235" s="38"/>
    </row>
    <row r="1236">
      <c r="A1236" s="14"/>
      <c r="E1236" s="35"/>
      <c r="F1236" s="38"/>
      <c r="G1236" s="38"/>
      <c r="H1236" s="38"/>
      <c r="I1236" s="38"/>
      <c r="J1236" s="38"/>
    </row>
    <row r="1237">
      <c r="A1237" s="14"/>
      <c r="E1237" s="35"/>
      <c r="F1237" s="38"/>
      <c r="G1237" s="38"/>
      <c r="H1237" s="38"/>
      <c r="I1237" s="38"/>
      <c r="J1237" s="38"/>
    </row>
    <row r="1238">
      <c r="A1238" s="14"/>
      <c r="E1238" s="35"/>
      <c r="F1238" s="38"/>
      <c r="G1238" s="38"/>
      <c r="H1238" s="38"/>
      <c r="I1238" s="38"/>
      <c r="J1238" s="38"/>
    </row>
    <row r="1239">
      <c r="A1239" s="14"/>
      <c r="E1239" s="35"/>
      <c r="F1239" s="38"/>
      <c r="G1239" s="38"/>
      <c r="H1239" s="38"/>
      <c r="I1239" s="38"/>
      <c r="J1239" s="38"/>
    </row>
    <row r="1240">
      <c r="A1240" s="14"/>
      <c r="E1240" s="35"/>
      <c r="F1240" s="38"/>
      <c r="G1240" s="38"/>
      <c r="H1240" s="38"/>
      <c r="I1240" s="38"/>
      <c r="J1240" s="38"/>
    </row>
    <row r="1241">
      <c r="A1241" s="14"/>
      <c r="E1241" s="35"/>
      <c r="F1241" s="38"/>
      <c r="G1241" s="38"/>
      <c r="H1241" s="38"/>
      <c r="I1241" s="38"/>
      <c r="J1241" s="38"/>
    </row>
    <row r="1242">
      <c r="A1242" s="14"/>
      <c r="E1242" s="35"/>
      <c r="F1242" s="38"/>
      <c r="G1242" s="38"/>
      <c r="H1242" s="38"/>
      <c r="I1242" s="38"/>
      <c r="J1242" s="38"/>
    </row>
    <row r="1243">
      <c r="A1243" s="14"/>
      <c r="E1243" s="35"/>
      <c r="F1243" s="38"/>
      <c r="G1243" s="38"/>
      <c r="H1243" s="38"/>
      <c r="I1243" s="38"/>
      <c r="J1243" s="38"/>
    </row>
    <row r="1244">
      <c r="A1244" s="14"/>
      <c r="E1244" s="35"/>
      <c r="F1244" s="38"/>
      <c r="G1244" s="38"/>
      <c r="H1244" s="38"/>
      <c r="I1244" s="38"/>
      <c r="J1244" s="38"/>
    </row>
    <row r="1245">
      <c r="A1245" s="14"/>
      <c r="E1245" s="35"/>
      <c r="F1245" s="38"/>
      <c r="G1245" s="38"/>
      <c r="H1245" s="38"/>
      <c r="I1245" s="38"/>
      <c r="J1245" s="38"/>
    </row>
    <row r="1246">
      <c r="A1246" s="14"/>
      <c r="E1246" s="35"/>
      <c r="F1246" s="38"/>
      <c r="G1246" s="38"/>
      <c r="H1246" s="38"/>
      <c r="I1246" s="38"/>
      <c r="J1246" s="38"/>
    </row>
    <row r="1247">
      <c r="A1247" s="14"/>
      <c r="E1247" s="35"/>
      <c r="F1247" s="38"/>
      <c r="G1247" s="38"/>
      <c r="H1247" s="38"/>
      <c r="I1247" s="38"/>
      <c r="J1247" s="38"/>
    </row>
    <row r="1248">
      <c r="A1248" s="14"/>
      <c r="E1248" s="35"/>
      <c r="F1248" s="38"/>
      <c r="G1248" s="38"/>
      <c r="H1248" s="38"/>
      <c r="I1248" s="38"/>
      <c r="J1248" s="38"/>
    </row>
    <row r="1249">
      <c r="A1249" s="14"/>
      <c r="E1249" s="35"/>
      <c r="F1249" s="38"/>
      <c r="G1249" s="38"/>
      <c r="H1249" s="38"/>
      <c r="I1249" s="38"/>
      <c r="J1249" s="38"/>
    </row>
    <row r="1250">
      <c r="A1250" s="14"/>
      <c r="E1250" s="35"/>
      <c r="F1250" s="38"/>
      <c r="G1250" s="38"/>
      <c r="H1250" s="38"/>
      <c r="I1250" s="38"/>
      <c r="J1250" s="38"/>
    </row>
    <row r="1251">
      <c r="A1251" s="14"/>
      <c r="E1251" s="35"/>
      <c r="F1251" s="38"/>
      <c r="G1251" s="38"/>
      <c r="H1251" s="38"/>
      <c r="I1251" s="38"/>
      <c r="J1251" s="38"/>
    </row>
    <row r="1252">
      <c r="A1252" s="14"/>
      <c r="E1252" s="35"/>
      <c r="F1252" s="38"/>
      <c r="G1252" s="38"/>
      <c r="H1252" s="38"/>
      <c r="I1252" s="38"/>
      <c r="J1252" s="38"/>
    </row>
    <row r="1253">
      <c r="A1253" s="14"/>
      <c r="E1253" s="35"/>
      <c r="F1253" s="38"/>
      <c r="G1253" s="38"/>
      <c r="H1253" s="38"/>
      <c r="I1253" s="38"/>
      <c r="J1253" s="38"/>
    </row>
    <row r="1254">
      <c r="A1254" s="14"/>
      <c r="E1254" s="35"/>
      <c r="F1254" s="38"/>
      <c r="G1254" s="38"/>
      <c r="H1254" s="38"/>
      <c r="I1254" s="38"/>
      <c r="J1254" s="38"/>
    </row>
    <row r="1255">
      <c r="A1255" s="14"/>
      <c r="E1255" s="35"/>
      <c r="F1255" s="38"/>
      <c r="G1255" s="38"/>
      <c r="H1255" s="38"/>
      <c r="I1255" s="38"/>
      <c r="J1255" s="38"/>
    </row>
    <row r="1256">
      <c r="A1256" s="14"/>
      <c r="E1256" s="35"/>
      <c r="F1256" s="38"/>
      <c r="G1256" s="38"/>
      <c r="H1256" s="38"/>
      <c r="I1256" s="38"/>
      <c r="J1256" s="38"/>
    </row>
    <row r="1257">
      <c r="A1257" s="14"/>
      <c r="E1257" s="35"/>
      <c r="F1257" s="38"/>
      <c r="G1257" s="38"/>
      <c r="H1257" s="38"/>
      <c r="I1257" s="38"/>
      <c r="J1257" s="38"/>
    </row>
    <row r="1258">
      <c r="A1258" s="14"/>
      <c r="E1258" s="35"/>
      <c r="F1258" s="38"/>
      <c r="G1258" s="38"/>
      <c r="H1258" s="38"/>
      <c r="I1258" s="38"/>
      <c r="J1258" s="38"/>
    </row>
    <row r="1259">
      <c r="A1259" s="14"/>
      <c r="E1259" s="35"/>
      <c r="F1259" s="38"/>
      <c r="G1259" s="38"/>
      <c r="H1259" s="38"/>
      <c r="I1259" s="38"/>
      <c r="J1259" s="38"/>
    </row>
    <row r="1260">
      <c r="A1260" s="14"/>
      <c r="E1260" s="35"/>
      <c r="F1260" s="38"/>
      <c r="G1260" s="38"/>
      <c r="H1260" s="38"/>
      <c r="I1260" s="38"/>
      <c r="J1260" s="38"/>
    </row>
    <row r="1261">
      <c r="A1261" s="14"/>
      <c r="E1261" s="35"/>
      <c r="F1261" s="38"/>
      <c r="G1261" s="38"/>
      <c r="H1261" s="38"/>
      <c r="I1261" s="38"/>
      <c r="J1261" s="38"/>
    </row>
    <row r="1262">
      <c r="A1262" s="14"/>
      <c r="E1262" s="35"/>
      <c r="F1262" s="38"/>
      <c r="G1262" s="38"/>
      <c r="H1262" s="38"/>
      <c r="I1262" s="38"/>
      <c r="J1262" s="38"/>
    </row>
    <row r="1263">
      <c r="A1263" s="14"/>
      <c r="E1263" s="35"/>
      <c r="F1263" s="38"/>
      <c r="G1263" s="38"/>
      <c r="H1263" s="38"/>
      <c r="I1263" s="38"/>
      <c r="J1263" s="38"/>
    </row>
    <row r="1264">
      <c r="A1264" s="14"/>
      <c r="E1264" s="35"/>
      <c r="F1264" s="38"/>
      <c r="G1264" s="38"/>
      <c r="H1264" s="38"/>
      <c r="I1264" s="38"/>
      <c r="J1264" s="38"/>
    </row>
    <row r="1265">
      <c r="A1265" s="14"/>
      <c r="E1265" s="35"/>
      <c r="F1265" s="38"/>
      <c r="G1265" s="38"/>
      <c r="H1265" s="38"/>
      <c r="I1265" s="38"/>
      <c r="J1265" s="38"/>
    </row>
    <row r="1266">
      <c r="A1266" s="14"/>
      <c r="E1266" s="35"/>
      <c r="F1266" s="38"/>
      <c r="G1266" s="38"/>
      <c r="H1266" s="38"/>
      <c r="I1266" s="38"/>
      <c r="J1266" s="38"/>
    </row>
    <row r="1267">
      <c r="A1267" s="14"/>
      <c r="E1267" s="35"/>
      <c r="F1267" s="38"/>
      <c r="G1267" s="38"/>
      <c r="H1267" s="38"/>
      <c r="I1267" s="38"/>
      <c r="J1267" s="38"/>
    </row>
    <row r="1268">
      <c r="A1268" s="14"/>
      <c r="E1268" s="35"/>
      <c r="F1268" s="38"/>
      <c r="G1268" s="38"/>
      <c r="H1268" s="38"/>
      <c r="I1268" s="38"/>
      <c r="J1268" s="38"/>
    </row>
    <row r="1269">
      <c r="A1269" s="14"/>
      <c r="E1269" s="35"/>
      <c r="F1269" s="38"/>
      <c r="G1269" s="38"/>
      <c r="H1269" s="38"/>
      <c r="I1269" s="38"/>
      <c r="J1269" s="38"/>
    </row>
    <row r="1270">
      <c r="A1270" s="14"/>
      <c r="E1270" s="35"/>
      <c r="F1270" s="38"/>
      <c r="G1270" s="38"/>
      <c r="H1270" s="38"/>
      <c r="I1270" s="38"/>
      <c r="J1270" s="38"/>
    </row>
    <row r="1271">
      <c r="A1271" s="14"/>
      <c r="E1271" s="35"/>
      <c r="F1271" s="38"/>
      <c r="G1271" s="38"/>
      <c r="H1271" s="38"/>
      <c r="I1271" s="38"/>
      <c r="J1271" s="38"/>
    </row>
    <row r="1272">
      <c r="A1272" s="14"/>
      <c r="E1272" s="35"/>
      <c r="F1272" s="38"/>
      <c r="G1272" s="38"/>
      <c r="H1272" s="38"/>
      <c r="I1272" s="38"/>
      <c r="J1272" s="38"/>
    </row>
    <row r="1273">
      <c r="A1273" s="14"/>
      <c r="E1273" s="35"/>
      <c r="F1273" s="38"/>
      <c r="G1273" s="38"/>
      <c r="H1273" s="38"/>
      <c r="I1273" s="38"/>
      <c r="J1273" s="38"/>
    </row>
    <row r="1274">
      <c r="A1274" s="14"/>
      <c r="E1274" s="35"/>
      <c r="F1274" s="38"/>
      <c r="G1274" s="38"/>
      <c r="H1274" s="38"/>
      <c r="I1274" s="38"/>
      <c r="J1274" s="38"/>
    </row>
    <row r="1275">
      <c r="A1275" s="14"/>
      <c r="E1275" s="35"/>
      <c r="F1275" s="38"/>
      <c r="G1275" s="38"/>
      <c r="H1275" s="38"/>
      <c r="I1275" s="38"/>
      <c r="J1275" s="38"/>
    </row>
    <row r="1276">
      <c r="A1276" s="14"/>
      <c r="E1276" s="35"/>
      <c r="F1276" s="38"/>
      <c r="G1276" s="38"/>
      <c r="H1276" s="38"/>
      <c r="I1276" s="38"/>
      <c r="J1276" s="38"/>
    </row>
    <row r="1277">
      <c r="A1277" s="14"/>
      <c r="E1277" s="35"/>
      <c r="F1277" s="38"/>
      <c r="G1277" s="38"/>
      <c r="H1277" s="38"/>
      <c r="I1277" s="38"/>
      <c r="J1277" s="38"/>
    </row>
    <row r="1278">
      <c r="A1278" s="14"/>
      <c r="E1278" s="35"/>
      <c r="F1278" s="38"/>
      <c r="G1278" s="38"/>
      <c r="H1278" s="38"/>
      <c r="I1278" s="38"/>
      <c r="J1278" s="38"/>
    </row>
    <row r="1279">
      <c r="A1279" s="14"/>
      <c r="E1279" s="35"/>
      <c r="F1279" s="38"/>
      <c r="G1279" s="38"/>
      <c r="H1279" s="38"/>
      <c r="I1279" s="38"/>
      <c r="J1279" s="38"/>
    </row>
    <row r="1280">
      <c r="A1280" s="14"/>
      <c r="E1280" s="35"/>
      <c r="F1280" s="38"/>
      <c r="G1280" s="38"/>
      <c r="H1280" s="38"/>
      <c r="I1280" s="38"/>
      <c r="J1280" s="38"/>
    </row>
    <row r="1281">
      <c r="A1281" s="14"/>
      <c r="E1281" s="35"/>
      <c r="F1281" s="38"/>
      <c r="G1281" s="38"/>
      <c r="H1281" s="38"/>
      <c r="I1281" s="38"/>
      <c r="J1281" s="38"/>
    </row>
    <row r="1282">
      <c r="A1282" s="14"/>
      <c r="E1282" s="35"/>
      <c r="F1282" s="38"/>
      <c r="G1282" s="38"/>
      <c r="H1282" s="38"/>
      <c r="I1282" s="38"/>
      <c r="J1282" s="38"/>
    </row>
    <row r="1283">
      <c r="A1283" s="14"/>
      <c r="E1283" s="35"/>
      <c r="F1283" s="38"/>
      <c r="G1283" s="38"/>
      <c r="H1283" s="38"/>
      <c r="I1283" s="38"/>
      <c r="J1283" s="38"/>
    </row>
    <row r="1284">
      <c r="A1284" s="14"/>
      <c r="E1284" s="35"/>
      <c r="F1284" s="38"/>
      <c r="G1284" s="38"/>
      <c r="H1284" s="38"/>
      <c r="I1284" s="38"/>
      <c r="J1284" s="38"/>
    </row>
    <row r="1285">
      <c r="A1285" s="14"/>
      <c r="E1285" s="35"/>
      <c r="F1285" s="38"/>
      <c r="G1285" s="38"/>
      <c r="H1285" s="38"/>
      <c r="I1285" s="38"/>
      <c r="J1285" s="38"/>
    </row>
    <row r="1286">
      <c r="A1286" s="14"/>
      <c r="E1286" s="35"/>
      <c r="F1286" s="38"/>
      <c r="G1286" s="38"/>
      <c r="H1286" s="38"/>
      <c r="I1286" s="38"/>
      <c r="J1286" s="38"/>
    </row>
    <row r="1287">
      <c r="A1287" s="14"/>
      <c r="E1287" s="35"/>
      <c r="F1287" s="38"/>
      <c r="G1287" s="38"/>
      <c r="H1287" s="38"/>
      <c r="I1287" s="38"/>
      <c r="J1287" s="38"/>
    </row>
    <row r="1288">
      <c r="A1288" s="14"/>
      <c r="E1288" s="35"/>
      <c r="F1288" s="38"/>
      <c r="G1288" s="38"/>
      <c r="H1288" s="38"/>
      <c r="I1288" s="38"/>
      <c r="J1288" s="38"/>
    </row>
    <row r="1289">
      <c r="A1289" s="14"/>
      <c r="E1289" s="35"/>
      <c r="F1289" s="38"/>
      <c r="G1289" s="38"/>
      <c r="H1289" s="38"/>
      <c r="I1289" s="38"/>
      <c r="J1289" s="38"/>
    </row>
    <row r="1290">
      <c r="A1290" s="14"/>
      <c r="E1290" s="35"/>
      <c r="F1290" s="38"/>
      <c r="G1290" s="38"/>
      <c r="H1290" s="38"/>
      <c r="I1290" s="38"/>
      <c r="J1290" s="38"/>
    </row>
    <row r="1291">
      <c r="A1291" s="14"/>
      <c r="E1291" s="35"/>
      <c r="F1291" s="38"/>
      <c r="G1291" s="38"/>
      <c r="H1291" s="38"/>
      <c r="I1291" s="38"/>
      <c r="J1291" s="38"/>
    </row>
    <row r="1292">
      <c r="A1292" s="14"/>
      <c r="E1292" s="35"/>
      <c r="F1292" s="38"/>
      <c r="G1292" s="38"/>
      <c r="H1292" s="38"/>
      <c r="I1292" s="38"/>
      <c r="J1292" s="38"/>
    </row>
    <row r="1293">
      <c r="A1293" s="14"/>
      <c r="E1293" s="35"/>
      <c r="F1293" s="38"/>
      <c r="G1293" s="38"/>
      <c r="H1293" s="38"/>
      <c r="I1293" s="38"/>
      <c r="J1293" s="38"/>
    </row>
    <row r="1294">
      <c r="A1294" s="14"/>
      <c r="E1294" s="35"/>
      <c r="F1294" s="38"/>
      <c r="G1294" s="38"/>
      <c r="H1294" s="38"/>
      <c r="I1294" s="38"/>
      <c r="J1294" s="38"/>
    </row>
    <row r="1295">
      <c r="A1295" s="14"/>
      <c r="E1295" s="35"/>
      <c r="F1295" s="38"/>
      <c r="G1295" s="38"/>
      <c r="H1295" s="38"/>
      <c r="I1295" s="38"/>
      <c r="J1295" s="38"/>
    </row>
    <row r="1296">
      <c r="A1296" s="14"/>
      <c r="E1296" s="35"/>
      <c r="F1296" s="38"/>
      <c r="G1296" s="38"/>
      <c r="H1296" s="38"/>
      <c r="I1296" s="38"/>
      <c r="J1296" s="38"/>
    </row>
    <row r="1297">
      <c r="A1297" s="14"/>
      <c r="E1297" s="35"/>
      <c r="F1297" s="38"/>
      <c r="G1297" s="38"/>
      <c r="H1297" s="38"/>
      <c r="I1297" s="38"/>
      <c r="J1297" s="38"/>
    </row>
    <row r="1298">
      <c r="A1298" s="14"/>
      <c r="E1298" s="35"/>
      <c r="F1298" s="38"/>
      <c r="G1298" s="38"/>
      <c r="H1298" s="38"/>
      <c r="I1298" s="38"/>
      <c r="J1298" s="38"/>
    </row>
    <row r="1299">
      <c r="A1299" s="14"/>
      <c r="E1299" s="35"/>
      <c r="F1299" s="38"/>
      <c r="G1299" s="38"/>
      <c r="H1299" s="38"/>
      <c r="I1299" s="38"/>
      <c r="J1299" s="38"/>
    </row>
    <row r="1300">
      <c r="A1300" s="14"/>
      <c r="E1300" s="35"/>
      <c r="F1300" s="38"/>
      <c r="G1300" s="38"/>
      <c r="H1300" s="38"/>
      <c r="I1300" s="38"/>
      <c r="J1300" s="38"/>
    </row>
    <row r="1301">
      <c r="A1301" s="14"/>
      <c r="E1301" s="35"/>
      <c r="F1301" s="38"/>
      <c r="G1301" s="38"/>
      <c r="H1301" s="38"/>
      <c r="I1301" s="38"/>
      <c r="J1301" s="38"/>
    </row>
    <row r="1302">
      <c r="A1302" s="14"/>
      <c r="E1302" s="35"/>
      <c r="F1302" s="38"/>
      <c r="G1302" s="38"/>
      <c r="H1302" s="38"/>
      <c r="I1302" s="38"/>
      <c r="J1302" s="38"/>
    </row>
    <row r="1303">
      <c r="A1303" s="14"/>
      <c r="E1303" s="35"/>
      <c r="F1303" s="38"/>
      <c r="G1303" s="38"/>
      <c r="H1303" s="38"/>
      <c r="I1303" s="38"/>
      <c r="J1303" s="38"/>
    </row>
    <row r="1304">
      <c r="A1304" s="14"/>
      <c r="E1304" s="35"/>
      <c r="F1304" s="38"/>
      <c r="G1304" s="38"/>
      <c r="H1304" s="38"/>
      <c r="I1304" s="38"/>
      <c r="J1304" s="38"/>
    </row>
    <row r="1305">
      <c r="A1305" s="14"/>
      <c r="E1305" s="35"/>
      <c r="F1305" s="38"/>
      <c r="G1305" s="38"/>
      <c r="H1305" s="38"/>
      <c r="I1305" s="38"/>
      <c r="J1305" s="38"/>
    </row>
    <row r="1306">
      <c r="A1306" s="14"/>
      <c r="E1306" s="35"/>
      <c r="F1306" s="38"/>
      <c r="G1306" s="38"/>
      <c r="H1306" s="38"/>
      <c r="I1306" s="38"/>
      <c r="J1306" s="38"/>
    </row>
    <row r="1307">
      <c r="A1307" s="14"/>
      <c r="E1307" s="35"/>
      <c r="F1307" s="38"/>
      <c r="G1307" s="38"/>
      <c r="H1307" s="38"/>
      <c r="I1307" s="38"/>
      <c r="J1307" s="38"/>
    </row>
    <row r="1308">
      <c r="A1308" s="14"/>
      <c r="E1308" s="35"/>
      <c r="F1308" s="38"/>
      <c r="G1308" s="38"/>
      <c r="H1308" s="38"/>
      <c r="I1308" s="38"/>
      <c r="J1308" s="38"/>
    </row>
    <row r="1309">
      <c r="A1309" s="14"/>
      <c r="E1309" s="35"/>
      <c r="F1309" s="38"/>
      <c r="G1309" s="38"/>
      <c r="H1309" s="38"/>
      <c r="I1309" s="38"/>
      <c r="J1309" s="38"/>
    </row>
    <row r="1310">
      <c r="A1310" s="14"/>
      <c r="E1310" s="35"/>
      <c r="F1310" s="38"/>
      <c r="G1310" s="38"/>
      <c r="H1310" s="38"/>
      <c r="I1310" s="38"/>
      <c r="J1310" s="38"/>
    </row>
    <row r="1311">
      <c r="A1311" s="14"/>
      <c r="E1311" s="35"/>
      <c r="F1311" s="38"/>
      <c r="G1311" s="38"/>
      <c r="H1311" s="38"/>
      <c r="I1311" s="38"/>
      <c r="J1311" s="38"/>
    </row>
    <row r="1312">
      <c r="A1312" s="14"/>
      <c r="E1312" s="35"/>
      <c r="F1312" s="38"/>
      <c r="G1312" s="38"/>
      <c r="H1312" s="38"/>
      <c r="I1312" s="38"/>
      <c r="J1312" s="38"/>
    </row>
    <row r="1313">
      <c r="A1313" s="14"/>
      <c r="E1313" s="35"/>
      <c r="F1313" s="38"/>
      <c r="G1313" s="38"/>
      <c r="H1313" s="38"/>
      <c r="I1313" s="38"/>
      <c r="J1313" s="38"/>
    </row>
    <row r="1314">
      <c r="A1314" s="14"/>
      <c r="E1314" s="35"/>
      <c r="F1314" s="38"/>
      <c r="G1314" s="38"/>
      <c r="H1314" s="38"/>
      <c r="I1314" s="38"/>
      <c r="J1314" s="38"/>
    </row>
    <row r="1315">
      <c r="A1315" s="14"/>
      <c r="E1315" s="35"/>
      <c r="F1315" s="38"/>
      <c r="G1315" s="38"/>
      <c r="H1315" s="38"/>
      <c r="I1315" s="38"/>
      <c r="J1315" s="38"/>
    </row>
    <row r="1316">
      <c r="A1316" s="14"/>
      <c r="E1316" s="35"/>
      <c r="F1316" s="38"/>
      <c r="G1316" s="38"/>
      <c r="H1316" s="38"/>
      <c r="I1316" s="38"/>
      <c r="J1316" s="38"/>
    </row>
    <row r="1317">
      <c r="A1317" s="14"/>
      <c r="E1317" s="35"/>
      <c r="F1317" s="38"/>
      <c r="G1317" s="38"/>
      <c r="H1317" s="38"/>
      <c r="I1317" s="38"/>
      <c r="J1317" s="38"/>
    </row>
    <row r="1318">
      <c r="A1318" s="14"/>
      <c r="E1318" s="35"/>
      <c r="F1318" s="38"/>
      <c r="G1318" s="38"/>
      <c r="H1318" s="38"/>
      <c r="I1318" s="38"/>
      <c r="J1318" s="38"/>
    </row>
    <row r="1319">
      <c r="A1319" s="14"/>
      <c r="E1319" s="35"/>
      <c r="F1319" s="38"/>
      <c r="G1319" s="38"/>
      <c r="H1319" s="38"/>
      <c r="I1319" s="38"/>
      <c r="J1319" s="38"/>
    </row>
    <row r="1320">
      <c r="A1320" s="14"/>
      <c r="E1320" s="35"/>
      <c r="F1320" s="38"/>
      <c r="G1320" s="38"/>
      <c r="H1320" s="38"/>
      <c r="I1320" s="38"/>
      <c r="J1320" s="38"/>
    </row>
    <row r="1321">
      <c r="A1321" s="14"/>
      <c r="E1321" s="35"/>
      <c r="F1321" s="38"/>
      <c r="G1321" s="38"/>
      <c r="H1321" s="38"/>
      <c r="I1321" s="38"/>
      <c r="J1321" s="38"/>
    </row>
    <row r="1322">
      <c r="A1322" s="14"/>
      <c r="E1322" s="35"/>
      <c r="F1322" s="38"/>
      <c r="G1322" s="38"/>
      <c r="H1322" s="38"/>
      <c r="I1322" s="38"/>
      <c r="J1322" s="38"/>
    </row>
    <row r="1323">
      <c r="A1323" s="14"/>
      <c r="E1323" s="35"/>
      <c r="F1323" s="38"/>
      <c r="G1323" s="38"/>
      <c r="H1323" s="38"/>
      <c r="I1323" s="38"/>
      <c r="J1323" s="38"/>
    </row>
    <row r="1324">
      <c r="A1324" s="14"/>
      <c r="E1324" s="35"/>
      <c r="F1324" s="38"/>
      <c r="G1324" s="38"/>
      <c r="H1324" s="38"/>
      <c r="I1324" s="38"/>
      <c r="J1324" s="38"/>
    </row>
    <row r="1325">
      <c r="A1325" s="14"/>
      <c r="E1325" s="35"/>
      <c r="F1325" s="38"/>
      <c r="G1325" s="38"/>
      <c r="H1325" s="38"/>
      <c r="I1325" s="38"/>
      <c r="J1325" s="38"/>
    </row>
    <row r="1326">
      <c r="A1326" s="14"/>
      <c r="E1326" s="35"/>
      <c r="F1326" s="38"/>
      <c r="G1326" s="38"/>
      <c r="H1326" s="38"/>
      <c r="I1326" s="38"/>
      <c r="J1326" s="38"/>
    </row>
    <row r="1327">
      <c r="A1327" s="14"/>
      <c r="E1327" s="35"/>
      <c r="F1327" s="38"/>
      <c r="G1327" s="38"/>
      <c r="H1327" s="38"/>
      <c r="I1327" s="38"/>
      <c r="J1327" s="38"/>
    </row>
    <row r="1328">
      <c r="A1328" s="14"/>
      <c r="E1328" s="35"/>
      <c r="F1328" s="38"/>
      <c r="G1328" s="38"/>
      <c r="H1328" s="38"/>
      <c r="I1328" s="38"/>
      <c r="J1328" s="38"/>
    </row>
    <row r="1329">
      <c r="A1329" s="14"/>
      <c r="E1329" s="35"/>
      <c r="F1329" s="38"/>
      <c r="G1329" s="38"/>
      <c r="H1329" s="38"/>
      <c r="I1329" s="38"/>
      <c r="J1329" s="38"/>
    </row>
    <row r="1330">
      <c r="A1330" s="14"/>
      <c r="E1330" s="35"/>
      <c r="F1330" s="38"/>
      <c r="G1330" s="38"/>
      <c r="H1330" s="38"/>
      <c r="I1330" s="38"/>
      <c r="J1330" s="38"/>
    </row>
    <row r="1331">
      <c r="A1331" s="14"/>
      <c r="E1331" s="35"/>
      <c r="F1331" s="38"/>
      <c r="G1331" s="38"/>
      <c r="H1331" s="38"/>
      <c r="I1331" s="38"/>
      <c r="J1331" s="38"/>
    </row>
    <row r="1332">
      <c r="A1332" s="14"/>
      <c r="E1332" s="35"/>
      <c r="F1332" s="38"/>
      <c r="G1332" s="38"/>
      <c r="H1332" s="38"/>
      <c r="I1332" s="38"/>
      <c r="J1332" s="38"/>
    </row>
    <row r="1333">
      <c r="A1333" s="14"/>
      <c r="E1333" s="35"/>
      <c r="F1333" s="38"/>
      <c r="G1333" s="38"/>
      <c r="H1333" s="38"/>
      <c r="I1333" s="38"/>
      <c r="J1333" s="38"/>
    </row>
    <row r="1334">
      <c r="A1334" s="14"/>
      <c r="E1334" s="35"/>
      <c r="F1334" s="38"/>
      <c r="G1334" s="38"/>
      <c r="H1334" s="38"/>
      <c r="I1334" s="38"/>
      <c r="J1334" s="38"/>
    </row>
    <row r="1335">
      <c r="A1335" s="14"/>
      <c r="E1335" s="35"/>
      <c r="F1335" s="38"/>
      <c r="G1335" s="38"/>
      <c r="H1335" s="38"/>
      <c r="I1335" s="38"/>
      <c r="J1335" s="38"/>
    </row>
    <row r="1336">
      <c r="A1336" s="14"/>
      <c r="E1336" s="35"/>
      <c r="F1336" s="38"/>
      <c r="G1336" s="38"/>
      <c r="H1336" s="38"/>
      <c r="I1336" s="38"/>
      <c r="J1336" s="38"/>
    </row>
    <row r="1337">
      <c r="A1337" s="14"/>
      <c r="E1337" s="35"/>
      <c r="F1337" s="38"/>
      <c r="G1337" s="38"/>
      <c r="H1337" s="38"/>
      <c r="I1337" s="38"/>
      <c r="J1337" s="38"/>
    </row>
    <row r="1338">
      <c r="A1338" s="14"/>
      <c r="E1338" s="35"/>
      <c r="F1338" s="38"/>
      <c r="G1338" s="38"/>
      <c r="H1338" s="38"/>
      <c r="I1338" s="38"/>
      <c r="J1338" s="38"/>
    </row>
    <row r="1339">
      <c r="A1339" s="14"/>
      <c r="E1339" s="35"/>
      <c r="F1339" s="38"/>
      <c r="G1339" s="38"/>
      <c r="H1339" s="38"/>
      <c r="I1339" s="38"/>
      <c r="J1339" s="38"/>
    </row>
    <row r="1340">
      <c r="A1340" s="14"/>
      <c r="E1340" s="35"/>
      <c r="F1340" s="38"/>
      <c r="G1340" s="38"/>
      <c r="H1340" s="38"/>
      <c r="I1340" s="38"/>
      <c r="J1340" s="38"/>
    </row>
    <row r="1341">
      <c r="A1341" s="14"/>
      <c r="E1341" s="35"/>
      <c r="F1341" s="38"/>
      <c r="G1341" s="38"/>
      <c r="H1341" s="38"/>
      <c r="I1341" s="38"/>
      <c r="J1341" s="38"/>
    </row>
    <row r="1342">
      <c r="A1342" s="14"/>
      <c r="E1342" s="35"/>
      <c r="F1342" s="38"/>
      <c r="G1342" s="38"/>
      <c r="H1342" s="38"/>
      <c r="I1342" s="38"/>
      <c r="J1342" s="38"/>
    </row>
    <row r="1343">
      <c r="A1343" s="14"/>
      <c r="E1343" s="35"/>
      <c r="F1343" s="38"/>
      <c r="G1343" s="38"/>
      <c r="H1343" s="38"/>
      <c r="I1343" s="38"/>
      <c r="J1343" s="38"/>
    </row>
    <row r="1344">
      <c r="A1344" s="14"/>
      <c r="E1344" s="35"/>
      <c r="F1344" s="38"/>
      <c r="G1344" s="38"/>
      <c r="H1344" s="38"/>
      <c r="I1344" s="38"/>
      <c r="J1344" s="38"/>
    </row>
    <row r="1345">
      <c r="A1345" s="14"/>
      <c r="E1345" s="35"/>
      <c r="F1345" s="38"/>
      <c r="G1345" s="38"/>
      <c r="H1345" s="38"/>
      <c r="I1345" s="38"/>
      <c r="J1345" s="38"/>
    </row>
    <row r="1346">
      <c r="A1346" s="14"/>
      <c r="E1346" s="35"/>
      <c r="F1346" s="38"/>
      <c r="G1346" s="38"/>
      <c r="H1346" s="38"/>
      <c r="I1346" s="38"/>
      <c r="J1346" s="38"/>
    </row>
    <row r="1347">
      <c r="A1347" s="14"/>
      <c r="E1347" s="35"/>
      <c r="F1347" s="38"/>
      <c r="G1347" s="38"/>
      <c r="H1347" s="38"/>
      <c r="I1347" s="38"/>
      <c r="J1347" s="38"/>
    </row>
    <row r="1348">
      <c r="A1348" s="14"/>
      <c r="E1348" s="35"/>
      <c r="F1348" s="38"/>
      <c r="G1348" s="38"/>
      <c r="H1348" s="38"/>
      <c r="I1348" s="38"/>
      <c r="J1348" s="38"/>
    </row>
    <row r="1349">
      <c r="A1349" s="14"/>
      <c r="E1349" s="35"/>
      <c r="F1349" s="38"/>
      <c r="G1349" s="38"/>
      <c r="H1349" s="38"/>
      <c r="I1349" s="38"/>
      <c r="J1349" s="38"/>
    </row>
    <row r="1350">
      <c r="A1350" s="14"/>
      <c r="E1350" s="35"/>
      <c r="F1350" s="38"/>
      <c r="G1350" s="38"/>
      <c r="H1350" s="38"/>
      <c r="I1350" s="38"/>
      <c r="J1350" s="38"/>
    </row>
    <row r="1351">
      <c r="A1351" s="14"/>
      <c r="E1351" s="35"/>
      <c r="F1351" s="38"/>
      <c r="G1351" s="38"/>
      <c r="H1351" s="38"/>
      <c r="I1351" s="38"/>
      <c r="J1351" s="38"/>
    </row>
    <row r="1352">
      <c r="A1352" s="14"/>
      <c r="E1352" s="35"/>
      <c r="F1352" s="38"/>
      <c r="G1352" s="38"/>
      <c r="H1352" s="38"/>
      <c r="I1352" s="38"/>
      <c r="J1352" s="38"/>
    </row>
    <row r="1353">
      <c r="A1353" s="14"/>
      <c r="E1353" s="35"/>
      <c r="F1353" s="38"/>
      <c r="G1353" s="38"/>
      <c r="H1353" s="38"/>
      <c r="I1353" s="38"/>
      <c r="J1353" s="38"/>
    </row>
    <row r="1354">
      <c r="A1354" s="14"/>
      <c r="E1354" s="35"/>
      <c r="F1354" s="38"/>
      <c r="G1354" s="38"/>
      <c r="H1354" s="38"/>
      <c r="I1354" s="38"/>
      <c r="J1354" s="38"/>
    </row>
    <row r="1355">
      <c r="A1355" s="14"/>
      <c r="E1355" s="35"/>
      <c r="F1355" s="38"/>
      <c r="G1355" s="38"/>
      <c r="H1355" s="38"/>
      <c r="I1355" s="38"/>
      <c r="J1355" s="38"/>
    </row>
    <row r="1356">
      <c r="A1356" s="14"/>
      <c r="E1356" s="35"/>
      <c r="F1356" s="38"/>
      <c r="G1356" s="38"/>
      <c r="H1356" s="38"/>
      <c r="I1356" s="38"/>
      <c r="J1356" s="38"/>
    </row>
    <row r="1357">
      <c r="A1357" s="14"/>
      <c r="E1357" s="35"/>
      <c r="F1357" s="38"/>
      <c r="G1357" s="38"/>
      <c r="H1357" s="38"/>
      <c r="I1357" s="38"/>
      <c r="J1357" s="38"/>
    </row>
    <row r="1358">
      <c r="A1358" s="14"/>
      <c r="E1358" s="35"/>
      <c r="F1358" s="38"/>
      <c r="G1358" s="38"/>
      <c r="H1358" s="38"/>
      <c r="I1358" s="38"/>
      <c r="J1358" s="38"/>
    </row>
    <row r="1359">
      <c r="A1359" s="14"/>
      <c r="E1359" s="35"/>
      <c r="F1359" s="38"/>
      <c r="G1359" s="38"/>
      <c r="H1359" s="38"/>
      <c r="I1359" s="38"/>
      <c r="J1359" s="38"/>
    </row>
    <row r="1360">
      <c r="A1360" s="14"/>
      <c r="E1360" s="35"/>
      <c r="F1360" s="38"/>
      <c r="G1360" s="38"/>
      <c r="H1360" s="38"/>
      <c r="I1360" s="38"/>
      <c r="J1360" s="38"/>
    </row>
    <row r="1361">
      <c r="A1361" s="14"/>
      <c r="E1361" s="35"/>
      <c r="F1361" s="38"/>
      <c r="G1361" s="38"/>
      <c r="H1361" s="38"/>
      <c r="I1361" s="38"/>
      <c r="J1361" s="38"/>
    </row>
    <row r="1362">
      <c r="A1362" s="14"/>
      <c r="E1362" s="35"/>
      <c r="F1362" s="38"/>
      <c r="G1362" s="38"/>
      <c r="H1362" s="38"/>
      <c r="I1362" s="38"/>
      <c r="J1362" s="38"/>
    </row>
    <row r="1363">
      <c r="A1363" s="14"/>
      <c r="E1363" s="35"/>
      <c r="F1363" s="38"/>
      <c r="G1363" s="38"/>
      <c r="H1363" s="38"/>
      <c r="I1363" s="38"/>
      <c r="J1363" s="38"/>
    </row>
    <row r="1364">
      <c r="A1364" s="14"/>
      <c r="E1364" s="35"/>
      <c r="F1364" s="38"/>
      <c r="G1364" s="38"/>
      <c r="H1364" s="38"/>
      <c r="I1364" s="38"/>
      <c r="J1364" s="38"/>
    </row>
    <row r="1365">
      <c r="A1365" s="14"/>
      <c r="E1365" s="35"/>
      <c r="F1365" s="38"/>
      <c r="G1365" s="38"/>
      <c r="H1365" s="38"/>
      <c r="I1365" s="38"/>
      <c r="J1365" s="38"/>
    </row>
    <row r="1366">
      <c r="A1366" s="14"/>
      <c r="E1366" s="35"/>
      <c r="F1366" s="38"/>
      <c r="G1366" s="38"/>
      <c r="H1366" s="38"/>
      <c r="I1366" s="38"/>
      <c r="J1366" s="38"/>
    </row>
    <row r="1367">
      <c r="A1367" s="14"/>
      <c r="E1367" s="35"/>
      <c r="F1367" s="38"/>
      <c r="G1367" s="38"/>
      <c r="H1367" s="38"/>
      <c r="I1367" s="38"/>
      <c r="J1367" s="38"/>
    </row>
    <row r="1368">
      <c r="A1368" s="14"/>
      <c r="E1368" s="35"/>
      <c r="F1368" s="38"/>
      <c r="G1368" s="38"/>
      <c r="H1368" s="38"/>
      <c r="I1368" s="38"/>
      <c r="J1368" s="38"/>
    </row>
    <row r="1369">
      <c r="A1369" s="14"/>
      <c r="E1369" s="35"/>
      <c r="F1369" s="38"/>
      <c r="G1369" s="38"/>
      <c r="H1369" s="38"/>
      <c r="I1369" s="38"/>
      <c r="J1369" s="38"/>
    </row>
    <row r="1370">
      <c r="A1370" s="14"/>
      <c r="E1370" s="35"/>
      <c r="F1370" s="38"/>
      <c r="G1370" s="38"/>
      <c r="H1370" s="38"/>
      <c r="I1370" s="38"/>
      <c r="J1370" s="38"/>
    </row>
    <row r="1371">
      <c r="A1371" s="14"/>
      <c r="E1371" s="35"/>
      <c r="F1371" s="38"/>
      <c r="G1371" s="38"/>
      <c r="H1371" s="38"/>
      <c r="I1371" s="38"/>
      <c r="J1371" s="38"/>
    </row>
    <row r="1372">
      <c r="A1372" s="14"/>
      <c r="E1372" s="35"/>
      <c r="F1372" s="38"/>
      <c r="G1372" s="38"/>
      <c r="H1372" s="38"/>
      <c r="I1372" s="38"/>
      <c r="J1372" s="38"/>
    </row>
    <row r="1373">
      <c r="A1373" s="14"/>
      <c r="E1373" s="35"/>
      <c r="F1373" s="38"/>
      <c r="G1373" s="38"/>
      <c r="H1373" s="38"/>
      <c r="I1373" s="38"/>
      <c r="J1373" s="38"/>
    </row>
    <row r="1374">
      <c r="A1374" s="14"/>
      <c r="E1374" s="35"/>
      <c r="F1374" s="38"/>
      <c r="G1374" s="38"/>
      <c r="H1374" s="38"/>
      <c r="I1374" s="38"/>
      <c r="J1374" s="38"/>
    </row>
    <row r="1375">
      <c r="A1375" s="14"/>
      <c r="E1375" s="35"/>
      <c r="F1375" s="38"/>
      <c r="G1375" s="38"/>
      <c r="H1375" s="38"/>
      <c r="I1375" s="38"/>
      <c r="J1375" s="38"/>
    </row>
    <row r="1376">
      <c r="A1376" s="14"/>
      <c r="E1376" s="35"/>
      <c r="F1376" s="38"/>
      <c r="G1376" s="38"/>
      <c r="H1376" s="38"/>
      <c r="I1376" s="38"/>
      <c r="J1376" s="38"/>
    </row>
    <row r="1377">
      <c r="A1377" s="14"/>
      <c r="E1377" s="35"/>
      <c r="F1377" s="38"/>
      <c r="G1377" s="38"/>
      <c r="H1377" s="38"/>
      <c r="I1377" s="38"/>
      <c r="J1377" s="38"/>
    </row>
    <row r="1378">
      <c r="A1378" s="14"/>
      <c r="E1378" s="35"/>
      <c r="F1378" s="38"/>
      <c r="G1378" s="38"/>
      <c r="H1378" s="38"/>
      <c r="I1378" s="38"/>
      <c r="J1378" s="38"/>
    </row>
    <row r="1379">
      <c r="A1379" s="14"/>
      <c r="E1379" s="35"/>
      <c r="F1379" s="38"/>
      <c r="G1379" s="38"/>
      <c r="H1379" s="38"/>
      <c r="I1379" s="38"/>
      <c r="J1379" s="38"/>
    </row>
    <row r="1380">
      <c r="A1380" s="14"/>
      <c r="E1380" s="35"/>
      <c r="F1380" s="38"/>
      <c r="G1380" s="38"/>
      <c r="H1380" s="38"/>
      <c r="I1380" s="38"/>
      <c r="J1380" s="38"/>
    </row>
    <row r="1381">
      <c r="A1381" s="14"/>
      <c r="E1381" s="35"/>
      <c r="F1381" s="38"/>
      <c r="G1381" s="38"/>
      <c r="H1381" s="38"/>
      <c r="I1381" s="38"/>
      <c r="J1381" s="38"/>
    </row>
    <row r="1382">
      <c r="A1382" s="14"/>
      <c r="E1382" s="35"/>
      <c r="F1382" s="38"/>
      <c r="G1382" s="38"/>
      <c r="H1382" s="38"/>
      <c r="I1382" s="38"/>
      <c r="J1382" s="38"/>
    </row>
    <row r="1383">
      <c r="A1383" s="14"/>
      <c r="E1383" s="35"/>
      <c r="F1383" s="38"/>
      <c r="G1383" s="38"/>
      <c r="H1383" s="38"/>
      <c r="I1383" s="38"/>
      <c r="J1383" s="38"/>
    </row>
    <row r="1384">
      <c r="A1384" s="14"/>
      <c r="E1384" s="35"/>
      <c r="F1384" s="38"/>
      <c r="G1384" s="38"/>
      <c r="H1384" s="38"/>
      <c r="I1384" s="38"/>
      <c r="J1384" s="38"/>
    </row>
    <row r="1385">
      <c r="A1385" s="14"/>
      <c r="E1385" s="35"/>
      <c r="F1385" s="38"/>
      <c r="G1385" s="38"/>
      <c r="H1385" s="38"/>
      <c r="I1385" s="38"/>
      <c r="J1385" s="38"/>
    </row>
    <row r="1386">
      <c r="A1386" s="14"/>
      <c r="E1386" s="35"/>
      <c r="F1386" s="38"/>
      <c r="G1386" s="38"/>
      <c r="H1386" s="38"/>
      <c r="I1386" s="38"/>
      <c r="J1386" s="38"/>
    </row>
    <row r="1387">
      <c r="A1387" s="14"/>
      <c r="E1387" s="35"/>
      <c r="F1387" s="38"/>
      <c r="G1387" s="38"/>
      <c r="H1387" s="38"/>
      <c r="I1387" s="38"/>
      <c r="J1387" s="38"/>
    </row>
    <row r="1388">
      <c r="A1388" s="14"/>
      <c r="E1388" s="35"/>
      <c r="F1388" s="38"/>
      <c r="G1388" s="38"/>
      <c r="H1388" s="38"/>
      <c r="I1388" s="38"/>
      <c r="J1388" s="38"/>
    </row>
    <row r="1389">
      <c r="A1389" s="14"/>
      <c r="E1389" s="35"/>
      <c r="F1389" s="38"/>
      <c r="G1389" s="38"/>
      <c r="H1389" s="38"/>
      <c r="I1389" s="38"/>
      <c r="J1389" s="38"/>
    </row>
    <row r="1390">
      <c r="A1390" s="14"/>
      <c r="E1390" s="35"/>
      <c r="F1390" s="38"/>
      <c r="G1390" s="38"/>
      <c r="H1390" s="38"/>
      <c r="I1390" s="38"/>
      <c r="J1390" s="38"/>
    </row>
    <row r="1391">
      <c r="A1391" s="14"/>
      <c r="E1391" s="35"/>
      <c r="F1391" s="38"/>
      <c r="G1391" s="38"/>
      <c r="H1391" s="38"/>
      <c r="I1391" s="38"/>
      <c r="J1391" s="38"/>
    </row>
    <row r="1392">
      <c r="A1392" s="14"/>
      <c r="E1392" s="35"/>
      <c r="F1392" s="38"/>
      <c r="G1392" s="38"/>
      <c r="H1392" s="38"/>
      <c r="I1392" s="38"/>
      <c r="J1392" s="38"/>
    </row>
    <row r="1393">
      <c r="A1393" s="14"/>
      <c r="E1393" s="35"/>
      <c r="F1393" s="38"/>
      <c r="G1393" s="38"/>
      <c r="H1393" s="38"/>
      <c r="I1393" s="38"/>
      <c r="J1393" s="38"/>
    </row>
    <row r="1394">
      <c r="A1394" s="14"/>
      <c r="E1394" s="35"/>
      <c r="F1394" s="38"/>
      <c r="G1394" s="38"/>
      <c r="H1394" s="38"/>
      <c r="I1394" s="38"/>
      <c r="J1394" s="38"/>
    </row>
    <row r="1395">
      <c r="A1395" s="14"/>
      <c r="E1395" s="35"/>
      <c r="F1395" s="38"/>
      <c r="G1395" s="38"/>
      <c r="H1395" s="38"/>
      <c r="I1395" s="38"/>
      <c r="J1395" s="38"/>
    </row>
    <row r="1396">
      <c r="A1396" s="14"/>
      <c r="E1396" s="35"/>
      <c r="F1396" s="38"/>
      <c r="G1396" s="38"/>
      <c r="H1396" s="38"/>
      <c r="I1396" s="38"/>
      <c r="J1396" s="38"/>
    </row>
    <row r="1397">
      <c r="A1397" s="14"/>
      <c r="E1397" s="35"/>
      <c r="F1397" s="38"/>
      <c r="G1397" s="38"/>
      <c r="H1397" s="38"/>
      <c r="I1397" s="38"/>
      <c r="J1397" s="38"/>
    </row>
    <row r="1398">
      <c r="A1398" s="14"/>
      <c r="E1398" s="35"/>
      <c r="F1398" s="38"/>
      <c r="G1398" s="38"/>
      <c r="H1398" s="38"/>
      <c r="I1398" s="38"/>
      <c r="J1398" s="38"/>
    </row>
    <row r="1399">
      <c r="A1399" s="14"/>
      <c r="E1399" s="35"/>
      <c r="F1399" s="38"/>
      <c r="G1399" s="38"/>
      <c r="H1399" s="38"/>
      <c r="I1399" s="38"/>
      <c r="J1399" s="38"/>
    </row>
    <row r="1400">
      <c r="A1400" s="14"/>
      <c r="E1400" s="35"/>
      <c r="F1400" s="38"/>
      <c r="G1400" s="38"/>
      <c r="H1400" s="38"/>
      <c r="I1400" s="38"/>
      <c r="J1400" s="38"/>
    </row>
    <row r="1401">
      <c r="A1401" s="14"/>
      <c r="E1401" s="35"/>
      <c r="F1401" s="38"/>
      <c r="G1401" s="38"/>
      <c r="H1401" s="38"/>
      <c r="I1401" s="38"/>
      <c r="J1401" s="38"/>
    </row>
    <row r="1402">
      <c r="A1402" s="14"/>
      <c r="E1402" s="35"/>
      <c r="F1402" s="38"/>
      <c r="G1402" s="38"/>
      <c r="H1402" s="38"/>
      <c r="I1402" s="38"/>
      <c r="J1402" s="38"/>
    </row>
    <row r="1403">
      <c r="A1403" s="14"/>
      <c r="E1403" s="35"/>
      <c r="F1403" s="38"/>
      <c r="G1403" s="38"/>
      <c r="H1403" s="38"/>
      <c r="I1403" s="38"/>
      <c r="J1403" s="38"/>
    </row>
    <row r="1404">
      <c r="A1404" s="14"/>
      <c r="E1404" s="35"/>
      <c r="F1404" s="38"/>
      <c r="G1404" s="38"/>
      <c r="H1404" s="38"/>
      <c r="I1404" s="38"/>
      <c r="J1404" s="38"/>
    </row>
    <row r="1405">
      <c r="A1405" s="14"/>
      <c r="E1405" s="35"/>
      <c r="F1405" s="38"/>
      <c r="G1405" s="38"/>
      <c r="H1405" s="38"/>
      <c r="I1405" s="38"/>
      <c r="J1405" s="38"/>
    </row>
    <row r="1406">
      <c r="A1406" s="14"/>
      <c r="E1406" s="35"/>
      <c r="F1406" s="38"/>
      <c r="G1406" s="38"/>
      <c r="H1406" s="38"/>
      <c r="I1406" s="38"/>
      <c r="J1406" s="38"/>
    </row>
    <row r="1407">
      <c r="A1407" s="14"/>
      <c r="E1407" s="35"/>
      <c r="F1407" s="38"/>
      <c r="G1407" s="38"/>
      <c r="H1407" s="38"/>
      <c r="I1407" s="38"/>
      <c r="J1407" s="38"/>
    </row>
    <row r="1408">
      <c r="A1408" s="14"/>
      <c r="E1408" s="35"/>
      <c r="F1408" s="38"/>
      <c r="G1408" s="38"/>
      <c r="H1408" s="38"/>
      <c r="I1408" s="38"/>
      <c r="J1408" s="38"/>
    </row>
    <row r="1409">
      <c r="A1409" s="14"/>
      <c r="E1409" s="35"/>
      <c r="F1409" s="38"/>
      <c r="G1409" s="38"/>
      <c r="H1409" s="38"/>
      <c r="I1409" s="38"/>
      <c r="J1409" s="38"/>
    </row>
    <row r="1410">
      <c r="A1410" s="14"/>
      <c r="E1410" s="35"/>
      <c r="F1410" s="38"/>
      <c r="G1410" s="38"/>
      <c r="H1410" s="38"/>
      <c r="I1410" s="38"/>
      <c r="J1410" s="38"/>
    </row>
    <row r="1411">
      <c r="A1411" s="14"/>
      <c r="E1411" s="35"/>
      <c r="F1411" s="38"/>
      <c r="G1411" s="38"/>
      <c r="H1411" s="38"/>
      <c r="I1411" s="38"/>
      <c r="J1411" s="38"/>
    </row>
    <row r="1412">
      <c r="A1412" s="14"/>
      <c r="E1412" s="35"/>
      <c r="F1412" s="38"/>
      <c r="G1412" s="38"/>
      <c r="H1412" s="38"/>
      <c r="I1412" s="38"/>
      <c r="J1412" s="38"/>
    </row>
    <row r="1413">
      <c r="A1413" s="14"/>
      <c r="E1413" s="35"/>
      <c r="F1413" s="38"/>
      <c r="G1413" s="38"/>
      <c r="H1413" s="38"/>
      <c r="I1413" s="38"/>
      <c r="J1413" s="38"/>
    </row>
    <row r="1414">
      <c r="A1414" s="14"/>
      <c r="E1414" s="35"/>
      <c r="F1414" s="38"/>
      <c r="G1414" s="38"/>
      <c r="H1414" s="38"/>
      <c r="I1414" s="38"/>
      <c r="J1414" s="38"/>
    </row>
    <row r="1415">
      <c r="A1415" s="14"/>
      <c r="E1415" s="35"/>
      <c r="F1415" s="38"/>
      <c r="G1415" s="38"/>
      <c r="H1415" s="38"/>
      <c r="I1415" s="38"/>
      <c r="J1415" s="38"/>
    </row>
    <row r="1416">
      <c r="A1416" s="14"/>
      <c r="E1416" s="35"/>
      <c r="F1416" s="38"/>
      <c r="G1416" s="38"/>
      <c r="H1416" s="38"/>
      <c r="I1416" s="38"/>
      <c r="J1416" s="38"/>
    </row>
    <row r="1417">
      <c r="A1417" s="14"/>
      <c r="E1417" s="35"/>
      <c r="F1417" s="38"/>
      <c r="G1417" s="38"/>
      <c r="H1417" s="38"/>
      <c r="I1417" s="38"/>
      <c r="J1417" s="38"/>
    </row>
    <row r="1418">
      <c r="A1418" s="14"/>
      <c r="E1418" s="35"/>
      <c r="F1418" s="38"/>
      <c r="G1418" s="38"/>
      <c r="H1418" s="38"/>
      <c r="I1418" s="38"/>
      <c r="J1418" s="38"/>
    </row>
    <row r="1419">
      <c r="A1419" s="14"/>
      <c r="E1419" s="35"/>
      <c r="F1419" s="38"/>
      <c r="G1419" s="38"/>
      <c r="H1419" s="38"/>
      <c r="I1419" s="38"/>
      <c r="J1419" s="38"/>
    </row>
    <row r="1420">
      <c r="A1420" s="14"/>
      <c r="E1420" s="35"/>
      <c r="F1420" s="38"/>
      <c r="G1420" s="38"/>
      <c r="H1420" s="38"/>
      <c r="I1420" s="38"/>
      <c r="J1420" s="38"/>
    </row>
    <row r="1421">
      <c r="A1421" s="14"/>
      <c r="E1421" s="35"/>
      <c r="F1421" s="38"/>
      <c r="G1421" s="38"/>
      <c r="H1421" s="38"/>
      <c r="I1421" s="38"/>
      <c r="J1421" s="38"/>
    </row>
    <row r="1422">
      <c r="A1422" s="14"/>
      <c r="E1422" s="35"/>
      <c r="F1422" s="38"/>
      <c r="G1422" s="38"/>
      <c r="H1422" s="38"/>
      <c r="I1422" s="38"/>
      <c r="J1422" s="38"/>
    </row>
    <row r="1423">
      <c r="A1423" s="14"/>
      <c r="E1423" s="35"/>
      <c r="F1423" s="38"/>
      <c r="G1423" s="38"/>
      <c r="H1423" s="38"/>
      <c r="I1423" s="38"/>
      <c r="J1423" s="38"/>
    </row>
    <row r="1424">
      <c r="A1424" s="14"/>
      <c r="E1424" s="35"/>
      <c r="F1424" s="38"/>
      <c r="G1424" s="38"/>
      <c r="H1424" s="38"/>
      <c r="I1424" s="38"/>
      <c r="J1424" s="38"/>
    </row>
    <row r="1425">
      <c r="A1425" s="14"/>
      <c r="E1425" s="35"/>
      <c r="F1425" s="38"/>
      <c r="G1425" s="38"/>
      <c r="H1425" s="38"/>
      <c r="I1425" s="38"/>
      <c r="J1425" s="38"/>
    </row>
    <row r="1426">
      <c r="A1426" s="14"/>
      <c r="E1426" s="35"/>
      <c r="F1426" s="38"/>
      <c r="G1426" s="38"/>
      <c r="H1426" s="38"/>
      <c r="I1426" s="38"/>
      <c r="J1426" s="38"/>
    </row>
    <row r="1427">
      <c r="A1427" s="14"/>
      <c r="E1427" s="35"/>
      <c r="F1427" s="38"/>
      <c r="G1427" s="38"/>
      <c r="H1427" s="38"/>
      <c r="I1427" s="38"/>
      <c r="J1427" s="38"/>
    </row>
    <row r="1428">
      <c r="A1428" s="14"/>
      <c r="E1428" s="35"/>
      <c r="F1428" s="38"/>
      <c r="G1428" s="38"/>
      <c r="H1428" s="38"/>
      <c r="I1428" s="38"/>
      <c r="J1428" s="38"/>
    </row>
    <row r="1429">
      <c r="A1429" s="14"/>
      <c r="E1429" s="35"/>
      <c r="F1429" s="38"/>
      <c r="G1429" s="38"/>
      <c r="H1429" s="38"/>
      <c r="I1429" s="38"/>
      <c r="J1429" s="38"/>
    </row>
    <row r="1430">
      <c r="A1430" s="14"/>
      <c r="E1430" s="35"/>
      <c r="F1430" s="38"/>
      <c r="G1430" s="38"/>
      <c r="H1430" s="38"/>
      <c r="I1430" s="38"/>
      <c r="J1430" s="38"/>
    </row>
    <row r="1431">
      <c r="A1431" s="14"/>
      <c r="E1431" s="35"/>
      <c r="F1431" s="38"/>
      <c r="G1431" s="38"/>
      <c r="H1431" s="38"/>
      <c r="I1431" s="38"/>
      <c r="J1431" s="38"/>
    </row>
    <row r="1432">
      <c r="A1432" s="14"/>
      <c r="E1432" s="35"/>
      <c r="F1432" s="38"/>
      <c r="G1432" s="38"/>
      <c r="H1432" s="38"/>
      <c r="I1432" s="38"/>
      <c r="J1432" s="38"/>
    </row>
    <row r="1433">
      <c r="A1433" s="14"/>
      <c r="E1433" s="35"/>
      <c r="F1433" s="38"/>
      <c r="G1433" s="38"/>
      <c r="H1433" s="38"/>
      <c r="I1433" s="38"/>
      <c r="J1433" s="38"/>
    </row>
    <row r="1434">
      <c r="A1434" s="14"/>
      <c r="E1434" s="35"/>
      <c r="F1434" s="38"/>
      <c r="G1434" s="38"/>
      <c r="H1434" s="38"/>
      <c r="I1434" s="38"/>
      <c r="J1434" s="38"/>
    </row>
    <row r="1435">
      <c r="A1435" s="14"/>
      <c r="E1435" s="35"/>
      <c r="F1435" s="38"/>
      <c r="G1435" s="38"/>
      <c r="H1435" s="38"/>
      <c r="I1435" s="38"/>
      <c r="J1435" s="38"/>
    </row>
    <row r="1436">
      <c r="A1436" s="14"/>
      <c r="E1436" s="35"/>
      <c r="F1436" s="38"/>
      <c r="G1436" s="38"/>
      <c r="H1436" s="38"/>
      <c r="I1436" s="38"/>
      <c r="J1436" s="38"/>
    </row>
    <row r="1437">
      <c r="A1437" s="14"/>
      <c r="E1437" s="35"/>
      <c r="F1437" s="38"/>
      <c r="G1437" s="38"/>
      <c r="H1437" s="38"/>
      <c r="I1437" s="38"/>
      <c r="J1437" s="38"/>
    </row>
    <row r="1438">
      <c r="A1438" s="14"/>
      <c r="E1438" s="35"/>
      <c r="F1438" s="38"/>
      <c r="G1438" s="38"/>
      <c r="H1438" s="38"/>
      <c r="I1438" s="38"/>
      <c r="J1438" s="38"/>
    </row>
    <row r="1439">
      <c r="A1439" s="14"/>
      <c r="E1439" s="35"/>
      <c r="F1439" s="38"/>
      <c r="G1439" s="38"/>
      <c r="H1439" s="38"/>
      <c r="I1439" s="38"/>
      <c r="J1439" s="38"/>
    </row>
    <row r="1440">
      <c r="A1440" s="14"/>
      <c r="E1440" s="35"/>
      <c r="F1440" s="38"/>
      <c r="G1440" s="38"/>
      <c r="H1440" s="38"/>
      <c r="I1440" s="38"/>
      <c r="J1440" s="38"/>
    </row>
    <row r="1441">
      <c r="A1441" s="14"/>
      <c r="E1441" s="35"/>
      <c r="F1441" s="38"/>
      <c r="G1441" s="38"/>
      <c r="H1441" s="38"/>
      <c r="I1441" s="38"/>
      <c r="J1441" s="38"/>
    </row>
    <row r="1442">
      <c r="A1442" s="14"/>
      <c r="E1442" s="35"/>
      <c r="F1442" s="38"/>
      <c r="G1442" s="38"/>
      <c r="H1442" s="38"/>
      <c r="I1442" s="38"/>
      <c r="J1442" s="38"/>
    </row>
    <row r="1443">
      <c r="A1443" s="14"/>
      <c r="E1443" s="35"/>
      <c r="F1443" s="38"/>
      <c r="G1443" s="38"/>
      <c r="H1443" s="38"/>
      <c r="I1443" s="38"/>
      <c r="J1443" s="38"/>
    </row>
    <row r="1444">
      <c r="A1444" s="14"/>
      <c r="E1444" s="35"/>
      <c r="F1444" s="38"/>
      <c r="G1444" s="38"/>
      <c r="H1444" s="38"/>
      <c r="I1444" s="38"/>
      <c r="J1444" s="38"/>
    </row>
    <row r="1445">
      <c r="A1445" s="14"/>
      <c r="E1445" s="35"/>
      <c r="F1445" s="38"/>
      <c r="G1445" s="38"/>
      <c r="H1445" s="38"/>
      <c r="I1445" s="38"/>
      <c r="J1445" s="38"/>
    </row>
    <row r="1446">
      <c r="A1446" s="14"/>
      <c r="E1446" s="35"/>
      <c r="F1446" s="38"/>
      <c r="G1446" s="38"/>
      <c r="H1446" s="38"/>
      <c r="I1446" s="38"/>
      <c r="J1446" s="38"/>
    </row>
    <row r="1447">
      <c r="A1447" s="14"/>
      <c r="E1447" s="35"/>
      <c r="F1447" s="38"/>
      <c r="G1447" s="38"/>
      <c r="H1447" s="38"/>
      <c r="I1447" s="38"/>
      <c r="J1447" s="38"/>
    </row>
    <row r="1448">
      <c r="A1448" s="14"/>
      <c r="E1448" s="35"/>
      <c r="F1448" s="38"/>
      <c r="G1448" s="38"/>
      <c r="H1448" s="38"/>
      <c r="I1448" s="38"/>
      <c r="J1448" s="38"/>
    </row>
    <row r="1449">
      <c r="A1449" s="14"/>
      <c r="E1449" s="35"/>
      <c r="F1449" s="38"/>
      <c r="G1449" s="38"/>
      <c r="H1449" s="38"/>
      <c r="I1449" s="38"/>
      <c r="J1449" s="38"/>
    </row>
    <row r="1450">
      <c r="A1450" s="14"/>
      <c r="E1450" s="35"/>
      <c r="F1450" s="38"/>
      <c r="G1450" s="38"/>
      <c r="H1450" s="38"/>
      <c r="I1450" s="38"/>
      <c r="J1450" s="38"/>
    </row>
    <row r="1451">
      <c r="A1451" s="14"/>
      <c r="E1451" s="35"/>
      <c r="F1451" s="38"/>
      <c r="G1451" s="38"/>
      <c r="H1451" s="38"/>
      <c r="I1451" s="38"/>
      <c r="J1451" s="38"/>
    </row>
    <row r="1452">
      <c r="A1452" s="14"/>
      <c r="E1452" s="35"/>
      <c r="F1452" s="38"/>
      <c r="G1452" s="38"/>
      <c r="H1452" s="38"/>
      <c r="I1452" s="38"/>
      <c r="J1452" s="38"/>
    </row>
    <row r="1453">
      <c r="A1453" s="14"/>
      <c r="E1453" s="35"/>
      <c r="F1453" s="38"/>
      <c r="G1453" s="38"/>
      <c r="H1453" s="38"/>
      <c r="I1453" s="38"/>
      <c r="J1453" s="38"/>
    </row>
    <row r="1454">
      <c r="A1454" s="14"/>
      <c r="E1454" s="35"/>
      <c r="F1454" s="38"/>
      <c r="G1454" s="38"/>
      <c r="H1454" s="38"/>
      <c r="I1454" s="38"/>
      <c r="J1454" s="38"/>
    </row>
    <row r="1455">
      <c r="A1455" s="14"/>
      <c r="E1455" s="35"/>
      <c r="F1455" s="38"/>
      <c r="G1455" s="38"/>
      <c r="H1455" s="38"/>
      <c r="I1455" s="38"/>
      <c r="J1455" s="38"/>
    </row>
    <row r="1456">
      <c r="A1456" s="14"/>
      <c r="E1456" s="35"/>
      <c r="F1456" s="38"/>
      <c r="G1456" s="38"/>
      <c r="H1456" s="38"/>
      <c r="I1456" s="38"/>
      <c r="J1456" s="38"/>
    </row>
    <row r="1457">
      <c r="A1457" s="14"/>
      <c r="E1457" s="35"/>
      <c r="F1457" s="38"/>
      <c r="G1457" s="38"/>
      <c r="H1457" s="38"/>
      <c r="I1457" s="38"/>
      <c r="J1457" s="38"/>
    </row>
    <row r="1458">
      <c r="A1458" s="14"/>
      <c r="E1458" s="35"/>
      <c r="F1458" s="38"/>
      <c r="G1458" s="38"/>
      <c r="H1458" s="38"/>
      <c r="I1458" s="38"/>
      <c r="J1458" s="38"/>
    </row>
    <row r="1459">
      <c r="A1459" s="14"/>
      <c r="E1459" s="35"/>
      <c r="F1459" s="38"/>
      <c r="G1459" s="38"/>
      <c r="H1459" s="38"/>
      <c r="I1459" s="38"/>
      <c r="J1459" s="38"/>
    </row>
    <row r="1460">
      <c r="A1460" s="14"/>
      <c r="E1460" s="35"/>
      <c r="F1460" s="38"/>
      <c r="G1460" s="38"/>
      <c r="H1460" s="38"/>
      <c r="I1460" s="38"/>
      <c r="J1460" s="38"/>
    </row>
    <row r="1461">
      <c r="A1461" s="14"/>
      <c r="E1461" s="35"/>
      <c r="F1461" s="38"/>
      <c r="G1461" s="38"/>
      <c r="H1461" s="38"/>
      <c r="I1461" s="38"/>
      <c r="J1461" s="38"/>
    </row>
    <row r="1462">
      <c r="A1462" s="14"/>
      <c r="E1462" s="35"/>
      <c r="F1462" s="38"/>
      <c r="G1462" s="38"/>
      <c r="H1462" s="38"/>
      <c r="I1462" s="38"/>
      <c r="J1462" s="38"/>
    </row>
    <row r="1463">
      <c r="A1463" s="14"/>
      <c r="E1463" s="35"/>
      <c r="F1463" s="38"/>
      <c r="G1463" s="38"/>
      <c r="H1463" s="38"/>
      <c r="I1463" s="38"/>
      <c r="J1463" s="38"/>
    </row>
    <row r="1464">
      <c r="A1464" s="14"/>
      <c r="E1464" s="35"/>
      <c r="F1464" s="38"/>
      <c r="G1464" s="38"/>
      <c r="H1464" s="38"/>
      <c r="I1464" s="38"/>
      <c r="J1464" s="38"/>
    </row>
    <row r="1465">
      <c r="A1465" s="14"/>
      <c r="E1465" s="35"/>
      <c r="F1465" s="38"/>
      <c r="G1465" s="38"/>
      <c r="H1465" s="38"/>
      <c r="I1465" s="38"/>
      <c r="J1465" s="38"/>
    </row>
    <row r="1466">
      <c r="A1466" s="14"/>
      <c r="E1466" s="35"/>
      <c r="F1466" s="38"/>
      <c r="G1466" s="38"/>
      <c r="H1466" s="38"/>
      <c r="I1466" s="38"/>
      <c r="J1466" s="38"/>
    </row>
    <row r="1467">
      <c r="A1467" s="14"/>
      <c r="E1467" s="35"/>
      <c r="F1467" s="38"/>
      <c r="G1467" s="38"/>
      <c r="H1467" s="38"/>
      <c r="I1467" s="38"/>
      <c r="J1467" s="38"/>
    </row>
    <row r="1468">
      <c r="A1468" s="14"/>
      <c r="E1468" s="35"/>
      <c r="F1468" s="38"/>
      <c r="G1468" s="38"/>
      <c r="H1468" s="38"/>
      <c r="I1468" s="38"/>
      <c r="J1468" s="38"/>
    </row>
    <row r="1469">
      <c r="A1469" s="14"/>
      <c r="E1469" s="35"/>
      <c r="F1469" s="38"/>
      <c r="G1469" s="38"/>
      <c r="H1469" s="38"/>
      <c r="I1469" s="38"/>
      <c r="J1469" s="38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 ht="15.75" customHeight="1">
      <c r="A1" s="14" t="s">
        <v>1</v>
      </c>
      <c r="B1" s="14" t="s">
        <v>499</v>
      </c>
      <c r="C1" s="14" t="s">
        <v>500</v>
      </c>
      <c r="D1" s="20" t="s">
        <v>501</v>
      </c>
      <c r="E1" s="14" t="s">
        <v>502</v>
      </c>
      <c r="F1" s="27" t="s">
        <v>503</v>
      </c>
      <c r="G1" s="14" t="s">
        <v>504</v>
      </c>
      <c r="H1" s="27" t="s">
        <v>505</v>
      </c>
      <c r="I1" s="14" t="s">
        <v>506</v>
      </c>
      <c r="J1" s="27" t="s">
        <v>507</v>
      </c>
      <c r="L1" s="46" t="s">
        <v>508</v>
      </c>
      <c r="M1" s="25">
        <f t="array" ref="M1">sum(large(D2:D471,column(indirect("$A$1:" &amp;ADDRESS( 1, 12)))))/12</f>
        <v>10.04806954</v>
      </c>
      <c r="N1" s="47"/>
      <c r="O1" s="47"/>
      <c r="P1" s="47"/>
      <c r="Q1" s="47"/>
      <c r="R1" s="47"/>
    </row>
    <row r="2">
      <c r="A2" s="22" t="s">
        <v>8</v>
      </c>
      <c r="B2" s="14">
        <v>4040.0</v>
      </c>
      <c r="C2" s="21" t="str">
        <f>VLOOKUP(A2, hash!A$2:B$500, 2, 0)</f>
        <v>6322202c0aa8ba2dbc57c0a6</v>
      </c>
      <c r="D2" s="23">
        <f t="shared" ref="D2:D471" si="1">SUMPRODUCT(E2:J2,$M$4:$R$4)</f>
        <v>0</v>
      </c>
      <c r="F2" s="27"/>
      <c r="H2" s="27"/>
      <c r="J2" s="27"/>
      <c r="L2" s="47"/>
      <c r="M2" s="47" t="s">
        <v>502</v>
      </c>
      <c r="N2" s="47" t="s">
        <v>503</v>
      </c>
      <c r="O2" s="47" t="s">
        <v>504</v>
      </c>
      <c r="P2" s="47" t="s">
        <v>505</v>
      </c>
      <c r="Q2" s="47" t="s">
        <v>506</v>
      </c>
      <c r="R2" s="47" t="s">
        <v>507</v>
      </c>
    </row>
    <row r="3">
      <c r="A3" s="22" t="s">
        <v>558</v>
      </c>
      <c r="B3" s="21">
        <f t="shared" ref="B3:B9" si="3">D3/M$1*2000</f>
        <v>2980.410959</v>
      </c>
      <c r="C3" s="21" t="str">
        <f>VLOOKUP(A3, hash!A$2:B$500, 2, 0)</f>
        <v>#N/A</v>
      </c>
      <c r="D3" s="23">
        <f t="shared" si="1"/>
        <v>14.97368828</v>
      </c>
      <c r="E3" s="14">
        <v>1.0</v>
      </c>
      <c r="F3" s="27">
        <v>1.0</v>
      </c>
      <c r="G3" s="14">
        <v>1.0</v>
      </c>
      <c r="H3" s="27">
        <v>1.0</v>
      </c>
      <c r="I3" s="14">
        <v>1.0</v>
      </c>
      <c r="J3" s="27">
        <v>0.0</v>
      </c>
      <c r="L3" s="47" t="s">
        <v>559</v>
      </c>
      <c r="M3" s="25">
        <f t="shared" ref="M3:R3" si="2">SUM(E:E)</f>
        <v>34</v>
      </c>
      <c r="N3" s="25">
        <f t="shared" si="2"/>
        <v>15</v>
      </c>
      <c r="O3" s="25">
        <f t="shared" si="2"/>
        <v>12</v>
      </c>
      <c r="P3" s="25">
        <f t="shared" si="2"/>
        <v>10</v>
      </c>
      <c r="Q3" s="25">
        <f t="shared" si="2"/>
        <v>3</v>
      </c>
      <c r="R3" s="25">
        <f t="shared" si="2"/>
        <v>0</v>
      </c>
    </row>
    <row r="4">
      <c r="A4" s="22" t="s">
        <v>562</v>
      </c>
      <c r="B4" s="21">
        <f t="shared" si="3"/>
        <v>2980.410959</v>
      </c>
      <c r="C4" s="21" t="str">
        <f>VLOOKUP(A4, hash!A$2:B$500, 2, 0)</f>
        <v>#N/A</v>
      </c>
      <c r="D4" s="23">
        <f t="shared" si="1"/>
        <v>14.97368828</v>
      </c>
      <c r="E4" s="14">
        <v>1.0</v>
      </c>
      <c r="F4" s="27">
        <v>1.0</v>
      </c>
      <c r="G4" s="14">
        <v>1.0</v>
      </c>
      <c r="H4" s="27">
        <v>1.0</v>
      </c>
      <c r="I4" s="14">
        <v>1.0</v>
      </c>
      <c r="J4" s="27">
        <v>0.0</v>
      </c>
      <c r="L4" s="46" t="s">
        <v>561</v>
      </c>
      <c r="M4" s="25">
        <f t="shared" ref="M4:Q4" si="4">1+LN($M$8/M3)</f>
        <v>1.892480083</v>
      </c>
      <c r="N4" s="25">
        <f t="shared" si="4"/>
        <v>2.710790407</v>
      </c>
      <c r="O4" s="25">
        <f t="shared" si="4"/>
        <v>2.933933958</v>
      </c>
      <c r="P4" s="25">
        <f t="shared" si="4"/>
        <v>3.116255515</v>
      </c>
      <c r="Q4" s="25">
        <f t="shared" si="4"/>
        <v>4.320228319</v>
      </c>
      <c r="R4" s="25">
        <v>0.0</v>
      </c>
    </row>
    <row r="5">
      <c r="A5" s="22" t="s">
        <v>560</v>
      </c>
      <c r="B5" s="21">
        <f t="shared" si="3"/>
        <v>2360.141463</v>
      </c>
      <c r="C5" s="21" t="str">
        <f>VLOOKUP(A5, hash!A$2:B$500, 2, 0)</f>
        <v>#N/A</v>
      </c>
      <c r="D5" s="23">
        <f t="shared" si="1"/>
        <v>11.85743277</v>
      </c>
      <c r="E5" s="14">
        <v>1.0</v>
      </c>
      <c r="F5" s="27">
        <v>1.0</v>
      </c>
      <c r="G5" s="14">
        <v>1.0</v>
      </c>
      <c r="H5" s="27">
        <v>0.0</v>
      </c>
      <c r="I5" s="14">
        <v>1.0</v>
      </c>
      <c r="J5" s="27">
        <v>0.0</v>
      </c>
      <c r="L5" s="47"/>
      <c r="M5" s="47"/>
      <c r="N5" s="47"/>
      <c r="O5" s="47"/>
      <c r="P5" s="47"/>
      <c r="Q5" s="47"/>
      <c r="R5" s="46"/>
    </row>
    <row r="6">
      <c r="A6" s="22" t="s">
        <v>9</v>
      </c>
      <c r="B6" s="21">
        <f t="shared" si="3"/>
        <v>2120.498853</v>
      </c>
      <c r="C6" s="21" t="str">
        <f>VLOOKUP(A6, hash!A$2:B$500, 2, 0)</f>
        <v>66e1e1237a8e6dc2aed3a642</v>
      </c>
      <c r="D6" s="23">
        <f t="shared" si="1"/>
        <v>10.65345996</v>
      </c>
      <c r="E6" s="14">
        <v>1.0</v>
      </c>
      <c r="F6" s="27">
        <v>1.0</v>
      </c>
      <c r="G6" s="14">
        <v>1.0</v>
      </c>
      <c r="H6" s="27">
        <v>1.0</v>
      </c>
      <c r="I6" s="14">
        <v>0.0</v>
      </c>
      <c r="J6" s="27">
        <v>0.0</v>
      </c>
      <c r="L6" s="47"/>
      <c r="M6" s="47"/>
      <c r="N6" s="47"/>
      <c r="O6" s="47"/>
      <c r="P6" s="47"/>
      <c r="Q6" s="68"/>
      <c r="R6" s="47"/>
    </row>
    <row r="7">
      <c r="A7" s="22" t="s">
        <v>18</v>
      </c>
      <c r="B7" s="21">
        <f t="shared" si="3"/>
        <v>2120.498853</v>
      </c>
      <c r="C7" s="21" t="str">
        <f>VLOOKUP(A7, hash!A$2:B$500, 2, 0)</f>
        <v>6502003d1d8cbbbd315ad525</v>
      </c>
      <c r="D7" s="23">
        <f t="shared" si="1"/>
        <v>10.65345996</v>
      </c>
      <c r="E7" s="14">
        <v>1.0</v>
      </c>
      <c r="F7" s="27">
        <v>1.0</v>
      </c>
      <c r="G7" s="14">
        <v>1.0</v>
      </c>
      <c r="H7" s="27">
        <v>1.0</v>
      </c>
      <c r="I7" s="14">
        <v>0.0</v>
      </c>
      <c r="J7" s="27">
        <v>0.0</v>
      </c>
      <c r="L7" s="47"/>
      <c r="M7" s="25" t="s">
        <v>564</v>
      </c>
      <c r="N7" s="47"/>
      <c r="O7" s="47"/>
      <c r="P7" s="47"/>
      <c r="Q7" s="68"/>
      <c r="R7" s="47"/>
    </row>
    <row r="8">
      <c r="A8" s="22" t="s">
        <v>11</v>
      </c>
      <c r="B8" s="21">
        <f t="shared" si="3"/>
        <v>2120.498853</v>
      </c>
      <c r="C8" s="21" t="str">
        <f>VLOOKUP(A8, hash!A$2:B$500, 2, 0)</f>
        <v>6502005e1d8cbbbd315ad52c</v>
      </c>
      <c r="D8" s="23">
        <f t="shared" si="1"/>
        <v>10.65345996</v>
      </c>
      <c r="E8" s="14">
        <v>1.0</v>
      </c>
      <c r="F8" s="27">
        <v>1.0</v>
      </c>
      <c r="G8" s="14">
        <v>1.0</v>
      </c>
      <c r="H8" s="27">
        <v>1.0</v>
      </c>
      <c r="I8" s="14">
        <v>0.0</v>
      </c>
      <c r="J8" s="27">
        <v>0.0</v>
      </c>
      <c r="L8" s="47"/>
      <c r="M8" s="14">
        <f>COUNTA(E2:E500)</f>
        <v>83</v>
      </c>
      <c r="N8" s="47"/>
      <c r="O8" s="47"/>
      <c r="P8" s="47"/>
      <c r="Q8" s="47"/>
      <c r="R8" s="47"/>
    </row>
    <row r="9">
      <c r="A9" s="22" t="s">
        <v>431</v>
      </c>
      <c r="B9" s="21">
        <f t="shared" si="3"/>
        <v>2120.498853</v>
      </c>
      <c r="C9" s="21" t="str">
        <f>VLOOKUP(A9, hash!A$2:B$500, 2, 0)</f>
        <v>6322202a0aa8ba2dbc57c0a5</v>
      </c>
      <c r="D9" s="23">
        <f t="shared" si="1"/>
        <v>10.65345996</v>
      </c>
      <c r="E9" s="14">
        <v>1.0</v>
      </c>
      <c r="F9" s="27">
        <v>1.0</v>
      </c>
      <c r="G9" s="14">
        <v>1.0</v>
      </c>
      <c r="H9" s="27">
        <v>1.0</v>
      </c>
      <c r="I9" s="14">
        <v>0.0</v>
      </c>
      <c r="J9" s="27">
        <v>0.0</v>
      </c>
      <c r="L9" s="47"/>
      <c r="M9" s="47"/>
      <c r="N9" s="47"/>
      <c r="O9" s="47"/>
      <c r="P9" s="47"/>
      <c r="Q9" s="47"/>
      <c r="R9" s="47"/>
    </row>
    <row r="10">
      <c r="A10" s="22" t="s">
        <v>563</v>
      </c>
      <c r="B10" s="14">
        <v>1854.2419305</v>
      </c>
      <c r="C10" s="21" t="str">
        <f>VLOOKUP(A10, hash!A$2:B$500, 2, 0)</f>
        <v>#N/A</v>
      </c>
      <c r="D10" s="23">
        <f t="shared" si="1"/>
        <v>0</v>
      </c>
      <c r="F10" s="27"/>
      <c r="H10" s="27"/>
      <c r="J10" s="45"/>
      <c r="L10" s="47"/>
      <c r="M10" s="46"/>
      <c r="N10" s="47"/>
      <c r="O10" s="47"/>
      <c r="P10" s="47"/>
      <c r="Q10" s="47"/>
      <c r="R10" s="47"/>
    </row>
    <row r="11">
      <c r="A11" s="22" t="s">
        <v>92</v>
      </c>
      <c r="B11" s="21">
        <f t="shared" ref="B11:B471" si="5">D11/M$1*2000</f>
        <v>1536.519224</v>
      </c>
      <c r="C11" s="21" t="str">
        <f>VLOOKUP(A11, hash!A$2:B$500, 2, 0)</f>
        <v>66e1e12ae2fbdff8a0c35638</v>
      </c>
      <c r="D11" s="23">
        <f t="shared" si="1"/>
        <v>7.719526005</v>
      </c>
      <c r="E11" s="14">
        <v>1.0</v>
      </c>
      <c r="F11" s="27">
        <v>1.0</v>
      </c>
      <c r="G11" s="14">
        <v>0.0</v>
      </c>
      <c r="H11" s="27">
        <v>1.0</v>
      </c>
      <c r="I11" s="14">
        <v>0.0</v>
      </c>
      <c r="J11" s="27">
        <v>0.0</v>
      </c>
      <c r="L11" s="47"/>
      <c r="M11" s="47"/>
      <c r="N11" s="47"/>
      <c r="O11" s="47"/>
      <c r="P11" s="47"/>
      <c r="Q11" s="47"/>
      <c r="R11" s="47"/>
    </row>
    <row r="12">
      <c r="A12" s="22" t="s">
        <v>10</v>
      </c>
      <c r="B12" s="21">
        <f t="shared" si="5"/>
        <v>1500.229356</v>
      </c>
      <c r="C12" s="21" t="str">
        <f>VLOOKUP(A12, hash!A$2:B$500, 2, 0)</f>
        <v>632220270aa8ba2dbc57c0a4</v>
      </c>
      <c r="D12" s="23">
        <f t="shared" si="1"/>
        <v>7.537204448</v>
      </c>
      <c r="E12" s="14">
        <v>1.0</v>
      </c>
      <c r="F12" s="27">
        <v>1.0</v>
      </c>
      <c r="G12" s="14">
        <v>1.0</v>
      </c>
      <c r="H12" s="27">
        <v>0.0</v>
      </c>
      <c r="I12" s="14">
        <v>0.0</v>
      </c>
      <c r="J12" s="27">
        <v>0.0</v>
      </c>
      <c r="L12" s="47"/>
      <c r="M12" s="46"/>
      <c r="N12" s="47"/>
      <c r="O12" s="47"/>
      <c r="P12" s="47"/>
      <c r="Q12" s="47"/>
      <c r="R12" s="47"/>
    </row>
    <row r="13">
      <c r="A13" s="22" t="s">
        <v>566</v>
      </c>
      <c r="B13" s="21">
        <f t="shared" si="5"/>
        <v>1500.229356</v>
      </c>
      <c r="C13" s="21" t="str">
        <f>VLOOKUP(A13, hash!A$2:B$500, 2, 0)</f>
        <v>#N/A</v>
      </c>
      <c r="D13" s="23">
        <f t="shared" si="1"/>
        <v>7.537204448</v>
      </c>
      <c r="E13" s="14">
        <v>1.0</v>
      </c>
      <c r="F13" s="27">
        <v>1.0</v>
      </c>
      <c r="G13" s="14">
        <v>1.0</v>
      </c>
      <c r="H13" s="27">
        <v>0.0</v>
      </c>
      <c r="I13" s="14">
        <v>0.0</v>
      </c>
      <c r="J13" s="27">
        <v>0.0</v>
      </c>
      <c r="L13" s="47"/>
      <c r="M13" s="47"/>
      <c r="N13" s="47"/>
      <c r="O13" s="47"/>
      <c r="P13" s="47"/>
      <c r="Q13" s="47"/>
      <c r="R13" s="47"/>
    </row>
    <row r="14">
      <c r="A14" s="24" t="s">
        <v>13</v>
      </c>
      <c r="B14" s="21">
        <f t="shared" si="5"/>
        <v>1500.229356</v>
      </c>
      <c r="C14" s="21" t="str">
        <f>VLOOKUP(A14, hash!A$2:B$500, 2, 0)</f>
        <v>65020be78f2b101294bb3da8</v>
      </c>
      <c r="D14" s="23">
        <f t="shared" si="1"/>
        <v>7.537204448</v>
      </c>
      <c r="E14" s="14">
        <v>1.0</v>
      </c>
      <c r="F14" s="27">
        <v>1.0</v>
      </c>
      <c r="G14" s="14">
        <v>1.0</v>
      </c>
      <c r="H14" s="27">
        <v>0.0</v>
      </c>
      <c r="I14" s="14">
        <v>0.0</v>
      </c>
      <c r="J14" s="27">
        <v>0.0</v>
      </c>
      <c r="L14" s="47"/>
      <c r="M14" s="47" t="s">
        <v>567</v>
      </c>
      <c r="N14" s="47"/>
      <c r="O14" s="47"/>
      <c r="P14" s="47"/>
      <c r="Q14" s="47"/>
      <c r="R14" s="47"/>
    </row>
    <row r="15">
      <c r="A15" s="22" t="s">
        <v>24</v>
      </c>
      <c r="B15" s="21">
        <f t="shared" si="5"/>
        <v>1159.833916</v>
      </c>
      <c r="C15" s="21" t="str">
        <f>VLOOKUP(A15, hash!A$2:B$500, 2, 0)</f>
        <v>66e1e1277a8e6dc2aed3a645</v>
      </c>
      <c r="D15" s="23">
        <f t="shared" si="1"/>
        <v>5.827045921</v>
      </c>
      <c r="E15" s="14">
        <v>0.0</v>
      </c>
      <c r="F15" s="27">
        <v>1.0</v>
      </c>
      <c r="G15" s="14">
        <v>0.0</v>
      </c>
      <c r="H15" s="27">
        <v>1.0</v>
      </c>
      <c r="I15" s="14">
        <v>0.0</v>
      </c>
      <c r="J15" s="27">
        <v>0.0</v>
      </c>
      <c r="L15" s="47"/>
      <c r="M15" s="25">
        <f>SUM(E2:J15)/12</f>
        <v>3.666666667</v>
      </c>
      <c r="N15" s="47"/>
      <c r="O15" s="47"/>
      <c r="P15" s="47"/>
      <c r="Q15" s="47"/>
      <c r="R15" s="47"/>
    </row>
    <row r="16">
      <c r="A16" s="22" t="s">
        <v>60</v>
      </c>
      <c r="B16" s="21">
        <f t="shared" si="5"/>
        <v>996.954804</v>
      </c>
      <c r="C16" s="21" t="str">
        <f>VLOOKUP(A16, hash!A$2:B$500, 2, 0)</f>
        <v>66e1e105db315cbd40043fc1</v>
      </c>
      <c r="D16" s="23">
        <f t="shared" si="1"/>
        <v>5.008735598</v>
      </c>
      <c r="E16" s="14">
        <v>1.0</v>
      </c>
      <c r="F16" s="27">
        <v>0.0</v>
      </c>
      <c r="G16" s="14">
        <v>0.0</v>
      </c>
      <c r="H16" s="27">
        <v>1.0</v>
      </c>
      <c r="I16" s="14">
        <v>0.0</v>
      </c>
      <c r="J16" s="27">
        <v>0.0</v>
      </c>
    </row>
    <row r="17">
      <c r="A17" s="22" t="s">
        <v>19</v>
      </c>
      <c r="B17" s="21">
        <f t="shared" si="5"/>
        <v>960.6649363</v>
      </c>
      <c r="C17" s="21" t="str">
        <f>VLOOKUP(A17, hash!A$2:B$500, 2, 0)</f>
        <v>6502007357ae167867eac223</v>
      </c>
      <c r="D17" s="23">
        <f t="shared" si="1"/>
        <v>4.826414041</v>
      </c>
      <c r="E17" s="14">
        <v>1.0</v>
      </c>
      <c r="F17" s="27">
        <v>0.0</v>
      </c>
      <c r="G17" s="14">
        <v>1.0</v>
      </c>
      <c r="H17" s="27">
        <v>0.0</v>
      </c>
      <c r="I17" s="14">
        <v>0.0</v>
      </c>
      <c r="J17" s="27">
        <v>0.0</v>
      </c>
    </row>
    <row r="18">
      <c r="A18" s="22" t="s">
        <v>15</v>
      </c>
      <c r="B18" s="21">
        <f t="shared" si="5"/>
        <v>916.2497279</v>
      </c>
      <c r="C18" s="21" t="str">
        <f>VLOOKUP(A18, hash!A$2:B$500, 2, 0)</f>
        <v>65020037540ba7cc68909a9b</v>
      </c>
      <c r="D18" s="23">
        <f t="shared" si="1"/>
        <v>4.60327049</v>
      </c>
      <c r="E18" s="14">
        <v>1.0</v>
      </c>
      <c r="F18" s="27">
        <v>1.0</v>
      </c>
      <c r="G18" s="14">
        <v>0.0</v>
      </c>
      <c r="H18" s="27">
        <v>0.0</v>
      </c>
      <c r="I18" s="14">
        <v>0.0</v>
      </c>
      <c r="J18" s="27">
        <v>0.0</v>
      </c>
    </row>
    <row r="19">
      <c r="A19" s="22" t="s">
        <v>434</v>
      </c>
      <c r="B19" s="21">
        <f t="shared" si="5"/>
        <v>916.2497279</v>
      </c>
      <c r="C19" s="21" t="str">
        <f>VLOOKUP(A19, hash!A$2:B$500, 2, 0)</f>
        <v>63222083cfccb655ce1f3a74</v>
      </c>
      <c r="D19" s="23">
        <f t="shared" si="1"/>
        <v>4.60327049</v>
      </c>
      <c r="E19" s="14">
        <v>1.0</v>
      </c>
      <c r="F19" s="27">
        <v>1.0</v>
      </c>
      <c r="G19" s="14">
        <v>0.0</v>
      </c>
      <c r="H19" s="27">
        <v>0.0</v>
      </c>
      <c r="I19" s="14">
        <v>0.0</v>
      </c>
      <c r="J19" s="27">
        <v>0.0</v>
      </c>
    </row>
    <row r="20">
      <c r="A20" s="22" t="s">
        <v>565</v>
      </c>
      <c r="B20" s="21">
        <f t="shared" si="5"/>
        <v>376.6853078</v>
      </c>
      <c r="C20" s="21" t="str">
        <f>VLOOKUP(A20, hash!A$2:B$500, 2, 0)</f>
        <v>#N/A</v>
      </c>
      <c r="D20" s="23">
        <f t="shared" si="1"/>
        <v>1.892480083</v>
      </c>
      <c r="E20" s="14">
        <v>1.0</v>
      </c>
      <c r="F20" s="27">
        <v>0.0</v>
      </c>
      <c r="G20" s="14">
        <v>0.0</v>
      </c>
      <c r="H20" s="27">
        <v>0.0</v>
      </c>
      <c r="I20" s="14">
        <v>0.0</v>
      </c>
      <c r="J20" s="27">
        <v>0.0</v>
      </c>
    </row>
    <row r="21">
      <c r="A21" s="22" t="s">
        <v>30</v>
      </c>
      <c r="B21" s="21">
        <f t="shared" si="5"/>
        <v>376.6853078</v>
      </c>
      <c r="C21" s="21" t="str">
        <f>VLOOKUP(A21, hash!A$2:B$500, 2, 0)</f>
        <v>6322236ef382c17890e6a3e1</v>
      </c>
      <c r="D21" s="23">
        <f t="shared" si="1"/>
        <v>1.892480083</v>
      </c>
      <c r="E21" s="14">
        <v>1.0</v>
      </c>
      <c r="F21" s="27">
        <v>0.0</v>
      </c>
      <c r="G21" s="14">
        <v>0.0</v>
      </c>
      <c r="H21" s="27">
        <v>0.0</v>
      </c>
      <c r="I21" s="14">
        <v>0.0</v>
      </c>
      <c r="J21" s="27">
        <v>0.0</v>
      </c>
    </row>
    <row r="22">
      <c r="A22" s="22" t="s">
        <v>569</v>
      </c>
      <c r="B22" s="21">
        <f t="shared" si="5"/>
        <v>376.6853078</v>
      </c>
      <c r="C22" s="21" t="str">
        <f>VLOOKUP(A22, hash!A$2:B$500, 2, 0)</f>
        <v>#N/A</v>
      </c>
      <c r="D22" s="23">
        <f t="shared" si="1"/>
        <v>1.892480083</v>
      </c>
      <c r="E22" s="14">
        <v>1.0</v>
      </c>
      <c r="F22" s="27">
        <v>0.0</v>
      </c>
      <c r="G22" s="14">
        <v>0.0</v>
      </c>
      <c r="H22" s="27">
        <v>0.0</v>
      </c>
      <c r="I22" s="14">
        <v>0.0</v>
      </c>
      <c r="J22" s="27">
        <v>0.0</v>
      </c>
    </row>
    <row r="23">
      <c r="A23" s="22" t="s">
        <v>17</v>
      </c>
      <c r="B23" s="21">
        <f t="shared" si="5"/>
        <v>376.6853078</v>
      </c>
      <c r="C23" s="21" t="str">
        <f>VLOOKUP(A23, hash!A$2:B$500, 2, 0)</f>
        <v>65020bfc097ac3c9d063264d</v>
      </c>
      <c r="D23" s="23">
        <f t="shared" si="1"/>
        <v>1.892480083</v>
      </c>
      <c r="E23" s="14">
        <v>1.0</v>
      </c>
      <c r="F23" s="27">
        <v>0.0</v>
      </c>
      <c r="G23" s="14">
        <v>0.0</v>
      </c>
      <c r="H23" s="27">
        <v>0.0</v>
      </c>
      <c r="I23" s="14">
        <v>0.0</v>
      </c>
      <c r="J23" s="27">
        <v>0.0</v>
      </c>
    </row>
    <row r="24">
      <c r="A24" s="22" t="s">
        <v>432</v>
      </c>
      <c r="B24" s="21">
        <f t="shared" si="5"/>
        <v>376.6853078</v>
      </c>
      <c r="C24" s="21" t="str">
        <f>VLOOKUP(A24, hash!A$2:B$500, 2, 0)</f>
        <v>632220620aa8ba2dbc57c0ab</v>
      </c>
      <c r="D24" s="23">
        <f t="shared" si="1"/>
        <v>1.892480083</v>
      </c>
      <c r="E24" s="14">
        <v>1.0</v>
      </c>
      <c r="F24" s="27">
        <v>0.0</v>
      </c>
      <c r="G24" s="14">
        <v>0.0</v>
      </c>
      <c r="H24" s="27">
        <v>0.0</v>
      </c>
      <c r="I24" s="14">
        <v>0.0</v>
      </c>
      <c r="J24" s="27">
        <v>0.0</v>
      </c>
      <c r="L24" s="47"/>
      <c r="M24" s="25"/>
      <c r="N24" s="25"/>
      <c r="O24" s="25"/>
      <c r="P24" s="25"/>
      <c r="Q24" s="25"/>
      <c r="R24" s="25"/>
    </row>
    <row r="25">
      <c r="A25" s="22" t="s">
        <v>29</v>
      </c>
      <c r="B25" s="21">
        <f t="shared" si="5"/>
        <v>376.6853078</v>
      </c>
      <c r="C25" s="21" t="str">
        <f>VLOOKUP(A25, hash!A$2:B$500, 2, 0)</f>
        <v>66e1e1659bdd593ffcd624e6</v>
      </c>
      <c r="D25" s="23">
        <f t="shared" si="1"/>
        <v>1.892480083</v>
      </c>
      <c r="E25" s="14">
        <v>1.0</v>
      </c>
      <c r="F25" s="27">
        <v>0.0</v>
      </c>
      <c r="G25" s="14">
        <v>0.0</v>
      </c>
      <c r="H25" s="27">
        <v>0.0</v>
      </c>
      <c r="I25" s="14">
        <v>0.0</v>
      </c>
      <c r="J25" s="27">
        <v>0.0</v>
      </c>
    </row>
    <row r="26">
      <c r="A26" s="22" t="s">
        <v>86</v>
      </c>
      <c r="B26" s="21">
        <f t="shared" si="5"/>
        <v>376.6853078</v>
      </c>
      <c r="C26" s="21" t="str">
        <f>VLOOKUP(A26, hash!A$2:B$500, 2, 0)</f>
        <v>65020c05097ac3c9d0632651</v>
      </c>
      <c r="D26" s="23">
        <f t="shared" si="1"/>
        <v>1.892480083</v>
      </c>
      <c r="E26" s="14">
        <v>1.0</v>
      </c>
      <c r="F26" s="27">
        <v>0.0</v>
      </c>
      <c r="G26" s="14">
        <v>0.0</v>
      </c>
      <c r="H26" s="27">
        <v>0.0</v>
      </c>
      <c r="I26" s="14">
        <v>0.0</v>
      </c>
      <c r="J26" s="27">
        <v>0.0</v>
      </c>
    </row>
    <row r="27">
      <c r="A27" s="22" t="s">
        <v>571</v>
      </c>
      <c r="B27" s="21">
        <f t="shared" si="5"/>
        <v>376.6853078</v>
      </c>
      <c r="C27" s="21" t="str">
        <f>VLOOKUP(A27, hash!A$2:B$500, 2, 0)</f>
        <v>#N/A</v>
      </c>
      <c r="D27" s="23">
        <f t="shared" si="1"/>
        <v>1.892480083</v>
      </c>
      <c r="E27" s="14">
        <v>1.0</v>
      </c>
      <c r="F27" s="27">
        <v>0.0</v>
      </c>
      <c r="G27" s="14">
        <v>0.0</v>
      </c>
      <c r="H27" s="27">
        <v>0.0</v>
      </c>
      <c r="I27" s="14">
        <v>0.0</v>
      </c>
      <c r="J27" s="27">
        <v>0.0</v>
      </c>
    </row>
    <row r="28">
      <c r="A28" s="22" t="s">
        <v>572</v>
      </c>
      <c r="B28" s="21">
        <f t="shared" si="5"/>
        <v>376.6853078</v>
      </c>
      <c r="C28" s="21" t="str">
        <f>VLOOKUP(A28, hash!A$2:B$500, 2, 0)</f>
        <v>#N/A</v>
      </c>
      <c r="D28" s="23">
        <f t="shared" si="1"/>
        <v>1.892480083</v>
      </c>
      <c r="E28" s="14">
        <v>1.0</v>
      </c>
      <c r="F28" s="27">
        <v>0.0</v>
      </c>
      <c r="G28" s="14">
        <v>0.0</v>
      </c>
      <c r="H28" s="27">
        <v>0.0</v>
      </c>
      <c r="I28" s="14">
        <v>0.0</v>
      </c>
      <c r="J28" s="27">
        <v>0.0</v>
      </c>
    </row>
    <row r="29">
      <c r="A29" s="22" t="s">
        <v>34</v>
      </c>
      <c r="B29" s="21">
        <f t="shared" si="5"/>
        <v>376.6853078</v>
      </c>
      <c r="C29" s="21" t="str">
        <f>VLOOKUP(A29, hash!A$2:B$500, 2, 0)</f>
        <v>63222c2fed58d92b843f7cbf</v>
      </c>
      <c r="D29" s="23">
        <f t="shared" si="1"/>
        <v>1.892480083</v>
      </c>
      <c r="E29" s="14">
        <v>1.0</v>
      </c>
      <c r="F29" s="27">
        <v>0.0</v>
      </c>
      <c r="G29" s="14">
        <v>0.0</v>
      </c>
      <c r="H29" s="27">
        <v>0.0</v>
      </c>
      <c r="I29" s="14">
        <v>0.0</v>
      </c>
      <c r="J29" s="27">
        <v>0.0</v>
      </c>
    </row>
    <row r="30">
      <c r="A30" s="22" t="s">
        <v>156</v>
      </c>
      <c r="B30" s="21">
        <f t="shared" si="5"/>
        <v>376.6853078</v>
      </c>
      <c r="C30" s="21" t="str">
        <f>VLOOKUP(A30, hash!A$2:B$500, 2, 0)</f>
        <v>65020bcc03dd812a55d3a1fd</v>
      </c>
      <c r="D30" s="23">
        <f t="shared" si="1"/>
        <v>1.892480083</v>
      </c>
      <c r="E30" s="14">
        <v>1.0</v>
      </c>
      <c r="F30" s="27">
        <v>0.0</v>
      </c>
      <c r="G30" s="14">
        <v>0.0</v>
      </c>
      <c r="H30" s="27">
        <v>0.0</v>
      </c>
      <c r="I30" s="14">
        <v>0.0</v>
      </c>
      <c r="J30" s="27">
        <v>0.0</v>
      </c>
    </row>
    <row r="31">
      <c r="A31" s="22" t="s">
        <v>88</v>
      </c>
      <c r="B31" s="21">
        <f t="shared" si="5"/>
        <v>376.6853078</v>
      </c>
      <c r="C31" s="21" t="str">
        <f>VLOOKUP(A31, hash!A$2:B$500, 2, 0)</f>
        <v>65020d65097ac3c9d063266d</v>
      </c>
      <c r="D31" s="23">
        <f t="shared" si="1"/>
        <v>1.892480083</v>
      </c>
      <c r="E31" s="14">
        <v>1.0</v>
      </c>
      <c r="F31" s="27">
        <v>0.0</v>
      </c>
      <c r="G31" s="14">
        <v>0.0</v>
      </c>
      <c r="H31" s="27">
        <v>0.0</v>
      </c>
      <c r="I31" s="14">
        <v>0.0</v>
      </c>
      <c r="J31" s="27">
        <v>0.0</v>
      </c>
    </row>
    <row r="32">
      <c r="A32" s="22" t="s">
        <v>279</v>
      </c>
      <c r="B32" s="21">
        <f t="shared" si="5"/>
        <v>376.6853078</v>
      </c>
      <c r="C32" s="21" t="str">
        <f>VLOOKUP(A32, hash!A$2:B$500, 2, 0)</f>
        <v>66dfaa6ed25069720af3c493</v>
      </c>
      <c r="D32" s="23">
        <f t="shared" si="1"/>
        <v>1.892480083</v>
      </c>
      <c r="E32" s="14">
        <v>1.0</v>
      </c>
      <c r="F32" s="27">
        <v>0.0</v>
      </c>
      <c r="G32" s="14">
        <v>0.0</v>
      </c>
      <c r="H32" s="27">
        <v>0.0</v>
      </c>
      <c r="I32" s="14">
        <v>0.0</v>
      </c>
      <c r="J32" s="27">
        <v>0.0</v>
      </c>
    </row>
    <row r="33">
      <c r="A33" s="22" t="s">
        <v>89</v>
      </c>
      <c r="B33" s="21">
        <f t="shared" si="5"/>
        <v>376.6853078</v>
      </c>
      <c r="C33" s="21" t="str">
        <f>VLOOKUP(A33, hash!A$2:B$500, 2, 0)</f>
        <v>66e1e10cdb315cbd40043fc4</v>
      </c>
      <c r="D33" s="23">
        <f t="shared" si="1"/>
        <v>1.892480083</v>
      </c>
      <c r="E33" s="14">
        <v>1.0</v>
      </c>
      <c r="F33" s="27">
        <v>0.0</v>
      </c>
      <c r="G33" s="14">
        <v>0.0</v>
      </c>
      <c r="H33" s="27">
        <v>0.0</v>
      </c>
      <c r="I33" s="14">
        <v>0.0</v>
      </c>
      <c r="J33" s="27">
        <v>0.0</v>
      </c>
    </row>
    <row r="34">
      <c r="A34" s="22" t="s">
        <v>33</v>
      </c>
      <c r="B34" s="21">
        <f t="shared" si="5"/>
        <v>376.6853078</v>
      </c>
      <c r="C34" s="21" t="str">
        <f>VLOOKUP(A34, hash!A$2:B$500, 2, 0)</f>
        <v>66e1e126f0db8f5922c91d85</v>
      </c>
      <c r="D34" s="23">
        <f t="shared" si="1"/>
        <v>1.892480083</v>
      </c>
      <c r="E34" s="14">
        <v>1.0</v>
      </c>
      <c r="F34" s="27">
        <v>0.0</v>
      </c>
      <c r="G34" s="14">
        <v>0.0</v>
      </c>
      <c r="H34" s="27">
        <v>0.0</v>
      </c>
      <c r="I34" s="14">
        <v>0.0</v>
      </c>
      <c r="J34" s="27">
        <v>0.0</v>
      </c>
    </row>
    <row r="35">
      <c r="A35" s="22" t="s">
        <v>57</v>
      </c>
      <c r="B35" s="21">
        <f t="shared" si="5"/>
        <v>376.6853078</v>
      </c>
      <c r="C35" s="21" t="str">
        <f>VLOOKUP(A35, hash!A$2:B$500, 2, 0)</f>
        <v>66e1e13168fa766abf5d11d8</v>
      </c>
      <c r="D35" s="23">
        <f t="shared" si="1"/>
        <v>1.892480083</v>
      </c>
      <c r="E35" s="14">
        <v>1.0</v>
      </c>
      <c r="F35" s="27">
        <v>0.0</v>
      </c>
      <c r="G35" s="14">
        <v>0.0</v>
      </c>
      <c r="H35" s="27">
        <v>0.0</v>
      </c>
      <c r="I35" s="14">
        <v>0.0</v>
      </c>
      <c r="J35" s="27">
        <v>0.0</v>
      </c>
    </row>
    <row r="36">
      <c r="A36" s="22" t="s">
        <v>430</v>
      </c>
      <c r="B36" s="21">
        <f t="shared" si="5"/>
        <v>0</v>
      </c>
      <c r="C36" s="21" t="str">
        <f>VLOOKUP(A36, hash!A$2:B$500, 2, 0)</f>
        <v>63222011e6a618b2a0444361</v>
      </c>
      <c r="D36" s="23">
        <f t="shared" si="1"/>
        <v>0</v>
      </c>
      <c r="F36" s="27"/>
      <c r="H36" s="27"/>
      <c r="J36" s="27"/>
      <c r="M36" s="21">
        <f>SUM(E23:J36)/12</f>
        <v>1.083333333</v>
      </c>
    </row>
    <row r="37">
      <c r="A37" s="22" t="s">
        <v>568</v>
      </c>
      <c r="B37" s="21">
        <f t="shared" si="5"/>
        <v>0</v>
      </c>
      <c r="C37" s="21" t="str">
        <f>VLOOKUP(A37, hash!A$2:B$500, 2, 0)</f>
        <v>#N/A</v>
      </c>
      <c r="D37" s="23">
        <f t="shared" si="1"/>
        <v>0</v>
      </c>
      <c r="E37" s="14">
        <v>0.0</v>
      </c>
      <c r="F37" s="27">
        <v>0.0</v>
      </c>
      <c r="G37" s="14">
        <v>0.0</v>
      </c>
      <c r="H37" s="27">
        <v>0.0</v>
      </c>
      <c r="I37" s="14">
        <v>0.0</v>
      </c>
      <c r="J37" s="27">
        <v>0.0</v>
      </c>
    </row>
    <row r="38">
      <c r="A38" s="22" t="s">
        <v>435</v>
      </c>
      <c r="B38" s="21">
        <f t="shared" si="5"/>
        <v>0</v>
      </c>
      <c r="C38" s="21" t="str">
        <f>VLOOKUP(A38, hash!A$2:B$500, 2, 0)</f>
        <v>63222a4c5bded5e4ff37ac1f</v>
      </c>
      <c r="D38" s="23">
        <f t="shared" si="1"/>
        <v>0</v>
      </c>
      <c r="F38" s="27"/>
      <c r="H38" s="27"/>
      <c r="J38" s="27"/>
    </row>
    <row r="39">
      <c r="A39" s="22" t="s">
        <v>45</v>
      </c>
      <c r="B39" s="21">
        <f t="shared" si="5"/>
        <v>0</v>
      </c>
      <c r="C39" s="21" t="str">
        <f>VLOOKUP(A39, hash!A$2:B$500, 2, 0)</f>
        <v>66e1ed8d1129889a3e2c24ab</v>
      </c>
      <c r="D39" s="23">
        <f t="shared" si="1"/>
        <v>0</v>
      </c>
      <c r="F39" s="27"/>
      <c r="H39" s="27"/>
      <c r="J39" s="27"/>
    </row>
    <row r="40">
      <c r="A40" s="22" t="s">
        <v>298</v>
      </c>
      <c r="B40" s="21">
        <f t="shared" si="5"/>
        <v>0</v>
      </c>
      <c r="C40" s="21" t="str">
        <f>VLOOKUP(A40, hash!A$2:B$500, 2, 0)</f>
        <v>66e1e12be2fbdff8a0c35639</v>
      </c>
      <c r="D40" s="23">
        <f t="shared" si="1"/>
        <v>0</v>
      </c>
      <c r="E40" s="14">
        <v>0.0</v>
      </c>
      <c r="F40" s="27">
        <v>0.0</v>
      </c>
      <c r="G40" s="14">
        <v>0.0</v>
      </c>
      <c r="H40" s="27">
        <v>0.0</v>
      </c>
      <c r="I40" s="14">
        <v>0.0</v>
      </c>
      <c r="J40" s="27">
        <v>0.0</v>
      </c>
    </row>
    <row r="41">
      <c r="A41" s="22" t="s">
        <v>14</v>
      </c>
      <c r="B41" s="21">
        <f t="shared" si="5"/>
        <v>0</v>
      </c>
      <c r="C41" s="21" t="str">
        <f>VLOOKUP(A41, hash!A$2:B$500, 2, 0)</f>
        <v>66e1e10f7a8e6dc2aed3a63c</v>
      </c>
      <c r="D41" s="23">
        <f t="shared" si="1"/>
        <v>0</v>
      </c>
      <c r="E41" s="14">
        <v>0.0</v>
      </c>
      <c r="F41" s="27">
        <v>0.0</v>
      </c>
      <c r="G41" s="14">
        <v>0.0</v>
      </c>
      <c r="H41" s="27">
        <v>0.0</v>
      </c>
      <c r="I41" s="14">
        <v>0.0</v>
      </c>
      <c r="J41" s="27">
        <v>0.0</v>
      </c>
    </row>
    <row r="42">
      <c r="A42" s="22" t="s">
        <v>61</v>
      </c>
      <c r="B42" s="21">
        <f t="shared" si="5"/>
        <v>0</v>
      </c>
      <c r="C42" s="21" t="str">
        <f>VLOOKUP(A42, hash!A$2:B$500, 2, 0)</f>
        <v>65020c0f8f2b101294bb3dae</v>
      </c>
      <c r="D42" s="23">
        <f t="shared" si="1"/>
        <v>0</v>
      </c>
      <c r="E42" s="14">
        <v>0.0</v>
      </c>
      <c r="F42" s="27">
        <v>0.0</v>
      </c>
      <c r="G42" s="14">
        <v>0.0</v>
      </c>
      <c r="H42" s="27">
        <v>0.0</v>
      </c>
      <c r="I42" s="14">
        <v>0.0</v>
      </c>
      <c r="J42" s="27">
        <v>0.0</v>
      </c>
    </row>
    <row r="43">
      <c r="A43" s="22" t="s">
        <v>441</v>
      </c>
      <c r="B43" s="21">
        <f t="shared" si="5"/>
        <v>0</v>
      </c>
      <c r="C43" s="21" t="str">
        <f>VLOOKUP(A43, hash!A$2:B$500, 2, 0)</f>
        <v>632220596d021b5cf508ccd5</v>
      </c>
      <c r="D43" s="23">
        <f t="shared" si="1"/>
        <v>0</v>
      </c>
      <c r="F43" s="27"/>
      <c r="H43" s="27"/>
      <c r="J43" s="27"/>
    </row>
    <row r="44">
      <c r="A44" s="22" t="s">
        <v>442</v>
      </c>
      <c r="B44" s="21">
        <f t="shared" si="5"/>
        <v>0</v>
      </c>
      <c r="C44" s="21" t="str">
        <f>VLOOKUP(A44, hash!A$2:B$500, 2, 0)</f>
        <v>632220710aa8ba2dbc57c0ac</v>
      </c>
      <c r="D44" s="23">
        <f t="shared" si="1"/>
        <v>0</v>
      </c>
      <c r="E44" s="14">
        <v>0.0</v>
      </c>
      <c r="F44" s="27">
        <v>0.0</v>
      </c>
      <c r="G44" s="14">
        <v>0.0</v>
      </c>
      <c r="H44" s="27">
        <v>0.0</v>
      </c>
      <c r="I44" s="14">
        <v>0.0</v>
      </c>
      <c r="J44" s="27">
        <v>0.0</v>
      </c>
    </row>
    <row r="45">
      <c r="A45" s="22" t="s">
        <v>570</v>
      </c>
      <c r="B45" s="21">
        <f t="shared" si="5"/>
        <v>0</v>
      </c>
      <c r="C45" s="21" t="str">
        <f>VLOOKUP(A45, hash!A$2:B$500, 2, 0)</f>
        <v>#N/A</v>
      </c>
      <c r="D45" s="23">
        <f t="shared" si="1"/>
        <v>0</v>
      </c>
      <c r="F45" s="45"/>
      <c r="H45" s="45"/>
      <c r="J45" s="45"/>
    </row>
    <row r="46">
      <c r="A46" s="22" t="s">
        <v>39</v>
      </c>
      <c r="B46" s="21">
        <f t="shared" si="5"/>
        <v>0</v>
      </c>
      <c r="C46" s="21" t="str">
        <f>VLOOKUP(A46, hash!A$2:B$500, 2, 0)</f>
        <v>6594377be0f4f63927a8ce26</v>
      </c>
      <c r="D46" s="23">
        <f t="shared" si="1"/>
        <v>0</v>
      </c>
      <c r="F46" s="27"/>
      <c r="H46" s="27"/>
      <c r="J46" s="27"/>
    </row>
    <row r="47">
      <c r="A47" s="22" t="s">
        <v>40</v>
      </c>
      <c r="B47" s="21">
        <f t="shared" si="5"/>
        <v>0</v>
      </c>
      <c r="C47" s="21" t="str">
        <f>VLOOKUP(A47, hash!A$2:B$500, 2, 0)</f>
        <v>65020bed03dd812a55d3a207</v>
      </c>
      <c r="D47" s="23">
        <f t="shared" si="1"/>
        <v>0</v>
      </c>
      <c r="F47" s="27"/>
      <c r="H47" s="27"/>
      <c r="J47" s="27"/>
    </row>
    <row r="48">
      <c r="A48" s="22" t="s">
        <v>42</v>
      </c>
      <c r="B48" s="21">
        <f t="shared" si="5"/>
        <v>0</v>
      </c>
      <c r="C48" s="21" t="str">
        <f>VLOOKUP(A48, hash!A$2:B$500, 2, 0)</f>
        <v>66e1e102a61e89c7c68f6e2f</v>
      </c>
      <c r="D48" s="23">
        <f t="shared" si="1"/>
        <v>0</v>
      </c>
      <c r="F48" s="45"/>
      <c r="H48" s="45"/>
      <c r="J48" s="45"/>
    </row>
    <row r="49">
      <c r="A49" s="22" t="s">
        <v>21</v>
      </c>
      <c r="B49" s="21">
        <f t="shared" si="5"/>
        <v>0</v>
      </c>
      <c r="C49" s="21" t="str">
        <f>VLOOKUP(A49, hash!A$2:B$500, 2, 0)</f>
        <v>63222da0116f680d68804fa7</v>
      </c>
      <c r="D49" s="23">
        <f t="shared" si="1"/>
        <v>0</v>
      </c>
      <c r="E49" s="14">
        <v>0.0</v>
      </c>
      <c r="F49" s="27">
        <v>0.0</v>
      </c>
      <c r="G49" s="14">
        <v>0.0</v>
      </c>
      <c r="H49" s="27">
        <v>0.0</v>
      </c>
      <c r="I49" s="14">
        <v>0.0</v>
      </c>
      <c r="J49" s="27">
        <v>0.0</v>
      </c>
    </row>
    <row r="50">
      <c r="A50" s="22" t="s">
        <v>99</v>
      </c>
      <c r="B50" s="21">
        <f t="shared" si="5"/>
        <v>0</v>
      </c>
      <c r="C50" s="21" t="str">
        <f>VLOOKUP(A50, hash!A$2:B$500, 2, 0)</f>
        <v>66e1e1107315471e09f2b5b1</v>
      </c>
      <c r="D50" s="23">
        <f t="shared" si="1"/>
        <v>0</v>
      </c>
      <c r="F50" s="27"/>
      <c r="H50" s="27"/>
      <c r="J50" s="27"/>
    </row>
    <row r="51">
      <c r="A51" s="22" t="s">
        <v>293</v>
      </c>
      <c r="B51" s="21">
        <f t="shared" si="5"/>
        <v>0</v>
      </c>
      <c r="C51" s="21" t="str">
        <f>VLOOKUP(A51, hash!A$2:B$500, 2, 0)</f>
        <v>66e1e125e2fbdff8a0c35635</v>
      </c>
      <c r="D51" s="23">
        <f t="shared" si="1"/>
        <v>0</v>
      </c>
      <c r="F51" s="27"/>
      <c r="H51" s="27"/>
      <c r="J51" s="27"/>
    </row>
    <row r="52">
      <c r="A52" s="22" t="s">
        <v>303</v>
      </c>
      <c r="B52" s="21">
        <f t="shared" si="5"/>
        <v>0</v>
      </c>
      <c r="C52" s="21" t="str">
        <f>VLOOKUP(A52, hash!A$2:B$500, 2, 0)</f>
        <v>66e1e137db315cbd40043fc5</v>
      </c>
      <c r="D52" s="23">
        <f t="shared" si="1"/>
        <v>0</v>
      </c>
      <c r="E52" s="14">
        <v>0.0</v>
      </c>
      <c r="F52" s="27">
        <v>0.0</v>
      </c>
      <c r="G52" s="14">
        <v>0.0</v>
      </c>
      <c r="H52" s="27">
        <v>0.0</v>
      </c>
      <c r="I52" s="14">
        <v>0.0</v>
      </c>
      <c r="J52" s="27">
        <v>0.0</v>
      </c>
    </row>
    <row r="53">
      <c r="A53" s="22" t="s">
        <v>305</v>
      </c>
      <c r="B53" s="21">
        <f t="shared" si="5"/>
        <v>0</v>
      </c>
      <c r="C53" s="21" t="str">
        <f>VLOOKUP(A53, hash!A$2:B$500, 2, 0)</f>
        <v>66e1e141f0db8f5922c91d90</v>
      </c>
      <c r="D53" s="23">
        <f t="shared" si="1"/>
        <v>0</v>
      </c>
      <c r="F53" s="27"/>
      <c r="H53" s="27"/>
      <c r="J53" s="27"/>
    </row>
    <row r="54">
      <c r="A54" s="22" t="s">
        <v>306</v>
      </c>
      <c r="B54" s="21">
        <f t="shared" si="5"/>
        <v>0</v>
      </c>
      <c r="C54" s="21" t="str">
        <f>VLOOKUP(A54, hash!A$2:B$500, 2, 0)</f>
        <v>66e1e143db315cbd40043fcb</v>
      </c>
      <c r="D54" s="23">
        <f t="shared" si="1"/>
        <v>0</v>
      </c>
      <c r="E54" s="14">
        <v>0.0</v>
      </c>
      <c r="F54" s="27">
        <v>0.0</v>
      </c>
      <c r="G54" s="14">
        <v>0.0</v>
      </c>
      <c r="H54" s="27">
        <v>0.0</v>
      </c>
      <c r="I54" s="14">
        <v>0.0</v>
      </c>
      <c r="J54" s="27">
        <v>0.0</v>
      </c>
    </row>
    <row r="55">
      <c r="A55" s="22" t="s">
        <v>312</v>
      </c>
      <c r="B55" s="21">
        <f t="shared" si="5"/>
        <v>0</v>
      </c>
      <c r="C55" s="21" t="str">
        <f>VLOOKUP(A55, hash!A$2:B$500, 2, 0)</f>
        <v>66e1ed841129889a3e2c24a8</v>
      </c>
      <c r="D55" s="23">
        <f t="shared" si="1"/>
        <v>0</v>
      </c>
      <c r="E55" s="14">
        <v>0.0</v>
      </c>
      <c r="F55" s="27">
        <v>0.0</v>
      </c>
      <c r="G55" s="14">
        <v>0.0</v>
      </c>
      <c r="H55" s="27">
        <v>0.0</v>
      </c>
      <c r="I55" s="14">
        <v>0.0</v>
      </c>
      <c r="J55" s="27">
        <v>0.0</v>
      </c>
    </row>
    <row r="56">
      <c r="A56" s="22" t="s">
        <v>346</v>
      </c>
      <c r="B56" s="21">
        <f t="shared" si="5"/>
        <v>0</v>
      </c>
      <c r="C56" s="21" t="str">
        <f>VLOOKUP(A56, hash!A$2:B$500, 2, 0)</f>
        <v>66eb1c19a526292217381272</v>
      </c>
      <c r="D56" s="23">
        <f t="shared" si="1"/>
        <v>0</v>
      </c>
      <c r="F56" s="27"/>
      <c r="H56" s="27"/>
      <c r="J56" s="27"/>
    </row>
    <row r="57">
      <c r="A57" s="22" t="s">
        <v>140</v>
      </c>
      <c r="B57" s="21">
        <f t="shared" si="5"/>
        <v>0</v>
      </c>
      <c r="C57" s="21" t="str">
        <f>VLOOKUP(A57, hash!A$2:B$500, 2, 0)</f>
        <v>6502001596a576d9fa03f98e</v>
      </c>
      <c r="D57" s="23">
        <f t="shared" si="1"/>
        <v>0</v>
      </c>
      <c r="E57" s="14">
        <v>0.0</v>
      </c>
      <c r="F57" s="27">
        <v>0.0</v>
      </c>
      <c r="G57" s="14">
        <v>0.0</v>
      </c>
      <c r="H57" s="27">
        <v>0.0</v>
      </c>
      <c r="I57" s="14">
        <v>0.0</v>
      </c>
      <c r="J57" s="27">
        <v>0.0</v>
      </c>
    </row>
    <row r="58">
      <c r="A58" s="22" t="s">
        <v>96</v>
      </c>
      <c r="B58" s="21">
        <f t="shared" si="5"/>
        <v>0</v>
      </c>
      <c r="C58" s="21" t="str">
        <f>VLOOKUP(A58, hash!A$2:B$500, 2, 0)</f>
        <v>65020be28f2b101294bb3da3</v>
      </c>
      <c r="D58" s="23">
        <f t="shared" si="1"/>
        <v>0</v>
      </c>
      <c r="F58" s="27"/>
      <c r="H58" s="27"/>
      <c r="J58" s="27"/>
    </row>
    <row r="59">
      <c r="A59" s="22" t="s">
        <v>573</v>
      </c>
      <c r="B59" s="21">
        <f t="shared" si="5"/>
        <v>0</v>
      </c>
      <c r="C59" s="21" t="str">
        <f>VLOOKUP(A59, hash!A$2:B$500, 2, 0)</f>
        <v>#N/A</v>
      </c>
      <c r="D59" s="23">
        <f t="shared" si="1"/>
        <v>0</v>
      </c>
      <c r="E59" s="14">
        <v>0.0</v>
      </c>
      <c r="F59" s="27">
        <v>0.0</v>
      </c>
      <c r="G59" s="14">
        <v>0.0</v>
      </c>
      <c r="H59" s="27">
        <v>0.0</v>
      </c>
      <c r="I59" s="14">
        <v>0.0</v>
      </c>
      <c r="J59" s="27">
        <v>0.0</v>
      </c>
    </row>
    <row r="60">
      <c r="A60" s="22" t="s">
        <v>437</v>
      </c>
      <c r="B60" s="21">
        <f t="shared" si="5"/>
        <v>0</v>
      </c>
      <c r="C60" s="21" t="str">
        <f>VLOOKUP(A60, hash!A$2:B$500, 2, 0)</f>
        <v>63221ff90aa8ba2dbc57c0a2</v>
      </c>
      <c r="D60" s="23">
        <f t="shared" si="1"/>
        <v>0</v>
      </c>
      <c r="F60" s="27"/>
      <c r="H60" s="27"/>
      <c r="J60" s="45"/>
    </row>
    <row r="61">
      <c r="A61" s="22" t="s">
        <v>438</v>
      </c>
      <c r="B61" s="21">
        <f t="shared" si="5"/>
        <v>0</v>
      </c>
      <c r="C61" s="21" t="str">
        <f>VLOOKUP(A61, hash!A$2:B$500, 2, 0)</f>
        <v>6322202f81b57daeeb478dd1</v>
      </c>
      <c r="D61" s="23">
        <f t="shared" si="1"/>
        <v>0</v>
      </c>
      <c r="F61" s="27"/>
      <c r="H61" s="27"/>
      <c r="J61" s="27"/>
    </row>
    <row r="62">
      <c r="A62" s="22" t="s">
        <v>439</v>
      </c>
      <c r="B62" s="21">
        <f t="shared" si="5"/>
        <v>0</v>
      </c>
      <c r="C62" s="21" t="str">
        <f>VLOOKUP(A62, hash!A$2:B$500, 2, 0)</f>
        <v>632220300aa8ba2dbc57c0a7</v>
      </c>
      <c r="D62" s="23">
        <f t="shared" si="1"/>
        <v>0</v>
      </c>
      <c r="F62" s="45"/>
      <c r="H62" s="45"/>
      <c r="J62" s="45"/>
    </row>
    <row r="63">
      <c r="A63" s="22" t="s">
        <v>433</v>
      </c>
      <c r="B63" s="21">
        <f t="shared" si="5"/>
        <v>960.6649363</v>
      </c>
      <c r="C63" s="21" t="str">
        <f>VLOOKUP(A63, hash!A$2:B$500, 2, 0)</f>
        <v>6322203581b57daeeb478dd2</v>
      </c>
      <c r="D63" s="23">
        <f t="shared" si="1"/>
        <v>4.826414041</v>
      </c>
      <c r="E63" s="14">
        <v>1.0</v>
      </c>
      <c r="F63" s="27">
        <v>0.0</v>
      </c>
      <c r="G63" s="14">
        <v>1.0</v>
      </c>
      <c r="H63" s="27">
        <v>0.0</v>
      </c>
      <c r="I63" s="14">
        <v>0.0</v>
      </c>
      <c r="J63" s="27">
        <v>0.0</v>
      </c>
    </row>
    <row r="64">
      <c r="A64" s="22" t="s">
        <v>440</v>
      </c>
      <c r="B64" s="21">
        <f t="shared" si="5"/>
        <v>0</v>
      </c>
      <c r="C64" s="21" t="str">
        <f>VLOOKUP(A64, hash!A$2:B$500, 2, 0)</f>
        <v>632220580aa8ba2dbc57c0a9</v>
      </c>
      <c r="D64" s="23">
        <f t="shared" si="1"/>
        <v>0</v>
      </c>
      <c r="F64" s="45"/>
      <c r="H64" s="45"/>
      <c r="J64" s="45"/>
    </row>
    <row r="65">
      <c r="A65" s="22" t="s">
        <v>574</v>
      </c>
      <c r="B65" s="21">
        <f t="shared" si="5"/>
        <v>0</v>
      </c>
      <c r="C65" s="21" t="str">
        <f>VLOOKUP(A65, hash!A$2:B$500, 2, 0)</f>
        <v>#N/A</v>
      </c>
      <c r="D65" s="23">
        <f t="shared" si="1"/>
        <v>0</v>
      </c>
      <c r="F65" s="45"/>
      <c r="H65" s="45"/>
      <c r="J65" s="45"/>
    </row>
    <row r="66">
      <c r="A66" s="22" t="s">
        <v>575</v>
      </c>
      <c r="B66" s="21">
        <f t="shared" si="5"/>
        <v>0</v>
      </c>
      <c r="C66" s="21" t="str">
        <f>VLOOKUP(A66, hash!A$2:B$500, 2, 0)</f>
        <v>#N/A</v>
      </c>
      <c r="D66" s="23">
        <f t="shared" si="1"/>
        <v>0</v>
      </c>
      <c r="F66" s="45"/>
      <c r="H66" s="45"/>
      <c r="J66" s="45"/>
    </row>
    <row r="67">
      <c r="A67" s="22" t="s">
        <v>576</v>
      </c>
      <c r="B67" s="21">
        <f t="shared" si="5"/>
        <v>0</v>
      </c>
      <c r="C67" s="21" t="str">
        <f>VLOOKUP(A67, hash!A$2:B$500, 2, 0)</f>
        <v>#N/A</v>
      </c>
      <c r="D67" s="23">
        <f t="shared" si="1"/>
        <v>0</v>
      </c>
      <c r="F67" s="45"/>
      <c r="H67" s="45"/>
      <c r="J67" s="45"/>
    </row>
    <row r="68">
      <c r="A68" s="22" t="s">
        <v>577</v>
      </c>
      <c r="B68" s="21">
        <f t="shared" si="5"/>
        <v>0</v>
      </c>
      <c r="C68" s="21" t="str">
        <f>VLOOKUP(A68, hash!A$2:B$500, 2, 0)</f>
        <v>#N/A</v>
      </c>
      <c r="D68" s="23">
        <f t="shared" si="1"/>
        <v>0</v>
      </c>
      <c r="E68" s="14">
        <v>0.0</v>
      </c>
      <c r="F68" s="27">
        <v>0.0</v>
      </c>
      <c r="G68" s="14">
        <v>0.0</v>
      </c>
      <c r="H68" s="27">
        <v>0.0</v>
      </c>
      <c r="I68" s="14">
        <v>0.0</v>
      </c>
      <c r="J68" s="27">
        <v>0.0</v>
      </c>
    </row>
    <row r="69">
      <c r="A69" s="22" t="s">
        <v>443</v>
      </c>
      <c r="B69" s="21">
        <f t="shared" si="5"/>
        <v>0</v>
      </c>
      <c r="C69" s="21" t="str">
        <f>VLOOKUP(A69, hash!A$2:B$500, 2, 0)</f>
        <v>6322211bf382c17890e6a3dd</v>
      </c>
      <c r="D69" s="23">
        <f t="shared" si="1"/>
        <v>0</v>
      </c>
      <c r="F69" s="45"/>
      <c r="H69" s="45"/>
      <c r="J69" s="45"/>
    </row>
    <row r="70">
      <c r="A70" s="22" t="s">
        <v>444</v>
      </c>
      <c r="B70" s="21">
        <f t="shared" si="5"/>
        <v>0</v>
      </c>
      <c r="C70" s="21" t="str">
        <f>VLOOKUP(A70, hash!A$2:B$500, 2, 0)</f>
        <v>63222123f382c17890e6a3de</v>
      </c>
      <c r="D70" s="23">
        <f t="shared" si="1"/>
        <v>0</v>
      </c>
      <c r="F70" s="45"/>
      <c r="H70" s="45"/>
      <c r="J70" s="45"/>
    </row>
    <row r="71">
      <c r="A71" s="22" t="s">
        <v>445</v>
      </c>
      <c r="B71" s="21">
        <f t="shared" si="5"/>
        <v>0</v>
      </c>
      <c r="C71" s="21" t="str">
        <f>VLOOKUP(A71, hash!A$2:B$500, 2, 0)</f>
        <v>632222c3f382c17890e6a3e0</v>
      </c>
      <c r="D71" s="23">
        <f t="shared" si="1"/>
        <v>0</v>
      </c>
      <c r="F71" s="45"/>
      <c r="H71" s="45"/>
      <c r="J71" s="45"/>
    </row>
    <row r="72">
      <c r="A72" s="22" t="s">
        <v>446</v>
      </c>
      <c r="B72" s="21">
        <f t="shared" si="5"/>
        <v>0</v>
      </c>
      <c r="C72" s="21" t="str">
        <f>VLOOKUP(A72, hash!A$2:B$500, 2, 0)</f>
        <v>63222372f382c17890e6a3e2</v>
      </c>
      <c r="D72" s="23">
        <f t="shared" si="1"/>
        <v>0</v>
      </c>
      <c r="F72" s="45"/>
      <c r="H72" s="45"/>
      <c r="J72" s="45"/>
    </row>
    <row r="73">
      <c r="A73" s="22" t="s">
        <v>447</v>
      </c>
      <c r="B73" s="21">
        <f t="shared" si="5"/>
        <v>0</v>
      </c>
      <c r="C73" s="21" t="str">
        <f>VLOOKUP(A73, hash!A$2:B$500, 2, 0)</f>
        <v>632223746d021b5cf508ccde</v>
      </c>
      <c r="D73" s="23">
        <f t="shared" si="1"/>
        <v>0</v>
      </c>
      <c r="F73" s="45"/>
      <c r="H73" s="45"/>
      <c r="J73" s="45"/>
    </row>
    <row r="74">
      <c r="A74" s="22" t="s">
        <v>448</v>
      </c>
      <c r="B74" s="21">
        <f t="shared" si="5"/>
        <v>0</v>
      </c>
      <c r="C74" s="21" t="str">
        <f>VLOOKUP(A74, hash!A$2:B$500, 2, 0)</f>
        <v>6322239b6d021b5cf508cce5</v>
      </c>
      <c r="D74" s="23">
        <f t="shared" si="1"/>
        <v>0</v>
      </c>
      <c r="F74" s="45"/>
      <c r="H74" s="45"/>
      <c r="J74" s="45"/>
    </row>
    <row r="75">
      <c r="A75" s="22" t="s">
        <v>449</v>
      </c>
      <c r="B75" s="21">
        <f t="shared" si="5"/>
        <v>0</v>
      </c>
      <c r="C75" s="21" t="str">
        <f>VLOOKUP(A75, hash!A$2:B$500, 2, 0)</f>
        <v>632223a1d53b2d7ef1d3746d</v>
      </c>
      <c r="D75" s="23">
        <f t="shared" si="1"/>
        <v>0</v>
      </c>
      <c r="F75" s="45"/>
      <c r="H75" s="45"/>
      <c r="J75" s="45"/>
    </row>
    <row r="76">
      <c r="A76" s="22" t="s">
        <v>450</v>
      </c>
      <c r="B76" s="21">
        <f t="shared" si="5"/>
        <v>0</v>
      </c>
      <c r="C76" s="21" t="str">
        <f>VLOOKUP(A76, hash!A$2:B$500, 2, 0)</f>
        <v>632223bdd53b2d7ef1d3746e</v>
      </c>
      <c r="D76" s="23">
        <f t="shared" si="1"/>
        <v>0</v>
      </c>
      <c r="F76" s="45"/>
      <c r="H76" s="45"/>
      <c r="J76" s="45"/>
    </row>
    <row r="77">
      <c r="A77" s="22" t="s">
        <v>451</v>
      </c>
      <c r="B77" s="21">
        <f t="shared" si="5"/>
        <v>0</v>
      </c>
      <c r="C77" s="21" t="str">
        <f>VLOOKUP(A77, hash!A$2:B$500, 2, 0)</f>
        <v>632223e585532e9bb23b7f01</v>
      </c>
      <c r="D77" s="23">
        <f t="shared" si="1"/>
        <v>0</v>
      </c>
      <c r="F77" s="45"/>
      <c r="H77" s="45"/>
      <c r="J77" s="45"/>
    </row>
    <row r="78">
      <c r="A78" s="22" t="s">
        <v>452</v>
      </c>
      <c r="B78" s="21">
        <f t="shared" si="5"/>
        <v>0</v>
      </c>
      <c r="C78" s="21" t="str">
        <f>VLOOKUP(A78, hash!A$2:B$500, 2, 0)</f>
        <v>632226f3d53b2d7ef1d37472</v>
      </c>
      <c r="D78" s="23">
        <f t="shared" si="1"/>
        <v>0</v>
      </c>
      <c r="F78" s="45"/>
      <c r="H78" s="45"/>
      <c r="J78" s="45"/>
    </row>
    <row r="79">
      <c r="A79" s="22" t="s">
        <v>453</v>
      </c>
      <c r="B79" s="21">
        <f t="shared" si="5"/>
        <v>0</v>
      </c>
      <c r="C79" s="21" t="str">
        <f>VLOOKUP(A79, hash!A$2:B$500, 2, 0)</f>
        <v>63222960d53b2d7ef1d37476</v>
      </c>
      <c r="D79" s="23">
        <f t="shared" si="1"/>
        <v>0</v>
      </c>
      <c r="F79" s="45"/>
      <c r="H79" s="45"/>
      <c r="J79" s="45"/>
    </row>
    <row r="80">
      <c r="A80" s="22" t="s">
        <v>578</v>
      </c>
      <c r="B80" s="21">
        <f t="shared" si="5"/>
        <v>0</v>
      </c>
      <c r="C80" s="21" t="str">
        <f>VLOOKUP(A80, hash!A$2:B$500, 2, 0)</f>
        <v>#N/A</v>
      </c>
      <c r="D80" s="23">
        <f t="shared" si="1"/>
        <v>0</v>
      </c>
      <c r="E80" s="14">
        <v>0.0</v>
      </c>
      <c r="F80" s="27">
        <v>0.0</v>
      </c>
      <c r="G80" s="14">
        <v>0.0</v>
      </c>
      <c r="H80" s="27">
        <v>0.0</v>
      </c>
      <c r="I80" s="14">
        <v>0.0</v>
      </c>
      <c r="J80" s="27">
        <v>0.0</v>
      </c>
    </row>
    <row r="81">
      <c r="A81" s="22" t="s">
        <v>454</v>
      </c>
      <c r="B81" s="21">
        <f t="shared" si="5"/>
        <v>0</v>
      </c>
      <c r="C81" s="21" t="str">
        <f>VLOOKUP(A81, hash!A$2:B$500, 2, 0)</f>
        <v>632229c19832ea0dea0e2dcf</v>
      </c>
      <c r="D81" s="23">
        <f t="shared" si="1"/>
        <v>0</v>
      </c>
      <c r="F81" s="45"/>
      <c r="H81" s="45"/>
      <c r="J81" s="45"/>
    </row>
    <row r="82">
      <c r="A82" s="22" t="s">
        <v>455</v>
      </c>
      <c r="B82" s="21">
        <f t="shared" si="5"/>
        <v>0</v>
      </c>
      <c r="C82" s="21" t="str">
        <f>VLOOKUP(A82, hash!A$2:B$500, 2, 0)</f>
        <v>63222a025bded5e4ff37ac1e</v>
      </c>
      <c r="D82" s="23">
        <f t="shared" si="1"/>
        <v>0</v>
      </c>
      <c r="F82" s="45"/>
      <c r="H82" s="45"/>
      <c r="J82" s="45"/>
    </row>
    <row r="83">
      <c r="A83" s="22" t="s">
        <v>579</v>
      </c>
      <c r="B83" s="21">
        <f t="shared" si="5"/>
        <v>0</v>
      </c>
      <c r="C83" s="21" t="str">
        <f>VLOOKUP(A83, hash!A$2:B$500, 2, 0)</f>
        <v>#N/A</v>
      </c>
      <c r="D83" s="23">
        <f t="shared" si="1"/>
        <v>0</v>
      </c>
      <c r="F83" s="45"/>
      <c r="H83" s="45"/>
      <c r="J83" s="45"/>
    </row>
    <row r="84">
      <c r="A84" s="22" t="s">
        <v>580</v>
      </c>
      <c r="B84" s="21">
        <f t="shared" si="5"/>
        <v>0</v>
      </c>
      <c r="C84" s="21" t="str">
        <f>VLOOKUP(A84, hash!A$2:B$500, 2, 0)</f>
        <v>#N/A</v>
      </c>
      <c r="D84" s="23">
        <f t="shared" si="1"/>
        <v>0</v>
      </c>
      <c r="F84" s="45"/>
      <c r="H84" s="45"/>
      <c r="J84" s="45"/>
    </row>
    <row r="85">
      <c r="A85" s="22" t="s">
        <v>581</v>
      </c>
      <c r="B85" s="21">
        <f t="shared" si="5"/>
        <v>0</v>
      </c>
      <c r="C85" s="21" t="str">
        <f>VLOOKUP(A85, hash!A$2:B$500, 2, 0)</f>
        <v>#N/A</v>
      </c>
      <c r="D85" s="23">
        <f t="shared" si="1"/>
        <v>0</v>
      </c>
      <c r="F85" s="45"/>
      <c r="H85" s="45"/>
      <c r="J85" s="45"/>
    </row>
    <row r="86">
      <c r="A86" s="22" t="s">
        <v>456</v>
      </c>
      <c r="B86" s="21">
        <f t="shared" si="5"/>
        <v>0</v>
      </c>
      <c r="C86" s="21" t="str">
        <f>VLOOKUP(A86, hash!A$2:B$500, 2, 0)</f>
        <v>63222a9ced58d92b843f7cb0</v>
      </c>
      <c r="D86" s="23">
        <f t="shared" si="1"/>
        <v>0</v>
      </c>
      <c r="F86" s="45"/>
      <c r="H86" s="45"/>
      <c r="J86" s="45"/>
    </row>
    <row r="87">
      <c r="A87" s="22" t="s">
        <v>457</v>
      </c>
      <c r="B87" s="21">
        <f t="shared" si="5"/>
        <v>0</v>
      </c>
      <c r="C87" s="21" t="str">
        <f>VLOOKUP(A87, hash!A$2:B$500, 2, 0)</f>
        <v>63222ae4562da848b695b87f</v>
      </c>
      <c r="D87" s="23">
        <f t="shared" si="1"/>
        <v>0</v>
      </c>
      <c r="F87" s="45"/>
      <c r="H87" s="45"/>
      <c r="J87" s="45"/>
    </row>
    <row r="88">
      <c r="A88" s="22" t="s">
        <v>582</v>
      </c>
      <c r="B88" s="21">
        <f t="shared" si="5"/>
        <v>0</v>
      </c>
      <c r="C88" s="21" t="str">
        <f>VLOOKUP(A88, hash!A$2:B$500, 2, 0)</f>
        <v>#N/A</v>
      </c>
      <c r="D88" s="23">
        <f t="shared" si="1"/>
        <v>0</v>
      </c>
      <c r="E88" s="14">
        <v>0.0</v>
      </c>
      <c r="F88" s="27">
        <v>0.0</v>
      </c>
      <c r="G88" s="14">
        <v>0.0</v>
      </c>
      <c r="H88" s="27">
        <v>0.0</v>
      </c>
      <c r="I88" s="14">
        <v>0.0</v>
      </c>
      <c r="J88" s="27">
        <v>0.0</v>
      </c>
    </row>
    <row r="89">
      <c r="A89" s="22" t="s">
        <v>583</v>
      </c>
      <c r="B89" s="21">
        <f t="shared" si="5"/>
        <v>0</v>
      </c>
      <c r="C89" s="21" t="str">
        <f>VLOOKUP(A89, hash!A$2:B$500, 2, 0)</f>
        <v>#N/A</v>
      </c>
      <c r="D89" s="23">
        <f t="shared" si="1"/>
        <v>0</v>
      </c>
      <c r="F89" s="45"/>
      <c r="H89" s="45"/>
      <c r="J89" s="45"/>
    </row>
    <row r="90">
      <c r="A90" s="22" t="s">
        <v>584</v>
      </c>
      <c r="B90" s="21">
        <f t="shared" si="5"/>
        <v>0</v>
      </c>
      <c r="C90" s="21" t="str">
        <f>VLOOKUP(A90, hash!A$2:B$500, 2, 0)</f>
        <v>#N/A</v>
      </c>
      <c r="D90" s="23">
        <f t="shared" si="1"/>
        <v>0</v>
      </c>
      <c r="F90" s="45"/>
      <c r="H90" s="27"/>
      <c r="J90" s="45"/>
    </row>
    <row r="91">
      <c r="A91" s="22" t="s">
        <v>458</v>
      </c>
      <c r="B91" s="21">
        <f t="shared" si="5"/>
        <v>0</v>
      </c>
      <c r="C91" s="21" t="str">
        <f>VLOOKUP(A91, hash!A$2:B$500, 2, 0)</f>
        <v>63222d94ed58d92b843f7cc0</v>
      </c>
      <c r="D91" s="23">
        <f t="shared" si="1"/>
        <v>0</v>
      </c>
      <c r="F91" s="45"/>
      <c r="H91" s="45"/>
      <c r="J91" s="45"/>
    </row>
    <row r="92">
      <c r="A92" s="22" t="s">
        <v>459</v>
      </c>
      <c r="B92" s="21">
        <f t="shared" si="5"/>
        <v>0</v>
      </c>
      <c r="C92" s="21" t="str">
        <f>VLOOKUP(A92, hash!A$2:B$500, 2, 0)</f>
        <v>63222da4562da848b695b882</v>
      </c>
      <c r="D92" s="23">
        <f t="shared" si="1"/>
        <v>0</v>
      </c>
      <c r="F92" s="45"/>
      <c r="H92" s="45"/>
      <c r="J92" s="45"/>
    </row>
    <row r="93">
      <c r="A93" s="22" t="s">
        <v>585</v>
      </c>
      <c r="B93" s="21">
        <f t="shared" si="5"/>
        <v>0</v>
      </c>
      <c r="C93" s="21" t="str">
        <f>VLOOKUP(A93, hash!A$2:B$500, 2, 0)</f>
        <v>#N/A</v>
      </c>
      <c r="D93" s="23">
        <f t="shared" si="1"/>
        <v>0</v>
      </c>
      <c r="F93" s="45"/>
      <c r="H93" s="45"/>
      <c r="J93" s="45"/>
    </row>
    <row r="94">
      <c r="A94" s="22" t="s">
        <v>460</v>
      </c>
      <c r="B94" s="21">
        <f t="shared" si="5"/>
        <v>0</v>
      </c>
      <c r="C94" s="21" t="str">
        <f>VLOOKUP(A94, hash!A$2:B$500, 2, 0)</f>
        <v>63222dc6a729a8363c093b6b</v>
      </c>
      <c r="D94" s="23">
        <f t="shared" si="1"/>
        <v>0</v>
      </c>
      <c r="F94" s="45"/>
      <c r="H94" s="45"/>
      <c r="J94" s="45"/>
    </row>
    <row r="95">
      <c r="A95" s="22" t="s">
        <v>436</v>
      </c>
      <c r="B95" s="21">
        <f t="shared" si="5"/>
        <v>0</v>
      </c>
      <c r="C95" s="21" t="str">
        <f>VLOOKUP(A95, hash!A$2:B$500, 2, 0)</f>
        <v>63222dd4a729a8363c093b6d</v>
      </c>
      <c r="D95" s="23">
        <f t="shared" si="1"/>
        <v>0</v>
      </c>
      <c r="E95" s="14">
        <v>0.0</v>
      </c>
      <c r="F95" s="27">
        <v>0.0</v>
      </c>
      <c r="G95" s="14">
        <v>0.0</v>
      </c>
      <c r="H95" s="27">
        <v>0.0</v>
      </c>
      <c r="I95" s="14">
        <v>0.0</v>
      </c>
      <c r="J95" s="27">
        <v>0.0</v>
      </c>
    </row>
    <row r="96">
      <c r="A96" s="22" t="s">
        <v>461</v>
      </c>
      <c r="B96" s="21">
        <f t="shared" si="5"/>
        <v>0</v>
      </c>
      <c r="C96" s="21" t="str">
        <f>VLOOKUP(A96, hash!A$2:B$500, 2, 0)</f>
        <v>63222dd7a729a8363c093b6e</v>
      </c>
      <c r="D96" s="23">
        <f t="shared" si="1"/>
        <v>0</v>
      </c>
      <c r="F96" s="45"/>
      <c r="H96" s="45"/>
      <c r="J96" s="45"/>
    </row>
    <row r="97">
      <c r="A97" s="22" t="s">
        <v>462</v>
      </c>
      <c r="B97" s="21">
        <f t="shared" si="5"/>
        <v>0</v>
      </c>
      <c r="C97" s="21" t="str">
        <f>VLOOKUP(A97, hash!A$2:B$500, 2, 0)</f>
        <v>63222deca729a8363c093b71</v>
      </c>
      <c r="D97" s="23">
        <f t="shared" si="1"/>
        <v>0</v>
      </c>
      <c r="F97" s="45"/>
      <c r="H97" s="45"/>
      <c r="J97" s="45"/>
    </row>
    <row r="98">
      <c r="A98" s="22" t="s">
        <v>463</v>
      </c>
      <c r="B98" s="21">
        <f t="shared" si="5"/>
        <v>0</v>
      </c>
      <c r="C98" s="21" t="str">
        <f>VLOOKUP(A98, hash!A$2:B$500, 2, 0)</f>
        <v>63222e10ed58d92b843f7cca</v>
      </c>
      <c r="D98" s="23">
        <f t="shared" si="1"/>
        <v>0</v>
      </c>
      <c r="F98" s="45"/>
      <c r="H98" s="45"/>
      <c r="J98" s="45"/>
    </row>
    <row r="99">
      <c r="A99" s="22" t="s">
        <v>464</v>
      </c>
      <c r="B99" s="21">
        <f t="shared" si="5"/>
        <v>0</v>
      </c>
      <c r="C99" s="21" t="str">
        <f>VLOOKUP(A99, hash!A$2:B$500, 2, 0)</f>
        <v>63222e35ed58d92b843f7ccd</v>
      </c>
      <c r="D99" s="23">
        <f t="shared" si="1"/>
        <v>0</v>
      </c>
      <c r="F99" s="45"/>
      <c r="H99" s="45"/>
      <c r="J99" s="45"/>
    </row>
    <row r="100">
      <c r="A100" s="22" t="s">
        <v>465</v>
      </c>
      <c r="B100" s="21">
        <f t="shared" si="5"/>
        <v>0</v>
      </c>
      <c r="C100" s="21" t="str">
        <f>VLOOKUP(A100, hash!A$2:B$500, 2, 0)</f>
        <v>63222e3a116f680d68804fa8</v>
      </c>
      <c r="D100" s="23">
        <f t="shared" si="1"/>
        <v>0</v>
      </c>
      <c r="F100" s="45"/>
      <c r="H100" s="45"/>
      <c r="J100" s="45"/>
    </row>
    <row r="101">
      <c r="A101" s="22" t="s">
        <v>466</v>
      </c>
      <c r="B101" s="21">
        <f t="shared" si="5"/>
        <v>0</v>
      </c>
      <c r="C101" s="21" t="str">
        <f>VLOOKUP(A101, hash!A$2:B$500, 2, 0)</f>
        <v>63222fa8562da848b695b887</v>
      </c>
      <c r="D101" s="23">
        <f t="shared" si="1"/>
        <v>0</v>
      </c>
      <c r="F101" s="45"/>
      <c r="H101" s="45"/>
      <c r="J101" s="45"/>
    </row>
    <row r="102">
      <c r="A102" s="22" t="s">
        <v>586</v>
      </c>
      <c r="B102" s="21">
        <f t="shared" si="5"/>
        <v>0</v>
      </c>
      <c r="C102" s="21" t="str">
        <f>VLOOKUP(A102, hash!A$2:B$500, 2, 0)</f>
        <v>#N/A</v>
      </c>
      <c r="D102" s="23">
        <f t="shared" si="1"/>
        <v>0</v>
      </c>
      <c r="F102" s="45"/>
      <c r="H102" s="45"/>
      <c r="J102" s="45"/>
    </row>
    <row r="103">
      <c r="A103" s="22" t="s">
        <v>467</v>
      </c>
      <c r="B103" s="21">
        <f t="shared" si="5"/>
        <v>0</v>
      </c>
      <c r="C103" s="21" t="str">
        <f>VLOOKUP(A103, hash!A$2:B$500, 2, 0)</f>
        <v>6329051b0c14e4fbd2ecace8</v>
      </c>
      <c r="D103" s="23">
        <f t="shared" si="1"/>
        <v>0</v>
      </c>
      <c r="F103" s="45"/>
      <c r="H103" s="45"/>
      <c r="J103" s="45"/>
    </row>
    <row r="104">
      <c r="A104" s="22" t="s">
        <v>468</v>
      </c>
      <c r="B104" s="21">
        <f t="shared" si="5"/>
        <v>0</v>
      </c>
      <c r="C104" s="21" t="str">
        <f>VLOOKUP(A104, hash!A$2:B$500, 2, 0)</f>
        <v>632b580f43e430c49f17d5dc</v>
      </c>
      <c r="D104" s="23">
        <f t="shared" si="1"/>
        <v>0</v>
      </c>
      <c r="F104" s="45"/>
      <c r="H104" s="45"/>
      <c r="J104" s="45"/>
    </row>
    <row r="105">
      <c r="A105" s="22" t="s">
        <v>469</v>
      </c>
      <c r="B105" s="21">
        <f t="shared" si="5"/>
        <v>0</v>
      </c>
      <c r="C105" s="21" t="str">
        <f>VLOOKUP(A105, hash!A$2:B$500, 2, 0)</f>
        <v>632b58290801926c6f0d9a37</v>
      </c>
      <c r="D105" s="23">
        <f t="shared" si="1"/>
        <v>0</v>
      </c>
      <c r="F105" s="45"/>
      <c r="H105" s="45"/>
      <c r="J105" s="45"/>
    </row>
    <row r="106">
      <c r="A106" s="22" t="s">
        <v>470</v>
      </c>
      <c r="B106" s="21">
        <f t="shared" si="5"/>
        <v>0</v>
      </c>
      <c r="C106" s="21" t="str">
        <f>VLOOKUP(A106, hash!A$2:B$500, 2, 0)</f>
        <v>632b5867c396d0088321be3a</v>
      </c>
      <c r="D106" s="23">
        <f t="shared" si="1"/>
        <v>0</v>
      </c>
      <c r="F106" s="45"/>
      <c r="H106" s="45"/>
      <c r="J106" s="45"/>
    </row>
    <row r="107">
      <c r="A107" s="22" t="s">
        <v>587</v>
      </c>
      <c r="B107" s="21">
        <f t="shared" si="5"/>
        <v>0</v>
      </c>
      <c r="C107" s="21" t="str">
        <f>VLOOKUP(A107, hash!A$2:B$500, 2, 0)</f>
        <v>#N/A</v>
      </c>
      <c r="D107" s="23">
        <f t="shared" si="1"/>
        <v>0</v>
      </c>
      <c r="F107" s="45"/>
      <c r="H107" s="45"/>
      <c r="J107" s="45"/>
    </row>
    <row r="108">
      <c r="A108" s="22" t="s">
        <v>471</v>
      </c>
      <c r="B108" s="21">
        <f t="shared" si="5"/>
        <v>0</v>
      </c>
      <c r="C108" s="21" t="str">
        <f>VLOOKUP(A108, hash!A$2:B$500, 2, 0)</f>
        <v>632b592764f599396d113b28</v>
      </c>
      <c r="D108" s="23">
        <f t="shared" si="1"/>
        <v>0</v>
      </c>
      <c r="F108" s="45"/>
      <c r="H108" s="45"/>
      <c r="J108" s="45"/>
    </row>
    <row r="109">
      <c r="A109" s="22" t="s">
        <v>588</v>
      </c>
      <c r="B109" s="21">
        <f t="shared" si="5"/>
        <v>0</v>
      </c>
      <c r="C109" s="21" t="str">
        <f>VLOOKUP(A109, hash!A$2:B$500, 2, 0)</f>
        <v>#N/A</v>
      </c>
      <c r="D109" s="23">
        <f t="shared" si="1"/>
        <v>0</v>
      </c>
      <c r="F109" s="45"/>
      <c r="H109" s="45"/>
      <c r="J109" s="45"/>
    </row>
    <row r="110">
      <c r="A110" s="22" t="s">
        <v>589</v>
      </c>
      <c r="B110" s="21">
        <f t="shared" si="5"/>
        <v>0</v>
      </c>
      <c r="C110" s="21" t="str">
        <f>VLOOKUP(A110, hash!A$2:B$500, 2, 0)</f>
        <v>#N/A</v>
      </c>
      <c r="D110" s="23">
        <f t="shared" si="1"/>
        <v>0</v>
      </c>
      <c r="F110" s="45"/>
      <c r="H110" s="45"/>
      <c r="J110" s="45"/>
    </row>
    <row r="111">
      <c r="A111" s="22" t="s">
        <v>590</v>
      </c>
      <c r="B111" s="21">
        <f t="shared" si="5"/>
        <v>0</v>
      </c>
      <c r="C111" s="21" t="str">
        <f>VLOOKUP(A111, hash!A$2:B$500, 2, 0)</f>
        <v>#N/A</v>
      </c>
      <c r="D111" s="23">
        <f t="shared" si="1"/>
        <v>0</v>
      </c>
      <c r="F111" s="45"/>
      <c r="H111" s="45"/>
      <c r="J111" s="45"/>
    </row>
    <row r="112">
      <c r="A112" s="22" t="s">
        <v>591</v>
      </c>
      <c r="B112" s="21">
        <f t="shared" si="5"/>
        <v>0</v>
      </c>
      <c r="C112" s="21" t="str">
        <f>VLOOKUP(A112, hash!A$2:B$500, 2, 0)</f>
        <v>#N/A</v>
      </c>
      <c r="D112" s="23">
        <f t="shared" si="1"/>
        <v>0</v>
      </c>
      <c r="F112" s="45"/>
      <c r="H112" s="45"/>
      <c r="J112" s="45"/>
    </row>
    <row r="113">
      <c r="A113" s="22" t="s">
        <v>592</v>
      </c>
      <c r="B113" s="21">
        <f t="shared" si="5"/>
        <v>0</v>
      </c>
      <c r="C113" s="21" t="str">
        <f>VLOOKUP(A113, hash!A$2:B$500, 2, 0)</f>
        <v>#N/A</v>
      </c>
      <c r="D113" s="23">
        <f t="shared" si="1"/>
        <v>0</v>
      </c>
      <c r="F113" s="45"/>
      <c r="H113" s="45"/>
      <c r="J113" s="45"/>
    </row>
    <row r="114">
      <c r="A114" s="22" t="s">
        <v>472</v>
      </c>
      <c r="B114" s="21">
        <f t="shared" si="5"/>
        <v>0</v>
      </c>
      <c r="C114" s="21" t="str">
        <f>VLOOKUP(A114, hash!A$2:B$500, 2, 0)</f>
        <v>632b659ebfb5f9d04c8cca40</v>
      </c>
      <c r="D114" s="23">
        <f t="shared" si="1"/>
        <v>0</v>
      </c>
      <c r="F114" s="45"/>
      <c r="H114" s="45"/>
      <c r="J114" s="45"/>
    </row>
    <row r="115">
      <c r="A115" s="22" t="s">
        <v>473</v>
      </c>
      <c r="B115" s="21">
        <f t="shared" si="5"/>
        <v>0</v>
      </c>
      <c r="C115" s="21" t="str">
        <f>VLOOKUP(A115, hash!A$2:B$500, 2, 0)</f>
        <v>63332820dde72043c98a24b0</v>
      </c>
      <c r="D115" s="23">
        <f t="shared" si="1"/>
        <v>0</v>
      </c>
      <c r="F115" s="45"/>
      <c r="H115" s="45"/>
      <c r="J115" s="45"/>
    </row>
    <row r="116">
      <c r="A116" s="22" t="s">
        <v>474</v>
      </c>
      <c r="B116" s="21">
        <f t="shared" si="5"/>
        <v>0</v>
      </c>
      <c r="C116" s="21" t="str">
        <f>VLOOKUP(A116, hash!A$2:B$500, 2, 0)</f>
        <v>6334930daf5a29e196628f54</v>
      </c>
      <c r="D116" s="23">
        <f t="shared" si="1"/>
        <v>0</v>
      </c>
      <c r="F116" s="45"/>
      <c r="H116" s="45"/>
      <c r="J116" s="45"/>
    </row>
    <row r="117">
      <c r="A117" s="22" t="s">
        <v>593</v>
      </c>
      <c r="B117" s="21">
        <f t="shared" si="5"/>
        <v>0</v>
      </c>
      <c r="C117" s="21" t="str">
        <f>VLOOKUP(A117, hash!A$2:B$500, 2, 0)</f>
        <v>#N/A</v>
      </c>
      <c r="D117" s="23">
        <f t="shared" si="1"/>
        <v>0</v>
      </c>
      <c r="F117" s="45"/>
      <c r="H117" s="45"/>
      <c r="J117" s="45"/>
    </row>
    <row r="118">
      <c r="A118" s="22" t="s">
        <v>510</v>
      </c>
      <c r="B118" s="21">
        <f t="shared" si="5"/>
        <v>0</v>
      </c>
      <c r="C118" s="21" t="str">
        <f>VLOOKUP(A118, hash!A$2:B$500, 2, 0)</f>
        <v>6334931c5db42318c75b941a</v>
      </c>
      <c r="D118" s="23">
        <f t="shared" si="1"/>
        <v>0</v>
      </c>
      <c r="E118" s="14">
        <v>0.0</v>
      </c>
      <c r="F118" s="27">
        <v>0.0</v>
      </c>
      <c r="G118" s="14">
        <v>0.0</v>
      </c>
      <c r="H118" s="27">
        <v>0.0</v>
      </c>
      <c r="I118" s="14">
        <v>0.0</v>
      </c>
      <c r="J118" s="27">
        <v>0.0</v>
      </c>
    </row>
    <row r="119">
      <c r="A119" s="22" t="s">
        <v>475</v>
      </c>
      <c r="B119" s="21">
        <f t="shared" si="5"/>
        <v>0</v>
      </c>
      <c r="C119" s="21" t="str">
        <f>VLOOKUP(A119, hash!A$2:B$500, 2, 0)</f>
        <v>6334934ee801712b31d25536</v>
      </c>
      <c r="D119" s="23">
        <f t="shared" si="1"/>
        <v>0</v>
      </c>
      <c r="F119" s="45"/>
      <c r="H119" s="45"/>
      <c r="J119" s="45"/>
    </row>
    <row r="120">
      <c r="A120" s="22" t="s">
        <v>476</v>
      </c>
      <c r="B120" s="21">
        <f t="shared" si="5"/>
        <v>0</v>
      </c>
      <c r="C120" s="21" t="str">
        <f>VLOOKUP(A120, hash!A$2:B$500, 2, 0)</f>
        <v>63349f8e3a8dbca7ef791374</v>
      </c>
      <c r="D120" s="23">
        <f t="shared" si="1"/>
        <v>0</v>
      </c>
      <c r="F120" s="45"/>
      <c r="H120" s="45"/>
      <c r="J120" s="45"/>
    </row>
    <row r="121">
      <c r="A121" s="22" t="s">
        <v>594</v>
      </c>
      <c r="B121" s="21">
        <f t="shared" si="5"/>
        <v>0</v>
      </c>
      <c r="C121" s="21" t="str">
        <f>VLOOKUP(A121, hash!A$2:B$500, 2, 0)</f>
        <v>#N/A</v>
      </c>
      <c r="D121" s="23">
        <f t="shared" si="1"/>
        <v>0</v>
      </c>
      <c r="F121" s="27"/>
      <c r="H121" s="45"/>
      <c r="J121" s="45"/>
    </row>
    <row r="122">
      <c r="A122" s="22" t="s">
        <v>477</v>
      </c>
      <c r="B122" s="21">
        <f t="shared" si="5"/>
        <v>0</v>
      </c>
      <c r="C122" s="21" t="str">
        <f>VLOOKUP(A122, hash!A$2:B$500, 2, 0)</f>
        <v>63349f9a3a8dbca7ef791375</v>
      </c>
      <c r="D122" s="23">
        <f t="shared" si="1"/>
        <v>0</v>
      </c>
      <c r="F122" s="45"/>
      <c r="H122" s="45"/>
      <c r="J122" s="45"/>
    </row>
    <row r="123">
      <c r="A123" s="22" t="s">
        <v>478</v>
      </c>
      <c r="B123" s="21">
        <f t="shared" si="5"/>
        <v>0</v>
      </c>
      <c r="C123" s="21" t="str">
        <f>VLOOKUP(A123, hash!A$2:B$500, 2, 0)</f>
        <v>633b2944907d3b0ce904b02f</v>
      </c>
      <c r="D123" s="23">
        <f t="shared" si="1"/>
        <v>0</v>
      </c>
      <c r="F123" s="45"/>
      <c r="H123" s="45"/>
      <c r="J123" s="45"/>
    </row>
    <row r="124">
      <c r="A124" s="22" t="s">
        <v>595</v>
      </c>
      <c r="B124" s="21">
        <f t="shared" si="5"/>
        <v>0</v>
      </c>
      <c r="C124" s="21" t="str">
        <f>VLOOKUP(A124, hash!A$2:B$500, 2, 0)</f>
        <v>#N/A</v>
      </c>
      <c r="D124" s="23">
        <f t="shared" si="1"/>
        <v>0</v>
      </c>
      <c r="F124" s="45"/>
      <c r="H124" s="45"/>
      <c r="J124" s="45"/>
    </row>
    <row r="125">
      <c r="A125" s="22" t="s">
        <v>479</v>
      </c>
      <c r="B125" s="21">
        <f t="shared" si="5"/>
        <v>0</v>
      </c>
      <c r="C125" s="21" t="str">
        <f>VLOOKUP(A125, hash!A$2:B$500, 2, 0)</f>
        <v>633b296e907d3b0ce904b03b</v>
      </c>
      <c r="D125" s="23">
        <f t="shared" si="1"/>
        <v>0</v>
      </c>
      <c r="F125" s="45"/>
      <c r="H125" s="45"/>
      <c r="J125" s="45"/>
    </row>
    <row r="126">
      <c r="A126" s="22" t="s">
        <v>596</v>
      </c>
      <c r="B126" s="21">
        <f t="shared" si="5"/>
        <v>0</v>
      </c>
      <c r="C126" s="21" t="str">
        <f>VLOOKUP(A126, hash!A$2:B$500, 2, 0)</f>
        <v>#N/A</v>
      </c>
      <c r="D126" s="23">
        <f t="shared" si="1"/>
        <v>0</v>
      </c>
      <c r="F126" s="45"/>
      <c r="H126" s="45"/>
      <c r="J126" s="27"/>
    </row>
    <row r="127">
      <c r="A127" s="22" t="s">
        <v>480</v>
      </c>
      <c r="B127" s="21">
        <f t="shared" si="5"/>
        <v>0</v>
      </c>
      <c r="C127" s="21" t="str">
        <f>VLOOKUP(A127, hash!A$2:B$500, 2, 0)</f>
        <v>633b33dde2076b371abb58dd</v>
      </c>
      <c r="D127" s="23">
        <f t="shared" si="1"/>
        <v>0</v>
      </c>
      <c r="F127" s="45"/>
      <c r="H127" s="45"/>
      <c r="J127" s="45"/>
    </row>
    <row r="128">
      <c r="A128" s="22" t="s">
        <v>481</v>
      </c>
      <c r="B128" s="21">
        <f t="shared" si="5"/>
        <v>0</v>
      </c>
      <c r="C128" s="21" t="str">
        <f>VLOOKUP(A128, hash!A$2:B$500, 2, 0)</f>
        <v>633b36b4e2076b371abb58ed</v>
      </c>
      <c r="D128" s="23">
        <f t="shared" si="1"/>
        <v>0</v>
      </c>
      <c r="F128" s="45"/>
      <c r="H128" s="45"/>
      <c r="J128" s="45"/>
    </row>
    <row r="129">
      <c r="A129" s="22" t="s">
        <v>597</v>
      </c>
      <c r="B129" s="21">
        <f t="shared" si="5"/>
        <v>0</v>
      </c>
      <c r="C129" s="21" t="str">
        <f>VLOOKUP(A129, hash!A$2:B$500, 2, 0)</f>
        <v>#N/A</v>
      </c>
      <c r="D129" s="23">
        <f t="shared" si="1"/>
        <v>0</v>
      </c>
      <c r="F129" s="45"/>
      <c r="H129" s="45"/>
      <c r="J129" s="45"/>
    </row>
    <row r="130">
      <c r="A130" s="22" t="s">
        <v>598</v>
      </c>
      <c r="B130" s="21">
        <f t="shared" si="5"/>
        <v>0</v>
      </c>
      <c r="C130" s="21" t="str">
        <f>VLOOKUP(A130, hash!A$2:B$500, 2, 0)</f>
        <v>#N/A</v>
      </c>
      <c r="D130" s="23">
        <f t="shared" si="1"/>
        <v>0</v>
      </c>
      <c r="F130" s="45"/>
      <c r="H130" s="45"/>
      <c r="J130" s="45"/>
    </row>
    <row r="131">
      <c r="A131" s="22" t="s">
        <v>599</v>
      </c>
      <c r="B131" s="21">
        <f t="shared" si="5"/>
        <v>0</v>
      </c>
      <c r="C131" s="21" t="str">
        <f>VLOOKUP(A131, hash!A$2:B$500, 2, 0)</f>
        <v>#N/A</v>
      </c>
      <c r="D131" s="23">
        <f t="shared" si="1"/>
        <v>0</v>
      </c>
      <c r="F131" s="45"/>
      <c r="H131" s="45"/>
      <c r="J131" s="45"/>
    </row>
    <row r="132">
      <c r="A132" s="22" t="s">
        <v>600</v>
      </c>
      <c r="B132" s="21">
        <f t="shared" si="5"/>
        <v>0</v>
      </c>
      <c r="C132" s="21" t="str">
        <f>VLOOKUP(A132, hash!A$2:B$500, 2, 0)</f>
        <v>#N/A</v>
      </c>
      <c r="D132" s="23">
        <f t="shared" si="1"/>
        <v>0</v>
      </c>
      <c r="F132" s="45"/>
      <c r="H132" s="45"/>
      <c r="J132" s="45"/>
    </row>
    <row r="133">
      <c r="A133" s="22" t="s">
        <v>601</v>
      </c>
      <c r="B133" s="21">
        <f t="shared" si="5"/>
        <v>0</v>
      </c>
      <c r="C133" s="21" t="str">
        <f>VLOOKUP(A133, hash!A$2:B$500, 2, 0)</f>
        <v>#N/A</v>
      </c>
      <c r="D133" s="23">
        <f t="shared" si="1"/>
        <v>0</v>
      </c>
      <c r="F133" s="45"/>
      <c r="H133" s="45"/>
      <c r="J133" s="45"/>
    </row>
    <row r="134">
      <c r="A134" s="22" t="s">
        <v>482</v>
      </c>
      <c r="B134" s="21">
        <f t="shared" si="5"/>
        <v>0</v>
      </c>
      <c r="C134" s="21" t="str">
        <f>VLOOKUP(A134, hash!A$2:B$500, 2, 0)</f>
        <v>634ebd057dcff4d8aaf60ecd</v>
      </c>
      <c r="D134" s="23">
        <f t="shared" si="1"/>
        <v>0</v>
      </c>
      <c r="F134" s="45"/>
      <c r="H134" s="45"/>
      <c r="J134" s="45"/>
    </row>
    <row r="135">
      <c r="A135" s="22" t="s">
        <v>483</v>
      </c>
      <c r="B135" s="21">
        <f t="shared" si="5"/>
        <v>0</v>
      </c>
      <c r="C135" s="21" t="str">
        <f>VLOOKUP(A135, hash!A$2:B$500, 2, 0)</f>
        <v>6350260e6b84e6835b7bdb10</v>
      </c>
      <c r="D135" s="23">
        <f t="shared" si="1"/>
        <v>0</v>
      </c>
      <c r="F135" s="45"/>
      <c r="H135" s="45"/>
      <c r="J135" s="45"/>
    </row>
    <row r="136">
      <c r="A136" s="22" t="s">
        <v>484</v>
      </c>
      <c r="B136" s="21">
        <f t="shared" si="5"/>
        <v>0</v>
      </c>
      <c r="C136" s="21" t="str">
        <f>VLOOKUP(A136, hash!A$2:B$500, 2, 0)</f>
        <v>635041d40aaa9d7642b16a2a</v>
      </c>
      <c r="D136" s="23">
        <f t="shared" si="1"/>
        <v>0</v>
      </c>
      <c r="F136" s="45"/>
      <c r="H136" s="45"/>
      <c r="J136" s="45"/>
    </row>
    <row r="137">
      <c r="A137" s="22" t="s">
        <v>485</v>
      </c>
      <c r="B137" s="21">
        <f t="shared" si="5"/>
        <v>0</v>
      </c>
      <c r="C137" s="21" t="str">
        <f>VLOOKUP(A137, hash!A$2:B$500, 2, 0)</f>
        <v>63504cfc4e941e57f7932609</v>
      </c>
      <c r="D137" s="23">
        <f t="shared" si="1"/>
        <v>0</v>
      </c>
      <c r="F137" s="45"/>
      <c r="H137" s="45"/>
      <c r="J137" s="45"/>
    </row>
    <row r="138">
      <c r="A138" s="22" t="s">
        <v>486</v>
      </c>
      <c r="B138" s="21">
        <f t="shared" si="5"/>
        <v>0</v>
      </c>
      <c r="C138" s="21" t="str">
        <f>VLOOKUP(A138, hash!A$2:B$500, 2, 0)</f>
        <v>63504d21680a31686694f409</v>
      </c>
      <c r="D138" s="23">
        <f t="shared" si="1"/>
        <v>0</v>
      </c>
      <c r="F138" s="45"/>
      <c r="H138" s="45"/>
      <c r="J138" s="45"/>
    </row>
    <row r="139">
      <c r="A139" s="22" t="s">
        <v>487</v>
      </c>
      <c r="B139" s="21">
        <f t="shared" si="5"/>
        <v>0</v>
      </c>
      <c r="C139" s="21" t="str">
        <f>VLOOKUP(A139, hash!A$2:B$500, 2, 0)</f>
        <v>63504d993b59fc8152ddcd16</v>
      </c>
      <c r="D139" s="23">
        <f t="shared" si="1"/>
        <v>0</v>
      </c>
      <c r="F139" s="45"/>
      <c r="H139" s="45"/>
      <c r="J139" s="45"/>
    </row>
    <row r="140">
      <c r="A140" s="22" t="s">
        <v>488</v>
      </c>
      <c r="B140" s="21">
        <f t="shared" si="5"/>
        <v>0</v>
      </c>
      <c r="C140" s="21" t="str">
        <f>VLOOKUP(A140, hash!A$2:B$500, 2, 0)</f>
        <v>63504f2bf3c9b5fc221a8b0b</v>
      </c>
      <c r="D140" s="23">
        <f t="shared" si="1"/>
        <v>0</v>
      </c>
      <c r="F140" s="45"/>
      <c r="H140" s="45"/>
      <c r="J140" s="45"/>
    </row>
    <row r="141">
      <c r="A141" s="22" t="s">
        <v>489</v>
      </c>
      <c r="B141" s="21">
        <f t="shared" si="5"/>
        <v>0</v>
      </c>
      <c r="C141" s="21" t="str">
        <f>VLOOKUP(A141, hash!A$2:B$500, 2, 0)</f>
        <v>63505039f3c9b5fc221a8b11</v>
      </c>
      <c r="D141" s="23">
        <f t="shared" si="1"/>
        <v>0</v>
      </c>
      <c r="F141" s="45"/>
      <c r="H141" s="45"/>
      <c r="J141" s="45"/>
    </row>
    <row r="142">
      <c r="A142" s="22" t="s">
        <v>490</v>
      </c>
      <c r="B142" s="21">
        <f t="shared" si="5"/>
        <v>0</v>
      </c>
      <c r="C142" s="21" t="str">
        <f>VLOOKUP(A142, hash!A$2:B$500, 2, 0)</f>
        <v>6350508cf3c9b5fc221a8b14</v>
      </c>
      <c r="D142" s="23">
        <f t="shared" si="1"/>
        <v>0</v>
      </c>
      <c r="F142" s="45"/>
      <c r="H142" s="45"/>
      <c r="J142" s="45"/>
    </row>
    <row r="143">
      <c r="A143" s="22" t="s">
        <v>491</v>
      </c>
      <c r="B143" s="21">
        <f t="shared" si="5"/>
        <v>0</v>
      </c>
      <c r="C143" s="21" t="str">
        <f>VLOOKUP(A143, hash!A$2:B$500, 2, 0)</f>
        <v>635052bcd5280881c6468696</v>
      </c>
      <c r="D143" s="23">
        <f t="shared" si="1"/>
        <v>0</v>
      </c>
      <c r="F143" s="45"/>
      <c r="H143" s="45"/>
      <c r="J143" s="45"/>
    </row>
    <row r="144">
      <c r="A144" s="22" t="s">
        <v>492</v>
      </c>
      <c r="B144" s="21">
        <f t="shared" si="5"/>
        <v>0</v>
      </c>
      <c r="C144" s="21" t="str">
        <f>VLOOKUP(A144, hash!A$2:B$500, 2, 0)</f>
        <v>635053873b59fc8152ddcd3f</v>
      </c>
      <c r="D144" s="23">
        <f t="shared" si="1"/>
        <v>0</v>
      </c>
      <c r="F144" s="45"/>
      <c r="H144" s="45"/>
      <c r="J144" s="45"/>
    </row>
    <row r="145">
      <c r="A145" s="22" t="s">
        <v>493</v>
      </c>
      <c r="B145" s="21">
        <f t="shared" si="5"/>
        <v>0</v>
      </c>
      <c r="C145" s="21" t="str">
        <f>VLOOKUP(A145, hash!A$2:B$500, 2, 0)</f>
        <v>6350549ca87d74ab21f25e75</v>
      </c>
      <c r="D145" s="23">
        <f t="shared" si="1"/>
        <v>0</v>
      </c>
      <c r="F145" s="45"/>
      <c r="H145" s="45"/>
      <c r="J145" s="45"/>
    </row>
    <row r="146">
      <c r="A146" s="22" t="s">
        <v>602</v>
      </c>
      <c r="B146" s="21">
        <f t="shared" si="5"/>
        <v>0</v>
      </c>
      <c r="C146" s="21" t="str">
        <f>VLOOKUP(A146, hash!A$2:B$500, 2, 0)</f>
        <v>#N/A</v>
      </c>
      <c r="D146" s="23">
        <f t="shared" si="1"/>
        <v>0</v>
      </c>
      <c r="F146" s="45"/>
      <c r="H146" s="45"/>
      <c r="J146" s="45"/>
    </row>
    <row r="147">
      <c r="A147" s="22" t="s">
        <v>494</v>
      </c>
      <c r="B147" s="21">
        <f t="shared" si="5"/>
        <v>0</v>
      </c>
      <c r="C147" s="21" t="str">
        <f>VLOOKUP(A147, hash!A$2:B$500, 2, 0)</f>
        <v>63529e993c9eeacf2b95884e</v>
      </c>
      <c r="D147" s="23">
        <f t="shared" si="1"/>
        <v>0</v>
      </c>
      <c r="F147" s="45"/>
      <c r="H147" s="45"/>
      <c r="J147" s="45"/>
    </row>
    <row r="148">
      <c r="A148" s="22" t="s">
        <v>495</v>
      </c>
      <c r="B148" s="21">
        <f t="shared" si="5"/>
        <v>0</v>
      </c>
      <c r="C148" s="21" t="str">
        <f>VLOOKUP(A148, hash!A$2:B$500, 2, 0)</f>
        <v>63597cb9a9e578282a60ad9d</v>
      </c>
      <c r="D148" s="23">
        <f t="shared" si="1"/>
        <v>0</v>
      </c>
      <c r="F148" s="45"/>
      <c r="H148" s="45"/>
      <c r="J148" s="45"/>
    </row>
    <row r="149">
      <c r="A149" s="22" t="s">
        <v>603</v>
      </c>
      <c r="B149" s="21">
        <f t="shared" si="5"/>
        <v>0</v>
      </c>
      <c r="C149" s="21" t="str">
        <f>VLOOKUP(A149, hash!A$2:B$500, 2, 0)</f>
        <v>#N/A</v>
      </c>
      <c r="D149" s="23">
        <f t="shared" si="1"/>
        <v>0</v>
      </c>
      <c r="F149" s="45"/>
      <c r="H149" s="45"/>
      <c r="J149" s="45"/>
    </row>
    <row r="150">
      <c r="A150" s="22" t="s">
        <v>101</v>
      </c>
      <c r="B150" s="21">
        <f t="shared" si="5"/>
        <v>0</v>
      </c>
      <c r="C150" s="21" t="str">
        <f>VLOOKUP(A150, hash!A$2:B$500, 2, 0)</f>
        <v>6362864bd6615019231bd3fc</v>
      </c>
      <c r="D150" s="23">
        <f t="shared" si="1"/>
        <v>0</v>
      </c>
      <c r="F150" s="45"/>
      <c r="H150" s="45"/>
      <c r="J150" s="45"/>
    </row>
    <row r="151">
      <c r="A151" s="22" t="s">
        <v>102</v>
      </c>
      <c r="B151" s="21">
        <f t="shared" si="5"/>
        <v>0</v>
      </c>
      <c r="C151" s="21" t="str">
        <f>VLOOKUP(A151, hash!A$2:B$500, 2, 0)</f>
        <v>6362b77fe777ad6bbb240412</v>
      </c>
      <c r="D151" s="23">
        <f t="shared" si="1"/>
        <v>0</v>
      </c>
      <c r="F151" s="45"/>
      <c r="H151" s="45"/>
      <c r="J151" s="45"/>
    </row>
    <row r="152">
      <c r="A152" s="22" t="s">
        <v>604</v>
      </c>
      <c r="B152" s="21">
        <f t="shared" si="5"/>
        <v>0</v>
      </c>
      <c r="C152" s="21" t="str">
        <f>VLOOKUP(A152, hash!A$2:B$500, 2, 0)</f>
        <v>#N/A</v>
      </c>
      <c r="D152" s="23">
        <f t="shared" si="1"/>
        <v>0</v>
      </c>
      <c r="F152" s="45"/>
      <c r="H152" s="45"/>
      <c r="J152" s="45"/>
    </row>
    <row r="153">
      <c r="A153" s="22" t="s">
        <v>103</v>
      </c>
      <c r="B153" s="21">
        <f t="shared" si="5"/>
        <v>0</v>
      </c>
      <c r="C153" s="21" t="str">
        <f>VLOOKUP(A153, hash!A$2:B$500, 2, 0)</f>
        <v>6376b58661fba9785d07416f</v>
      </c>
      <c r="D153" s="23">
        <f t="shared" si="1"/>
        <v>0</v>
      </c>
      <c r="F153" s="45"/>
      <c r="H153" s="45"/>
      <c r="J153" s="45"/>
    </row>
    <row r="154">
      <c r="A154" s="22" t="s">
        <v>605</v>
      </c>
      <c r="B154" s="21">
        <f t="shared" si="5"/>
        <v>0</v>
      </c>
      <c r="C154" s="21" t="str">
        <f>VLOOKUP(A154, hash!A$2:B$500, 2, 0)</f>
        <v>#N/A</v>
      </c>
      <c r="D154" s="23">
        <f t="shared" si="1"/>
        <v>0</v>
      </c>
      <c r="F154" s="45"/>
      <c r="H154" s="45"/>
      <c r="J154" s="45"/>
    </row>
    <row r="155">
      <c r="A155" s="22" t="s">
        <v>606</v>
      </c>
      <c r="B155" s="21">
        <f t="shared" si="5"/>
        <v>0</v>
      </c>
      <c r="C155" s="21" t="str">
        <f>VLOOKUP(A155, hash!A$2:B$500, 2, 0)</f>
        <v>#N/A</v>
      </c>
      <c r="D155" s="23">
        <f t="shared" si="1"/>
        <v>0</v>
      </c>
      <c r="F155" s="45"/>
      <c r="H155" s="45"/>
      <c r="J155" s="45"/>
    </row>
    <row r="156">
      <c r="A156" s="22" t="s">
        <v>104</v>
      </c>
      <c r="B156" s="21">
        <f t="shared" si="5"/>
        <v>0</v>
      </c>
      <c r="C156" s="21" t="str">
        <f>VLOOKUP(A156, hash!A$2:B$500, 2, 0)</f>
        <v>6387bb73c1e51a839dd5a996</v>
      </c>
      <c r="D156" s="23">
        <f t="shared" si="1"/>
        <v>0</v>
      </c>
      <c r="F156" s="45"/>
      <c r="H156" s="45"/>
      <c r="J156" s="45"/>
    </row>
    <row r="157">
      <c r="A157" s="22" t="s">
        <v>105</v>
      </c>
      <c r="B157" s="21">
        <f t="shared" si="5"/>
        <v>0</v>
      </c>
      <c r="C157" s="21" t="str">
        <f>VLOOKUP(A157, hash!A$2:B$500, 2, 0)</f>
        <v>6387bbc6c1e51a839dd5a9a4</v>
      </c>
      <c r="D157" s="23">
        <f t="shared" si="1"/>
        <v>0</v>
      </c>
      <c r="F157" s="45"/>
      <c r="H157" s="45"/>
      <c r="J157" s="45"/>
    </row>
    <row r="158">
      <c r="A158" s="22" t="s">
        <v>106</v>
      </c>
      <c r="B158" s="21">
        <f t="shared" si="5"/>
        <v>0</v>
      </c>
      <c r="C158" s="21" t="str">
        <f>VLOOKUP(A158, hash!A$2:B$500, 2, 0)</f>
        <v>639a2e9e3b748bad962c153c</v>
      </c>
      <c r="D158" s="23">
        <f t="shared" si="1"/>
        <v>0</v>
      </c>
      <c r="F158" s="45"/>
      <c r="H158" s="45"/>
      <c r="J158" s="45"/>
    </row>
    <row r="159">
      <c r="A159" s="22" t="s">
        <v>107</v>
      </c>
      <c r="B159" s="21">
        <f t="shared" si="5"/>
        <v>0</v>
      </c>
      <c r="C159" s="21" t="str">
        <f>VLOOKUP(A159, hash!A$2:B$500, 2, 0)</f>
        <v>63b5d35a964a47f092354843</v>
      </c>
      <c r="D159" s="23">
        <f t="shared" si="1"/>
        <v>0</v>
      </c>
      <c r="F159" s="45"/>
      <c r="H159" s="45"/>
      <c r="J159" s="45"/>
    </row>
    <row r="160">
      <c r="A160" s="22" t="s">
        <v>108</v>
      </c>
      <c r="B160" s="21">
        <f t="shared" si="5"/>
        <v>0</v>
      </c>
      <c r="C160" s="21" t="str">
        <f>VLOOKUP(A160, hash!A$2:B$500, 2, 0)</f>
        <v>63c833ef38ef4ba2f7bbe919</v>
      </c>
      <c r="D160" s="23">
        <f t="shared" si="1"/>
        <v>0</v>
      </c>
      <c r="F160" s="45"/>
      <c r="H160" s="45"/>
      <c r="J160" s="45"/>
    </row>
    <row r="161">
      <c r="A161" s="22" t="s">
        <v>109</v>
      </c>
      <c r="B161" s="21">
        <f t="shared" si="5"/>
        <v>0</v>
      </c>
      <c r="C161" s="21" t="str">
        <f>VLOOKUP(A161, hash!A$2:B$500, 2, 0)</f>
        <v>63c8473f511ce7e89481b00b</v>
      </c>
      <c r="D161" s="23">
        <f t="shared" si="1"/>
        <v>0</v>
      </c>
      <c r="F161" s="45"/>
      <c r="H161" s="45"/>
      <c r="J161" s="45"/>
    </row>
    <row r="162">
      <c r="A162" s="22" t="s">
        <v>110</v>
      </c>
      <c r="B162" s="21">
        <f t="shared" si="5"/>
        <v>0</v>
      </c>
      <c r="C162" s="21" t="str">
        <f>VLOOKUP(A162, hash!A$2:B$500, 2, 0)</f>
        <v>63c8477b67bbb48b24b073b9</v>
      </c>
      <c r="D162" s="23">
        <f t="shared" si="1"/>
        <v>0</v>
      </c>
      <c r="F162" s="45"/>
      <c r="H162" s="45"/>
      <c r="J162" s="45"/>
    </row>
    <row r="163">
      <c r="A163" s="22" t="s">
        <v>607</v>
      </c>
      <c r="B163" s="21">
        <f t="shared" si="5"/>
        <v>0</v>
      </c>
      <c r="C163" s="21" t="str">
        <f>VLOOKUP(A163, hash!A$2:B$500, 2, 0)</f>
        <v>#N/A</v>
      </c>
      <c r="D163" s="23">
        <f t="shared" si="1"/>
        <v>0</v>
      </c>
      <c r="F163" s="45"/>
      <c r="H163" s="45"/>
      <c r="J163" s="45"/>
    </row>
    <row r="164">
      <c r="A164" s="22" t="s">
        <v>608</v>
      </c>
      <c r="B164" s="21">
        <f t="shared" si="5"/>
        <v>0</v>
      </c>
      <c r="C164" s="21" t="str">
        <f>VLOOKUP(A164, hash!A$2:B$500, 2, 0)</f>
        <v>#N/A</v>
      </c>
      <c r="D164" s="23">
        <f t="shared" si="1"/>
        <v>0</v>
      </c>
      <c r="F164" s="45"/>
      <c r="H164" s="45"/>
      <c r="J164" s="45"/>
    </row>
    <row r="165">
      <c r="A165" s="22" t="s">
        <v>111</v>
      </c>
      <c r="B165" s="21">
        <f t="shared" si="5"/>
        <v>0</v>
      </c>
      <c r="C165" s="21" t="str">
        <f>VLOOKUP(A165, hash!A$2:B$500, 2, 0)</f>
        <v>63dabd0663f6b9aef34df313</v>
      </c>
      <c r="D165" s="23">
        <f t="shared" si="1"/>
        <v>0</v>
      </c>
      <c r="F165" s="45"/>
      <c r="H165" s="45"/>
      <c r="J165" s="45"/>
    </row>
    <row r="166">
      <c r="A166" s="22" t="s">
        <v>112</v>
      </c>
      <c r="B166" s="21">
        <f t="shared" si="5"/>
        <v>0</v>
      </c>
      <c r="C166" s="21" t="str">
        <f>VLOOKUP(A166, hash!A$2:B$500, 2, 0)</f>
        <v>63dabd3d9dab57a89c8ed2ec</v>
      </c>
      <c r="D166" s="23">
        <f t="shared" si="1"/>
        <v>0</v>
      </c>
      <c r="F166" s="45"/>
      <c r="H166" s="45"/>
      <c r="J166" s="45"/>
    </row>
    <row r="167">
      <c r="A167" s="22" t="s">
        <v>609</v>
      </c>
      <c r="B167" s="21">
        <f t="shared" si="5"/>
        <v>0</v>
      </c>
      <c r="C167" s="21" t="str">
        <f>VLOOKUP(A167, hash!A$2:B$500, 2, 0)</f>
        <v>#N/A</v>
      </c>
      <c r="D167" s="23">
        <f t="shared" si="1"/>
        <v>0</v>
      </c>
      <c r="F167" s="45"/>
      <c r="H167" s="45"/>
      <c r="J167" s="45"/>
    </row>
    <row r="168">
      <c r="A168" s="22" t="s">
        <v>113</v>
      </c>
      <c r="B168" s="21">
        <f t="shared" si="5"/>
        <v>0</v>
      </c>
      <c r="C168" s="21" t="str">
        <f>VLOOKUP(A168, hash!A$2:B$500, 2, 0)</f>
        <v>63ddd5541cf7a4a53455fa2b</v>
      </c>
      <c r="D168" s="23">
        <f t="shared" si="1"/>
        <v>0</v>
      </c>
      <c r="F168" s="45"/>
      <c r="H168" s="45"/>
      <c r="J168" s="45"/>
    </row>
    <row r="169">
      <c r="A169" s="22" t="s">
        <v>610</v>
      </c>
      <c r="B169" s="21">
        <f t="shared" si="5"/>
        <v>0</v>
      </c>
      <c r="C169" s="21" t="str">
        <f>VLOOKUP(A169, hash!A$2:B$500, 2, 0)</f>
        <v>#N/A</v>
      </c>
      <c r="D169" s="23">
        <f t="shared" si="1"/>
        <v>0</v>
      </c>
      <c r="F169" s="45"/>
      <c r="H169" s="45"/>
      <c r="J169" s="45"/>
    </row>
    <row r="170">
      <c r="A170" s="22" t="s">
        <v>114</v>
      </c>
      <c r="B170" s="21">
        <f t="shared" si="5"/>
        <v>0</v>
      </c>
      <c r="C170" s="21" t="str">
        <f>VLOOKUP(A170, hash!A$2:B$500, 2, 0)</f>
        <v>63ed3c20ba3040bfda3dc990</v>
      </c>
      <c r="D170" s="23">
        <f t="shared" si="1"/>
        <v>0</v>
      </c>
      <c r="F170" s="45"/>
      <c r="H170" s="45"/>
      <c r="J170" s="45"/>
    </row>
    <row r="171">
      <c r="A171" s="22" t="s">
        <v>115</v>
      </c>
      <c r="B171" s="21">
        <f t="shared" si="5"/>
        <v>0</v>
      </c>
      <c r="C171" s="21" t="str">
        <f>VLOOKUP(A171, hash!A$2:B$500, 2, 0)</f>
        <v>63f67889c8ff9ace793384df</v>
      </c>
      <c r="D171" s="23">
        <f t="shared" si="1"/>
        <v>0</v>
      </c>
      <c r="F171" s="45"/>
      <c r="H171" s="45"/>
      <c r="J171" s="45"/>
    </row>
    <row r="172">
      <c r="A172" s="22" t="s">
        <v>116</v>
      </c>
      <c r="B172" s="21">
        <f t="shared" si="5"/>
        <v>0</v>
      </c>
      <c r="C172" s="21" t="str">
        <f>VLOOKUP(A172, hash!A$2:B$500, 2, 0)</f>
        <v>63f67911eb2d54539e475aef</v>
      </c>
      <c r="D172" s="23">
        <f t="shared" si="1"/>
        <v>0</v>
      </c>
      <c r="F172" s="45"/>
      <c r="H172" s="45"/>
      <c r="J172" s="45"/>
    </row>
    <row r="173">
      <c r="A173" s="22" t="s">
        <v>611</v>
      </c>
      <c r="B173" s="21">
        <f t="shared" si="5"/>
        <v>0</v>
      </c>
      <c r="C173" s="21" t="str">
        <f>VLOOKUP(A173, hash!A$2:B$500, 2, 0)</f>
        <v>#N/A</v>
      </c>
      <c r="D173" s="23">
        <f t="shared" si="1"/>
        <v>0</v>
      </c>
      <c r="F173" s="45"/>
      <c r="H173" s="45"/>
      <c r="J173" s="45"/>
    </row>
    <row r="174">
      <c r="A174" s="22" t="s">
        <v>612</v>
      </c>
      <c r="B174" s="21">
        <f t="shared" si="5"/>
        <v>0</v>
      </c>
      <c r="C174" s="21" t="str">
        <f>VLOOKUP(A174, hash!A$2:B$500, 2, 0)</f>
        <v>#N/A</v>
      </c>
      <c r="D174" s="23">
        <f t="shared" si="1"/>
        <v>0</v>
      </c>
      <c r="F174" s="45"/>
      <c r="H174" s="45"/>
      <c r="J174" s="45"/>
    </row>
    <row r="175">
      <c r="A175" s="22" t="s">
        <v>117</v>
      </c>
      <c r="B175" s="21">
        <f t="shared" si="5"/>
        <v>0</v>
      </c>
      <c r="C175" s="21" t="str">
        <f>VLOOKUP(A175, hash!A$2:B$500, 2, 0)</f>
        <v>64120eb5cd7bcbc0e50f33da</v>
      </c>
      <c r="D175" s="23">
        <f t="shared" si="1"/>
        <v>0</v>
      </c>
      <c r="F175" s="45"/>
      <c r="H175" s="45"/>
      <c r="J175" s="45"/>
    </row>
    <row r="176">
      <c r="A176" s="22" t="s">
        <v>118</v>
      </c>
      <c r="B176" s="21">
        <f t="shared" si="5"/>
        <v>0</v>
      </c>
      <c r="C176" s="21" t="str">
        <f>VLOOKUP(A176, hash!A$2:B$500, 2, 0)</f>
        <v>64403390f40f176b87a687a7</v>
      </c>
      <c r="D176" s="23">
        <f t="shared" si="1"/>
        <v>0</v>
      </c>
      <c r="F176" s="45"/>
      <c r="H176" s="45"/>
      <c r="J176" s="45"/>
    </row>
    <row r="177">
      <c r="A177" s="22" t="s">
        <v>119</v>
      </c>
      <c r="B177" s="21">
        <f t="shared" si="5"/>
        <v>0</v>
      </c>
      <c r="C177" s="21" t="str">
        <f>VLOOKUP(A177, hash!A$2:B$500, 2, 0)</f>
        <v>64403395ea1fa9a912edb699</v>
      </c>
      <c r="D177" s="23">
        <f t="shared" si="1"/>
        <v>0</v>
      </c>
      <c r="F177" s="45"/>
      <c r="H177" s="45"/>
      <c r="J177" s="51"/>
    </row>
    <row r="178">
      <c r="A178" s="22" t="s">
        <v>120</v>
      </c>
      <c r="B178" s="21">
        <f t="shared" si="5"/>
        <v>0</v>
      </c>
      <c r="C178" s="21" t="str">
        <f>VLOOKUP(A178, hash!A$2:B$500, 2, 0)</f>
        <v>64403399ea1fa9a912edb69a</v>
      </c>
      <c r="D178" s="23">
        <f t="shared" si="1"/>
        <v>0</v>
      </c>
      <c r="F178" s="45"/>
      <c r="H178" s="45"/>
      <c r="J178" s="45"/>
    </row>
    <row r="179">
      <c r="A179" s="22" t="s">
        <v>121</v>
      </c>
      <c r="B179" s="21">
        <f t="shared" si="5"/>
        <v>0</v>
      </c>
      <c r="C179" s="21" t="str">
        <f>VLOOKUP(A179, hash!A$2:B$500, 2, 0)</f>
        <v>644033a6ea1fa9a912edb69b</v>
      </c>
      <c r="D179" s="23">
        <f t="shared" si="1"/>
        <v>0</v>
      </c>
      <c r="F179" s="45"/>
      <c r="H179" s="45"/>
      <c r="J179" s="45"/>
    </row>
    <row r="180">
      <c r="A180" s="22" t="s">
        <v>122</v>
      </c>
      <c r="B180" s="21">
        <f t="shared" si="5"/>
        <v>0</v>
      </c>
      <c r="C180" s="21" t="str">
        <f>VLOOKUP(A180, hash!A$2:B$500, 2, 0)</f>
        <v>6440343c3d99f5a46dd56558</v>
      </c>
      <c r="D180" s="23">
        <f t="shared" si="1"/>
        <v>0</v>
      </c>
      <c r="F180" s="45"/>
      <c r="H180" s="45"/>
      <c r="J180" s="45"/>
    </row>
    <row r="181">
      <c r="A181" s="22" t="s">
        <v>123</v>
      </c>
      <c r="B181" s="21">
        <f t="shared" si="5"/>
        <v>0</v>
      </c>
      <c r="C181" s="21" t="str">
        <f>VLOOKUP(A181, hash!A$2:B$500, 2, 0)</f>
        <v>644034954fa829a66b219e95</v>
      </c>
      <c r="D181" s="23">
        <f t="shared" si="1"/>
        <v>0</v>
      </c>
      <c r="F181" s="45"/>
      <c r="H181" s="45"/>
      <c r="J181" s="45"/>
    </row>
    <row r="182">
      <c r="A182" s="22" t="s">
        <v>124</v>
      </c>
      <c r="B182" s="21">
        <f t="shared" si="5"/>
        <v>0</v>
      </c>
      <c r="C182" s="21" t="str">
        <f>VLOOKUP(A182, hash!A$2:B$500, 2, 0)</f>
        <v>6451565d77ece8ad709943e6</v>
      </c>
      <c r="D182" s="23">
        <f t="shared" si="1"/>
        <v>0</v>
      </c>
      <c r="F182" s="45"/>
      <c r="H182" s="45"/>
      <c r="J182" s="45"/>
    </row>
    <row r="183">
      <c r="A183" s="22" t="s">
        <v>125</v>
      </c>
      <c r="B183" s="21">
        <f t="shared" si="5"/>
        <v>0</v>
      </c>
      <c r="C183" s="21" t="str">
        <f>VLOOKUP(A183, hash!A$2:B$500, 2, 0)</f>
        <v>6451566b3e57b23a771eb77e</v>
      </c>
      <c r="D183" s="23">
        <f t="shared" si="1"/>
        <v>0</v>
      </c>
      <c r="F183" s="45"/>
      <c r="H183" s="45"/>
      <c r="J183" s="45"/>
    </row>
    <row r="184">
      <c r="A184" s="22" t="s">
        <v>126</v>
      </c>
      <c r="B184" s="21">
        <f t="shared" si="5"/>
        <v>0</v>
      </c>
      <c r="C184" s="21" t="str">
        <f>VLOOKUP(A184, hash!A$2:B$500, 2, 0)</f>
        <v>64515f40d1db94b82bde4768</v>
      </c>
      <c r="D184" s="23">
        <f t="shared" si="1"/>
        <v>0</v>
      </c>
      <c r="F184" s="45"/>
      <c r="H184" s="45"/>
      <c r="J184" s="45"/>
    </row>
    <row r="185">
      <c r="A185" s="22" t="s">
        <v>56</v>
      </c>
      <c r="B185" s="21">
        <f t="shared" si="5"/>
        <v>0</v>
      </c>
      <c r="C185" s="21" t="str">
        <f>VLOOKUP(A185, hash!A$2:B$500, 2, 0)</f>
        <v>64515f804c53122bd367c958</v>
      </c>
      <c r="D185" s="23">
        <f t="shared" si="1"/>
        <v>0</v>
      </c>
      <c r="E185" s="14">
        <v>0.0</v>
      </c>
      <c r="F185" s="27">
        <v>0.0</v>
      </c>
      <c r="G185" s="14">
        <v>0.0</v>
      </c>
      <c r="H185" s="27">
        <v>0.0</v>
      </c>
      <c r="I185" s="14">
        <v>0.0</v>
      </c>
      <c r="J185" s="27">
        <v>0.0</v>
      </c>
    </row>
    <row r="186">
      <c r="A186" s="22" t="s">
        <v>613</v>
      </c>
      <c r="B186" s="21">
        <f t="shared" si="5"/>
        <v>0</v>
      </c>
      <c r="C186" s="21" t="str">
        <f>VLOOKUP(A186, hash!A$2:B$500, 2, 0)</f>
        <v>#N/A</v>
      </c>
      <c r="D186" s="23">
        <f t="shared" si="1"/>
        <v>0</v>
      </c>
      <c r="F186" s="45"/>
      <c r="H186" s="45"/>
      <c r="J186" s="45"/>
    </row>
    <row r="187">
      <c r="A187" s="22" t="s">
        <v>127</v>
      </c>
      <c r="B187" s="21">
        <f t="shared" si="5"/>
        <v>0</v>
      </c>
      <c r="C187" s="21" t="str">
        <f>VLOOKUP(A187, hash!A$2:B$500, 2, 0)</f>
        <v>6501ffd91d8cbbbd315ad51c</v>
      </c>
      <c r="D187" s="23">
        <f t="shared" si="1"/>
        <v>0</v>
      </c>
      <c r="F187" s="45"/>
      <c r="H187" s="45"/>
      <c r="J187" s="45"/>
    </row>
    <row r="188">
      <c r="A188" s="22" t="s">
        <v>128</v>
      </c>
      <c r="B188" s="21">
        <f t="shared" si="5"/>
        <v>0</v>
      </c>
      <c r="C188" s="21" t="str">
        <f>VLOOKUP(A188, hash!A$2:B$500, 2, 0)</f>
        <v>6501ffe41d8cbbbd315ad51d</v>
      </c>
      <c r="D188" s="23">
        <f t="shared" si="1"/>
        <v>0</v>
      </c>
      <c r="F188" s="45"/>
      <c r="H188" s="45"/>
      <c r="J188" s="45"/>
    </row>
    <row r="189">
      <c r="A189" s="22" t="s">
        <v>129</v>
      </c>
      <c r="B189" s="21">
        <f t="shared" si="5"/>
        <v>0</v>
      </c>
      <c r="C189" s="21" t="str">
        <f>VLOOKUP(A189, hash!A$2:B$500, 2, 0)</f>
        <v>6501fff01d8cbbbd315ad51f</v>
      </c>
      <c r="D189" s="23">
        <f t="shared" si="1"/>
        <v>0</v>
      </c>
      <c r="F189" s="45"/>
      <c r="H189" s="45"/>
      <c r="J189" s="45"/>
    </row>
    <row r="190">
      <c r="A190" s="22" t="s">
        <v>130</v>
      </c>
      <c r="B190" s="21">
        <f t="shared" si="5"/>
        <v>0</v>
      </c>
      <c r="C190" s="21" t="str">
        <f>VLOOKUP(A190, hash!A$2:B$500, 2, 0)</f>
        <v>6501fff296a576d9fa03f986</v>
      </c>
      <c r="D190" s="23">
        <f t="shared" si="1"/>
        <v>0</v>
      </c>
      <c r="E190" s="14">
        <v>0.0</v>
      </c>
      <c r="F190" s="27">
        <v>0.0</v>
      </c>
      <c r="G190" s="14">
        <v>0.0</v>
      </c>
      <c r="H190" s="27">
        <v>0.0</v>
      </c>
      <c r="I190" s="14">
        <v>0.0</v>
      </c>
      <c r="J190" s="27">
        <v>0.0</v>
      </c>
    </row>
    <row r="191">
      <c r="A191" s="22" t="s">
        <v>131</v>
      </c>
      <c r="B191" s="21">
        <f t="shared" si="5"/>
        <v>0</v>
      </c>
      <c r="C191" s="21" t="str">
        <f>VLOOKUP(A191, hash!A$2:B$500, 2, 0)</f>
        <v>6501fffc96a576d9fa03f988</v>
      </c>
      <c r="D191" s="23">
        <f t="shared" si="1"/>
        <v>0</v>
      </c>
      <c r="F191" s="45"/>
      <c r="H191" s="45"/>
      <c r="J191" s="45"/>
    </row>
    <row r="192">
      <c r="A192" s="22" t="s">
        <v>132</v>
      </c>
      <c r="B192" s="21">
        <f t="shared" si="5"/>
        <v>0</v>
      </c>
      <c r="C192" s="21" t="str">
        <f>VLOOKUP(A192, hash!A$2:B$500, 2, 0)</f>
        <v>6501fffd96a576d9fa03f989</v>
      </c>
      <c r="D192" s="23">
        <f t="shared" si="1"/>
        <v>0</v>
      </c>
      <c r="F192" s="45"/>
      <c r="H192" s="45"/>
      <c r="J192" s="45"/>
    </row>
    <row r="193">
      <c r="A193" s="22" t="s">
        <v>133</v>
      </c>
      <c r="B193" s="21">
        <f t="shared" si="5"/>
        <v>0</v>
      </c>
      <c r="C193" s="21" t="str">
        <f>VLOOKUP(A193, hash!A$2:B$500, 2, 0)</f>
        <v>6502000096a576d9fa03f98a</v>
      </c>
      <c r="D193" s="23">
        <f t="shared" si="1"/>
        <v>0</v>
      </c>
      <c r="F193" s="45"/>
      <c r="H193" s="45"/>
      <c r="J193" s="45"/>
    </row>
    <row r="194">
      <c r="A194" s="22" t="s">
        <v>134</v>
      </c>
      <c r="B194" s="21">
        <f t="shared" si="5"/>
        <v>0</v>
      </c>
      <c r="C194" s="21" t="str">
        <f>VLOOKUP(A194, hash!A$2:B$500, 2, 0)</f>
        <v>6502000196a576d9fa03f98b</v>
      </c>
      <c r="D194" s="23">
        <f t="shared" si="1"/>
        <v>0</v>
      </c>
      <c r="F194" s="45"/>
      <c r="H194" s="45"/>
      <c r="J194" s="45"/>
    </row>
    <row r="195">
      <c r="A195" s="22" t="s">
        <v>135</v>
      </c>
      <c r="B195" s="21">
        <f t="shared" si="5"/>
        <v>0</v>
      </c>
      <c r="C195" s="21" t="str">
        <f>VLOOKUP(A195, hash!A$2:B$500, 2, 0)</f>
        <v>65020008540ba7cc68909a94</v>
      </c>
      <c r="D195" s="23">
        <f t="shared" si="1"/>
        <v>0</v>
      </c>
      <c r="F195" s="45"/>
      <c r="H195" s="45"/>
      <c r="J195" s="45"/>
    </row>
    <row r="196">
      <c r="A196" s="22" t="s">
        <v>136</v>
      </c>
      <c r="B196" s="21">
        <f t="shared" si="5"/>
        <v>0</v>
      </c>
      <c r="C196" s="21" t="str">
        <f>VLOOKUP(A196, hash!A$2:B$500, 2, 0)</f>
        <v>6502000b1d8cbbbd315ad521</v>
      </c>
      <c r="D196" s="23">
        <f t="shared" si="1"/>
        <v>0</v>
      </c>
      <c r="F196" s="45"/>
      <c r="H196" s="45"/>
      <c r="J196" s="45"/>
    </row>
    <row r="197">
      <c r="A197" s="22" t="s">
        <v>137</v>
      </c>
      <c r="B197" s="21">
        <f t="shared" si="5"/>
        <v>0</v>
      </c>
      <c r="C197" s="21" t="str">
        <f>VLOOKUP(A197, hash!A$2:B$500, 2, 0)</f>
        <v>65020010540ba7cc68909a95</v>
      </c>
      <c r="D197" s="23">
        <f t="shared" si="1"/>
        <v>0</v>
      </c>
      <c r="F197" s="45"/>
      <c r="H197" s="45"/>
      <c r="J197" s="45"/>
    </row>
    <row r="198">
      <c r="A198" s="22" t="s">
        <v>138</v>
      </c>
      <c r="B198" s="21">
        <f t="shared" si="5"/>
        <v>0</v>
      </c>
      <c r="C198" s="21" t="str">
        <f>VLOOKUP(A198, hash!A$2:B$500, 2, 0)</f>
        <v>6502001196a576d9fa03f98c</v>
      </c>
      <c r="D198" s="23">
        <f t="shared" si="1"/>
        <v>0</v>
      </c>
      <c r="F198" s="45"/>
      <c r="H198" s="45"/>
      <c r="J198" s="45"/>
    </row>
    <row r="199">
      <c r="A199" s="22" t="s">
        <v>139</v>
      </c>
      <c r="B199" s="21">
        <f t="shared" si="5"/>
        <v>0</v>
      </c>
      <c r="C199" s="21" t="str">
        <f>VLOOKUP(A199, hash!A$2:B$500, 2, 0)</f>
        <v>6502001196a576d9fa03f98d</v>
      </c>
      <c r="D199" s="23">
        <f t="shared" si="1"/>
        <v>0</v>
      </c>
      <c r="F199" s="45"/>
      <c r="H199" s="45"/>
      <c r="J199" s="45"/>
    </row>
    <row r="200">
      <c r="A200" s="22" t="s">
        <v>141</v>
      </c>
      <c r="B200" s="21">
        <f t="shared" si="5"/>
        <v>0</v>
      </c>
      <c r="C200" s="21" t="str">
        <f>VLOOKUP(A200, hash!A$2:B$500, 2, 0)</f>
        <v>6502001d540ba7cc68909a96</v>
      </c>
      <c r="D200" s="23">
        <f t="shared" si="1"/>
        <v>0</v>
      </c>
      <c r="F200" s="45"/>
      <c r="H200" s="45"/>
      <c r="J200" s="45"/>
    </row>
    <row r="201">
      <c r="A201" s="22" t="s">
        <v>142</v>
      </c>
      <c r="B201" s="21">
        <f t="shared" si="5"/>
        <v>0</v>
      </c>
      <c r="C201" s="21" t="str">
        <f>VLOOKUP(A201, hash!A$2:B$500, 2, 0)</f>
        <v>6502001f96a576d9fa03f991</v>
      </c>
      <c r="D201" s="23">
        <f t="shared" si="1"/>
        <v>0</v>
      </c>
      <c r="F201" s="45"/>
      <c r="H201" s="45"/>
      <c r="J201" s="45"/>
    </row>
    <row r="202">
      <c r="A202" s="22" t="s">
        <v>143</v>
      </c>
      <c r="B202" s="21">
        <f t="shared" si="5"/>
        <v>0</v>
      </c>
      <c r="C202" s="21" t="str">
        <f>VLOOKUP(A202, hash!A$2:B$500, 2, 0)</f>
        <v>6502002296a576d9fa03f993</v>
      </c>
      <c r="D202" s="23">
        <f t="shared" si="1"/>
        <v>0</v>
      </c>
      <c r="F202" s="45"/>
      <c r="H202" s="45"/>
      <c r="J202" s="45"/>
    </row>
    <row r="203">
      <c r="A203" s="22" t="s">
        <v>144</v>
      </c>
      <c r="B203" s="21">
        <f t="shared" si="5"/>
        <v>0</v>
      </c>
      <c r="C203" s="21" t="str">
        <f>VLOOKUP(A203, hash!A$2:B$500, 2, 0)</f>
        <v>6502002396a576d9fa03f994</v>
      </c>
      <c r="D203" s="23">
        <f t="shared" si="1"/>
        <v>0</v>
      </c>
      <c r="F203" s="45"/>
      <c r="H203" s="45"/>
      <c r="J203" s="45"/>
    </row>
    <row r="204">
      <c r="A204" s="22" t="s">
        <v>94</v>
      </c>
      <c r="B204" s="21">
        <f t="shared" si="5"/>
        <v>0</v>
      </c>
      <c r="C204" s="21" t="str">
        <f>VLOOKUP(A204, hash!A$2:B$500, 2, 0)</f>
        <v>6502002b1d8cbbbd315ad524</v>
      </c>
      <c r="D204" s="23">
        <f t="shared" si="1"/>
        <v>0</v>
      </c>
      <c r="F204" s="45"/>
      <c r="H204" s="45"/>
      <c r="J204" s="45"/>
    </row>
    <row r="205">
      <c r="A205" s="22" t="s">
        <v>95</v>
      </c>
      <c r="B205" s="21">
        <f t="shared" si="5"/>
        <v>0</v>
      </c>
      <c r="C205" s="21" t="str">
        <f>VLOOKUP(A205, hash!A$2:B$500, 2, 0)</f>
        <v>6502002d96a576d9fa03f999</v>
      </c>
      <c r="D205" s="23">
        <f t="shared" si="1"/>
        <v>0</v>
      </c>
      <c r="E205" s="14">
        <v>0.0</v>
      </c>
      <c r="F205" s="27">
        <v>0.0</v>
      </c>
      <c r="G205" s="14">
        <v>0.0</v>
      </c>
      <c r="H205" s="27">
        <v>0.0</v>
      </c>
      <c r="I205" s="14">
        <v>0.0</v>
      </c>
      <c r="J205" s="27">
        <v>0.0</v>
      </c>
    </row>
    <row r="206">
      <c r="A206" s="22" t="s">
        <v>145</v>
      </c>
      <c r="B206" s="21">
        <f t="shared" si="5"/>
        <v>0</v>
      </c>
      <c r="C206" s="21" t="str">
        <f>VLOOKUP(A206, hash!A$2:B$500, 2, 0)</f>
        <v>6502003c96a576d9fa03f99d</v>
      </c>
      <c r="D206" s="23">
        <f t="shared" si="1"/>
        <v>0</v>
      </c>
      <c r="F206" s="45"/>
      <c r="H206" s="45"/>
      <c r="J206" s="45"/>
    </row>
    <row r="207">
      <c r="A207" s="22" t="s">
        <v>614</v>
      </c>
      <c r="B207" s="21">
        <f t="shared" si="5"/>
        <v>0</v>
      </c>
      <c r="C207" s="21" t="str">
        <f>VLOOKUP(A207, hash!A$2:B$500, 2, 0)</f>
        <v>#N/A</v>
      </c>
      <c r="D207" s="23">
        <f t="shared" si="1"/>
        <v>0</v>
      </c>
      <c r="F207" s="45"/>
      <c r="H207" s="45"/>
      <c r="J207" s="45"/>
    </row>
    <row r="208">
      <c r="A208" s="22" t="s">
        <v>146</v>
      </c>
      <c r="B208" s="21">
        <f t="shared" si="5"/>
        <v>0</v>
      </c>
      <c r="C208" s="21" t="str">
        <f>VLOOKUP(A208, hash!A$2:B$500, 2, 0)</f>
        <v>6502003d57ae167867eac21c</v>
      </c>
      <c r="D208" s="23">
        <f t="shared" si="1"/>
        <v>0</v>
      </c>
      <c r="F208" s="27"/>
      <c r="H208" s="27"/>
      <c r="J208" s="27"/>
    </row>
    <row r="209">
      <c r="A209" s="22" t="s">
        <v>147</v>
      </c>
      <c r="B209" s="21">
        <f t="shared" si="5"/>
        <v>0</v>
      </c>
      <c r="C209" s="21" t="str">
        <f>VLOOKUP(A209, hash!A$2:B$500, 2, 0)</f>
        <v>65020041540ba7cc68909aa3</v>
      </c>
      <c r="D209" s="23">
        <f t="shared" si="1"/>
        <v>0</v>
      </c>
      <c r="F209" s="45"/>
      <c r="H209" s="45"/>
      <c r="J209" s="45"/>
    </row>
    <row r="210">
      <c r="A210" s="22" t="s">
        <v>615</v>
      </c>
      <c r="B210" s="21">
        <f t="shared" si="5"/>
        <v>0</v>
      </c>
      <c r="C210" s="21" t="str">
        <f>VLOOKUP(A210, hash!A$2:B$500, 2, 0)</f>
        <v>#N/A</v>
      </c>
      <c r="D210" s="23">
        <f t="shared" si="1"/>
        <v>0</v>
      </c>
      <c r="F210" s="45"/>
      <c r="H210" s="45"/>
      <c r="J210" s="45"/>
    </row>
    <row r="211">
      <c r="A211" s="22" t="s">
        <v>148</v>
      </c>
      <c r="B211" s="21">
        <f t="shared" si="5"/>
        <v>0</v>
      </c>
      <c r="C211" s="21" t="str">
        <f>VLOOKUP(A211, hash!A$2:B$500, 2, 0)</f>
        <v>650200481d8cbbbd315ad528</v>
      </c>
      <c r="D211" s="23">
        <f t="shared" si="1"/>
        <v>0</v>
      </c>
      <c r="F211" s="45"/>
      <c r="H211" s="45"/>
      <c r="J211" s="45"/>
    </row>
    <row r="212">
      <c r="A212" s="22" t="s">
        <v>149</v>
      </c>
      <c r="B212" s="21">
        <f t="shared" si="5"/>
        <v>0</v>
      </c>
      <c r="C212" s="21" t="str">
        <f>VLOOKUP(A212, hash!A$2:B$500, 2, 0)</f>
        <v>6502004f1d8cbbbd315ad52a</v>
      </c>
      <c r="D212" s="23">
        <f t="shared" si="1"/>
        <v>0</v>
      </c>
      <c r="F212" s="45"/>
      <c r="H212" s="45"/>
      <c r="J212" s="45"/>
    </row>
    <row r="213">
      <c r="A213" s="22" t="s">
        <v>616</v>
      </c>
      <c r="B213" s="21">
        <f t="shared" si="5"/>
        <v>0</v>
      </c>
      <c r="C213" s="21" t="str">
        <f>VLOOKUP(A213, hash!A$2:B$500, 2, 0)</f>
        <v>#N/A</v>
      </c>
      <c r="D213" s="23">
        <f t="shared" si="1"/>
        <v>0</v>
      </c>
      <c r="F213" s="45"/>
      <c r="H213" s="27"/>
      <c r="J213" s="45"/>
    </row>
    <row r="214">
      <c r="A214" s="22" t="s">
        <v>150</v>
      </c>
      <c r="B214" s="21">
        <f t="shared" si="5"/>
        <v>0</v>
      </c>
      <c r="C214" s="21" t="str">
        <f>VLOOKUP(A214, hash!A$2:B$500, 2, 0)</f>
        <v>6502005118c31aadb7469b1a</v>
      </c>
      <c r="D214" s="23">
        <f t="shared" si="1"/>
        <v>0</v>
      </c>
      <c r="E214" s="14">
        <v>0.0</v>
      </c>
      <c r="F214" s="27">
        <v>0.0</v>
      </c>
      <c r="G214" s="14">
        <v>0.0</v>
      </c>
      <c r="H214" s="27">
        <v>0.0</v>
      </c>
      <c r="I214" s="14">
        <v>0.0</v>
      </c>
      <c r="J214" s="27">
        <v>0.0</v>
      </c>
    </row>
    <row r="215">
      <c r="A215" s="22" t="s">
        <v>151</v>
      </c>
      <c r="B215" s="21">
        <f t="shared" si="5"/>
        <v>0</v>
      </c>
      <c r="C215" s="21" t="str">
        <f>VLOOKUP(A215, hash!A$2:B$500, 2, 0)</f>
        <v>650200601d8cbbbd315ad52d</v>
      </c>
      <c r="D215" s="23">
        <f t="shared" si="1"/>
        <v>0</v>
      </c>
      <c r="F215" s="45"/>
      <c r="H215" s="45"/>
      <c r="J215" s="45"/>
    </row>
    <row r="216">
      <c r="A216" s="22" t="s">
        <v>152</v>
      </c>
      <c r="B216" s="21">
        <f t="shared" si="5"/>
        <v>0</v>
      </c>
      <c r="C216" s="21" t="str">
        <f>VLOOKUP(A216, hash!A$2:B$500, 2, 0)</f>
        <v>6502007218c31aadb7469b1d</v>
      </c>
      <c r="D216" s="23">
        <f t="shared" si="1"/>
        <v>0</v>
      </c>
      <c r="F216" s="45"/>
      <c r="H216" s="45"/>
      <c r="J216" s="45"/>
    </row>
    <row r="217">
      <c r="A217" s="22" t="s">
        <v>153</v>
      </c>
      <c r="B217" s="21">
        <f t="shared" si="5"/>
        <v>0</v>
      </c>
      <c r="C217" s="21" t="str">
        <f>VLOOKUP(A217, hash!A$2:B$500, 2, 0)</f>
        <v>6502007618c31aadb7469b1f</v>
      </c>
      <c r="D217" s="23">
        <f t="shared" si="1"/>
        <v>0</v>
      </c>
      <c r="F217" s="45"/>
      <c r="H217" s="45"/>
      <c r="J217" s="45"/>
    </row>
    <row r="218">
      <c r="A218" s="22" t="s">
        <v>617</v>
      </c>
      <c r="B218" s="21">
        <f t="shared" si="5"/>
        <v>0</v>
      </c>
      <c r="C218" s="21" t="str">
        <f>VLOOKUP(A218, hash!A$2:B$500, 2, 0)</f>
        <v>#N/A</v>
      </c>
      <c r="D218" s="23">
        <f t="shared" si="1"/>
        <v>0</v>
      </c>
      <c r="F218" s="45"/>
      <c r="H218" s="45"/>
      <c r="J218" s="45"/>
    </row>
    <row r="219">
      <c r="A219" s="22" t="s">
        <v>154</v>
      </c>
      <c r="B219" s="21">
        <f t="shared" si="5"/>
        <v>0</v>
      </c>
      <c r="C219" s="21" t="str">
        <f>VLOOKUP(A219, hash!A$2:B$500, 2, 0)</f>
        <v>6502008357ae167867eac228</v>
      </c>
      <c r="D219" s="23">
        <f t="shared" si="1"/>
        <v>0</v>
      </c>
      <c r="F219" s="45"/>
      <c r="H219" s="45"/>
      <c r="J219" s="45"/>
    </row>
    <row r="220">
      <c r="A220" s="22" t="s">
        <v>155</v>
      </c>
      <c r="B220" s="21">
        <f t="shared" si="5"/>
        <v>0</v>
      </c>
      <c r="C220" s="21" t="str">
        <f>VLOOKUP(A220, hash!A$2:B$500, 2, 0)</f>
        <v>650200931d8cbbbd315ad536</v>
      </c>
      <c r="D220" s="23">
        <f t="shared" si="1"/>
        <v>0</v>
      </c>
      <c r="F220" s="45"/>
      <c r="H220" s="45"/>
      <c r="J220" s="45"/>
    </row>
    <row r="221">
      <c r="A221" s="22" t="s">
        <v>157</v>
      </c>
      <c r="B221" s="21">
        <f t="shared" si="5"/>
        <v>0</v>
      </c>
      <c r="C221" s="21" t="str">
        <f>VLOOKUP(A221, hash!A$2:B$500, 2, 0)</f>
        <v>65020bcd03dd812a55d3a1fe</v>
      </c>
      <c r="D221" s="23">
        <f t="shared" si="1"/>
        <v>0</v>
      </c>
      <c r="F221" s="45"/>
      <c r="H221" s="45"/>
      <c r="J221" s="45"/>
    </row>
    <row r="222">
      <c r="A222" s="22" t="s">
        <v>158</v>
      </c>
      <c r="B222" s="21">
        <f t="shared" si="5"/>
        <v>0</v>
      </c>
      <c r="C222" s="21" t="str">
        <f>VLOOKUP(A222, hash!A$2:B$500, 2, 0)</f>
        <v>65020bcf8f2b101294bb3da0</v>
      </c>
      <c r="D222" s="23">
        <f t="shared" si="1"/>
        <v>0</v>
      </c>
      <c r="F222" s="45"/>
      <c r="H222" s="45"/>
      <c r="J222" s="45"/>
    </row>
    <row r="223">
      <c r="A223" s="22" t="s">
        <v>159</v>
      </c>
      <c r="B223" s="21">
        <f t="shared" si="5"/>
        <v>0</v>
      </c>
      <c r="C223" s="21" t="str">
        <f>VLOOKUP(A223, hash!A$2:B$500, 2, 0)</f>
        <v>65020bd28f2b101294bb3da1</v>
      </c>
      <c r="D223" s="23">
        <f t="shared" si="1"/>
        <v>0</v>
      </c>
      <c r="F223" s="45"/>
      <c r="H223" s="45"/>
      <c r="J223" s="45"/>
    </row>
    <row r="224">
      <c r="A224" s="22" t="s">
        <v>160</v>
      </c>
      <c r="B224" s="21">
        <f t="shared" si="5"/>
        <v>0</v>
      </c>
      <c r="C224" s="21" t="str">
        <f>VLOOKUP(A224, hash!A$2:B$500, 2, 0)</f>
        <v>65020bd203dd812a55d3a1ff</v>
      </c>
      <c r="D224" s="23">
        <f t="shared" si="1"/>
        <v>0</v>
      </c>
      <c r="F224" s="45"/>
      <c r="H224" s="45"/>
      <c r="J224" s="45"/>
    </row>
    <row r="225">
      <c r="A225" s="22" t="s">
        <v>161</v>
      </c>
      <c r="B225" s="21">
        <f t="shared" si="5"/>
        <v>0</v>
      </c>
      <c r="C225" s="21" t="str">
        <f>VLOOKUP(A225, hash!A$2:B$500, 2, 0)</f>
        <v>65020bd2967e3c86d1681e9e</v>
      </c>
      <c r="D225" s="23">
        <f t="shared" si="1"/>
        <v>0</v>
      </c>
      <c r="F225" s="45"/>
      <c r="H225" s="45"/>
      <c r="J225" s="45"/>
    </row>
    <row r="226">
      <c r="A226" s="22" t="s">
        <v>93</v>
      </c>
      <c r="B226" s="21">
        <f t="shared" si="5"/>
        <v>0</v>
      </c>
      <c r="C226" s="21" t="str">
        <f>VLOOKUP(A226, hash!A$2:B$500, 2, 0)</f>
        <v>65020bd203dd812a55d3a200</v>
      </c>
      <c r="D226" s="23">
        <f t="shared" si="1"/>
        <v>0</v>
      </c>
      <c r="F226" s="27"/>
      <c r="H226" s="27"/>
      <c r="J226" s="27"/>
    </row>
    <row r="227">
      <c r="A227" s="22" t="s">
        <v>162</v>
      </c>
      <c r="B227" s="21">
        <f t="shared" si="5"/>
        <v>0</v>
      </c>
      <c r="C227" s="21" t="str">
        <f>VLOOKUP(A227, hash!A$2:B$500, 2, 0)</f>
        <v>65020bdb03dd812a55d3a202</v>
      </c>
      <c r="D227" s="23">
        <f t="shared" si="1"/>
        <v>0</v>
      </c>
      <c r="F227" s="45"/>
      <c r="H227" s="45"/>
      <c r="J227" s="45"/>
    </row>
    <row r="228">
      <c r="A228" s="22" t="s">
        <v>163</v>
      </c>
      <c r="B228" s="21">
        <f t="shared" si="5"/>
        <v>0</v>
      </c>
      <c r="C228" s="21" t="str">
        <f>VLOOKUP(A228, hash!A$2:B$500, 2, 0)</f>
        <v>65020bde03dd812a55d3a203</v>
      </c>
      <c r="D228" s="23">
        <f t="shared" si="1"/>
        <v>0</v>
      </c>
      <c r="F228" s="45"/>
      <c r="H228" s="45"/>
      <c r="J228" s="45"/>
    </row>
    <row r="229">
      <c r="A229" s="22" t="s">
        <v>164</v>
      </c>
      <c r="B229" s="21">
        <f t="shared" si="5"/>
        <v>0</v>
      </c>
      <c r="C229" s="21" t="str">
        <f>VLOOKUP(A229, hash!A$2:B$500, 2, 0)</f>
        <v>65020be303dd812a55d3a205</v>
      </c>
      <c r="D229" s="23">
        <f t="shared" si="1"/>
        <v>0</v>
      </c>
      <c r="F229" s="45"/>
      <c r="H229" s="45"/>
      <c r="J229" s="45"/>
    </row>
    <row r="230">
      <c r="A230" s="22" t="s">
        <v>165</v>
      </c>
      <c r="B230" s="21">
        <f t="shared" si="5"/>
        <v>0</v>
      </c>
      <c r="C230" s="21" t="str">
        <f>VLOOKUP(A230, hash!A$2:B$500, 2, 0)</f>
        <v>65020be48f2b101294bb3da4</v>
      </c>
      <c r="D230" s="23">
        <f t="shared" si="1"/>
        <v>0</v>
      </c>
      <c r="F230" s="45"/>
      <c r="H230" s="45"/>
      <c r="J230" s="45"/>
    </row>
    <row r="231">
      <c r="A231" s="22" t="s">
        <v>166</v>
      </c>
      <c r="B231" s="21">
        <f t="shared" si="5"/>
        <v>0</v>
      </c>
      <c r="C231" s="21" t="str">
        <f>VLOOKUP(A231, hash!A$2:B$500, 2, 0)</f>
        <v>65020be58f2b101294bb3da6</v>
      </c>
      <c r="D231" s="23">
        <f t="shared" si="1"/>
        <v>0</v>
      </c>
      <c r="F231" s="45"/>
      <c r="H231" s="45"/>
      <c r="J231" s="45"/>
    </row>
    <row r="232">
      <c r="A232" s="22" t="s">
        <v>167</v>
      </c>
      <c r="B232" s="21">
        <f t="shared" si="5"/>
        <v>0</v>
      </c>
      <c r="C232" s="21" t="str">
        <f>VLOOKUP(A232, hash!A$2:B$500, 2, 0)</f>
        <v>65020be68f2b101294bb3da7</v>
      </c>
      <c r="D232" s="23">
        <f t="shared" si="1"/>
        <v>0</v>
      </c>
      <c r="F232" s="45"/>
      <c r="H232" s="45"/>
      <c r="J232" s="45"/>
    </row>
    <row r="233">
      <c r="A233" s="24" t="s">
        <v>618</v>
      </c>
      <c r="B233" s="21">
        <f t="shared" si="5"/>
        <v>0</v>
      </c>
      <c r="C233" s="21" t="str">
        <f>VLOOKUP(A233, hash!A$2:B$500, 2, 0)</f>
        <v>#N/A</v>
      </c>
      <c r="D233" s="23">
        <f t="shared" si="1"/>
        <v>0</v>
      </c>
      <c r="F233" s="45"/>
      <c r="H233" s="45"/>
      <c r="J233" s="45"/>
    </row>
    <row r="234">
      <c r="A234" s="22" t="s">
        <v>168</v>
      </c>
      <c r="B234" s="21">
        <f t="shared" si="5"/>
        <v>0</v>
      </c>
      <c r="C234" s="21" t="str">
        <f>VLOOKUP(A234, hash!A$2:B$500, 2, 0)</f>
        <v>65020bec8f2b101294bb3da9</v>
      </c>
      <c r="D234" s="23">
        <f t="shared" si="1"/>
        <v>0</v>
      </c>
      <c r="F234" s="45"/>
      <c r="H234" s="45"/>
      <c r="J234" s="45"/>
    </row>
    <row r="235">
      <c r="A235" s="22" t="s">
        <v>169</v>
      </c>
      <c r="B235" s="21">
        <f t="shared" si="5"/>
        <v>0</v>
      </c>
      <c r="C235" s="21" t="str">
        <f>VLOOKUP(A235, hash!A$2:B$500, 2, 0)</f>
        <v>65020bf103dd812a55d3a208</v>
      </c>
      <c r="D235" s="23">
        <f t="shared" si="1"/>
        <v>0</v>
      </c>
      <c r="F235" s="45"/>
      <c r="H235" s="45"/>
      <c r="J235" s="45"/>
    </row>
    <row r="236">
      <c r="A236" s="22" t="s">
        <v>170</v>
      </c>
      <c r="B236" s="21">
        <f t="shared" si="5"/>
        <v>0</v>
      </c>
      <c r="C236" s="21" t="str">
        <f>VLOOKUP(A236, hash!A$2:B$500, 2, 0)</f>
        <v>65020bf203dd812a55d3a209</v>
      </c>
      <c r="D236" s="23">
        <f t="shared" si="1"/>
        <v>0</v>
      </c>
      <c r="F236" s="45"/>
      <c r="H236" s="45"/>
      <c r="J236" s="45"/>
    </row>
    <row r="237">
      <c r="A237" s="22" t="s">
        <v>171</v>
      </c>
      <c r="B237" s="21">
        <f t="shared" si="5"/>
        <v>0</v>
      </c>
      <c r="C237" s="21" t="str">
        <f>VLOOKUP(A237, hash!A$2:B$500, 2, 0)</f>
        <v>65020bf603dd812a55d3a20a</v>
      </c>
      <c r="D237" s="23">
        <f t="shared" si="1"/>
        <v>0</v>
      </c>
      <c r="F237" s="45"/>
      <c r="H237" s="45"/>
      <c r="J237" s="45"/>
    </row>
    <row r="238">
      <c r="A238" s="22" t="s">
        <v>172</v>
      </c>
      <c r="B238" s="21">
        <f t="shared" si="5"/>
        <v>0</v>
      </c>
      <c r="C238" s="21" t="str">
        <f>VLOOKUP(A238, hash!A$2:B$500, 2, 0)</f>
        <v>65020bf8097ac3c9d063264a</v>
      </c>
      <c r="D238" s="23">
        <f t="shared" si="1"/>
        <v>0</v>
      </c>
      <c r="F238" s="45"/>
      <c r="H238" s="45"/>
      <c r="J238" s="45"/>
    </row>
    <row r="239">
      <c r="A239" s="22" t="s">
        <v>619</v>
      </c>
      <c r="B239" s="21">
        <f t="shared" si="5"/>
        <v>0</v>
      </c>
      <c r="C239" s="21" t="str">
        <f>VLOOKUP(A239, hash!A$2:B$500, 2, 0)</f>
        <v>#N/A</v>
      </c>
      <c r="D239" s="23">
        <f t="shared" si="1"/>
        <v>0</v>
      </c>
      <c r="F239" s="45"/>
      <c r="H239" s="45"/>
      <c r="J239" s="45"/>
    </row>
    <row r="240">
      <c r="A240" s="22" t="s">
        <v>173</v>
      </c>
      <c r="B240" s="21">
        <f t="shared" si="5"/>
        <v>0</v>
      </c>
      <c r="C240" s="21" t="str">
        <f>VLOOKUP(A240, hash!A$2:B$500, 2, 0)</f>
        <v>65020bfb097ac3c9d063264c</v>
      </c>
      <c r="D240" s="23">
        <f t="shared" si="1"/>
        <v>0</v>
      </c>
      <c r="E240" s="14">
        <v>0.0</v>
      </c>
      <c r="F240" s="27">
        <v>0.0</v>
      </c>
      <c r="G240" s="14">
        <v>0.0</v>
      </c>
      <c r="H240" s="27">
        <v>0.0</v>
      </c>
      <c r="I240" s="14">
        <v>0.0</v>
      </c>
      <c r="J240" s="27">
        <v>0.0</v>
      </c>
    </row>
    <row r="241">
      <c r="A241" s="22" t="s">
        <v>174</v>
      </c>
      <c r="B241" s="21">
        <f t="shared" si="5"/>
        <v>0</v>
      </c>
      <c r="C241" s="21" t="str">
        <f>VLOOKUP(A241, hash!A$2:B$500, 2, 0)</f>
        <v>65020bfc097ac3c9d063264e</v>
      </c>
      <c r="D241" s="23">
        <f t="shared" si="1"/>
        <v>0</v>
      </c>
      <c r="F241" s="45"/>
      <c r="H241" s="45"/>
      <c r="J241" s="45"/>
    </row>
    <row r="242">
      <c r="A242" s="22" t="s">
        <v>23</v>
      </c>
      <c r="B242" s="21">
        <f t="shared" si="5"/>
        <v>996.954804</v>
      </c>
      <c r="C242" s="21" t="str">
        <f>VLOOKUP(A242, hash!A$2:B$500, 2, 0)</f>
        <v>65020bfe097ac3c9d063264f</v>
      </c>
      <c r="D242" s="23">
        <f t="shared" si="1"/>
        <v>5.008735598</v>
      </c>
      <c r="E242" s="14">
        <v>1.0</v>
      </c>
      <c r="F242" s="27">
        <v>0.0</v>
      </c>
      <c r="G242" s="14">
        <v>0.0</v>
      </c>
      <c r="H242" s="27">
        <v>1.0</v>
      </c>
      <c r="I242" s="14">
        <v>0.0</v>
      </c>
      <c r="J242" s="27">
        <v>0.0</v>
      </c>
    </row>
    <row r="243">
      <c r="A243" s="22" t="s">
        <v>175</v>
      </c>
      <c r="B243" s="21">
        <f t="shared" si="5"/>
        <v>0</v>
      </c>
      <c r="C243" s="21" t="str">
        <f>VLOOKUP(A243, hash!A$2:B$500, 2, 0)</f>
        <v>65020c00097ac3c9d0632650</v>
      </c>
      <c r="D243" s="23">
        <f t="shared" si="1"/>
        <v>0</v>
      </c>
      <c r="F243" s="45"/>
      <c r="H243" s="45"/>
      <c r="J243" s="45"/>
    </row>
    <row r="244">
      <c r="A244" s="22" t="s">
        <v>176</v>
      </c>
      <c r="B244" s="21">
        <f t="shared" si="5"/>
        <v>0</v>
      </c>
      <c r="C244" s="21" t="str">
        <f>VLOOKUP(A244, hash!A$2:B$500, 2, 0)</f>
        <v>65020c058f2b101294bb3daa</v>
      </c>
      <c r="D244" s="23">
        <f t="shared" si="1"/>
        <v>0</v>
      </c>
      <c r="F244" s="45"/>
      <c r="H244" s="45"/>
      <c r="J244" s="45"/>
    </row>
    <row r="245">
      <c r="A245" s="22" t="s">
        <v>177</v>
      </c>
      <c r="B245" s="21">
        <f t="shared" si="5"/>
        <v>0</v>
      </c>
      <c r="C245" s="21" t="str">
        <f>VLOOKUP(A245, hash!A$2:B$500, 2, 0)</f>
        <v>65020c068f2b101294bb3dab</v>
      </c>
      <c r="D245" s="23">
        <f t="shared" si="1"/>
        <v>0</v>
      </c>
      <c r="F245" s="45"/>
      <c r="H245" s="45"/>
      <c r="J245" s="45"/>
    </row>
    <row r="246">
      <c r="A246" s="22" t="s">
        <v>178</v>
      </c>
      <c r="B246" s="21">
        <f t="shared" si="5"/>
        <v>0</v>
      </c>
      <c r="C246" s="21" t="str">
        <f>VLOOKUP(A246, hash!A$2:B$500, 2, 0)</f>
        <v>65020c06097ac3c9d0632652</v>
      </c>
      <c r="D246" s="23">
        <f t="shared" si="1"/>
        <v>0</v>
      </c>
      <c r="F246" s="45"/>
      <c r="H246" s="45"/>
      <c r="J246" s="45"/>
    </row>
    <row r="247">
      <c r="A247" s="22" t="s">
        <v>179</v>
      </c>
      <c r="B247" s="21">
        <f t="shared" si="5"/>
        <v>0</v>
      </c>
      <c r="C247" s="21" t="str">
        <f>VLOOKUP(A247, hash!A$2:B$500, 2, 0)</f>
        <v>65020c088f2b101294bb3dad</v>
      </c>
      <c r="D247" s="23">
        <f t="shared" si="1"/>
        <v>0</v>
      </c>
      <c r="E247" s="14">
        <v>0.0</v>
      </c>
      <c r="F247" s="27">
        <v>0.0</v>
      </c>
      <c r="G247" s="14">
        <v>0.0</v>
      </c>
      <c r="H247" s="27">
        <v>0.0</v>
      </c>
      <c r="I247" s="14">
        <v>0.0</v>
      </c>
      <c r="J247" s="27">
        <v>0.0</v>
      </c>
    </row>
    <row r="248">
      <c r="A248" s="22" t="s">
        <v>180</v>
      </c>
      <c r="B248" s="21">
        <f t="shared" si="5"/>
        <v>0</v>
      </c>
      <c r="C248" s="21" t="str">
        <f>VLOOKUP(A248, hash!A$2:B$500, 2, 0)</f>
        <v>65020c0f03dd812a55d3a20d</v>
      </c>
      <c r="D248" s="23">
        <f t="shared" si="1"/>
        <v>0</v>
      </c>
      <c r="F248" s="45"/>
      <c r="H248" s="45"/>
      <c r="J248" s="45"/>
    </row>
    <row r="249">
      <c r="A249" s="22" t="s">
        <v>181</v>
      </c>
      <c r="B249" s="21">
        <f t="shared" si="5"/>
        <v>0</v>
      </c>
      <c r="C249" s="21" t="str">
        <f>VLOOKUP(A249, hash!A$2:B$500, 2, 0)</f>
        <v>65020c158f2b101294bb3daf</v>
      </c>
      <c r="D249" s="23">
        <f t="shared" si="1"/>
        <v>0</v>
      </c>
      <c r="F249" s="45"/>
      <c r="H249" s="45"/>
      <c r="J249" s="45"/>
    </row>
    <row r="250">
      <c r="A250" s="22" t="s">
        <v>182</v>
      </c>
      <c r="B250" s="21">
        <f t="shared" si="5"/>
        <v>0</v>
      </c>
      <c r="C250" s="21" t="str">
        <f>VLOOKUP(A250, hash!A$2:B$500, 2, 0)</f>
        <v>65020c188f2b101294bb3db0</v>
      </c>
      <c r="D250" s="23">
        <f t="shared" si="1"/>
        <v>0</v>
      </c>
      <c r="F250" s="45"/>
      <c r="H250" s="45"/>
      <c r="J250" s="45"/>
    </row>
    <row r="251">
      <c r="A251" s="22" t="s">
        <v>620</v>
      </c>
      <c r="B251" s="21">
        <f t="shared" si="5"/>
        <v>0</v>
      </c>
      <c r="C251" s="21" t="str">
        <f>VLOOKUP(A251, hash!A$2:B$500, 2, 0)</f>
        <v>#N/A</v>
      </c>
      <c r="D251" s="23">
        <f t="shared" si="1"/>
        <v>0</v>
      </c>
      <c r="F251" s="45"/>
      <c r="H251" s="45"/>
      <c r="J251" s="45"/>
    </row>
    <row r="252">
      <c r="A252" s="22" t="s">
        <v>183</v>
      </c>
      <c r="B252" s="21">
        <f t="shared" si="5"/>
        <v>0</v>
      </c>
      <c r="C252" s="21" t="str">
        <f>VLOOKUP(A252, hash!A$2:B$500, 2, 0)</f>
        <v>65020c5b097ac3c9d0632661</v>
      </c>
      <c r="D252" s="23">
        <f t="shared" si="1"/>
        <v>0</v>
      </c>
      <c r="F252" s="45"/>
      <c r="H252" s="45"/>
      <c r="J252" s="45"/>
    </row>
    <row r="253">
      <c r="A253" s="22" t="s">
        <v>184</v>
      </c>
      <c r="B253" s="21">
        <f t="shared" si="5"/>
        <v>0</v>
      </c>
      <c r="C253" s="21" t="str">
        <f>VLOOKUP(A253, hash!A$2:B$500, 2, 0)</f>
        <v>65020cea8f2b101294bb3dbe</v>
      </c>
      <c r="D253" s="23">
        <f t="shared" si="1"/>
        <v>0</v>
      </c>
      <c r="F253" s="45"/>
      <c r="H253" s="45"/>
      <c r="J253" s="45"/>
    </row>
    <row r="254">
      <c r="A254" s="22" t="s">
        <v>185</v>
      </c>
      <c r="B254" s="21">
        <f t="shared" si="5"/>
        <v>0</v>
      </c>
      <c r="C254" s="21" t="str">
        <f>VLOOKUP(A254, hash!A$2:B$500, 2, 0)</f>
        <v>65020d4b097ac3c9d063266a</v>
      </c>
      <c r="D254" s="23">
        <f t="shared" si="1"/>
        <v>0</v>
      </c>
      <c r="E254" s="14">
        <v>0.0</v>
      </c>
      <c r="F254" s="27">
        <v>0.0</v>
      </c>
      <c r="G254" s="14">
        <v>0.0</v>
      </c>
      <c r="H254" s="27">
        <v>0.0</v>
      </c>
      <c r="I254" s="14">
        <v>0.0</v>
      </c>
      <c r="J254" s="27">
        <v>0.0</v>
      </c>
    </row>
    <row r="255">
      <c r="A255" s="22" t="s">
        <v>186</v>
      </c>
      <c r="B255" s="21">
        <f t="shared" si="5"/>
        <v>0</v>
      </c>
      <c r="C255" s="21" t="str">
        <f>VLOOKUP(A255, hash!A$2:B$500, 2, 0)</f>
        <v>65044a78c61c6a809dc7166a</v>
      </c>
      <c r="D255" s="23">
        <f t="shared" si="1"/>
        <v>0</v>
      </c>
      <c r="F255" s="45"/>
      <c r="H255" s="45"/>
      <c r="J255" s="45"/>
    </row>
    <row r="256">
      <c r="A256" s="22" t="s">
        <v>187</v>
      </c>
      <c r="B256" s="21">
        <f t="shared" si="5"/>
        <v>0</v>
      </c>
      <c r="C256" s="21" t="str">
        <f>VLOOKUP(A256, hash!A$2:B$500, 2, 0)</f>
        <v>650b3a05831593811cfcd7a6</v>
      </c>
      <c r="D256" s="23">
        <f t="shared" si="1"/>
        <v>0</v>
      </c>
      <c r="F256" s="45"/>
      <c r="H256" s="45"/>
      <c r="J256" s="45"/>
    </row>
    <row r="257">
      <c r="A257" s="22" t="s">
        <v>188</v>
      </c>
      <c r="B257" s="21">
        <f t="shared" si="5"/>
        <v>0</v>
      </c>
      <c r="C257" s="21" t="str">
        <f>VLOOKUP(A257, hash!A$2:B$500, 2, 0)</f>
        <v>650b3a079d801acd9fe283a1</v>
      </c>
      <c r="D257" s="23">
        <f t="shared" si="1"/>
        <v>0</v>
      </c>
      <c r="F257" s="45"/>
      <c r="H257" s="45"/>
      <c r="J257" s="45"/>
    </row>
    <row r="258">
      <c r="A258" s="22" t="s">
        <v>189</v>
      </c>
      <c r="B258" s="21">
        <f t="shared" si="5"/>
        <v>0</v>
      </c>
      <c r="C258" s="21" t="str">
        <f>VLOOKUP(A258, hash!A$2:B$500, 2, 0)</f>
        <v>650b3a09ed7955a527757145</v>
      </c>
      <c r="D258" s="23">
        <f t="shared" si="1"/>
        <v>0</v>
      </c>
      <c r="F258" s="45"/>
      <c r="H258" s="45"/>
      <c r="J258" s="45"/>
    </row>
    <row r="259">
      <c r="A259" s="22" t="s">
        <v>190</v>
      </c>
      <c r="B259" s="21">
        <f t="shared" si="5"/>
        <v>0</v>
      </c>
      <c r="C259" s="21" t="str">
        <f>VLOOKUP(A259, hash!A$2:B$500, 2, 0)</f>
        <v>650b3a0ded7955a527757147</v>
      </c>
      <c r="D259" s="23">
        <f t="shared" si="1"/>
        <v>0</v>
      </c>
      <c r="F259" s="45"/>
      <c r="H259" s="45"/>
      <c r="J259" s="45"/>
    </row>
    <row r="260">
      <c r="A260" s="22" t="s">
        <v>191</v>
      </c>
      <c r="B260" s="21">
        <f t="shared" si="5"/>
        <v>0</v>
      </c>
      <c r="C260" s="21" t="str">
        <f>VLOOKUP(A260, hash!A$2:B$500, 2, 0)</f>
        <v>650b3a0eacb6c663527423b7</v>
      </c>
      <c r="D260" s="23">
        <f t="shared" si="1"/>
        <v>0</v>
      </c>
      <c r="F260" s="45"/>
      <c r="H260" s="45"/>
      <c r="J260" s="45"/>
    </row>
    <row r="261">
      <c r="A261" s="22" t="s">
        <v>192</v>
      </c>
      <c r="B261" s="21">
        <f t="shared" si="5"/>
        <v>0</v>
      </c>
      <c r="C261" s="21" t="str">
        <f>VLOOKUP(A261, hash!A$2:B$500, 2, 0)</f>
        <v>650b3a0e9d801acd9fe283a2</v>
      </c>
      <c r="D261" s="23">
        <f t="shared" si="1"/>
        <v>0</v>
      </c>
      <c r="F261" s="45"/>
      <c r="H261" s="45"/>
      <c r="J261" s="45"/>
    </row>
    <row r="262">
      <c r="A262" s="22" t="s">
        <v>193</v>
      </c>
      <c r="B262" s="21">
        <f t="shared" si="5"/>
        <v>0</v>
      </c>
      <c r="C262" s="21" t="str">
        <f>VLOOKUP(A262, hash!A$2:B$500, 2, 0)</f>
        <v>650b3a15ed7955a527757149</v>
      </c>
      <c r="D262" s="23">
        <f t="shared" si="1"/>
        <v>0</v>
      </c>
      <c r="F262" s="45"/>
      <c r="H262" s="45"/>
      <c r="J262" s="45"/>
    </row>
    <row r="263">
      <c r="A263" s="22" t="s">
        <v>194</v>
      </c>
      <c r="B263" s="21">
        <f t="shared" si="5"/>
        <v>0</v>
      </c>
      <c r="C263" s="21" t="str">
        <f>VLOOKUP(A263, hash!A$2:B$500, 2, 0)</f>
        <v>650b3a1ced7955a52775714b</v>
      </c>
      <c r="D263" s="23">
        <f t="shared" si="1"/>
        <v>0</v>
      </c>
      <c r="F263" s="45"/>
      <c r="H263" s="45"/>
      <c r="J263" s="45"/>
    </row>
    <row r="264">
      <c r="A264" s="22" t="s">
        <v>195</v>
      </c>
      <c r="B264" s="21">
        <f t="shared" si="5"/>
        <v>0</v>
      </c>
      <c r="C264" s="21" t="str">
        <f>VLOOKUP(A264, hash!A$2:B$500, 2, 0)</f>
        <v>650b3a9e41c634acd2e8f3d0</v>
      </c>
      <c r="D264" s="23">
        <f t="shared" si="1"/>
        <v>0</v>
      </c>
      <c r="F264" s="45"/>
      <c r="H264" s="45"/>
      <c r="J264" s="45"/>
    </row>
    <row r="265">
      <c r="A265" s="22" t="s">
        <v>196</v>
      </c>
      <c r="B265" s="21">
        <f t="shared" si="5"/>
        <v>0</v>
      </c>
      <c r="C265" s="21" t="str">
        <f>VLOOKUP(A265, hash!A$2:B$500, 2, 0)</f>
        <v>650b40c463d8964b8e363b3b</v>
      </c>
      <c r="D265" s="23">
        <f t="shared" si="1"/>
        <v>0</v>
      </c>
      <c r="F265" s="45"/>
      <c r="H265" s="45"/>
      <c r="J265" s="45"/>
    </row>
    <row r="266">
      <c r="A266" s="22" t="s">
        <v>197</v>
      </c>
      <c r="B266" s="21">
        <f t="shared" si="5"/>
        <v>0</v>
      </c>
      <c r="C266" s="21" t="str">
        <f>VLOOKUP(A266, hash!A$2:B$500, 2, 0)</f>
        <v>650b40ce63d8964b8e363b3d</v>
      </c>
      <c r="D266" s="23">
        <f t="shared" si="1"/>
        <v>0</v>
      </c>
      <c r="F266" s="45"/>
      <c r="H266" s="45"/>
      <c r="J266" s="45"/>
    </row>
    <row r="267">
      <c r="A267" s="22" t="s">
        <v>198</v>
      </c>
      <c r="B267" s="21">
        <f t="shared" si="5"/>
        <v>0</v>
      </c>
      <c r="C267" s="21" t="str">
        <f>VLOOKUP(A267, hash!A$2:B$500, 2, 0)</f>
        <v>650b446c63d8964b8e363b40</v>
      </c>
      <c r="D267" s="23">
        <f t="shared" si="1"/>
        <v>0</v>
      </c>
      <c r="F267" s="45"/>
      <c r="H267" s="45"/>
      <c r="J267" s="45"/>
    </row>
    <row r="268">
      <c r="A268" s="22" t="s">
        <v>199</v>
      </c>
      <c r="B268" s="21">
        <f t="shared" si="5"/>
        <v>0</v>
      </c>
      <c r="C268" s="21" t="str">
        <f>VLOOKUP(A268, hash!A$2:B$500, 2, 0)</f>
        <v>650b44847b17d110a03d7208</v>
      </c>
      <c r="D268" s="23">
        <f t="shared" si="1"/>
        <v>0</v>
      </c>
      <c r="F268" s="45"/>
      <c r="H268" s="45"/>
      <c r="J268" s="45"/>
    </row>
    <row r="269">
      <c r="A269" s="22" t="s">
        <v>200</v>
      </c>
      <c r="B269" s="21">
        <f t="shared" si="5"/>
        <v>0</v>
      </c>
      <c r="C269" s="21" t="str">
        <f>VLOOKUP(A269, hash!A$2:B$500, 2, 0)</f>
        <v>650b44997b17d110a03d7209</v>
      </c>
      <c r="D269" s="23">
        <f t="shared" si="1"/>
        <v>0</v>
      </c>
      <c r="F269" s="45"/>
      <c r="H269" s="45"/>
      <c r="J269" s="45"/>
    </row>
    <row r="270">
      <c r="A270" s="22" t="s">
        <v>201</v>
      </c>
      <c r="B270" s="21">
        <f t="shared" si="5"/>
        <v>0</v>
      </c>
      <c r="C270" s="21" t="str">
        <f>VLOOKUP(A270, hash!A$2:B$500, 2, 0)</f>
        <v>650b45dd0df4236622e51063</v>
      </c>
      <c r="D270" s="23">
        <f t="shared" si="1"/>
        <v>0</v>
      </c>
      <c r="F270" s="45"/>
      <c r="H270" s="45"/>
      <c r="J270" s="45"/>
    </row>
    <row r="271">
      <c r="A271" s="22" t="s">
        <v>202</v>
      </c>
      <c r="B271" s="21">
        <f t="shared" si="5"/>
        <v>0</v>
      </c>
      <c r="C271" s="21" t="str">
        <f>VLOOKUP(A271, hash!A$2:B$500, 2, 0)</f>
        <v>650b461a1798582bd25e6f14</v>
      </c>
      <c r="D271" s="23">
        <f t="shared" si="1"/>
        <v>0</v>
      </c>
      <c r="F271" s="45"/>
      <c r="H271" s="45"/>
      <c r="J271" s="45"/>
    </row>
    <row r="272">
      <c r="A272" s="22" t="s">
        <v>203</v>
      </c>
      <c r="B272" s="21">
        <f t="shared" si="5"/>
        <v>0</v>
      </c>
      <c r="C272" s="21" t="str">
        <f>VLOOKUP(A272, hash!A$2:B$500, 2, 0)</f>
        <v>650b466f0ebdcd576cc45c6f</v>
      </c>
      <c r="D272" s="23">
        <f t="shared" si="1"/>
        <v>0</v>
      </c>
      <c r="F272" s="45"/>
      <c r="H272" s="45"/>
      <c r="J272" s="45"/>
    </row>
    <row r="273">
      <c r="A273" s="22" t="s">
        <v>204</v>
      </c>
      <c r="B273" s="21">
        <f t="shared" si="5"/>
        <v>0</v>
      </c>
      <c r="C273" s="21" t="str">
        <f>VLOOKUP(A273, hash!A$2:B$500, 2, 0)</f>
        <v>650b46820ebdcd576cc45c70</v>
      </c>
      <c r="D273" s="23">
        <f t="shared" si="1"/>
        <v>0</v>
      </c>
      <c r="F273" s="45"/>
      <c r="H273" s="45"/>
      <c r="J273" s="45"/>
    </row>
    <row r="274">
      <c r="A274" s="22" t="s">
        <v>205</v>
      </c>
      <c r="B274" s="21">
        <f t="shared" si="5"/>
        <v>0</v>
      </c>
      <c r="C274" s="21" t="str">
        <f>VLOOKUP(A274, hash!A$2:B$500, 2, 0)</f>
        <v>650b477d7b17d110a03d7221</v>
      </c>
      <c r="D274" s="23">
        <f t="shared" si="1"/>
        <v>0</v>
      </c>
      <c r="F274" s="45"/>
      <c r="H274" s="45"/>
      <c r="J274" s="45"/>
    </row>
    <row r="275">
      <c r="A275" s="22" t="s">
        <v>621</v>
      </c>
      <c r="B275" s="21">
        <f t="shared" si="5"/>
        <v>0</v>
      </c>
      <c r="C275" s="21" t="str">
        <f>VLOOKUP(A275, hash!A$2:B$500, 2, 0)</f>
        <v>#N/A</v>
      </c>
      <c r="D275" s="23">
        <f t="shared" si="1"/>
        <v>0</v>
      </c>
      <c r="F275" s="45"/>
      <c r="H275" s="45"/>
      <c r="J275" s="45"/>
    </row>
    <row r="276">
      <c r="A276" s="22" t="s">
        <v>206</v>
      </c>
      <c r="B276" s="21">
        <f t="shared" si="5"/>
        <v>0</v>
      </c>
      <c r="C276" s="21" t="str">
        <f>VLOOKUP(A276, hash!A$2:B$500, 2, 0)</f>
        <v>651473b073ba37322a56bc86</v>
      </c>
      <c r="D276" s="23">
        <f t="shared" si="1"/>
        <v>0</v>
      </c>
      <c r="F276" s="45"/>
      <c r="H276" s="45"/>
      <c r="J276" s="45"/>
    </row>
    <row r="277">
      <c r="A277" s="22" t="s">
        <v>207</v>
      </c>
      <c r="B277" s="21">
        <f t="shared" si="5"/>
        <v>0</v>
      </c>
      <c r="C277" s="21" t="str">
        <f>VLOOKUP(A277, hash!A$2:B$500, 2, 0)</f>
        <v>6514746bcb3856acbe2e045e</v>
      </c>
      <c r="D277" s="23">
        <f t="shared" si="1"/>
        <v>0</v>
      </c>
      <c r="E277" s="14">
        <v>0.0</v>
      </c>
      <c r="F277" s="27">
        <v>0.0</v>
      </c>
      <c r="G277" s="14">
        <v>0.0</v>
      </c>
      <c r="H277" s="27">
        <v>0.0</v>
      </c>
      <c r="I277" s="14">
        <v>0.0</v>
      </c>
      <c r="J277" s="27">
        <v>0.0</v>
      </c>
    </row>
    <row r="278">
      <c r="A278" s="22" t="s">
        <v>208</v>
      </c>
      <c r="B278" s="21">
        <f t="shared" si="5"/>
        <v>0</v>
      </c>
      <c r="C278" s="21" t="str">
        <f>VLOOKUP(A278, hash!A$2:B$500, 2, 0)</f>
        <v>651474adbad0d569bbd8c620</v>
      </c>
      <c r="D278" s="23">
        <f t="shared" si="1"/>
        <v>0</v>
      </c>
      <c r="F278" s="45"/>
      <c r="H278" s="45"/>
      <c r="J278" s="45"/>
    </row>
    <row r="279">
      <c r="A279" s="22" t="s">
        <v>622</v>
      </c>
      <c r="B279" s="21">
        <f t="shared" si="5"/>
        <v>0</v>
      </c>
      <c r="C279" s="21" t="str">
        <f>VLOOKUP(A279, hash!A$2:B$500, 2, 0)</f>
        <v>#N/A</v>
      </c>
      <c r="D279" s="23">
        <f t="shared" si="1"/>
        <v>0</v>
      </c>
      <c r="F279" s="45"/>
      <c r="H279" s="45"/>
      <c r="J279" s="45"/>
    </row>
    <row r="280">
      <c r="A280" s="22" t="s">
        <v>209</v>
      </c>
      <c r="B280" s="21">
        <f t="shared" si="5"/>
        <v>0</v>
      </c>
      <c r="C280" s="21" t="str">
        <f>VLOOKUP(A280, hash!A$2:B$500, 2, 0)</f>
        <v>651480e5b25a8777756c8277</v>
      </c>
      <c r="D280" s="23">
        <f t="shared" si="1"/>
        <v>0</v>
      </c>
      <c r="E280" s="14">
        <v>0.0</v>
      </c>
      <c r="F280" s="27">
        <v>0.0</v>
      </c>
      <c r="G280" s="14">
        <v>0.0</v>
      </c>
      <c r="H280" s="45"/>
      <c r="I280" s="14">
        <v>0.0</v>
      </c>
      <c r="J280" s="27">
        <v>0.0</v>
      </c>
    </row>
    <row r="281">
      <c r="A281" s="22" t="s">
        <v>210</v>
      </c>
      <c r="B281" s="21">
        <f t="shared" si="5"/>
        <v>0</v>
      </c>
      <c r="C281" s="21" t="str">
        <f>VLOOKUP(A281, hash!A$2:B$500, 2, 0)</f>
        <v>651621a7755b5ba7402891b3</v>
      </c>
      <c r="D281" s="23">
        <f t="shared" si="1"/>
        <v>0</v>
      </c>
      <c r="F281" s="45"/>
      <c r="H281" s="45"/>
      <c r="J281" s="45"/>
    </row>
    <row r="282">
      <c r="A282" s="22" t="s">
        <v>12</v>
      </c>
      <c r="B282" s="21">
        <f t="shared" si="5"/>
        <v>0</v>
      </c>
      <c r="C282" s="21" t="str">
        <f>VLOOKUP(A282, hash!A$2:B$500, 2, 0)</f>
        <v>651dadf4a69631c34bde617f</v>
      </c>
      <c r="D282" s="23">
        <f t="shared" si="1"/>
        <v>0</v>
      </c>
      <c r="E282" s="14">
        <v>0.0</v>
      </c>
      <c r="F282" s="27">
        <v>0.0</v>
      </c>
      <c r="G282" s="14">
        <v>0.0</v>
      </c>
      <c r="H282" s="27">
        <v>0.0</v>
      </c>
      <c r="I282" s="14">
        <v>0.0</v>
      </c>
      <c r="J282" s="27">
        <v>0.0</v>
      </c>
    </row>
    <row r="283">
      <c r="A283" s="22" t="s">
        <v>211</v>
      </c>
      <c r="B283" s="21">
        <f t="shared" si="5"/>
        <v>0</v>
      </c>
      <c r="C283" s="21" t="str">
        <f>VLOOKUP(A283, hash!A$2:B$500, 2, 0)</f>
        <v>651daf0edc9060f76fe584c7</v>
      </c>
      <c r="D283" s="23">
        <f t="shared" si="1"/>
        <v>0</v>
      </c>
      <c r="F283" s="45"/>
      <c r="H283" s="45"/>
      <c r="J283" s="45"/>
    </row>
    <row r="284">
      <c r="A284" s="22" t="s">
        <v>212</v>
      </c>
      <c r="B284" s="21">
        <f t="shared" si="5"/>
        <v>0</v>
      </c>
      <c r="C284" s="21" t="str">
        <f>VLOOKUP(A284, hash!A$2:B$500, 2, 0)</f>
        <v>651db9af9dea57c7cb020129</v>
      </c>
      <c r="D284" s="23">
        <f t="shared" si="1"/>
        <v>0</v>
      </c>
      <c r="E284" s="14">
        <v>0.0</v>
      </c>
      <c r="F284" s="27">
        <v>0.0</v>
      </c>
      <c r="G284" s="14">
        <v>0.0</v>
      </c>
      <c r="H284" s="27">
        <v>0.0</v>
      </c>
      <c r="I284" s="14">
        <v>0.0</v>
      </c>
      <c r="J284" s="27">
        <v>0.0</v>
      </c>
    </row>
    <row r="285">
      <c r="A285" s="22" t="s">
        <v>213</v>
      </c>
      <c r="B285" s="21">
        <f t="shared" si="5"/>
        <v>0</v>
      </c>
      <c r="C285" s="21" t="str">
        <f>VLOOKUP(A285, hash!A$2:B$500, 2, 0)</f>
        <v>651dbad69dea57c7cb020139</v>
      </c>
      <c r="D285" s="23">
        <f t="shared" si="1"/>
        <v>0</v>
      </c>
      <c r="F285" s="45"/>
      <c r="H285" s="45"/>
      <c r="J285" s="45"/>
    </row>
    <row r="286">
      <c r="A286" s="22" t="s">
        <v>214</v>
      </c>
      <c r="B286" s="21">
        <f t="shared" si="5"/>
        <v>0</v>
      </c>
      <c r="C286" s="21" t="str">
        <f>VLOOKUP(A286, hash!A$2:B$500, 2, 0)</f>
        <v>651dbae7d54b632818878f41</v>
      </c>
      <c r="D286" s="23">
        <f t="shared" si="1"/>
        <v>0</v>
      </c>
      <c r="F286" s="45"/>
      <c r="H286" s="45"/>
      <c r="J286" s="45"/>
    </row>
    <row r="287">
      <c r="A287" s="22" t="s">
        <v>215</v>
      </c>
      <c r="B287" s="21">
        <f t="shared" si="5"/>
        <v>0</v>
      </c>
      <c r="C287" s="21" t="str">
        <f>VLOOKUP(A287, hash!A$2:B$500, 2, 0)</f>
        <v>651dbb15d54b632818878f43</v>
      </c>
      <c r="D287" s="23">
        <f t="shared" si="1"/>
        <v>0</v>
      </c>
      <c r="F287" s="45"/>
      <c r="H287" s="45"/>
      <c r="J287" s="45"/>
    </row>
    <row r="288">
      <c r="A288" s="22" t="s">
        <v>216</v>
      </c>
      <c r="B288" s="21">
        <f t="shared" si="5"/>
        <v>0</v>
      </c>
      <c r="C288" s="21" t="str">
        <f>VLOOKUP(A288, hash!A$2:B$500, 2, 0)</f>
        <v>651dbb299dea57c7cb020142</v>
      </c>
      <c r="D288" s="23">
        <f t="shared" si="1"/>
        <v>0</v>
      </c>
      <c r="F288" s="45"/>
      <c r="H288" s="45"/>
      <c r="J288" s="45"/>
    </row>
    <row r="289">
      <c r="A289" s="22" t="s">
        <v>217</v>
      </c>
      <c r="B289" s="21">
        <f t="shared" si="5"/>
        <v>0</v>
      </c>
      <c r="C289" s="21" t="str">
        <f>VLOOKUP(A289, hash!A$2:B$500, 2, 0)</f>
        <v>651dbb3f9dea57c7cb020143</v>
      </c>
      <c r="D289" s="23">
        <f t="shared" si="1"/>
        <v>0</v>
      </c>
      <c r="F289" s="45"/>
      <c r="H289" s="45"/>
      <c r="J289" s="45"/>
    </row>
    <row r="290">
      <c r="A290" s="22" t="s">
        <v>218</v>
      </c>
      <c r="B290" s="21">
        <f t="shared" si="5"/>
        <v>0</v>
      </c>
      <c r="C290" s="21" t="str">
        <f>VLOOKUP(A290, hash!A$2:B$500, 2, 0)</f>
        <v>651dbc99ca156cc80367f4eb</v>
      </c>
      <c r="D290" s="23">
        <f t="shared" si="1"/>
        <v>0</v>
      </c>
      <c r="F290" s="45"/>
      <c r="H290" s="45"/>
      <c r="J290" s="45"/>
    </row>
    <row r="291">
      <c r="A291" s="22" t="s">
        <v>623</v>
      </c>
      <c r="B291" s="21">
        <f t="shared" si="5"/>
        <v>0</v>
      </c>
      <c r="C291" s="21" t="str">
        <f>VLOOKUP(A291, hash!A$2:B$500, 2, 0)</f>
        <v>#N/A</v>
      </c>
      <c r="D291" s="23">
        <f t="shared" si="1"/>
        <v>0</v>
      </c>
      <c r="F291" s="45"/>
      <c r="H291" s="45"/>
      <c r="J291" s="45"/>
    </row>
    <row r="292">
      <c r="A292" s="22" t="s">
        <v>219</v>
      </c>
      <c r="B292" s="21">
        <f t="shared" si="5"/>
        <v>0</v>
      </c>
      <c r="C292" s="21" t="str">
        <f>VLOOKUP(A292, hash!A$2:B$500, 2, 0)</f>
        <v>652403893fc5d4c9ab851009</v>
      </c>
      <c r="D292" s="23">
        <f t="shared" si="1"/>
        <v>0</v>
      </c>
      <c r="F292" s="27"/>
      <c r="H292" s="27"/>
      <c r="J292" s="27"/>
    </row>
    <row r="293">
      <c r="A293" s="22" t="s">
        <v>220</v>
      </c>
      <c r="B293" s="21">
        <f t="shared" si="5"/>
        <v>0</v>
      </c>
      <c r="C293" s="21" t="str">
        <f>VLOOKUP(A293, hash!A$2:B$500, 2, 0)</f>
        <v>6530232bcf7c5adcfb301ec7</v>
      </c>
      <c r="D293" s="23">
        <f t="shared" si="1"/>
        <v>0</v>
      </c>
      <c r="F293" s="45"/>
      <c r="H293" s="45"/>
      <c r="J293" s="45"/>
    </row>
    <row r="294">
      <c r="A294" s="22" t="s">
        <v>221</v>
      </c>
      <c r="B294" s="21">
        <f t="shared" si="5"/>
        <v>0</v>
      </c>
      <c r="C294" s="21" t="str">
        <f>VLOOKUP(A294, hash!A$2:B$500, 2, 0)</f>
        <v>65302e080e286366617e4629</v>
      </c>
      <c r="D294" s="23">
        <f t="shared" si="1"/>
        <v>0</v>
      </c>
      <c r="F294" s="45"/>
      <c r="H294" s="45"/>
      <c r="J294" s="45"/>
    </row>
    <row r="295">
      <c r="A295" s="22" t="s">
        <v>222</v>
      </c>
      <c r="B295" s="21">
        <f t="shared" si="5"/>
        <v>0</v>
      </c>
      <c r="C295" s="21" t="str">
        <f>VLOOKUP(A295, hash!A$2:B$500, 2, 0)</f>
        <v>65395d6799af0b0f3444fd51</v>
      </c>
      <c r="D295" s="23">
        <f t="shared" si="1"/>
        <v>0</v>
      </c>
      <c r="F295" s="27"/>
      <c r="H295" s="27"/>
      <c r="J295" s="27"/>
    </row>
    <row r="296">
      <c r="A296" s="22" t="s">
        <v>223</v>
      </c>
      <c r="B296" s="21">
        <f t="shared" si="5"/>
        <v>0</v>
      </c>
      <c r="C296" s="21" t="str">
        <f>VLOOKUP(A296, hash!A$2:B$500, 2, 0)</f>
        <v>6539689ac8f6bb22aba878d1</v>
      </c>
      <c r="D296" s="23">
        <f t="shared" si="1"/>
        <v>0</v>
      </c>
      <c r="F296" s="45"/>
      <c r="H296" s="45"/>
      <c r="J296" s="45"/>
    </row>
    <row r="297">
      <c r="A297" s="22" t="s">
        <v>224</v>
      </c>
      <c r="B297" s="21">
        <f t="shared" si="5"/>
        <v>0</v>
      </c>
      <c r="C297" s="21" t="str">
        <f>VLOOKUP(A297, hash!A$2:B$500, 2, 0)</f>
        <v>6542987e2bee7559f37bee8d</v>
      </c>
      <c r="D297" s="23">
        <f t="shared" si="1"/>
        <v>0</v>
      </c>
      <c r="F297" s="45"/>
      <c r="H297" s="45"/>
      <c r="J297" s="45"/>
    </row>
    <row r="298">
      <c r="A298" s="22" t="s">
        <v>225</v>
      </c>
      <c r="B298" s="21">
        <f t="shared" si="5"/>
        <v>0</v>
      </c>
      <c r="C298" s="21" t="str">
        <f>VLOOKUP(A298, hash!A$2:B$500, 2, 0)</f>
        <v>65429927208c9c77b87ab693</v>
      </c>
      <c r="D298" s="23">
        <f t="shared" si="1"/>
        <v>0</v>
      </c>
      <c r="F298" s="45"/>
      <c r="H298" s="45"/>
      <c r="J298" s="45"/>
    </row>
    <row r="299">
      <c r="A299" s="22" t="s">
        <v>226</v>
      </c>
      <c r="B299" s="21">
        <f t="shared" si="5"/>
        <v>0</v>
      </c>
      <c r="C299" s="21" t="str">
        <f>VLOOKUP(A299, hash!A$2:B$500, 2, 0)</f>
        <v>654a6fba5f40f5f7b7c97164</v>
      </c>
      <c r="D299" s="23">
        <f t="shared" si="1"/>
        <v>0</v>
      </c>
      <c r="F299" s="45"/>
      <c r="H299" s="45"/>
      <c r="J299" s="45"/>
    </row>
    <row r="300">
      <c r="A300" s="22" t="s">
        <v>227</v>
      </c>
      <c r="B300" s="21">
        <f t="shared" si="5"/>
        <v>0</v>
      </c>
      <c r="C300" s="21" t="str">
        <f>VLOOKUP(A300, hash!A$2:B$500, 2, 0)</f>
        <v>65551bef3234b9c505dd527e</v>
      </c>
      <c r="D300" s="23">
        <f t="shared" si="1"/>
        <v>0</v>
      </c>
      <c r="F300" s="45"/>
      <c r="H300" s="45"/>
      <c r="J300" s="45"/>
    </row>
    <row r="301">
      <c r="A301" s="22" t="s">
        <v>228</v>
      </c>
      <c r="B301" s="21">
        <f t="shared" si="5"/>
        <v>0</v>
      </c>
      <c r="C301" s="21" t="str">
        <f>VLOOKUP(A301, hash!A$2:B$500, 2, 0)</f>
        <v>655528e7b6dffbe82fb08e97</v>
      </c>
      <c r="D301" s="23">
        <f t="shared" si="1"/>
        <v>0</v>
      </c>
      <c r="F301" s="45"/>
      <c r="H301" s="45"/>
      <c r="J301" s="45"/>
    </row>
    <row r="302">
      <c r="A302" s="22" t="s">
        <v>624</v>
      </c>
      <c r="B302" s="21">
        <f t="shared" si="5"/>
        <v>0</v>
      </c>
      <c r="C302" s="21" t="str">
        <f>VLOOKUP(A302, hash!A$2:B$500, 2, 0)</f>
        <v>#N/A</v>
      </c>
      <c r="D302" s="23">
        <f t="shared" si="1"/>
        <v>0</v>
      </c>
      <c r="F302" s="45"/>
      <c r="H302" s="45"/>
      <c r="J302" s="45"/>
    </row>
    <row r="303">
      <c r="A303" s="22" t="s">
        <v>229</v>
      </c>
      <c r="B303" s="21">
        <f t="shared" si="5"/>
        <v>0</v>
      </c>
      <c r="C303" s="21" t="str">
        <f>VLOOKUP(A303, hash!A$2:B$500, 2, 0)</f>
        <v>655bb33eff8d447e7d019f70</v>
      </c>
      <c r="D303" s="23">
        <f t="shared" si="1"/>
        <v>0</v>
      </c>
      <c r="F303" s="45"/>
      <c r="H303" s="45"/>
      <c r="J303" s="45"/>
    </row>
    <row r="304">
      <c r="A304" s="22" t="s">
        <v>230</v>
      </c>
      <c r="B304" s="21">
        <f t="shared" si="5"/>
        <v>0</v>
      </c>
      <c r="C304" s="21" t="str">
        <f>VLOOKUP(A304, hash!A$2:B$500, 2, 0)</f>
        <v>655bc0057093eb94b1c6cc92</v>
      </c>
      <c r="D304" s="23">
        <f t="shared" si="1"/>
        <v>0</v>
      </c>
      <c r="F304" s="45"/>
      <c r="H304" s="45"/>
      <c r="J304" s="45"/>
    </row>
    <row r="305">
      <c r="A305" s="22" t="s">
        <v>231</v>
      </c>
      <c r="B305" s="21">
        <f t="shared" si="5"/>
        <v>0</v>
      </c>
      <c r="C305" s="21" t="str">
        <f>VLOOKUP(A305, hash!A$2:B$500, 2, 0)</f>
        <v>655bc0097093eb94b1c6cc93</v>
      </c>
      <c r="D305" s="23">
        <f t="shared" si="1"/>
        <v>0</v>
      </c>
      <c r="F305" s="45"/>
      <c r="H305" s="45"/>
      <c r="J305" s="45"/>
    </row>
    <row r="306">
      <c r="A306" s="22" t="s">
        <v>625</v>
      </c>
      <c r="B306" s="21">
        <f t="shared" si="5"/>
        <v>0</v>
      </c>
      <c r="C306" s="21" t="str">
        <f>VLOOKUP(A306, hash!A$2:B$500, 2, 0)</f>
        <v>#N/A</v>
      </c>
      <c r="D306" s="23">
        <f t="shared" si="1"/>
        <v>0</v>
      </c>
      <c r="F306" s="45"/>
      <c r="H306" s="45"/>
      <c r="J306" s="45"/>
    </row>
    <row r="307">
      <c r="A307" s="22" t="s">
        <v>232</v>
      </c>
      <c r="B307" s="21">
        <f t="shared" si="5"/>
        <v>0</v>
      </c>
      <c r="C307" s="21" t="str">
        <f>VLOOKUP(A307, hash!A$2:B$500, 2, 0)</f>
        <v>6595977fb46b00d2f83c52c5</v>
      </c>
      <c r="D307" s="23">
        <f t="shared" si="1"/>
        <v>0</v>
      </c>
      <c r="F307" s="45"/>
      <c r="H307" s="45"/>
      <c r="J307" s="45"/>
    </row>
    <row r="308">
      <c r="A308" s="22" t="s">
        <v>233</v>
      </c>
      <c r="B308" s="21">
        <f t="shared" si="5"/>
        <v>0</v>
      </c>
      <c r="C308" s="21" t="str">
        <f>VLOOKUP(A308, hash!A$2:B$500, 2, 0)</f>
        <v>6595b65ec49a903206004ba0</v>
      </c>
      <c r="D308" s="23">
        <f t="shared" si="1"/>
        <v>0</v>
      </c>
      <c r="F308" s="45"/>
      <c r="H308" s="45"/>
      <c r="J308" s="45"/>
    </row>
    <row r="309">
      <c r="A309" s="22" t="s">
        <v>234</v>
      </c>
      <c r="B309" s="21">
        <f t="shared" si="5"/>
        <v>0</v>
      </c>
      <c r="C309" s="21" t="str">
        <f>VLOOKUP(A309, hash!A$2:B$500, 2, 0)</f>
        <v>6595bf45b775f9fc5a64da54</v>
      </c>
      <c r="D309" s="23">
        <f t="shared" si="1"/>
        <v>0</v>
      </c>
      <c r="F309" s="45"/>
      <c r="H309" s="45"/>
      <c r="J309" s="45"/>
    </row>
    <row r="310">
      <c r="A310" s="22" t="s">
        <v>235</v>
      </c>
      <c r="B310" s="21">
        <f t="shared" si="5"/>
        <v>0</v>
      </c>
      <c r="C310" s="21" t="str">
        <f>VLOOKUP(A310, hash!A$2:B$500, 2, 0)</f>
        <v>6595c208b775f9fc5a64da66</v>
      </c>
      <c r="D310" s="23">
        <f t="shared" si="1"/>
        <v>0</v>
      </c>
      <c r="F310" s="45"/>
      <c r="H310" s="45"/>
      <c r="J310" s="45"/>
    </row>
    <row r="311">
      <c r="A311" s="22" t="s">
        <v>236</v>
      </c>
      <c r="B311" s="21">
        <f t="shared" si="5"/>
        <v>0</v>
      </c>
      <c r="C311" s="21" t="str">
        <f>VLOOKUP(A311, hash!A$2:B$500, 2, 0)</f>
        <v>6595c23e2fa1031babec0ce3</v>
      </c>
      <c r="D311" s="23">
        <f t="shared" si="1"/>
        <v>0</v>
      </c>
      <c r="F311" s="45"/>
      <c r="H311" s="45"/>
      <c r="J311" s="45"/>
    </row>
    <row r="312">
      <c r="A312" s="22" t="s">
        <v>237</v>
      </c>
      <c r="B312" s="21">
        <f t="shared" si="5"/>
        <v>0</v>
      </c>
      <c r="C312" s="21" t="str">
        <f>VLOOKUP(A312, hash!A$2:B$500, 2, 0)</f>
        <v>6595c391cd5b972b6b680d1b</v>
      </c>
      <c r="D312" s="23">
        <f t="shared" si="1"/>
        <v>0</v>
      </c>
      <c r="F312" s="45"/>
      <c r="H312" s="45"/>
      <c r="J312" s="45"/>
    </row>
    <row r="313">
      <c r="A313" s="22" t="s">
        <v>626</v>
      </c>
      <c r="B313" s="21">
        <f t="shared" si="5"/>
        <v>0</v>
      </c>
      <c r="C313" s="21" t="str">
        <f>VLOOKUP(A313, hash!A$2:B$500, 2, 0)</f>
        <v>#N/A</v>
      </c>
      <c r="D313" s="23">
        <f t="shared" si="1"/>
        <v>0</v>
      </c>
      <c r="F313" s="45"/>
      <c r="H313" s="45"/>
      <c r="J313" s="45"/>
    </row>
    <row r="314">
      <c r="A314" s="22" t="s">
        <v>627</v>
      </c>
      <c r="B314" s="21">
        <f t="shared" si="5"/>
        <v>0</v>
      </c>
      <c r="C314" s="21" t="str">
        <f>VLOOKUP(A314, hash!A$2:B$500, 2, 0)</f>
        <v>#N/A</v>
      </c>
      <c r="D314" s="23">
        <f t="shared" si="1"/>
        <v>0</v>
      </c>
      <c r="F314" s="45"/>
      <c r="H314" s="45"/>
      <c r="J314" s="45"/>
    </row>
    <row r="315">
      <c r="A315" s="22" t="s">
        <v>628</v>
      </c>
      <c r="B315" s="21">
        <f t="shared" si="5"/>
        <v>0</v>
      </c>
      <c r="C315" s="21" t="str">
        <f>VLOOKUP(A315, hash!A$2:B$500, 2, 0)</f>
        <v>#N/A</v>
      </c>
      <c r="D315" s="23">
        <f t="shared" si="1"/>
        <v>0</v>
      </c>
      <c r="F315" s="45"/>
      <c r="H315" s="45"/>
      <c r="J315" s="45"/>
    </row>
    <row r="316">
      <c r="A316" s="22" t="s">
        <v>238</v>
      </c>
      <c r="B316" s="21">
        <f t="shared" si="5"/>
        <v>0</v>
      </c>
      <c r="C316" s="21" t="str">
        <f>VLOOKUP(A316, hash!A$2:B$500, 2, 0)</f>
        <v>65ba9f33f33e907d7c81d87a</v>
      </c>
      <c r="D316" s="23">
        <f t="shared" si="1"/>
        <v>0</v>
      </c>
      <c r="F316" s="45"/>
      <c r="H316" s="45"/>
      <c r="J316" s="45"/>
    </row>
    <row r="317">
      <c r="A317" s="22" t="s">
        <v>239</v>
      </c>
      <c r="B317" s="21">
        <f t="shared" si="5"/>
        <v>0</v>
      </c>
      <c r="C317" s="21" t="str">
        <f>VLOOKUP(A317, hash!A$2:B$500, 2, 0)</f>
        <v>65baa01d2b367c7ed72fe8b9</v>
      </c>
      <c r="D317" s="23">
        <f t="shared" si="1"/>
        <v>0</v>
      </c>
      <c r="F317" s="45"/>
      <c r="H317" s="45"/>
      <c r="J317" s="45"/>
    </row>
    <row r="318">
      <c r="A318" s="22" t="s">
        <v>629</v>
      </c>
      <c r="B318" s="21">
        <f t="shared" si="5"/>
        <v>0</v>
      </c>
      <c r="C318" s="21" t="str">
        <f>VLOOKUP(A318, hash!A$2:B$500, 2, 0)</f>
        <v>#N/A</v>
      </c>
      <c r="D318" s="23">
        <f t="shared" si="1"/>
        <v>0</v>
      </c>
      <c r="F318" s="45"/>
      <c r="H318" s="45"/>
      <c r="J318" s="45"/>
    </row>
    <row r="319">
      <c r="A319" s="22" t="s">
        <v>240</v>
      </c>
      <c r="B319" s="21">
        <f t="shared" si="5"/>
        <v>0</v>
      </c>
      <c r="C319" s="21" t="str">
        <f>VLOOKUP(A319, hash!A$2:B$500, 2, 0)</f>
        <v>65baa01e2b367c7ed72fe8bb</v>
      </c>
      <c r="D319" s="23">
        <f t="shared" si="1"/>
        <v>0</v>
      </c>
      <c r="F319" s="45"/>
      <c r="H319" s="45"/>
      <c r="J319" s="45"/>
    </row>
    <row r="320">
      <c r="A320" s="22" t="s">
        <v>630</v>
      </c>
      <c r="B320" s="21">
        <f t="shared" si="5"/>
        <v>0</v>
      </c>
      <c r="C320" s="21" t="str">
        <f>VLOOKUP(A320, hash!A$2:B$500, 2, 0)</f>
        <v>#N/A</v>
      </c>
      <c r="D320" s="23">
        <f t="shared" si="1"/>
        <v>0</v>
      </c>
      <c r="F320" s="45"/>
      <c r="H320" s="45"/>
      <c r="J320" s="45"/>
    </row>
    <row r="321">
      <c r="A321" s="22" t="s">
        <v>631</v>
      </c>
      <c r="B321" s="21">
        <f t="shared" si="5"/>
        <v>0</v>
      </c>
      <c r="C321" s="21" t="str">
        <f>VLOOKUP(A321, hash!A$2:B$500, 2, 0)</f>
        <v>#N/A</v>
      </c>
      <c r="D321" s="23">
        <f t="shared" si="1"/>
        <v>0</v>
      </c>
      <c r="F321" s="45"/>
      <c r="H321" s="45"/>
      <c r="J321" s="45"/>
    </row>
    <row r="322">
      <c r="A322" s="22" t="s">
        <v>241</v>
      </c>
      <c r="B322" s="21">
        <f t="shared" si="5"/>
        <v>0</v>
      </c>
      <c r="C322" s="21" t="str">
        <f>VLOOKUP(A322, hash!A$2:B$500, 2, 0)</f>
        <v>65baa03da330104d5ca80be5</v>
      </c>
      <c r="D322" s="23">
        <f t="shared" si="1"/>
        <v>0</v>
      </c>
      <c r="F322" s="45"/>
      <c r="H322" s="45"/>
      <c r="J322" s="45"/>
    </row>
    <row r="323">
      <c r="A323" s="22" t="s">
        <v>632</v>
      </c>
      <c r="B323" s="21">
        <f t="shared" si="5"/>
        <v>0</v>
      </c>
      <c r="C323" s="21" t="str">
        <f>VLOOKUP(A323, hash!A$2:B$500, 2, 0)</f>
        <v>#N/A</v>
      </c>
      <c r="D323" s="23">
        <f t="shared" si="1"/>
        <v>0</v>
      </c>
      <c r="F323" s="45"/>
      <c r="H323" s="45"/>
      <c r="J323" s="45"/>
    </row>
    <row r="324">
      <c r="A324" s="22" t="s">
        <v>633</v>
      </c>
      <c r="B324" s="21">
        <f t="shared" si="5"/>
        <v>0</v>
      </c>
      <c r="C324" s="21" t="str">
        <f>VLOOKUP(A324, hash!A$2:B$500, 2, 0)</f>
        <v>#N/A</v>
      </c>
      <c r="D324" s="23">
        <f t="shared" si="1"/>
        <v>0</v>
      </c>
      <c r="F324" s="45"/>
      <c r="H324" s="45"/>
      <c r="J324" s="45"/>
    </row>
    <row r="325">
      <c r="A325" s="22" t="s">
        <v>242</v>
      </c>
      <c r="B325" s="21">
        <f t="shared" si="5"/>
        <v>0</v>
      </c>
      <c r="C325" s="21" t="str">
        <f>VLOOKUP(A325, hash!A$2:B$500, 2, 0)</f>
        <v>65baadabac6fa639d08b8070</v>
      </c>
      <c r="D325" s="23">
        <f t="shared" si="1"/>
        <v>0</v>
      </c>
      <c r="F325" s="45"/>
      <c r="H325" s="45"/>
      <c r="J325" s="45"/>
    </row>
    <row r="326">
      <c r="A326" s="22" t="s">
        <v>243</v>
      </c>
      <c r="B326" s="21">
        <f t="shared" si="5"/>
        <v>0</v>
      </c>
      <c r="C326" s="21" t="str">
        <f>VLOOKUP(A326, hash!A$2:B$500, 2, 0)</f>
        <v>65baadd90004ffbc54b03ece</v>
      </c>
      <c r="D326" s="23">
        <f t="shared" si="1"/>
        <v>0</v>
      </c>
      <c r="F326" s="45"/>
      <c r="H326" s="45"/>
      <c r="J326" s="45"/>
    </row>
    <row r="327">
      <c r="A327" s="22" t="s">
        <v>244</v>
      </c>
      <c r="B327" s="21">
        <f t="shared" si="5"/>
        <v>0</v>
      </c>
      <c r="C327" s="21" t="str">
        <f>VLOOKUP(A327, hash!A$2:B$500, 2, 0)</f>
        <v>65baadf10004ffbc54b03ed0</v>
      </c>
      <c r="D327" s="23">
        <f t="shared" si="1"/>
        <v>0</v>
      </c>
      <c r="F327" s="45"/>
      <c r="H327" s="45"/>
      <c r="J327" s="45"/>
    </row>
    <row r="328">
      <c r="A328" s="22" t="s">
        <v>245</v>
      </c>
      <c r="B328" s="21">
        <f t="shared" si="5"/>
        <v>0</v>
      </c>
      <c r="C328" s="21" t="str">
        <f>VLOOKUP(A328, hash!A$2:B$500, 2, 0)</f>
        <v>65bab1380004ffbc54b03ee7</v>
      </c>
      <c r="D328" s="23">
        <f t="shared" si="1"/>
        <v>0</v>
      </c>
      <c r="F328" s="45"/>
      <c r="H328" s="45"/>
      <c r="J328" s="45"/>
    </row>
    <row r="329">
      <c r="A329" s="22" t="s">
        <v>246</v>
      </c>
      <c r="B329" s="21">
        <f t="shared" si="5"/>
        <v>0</v>
      </c>
      <c r="C329" s="21" t="str">
        <f>VLOOKUP(A329, hash!A$2:B$500, 2, 0)</f>
        <v>65bab52de7bd7da7ace0d1c3</v>
      </c>
      <c r="D329" s="23">
        <f t="shared" si="1"/>
        <v>0</v>
      </c>
      <c r="F329" s="45"/>
      <c r="H329" s="45"/>
      <c r="J329" s="45"/>
    </row>
    <row r="330">
      <c r="A330" s="22" t="s">
        <v>247</v>
      </c>
      <c r="B330" s="21">
        <f t="shared" si="5"/>
        <v>0</v>
      </c>
      <c r="C330" s="21" t="str">
        <f>VLOOKUP(A330, hash!A$2:B$500, 2, 0)</f>
        <v>65bb2c752930129875dd966e</v>
      </c>
      <c r="D330" s="23">
        <f t="shared" si="1"/>
        <v>0</v>
      </c>
      <c r="F330" s="45"/>
      <c r="H330" s="45"/>
      <c r="J330" s="45"/>
    </row>
    <row r="331">
      <c r="A331" s="22" t="s">
        <v>248</v>
      </c>
      <c r="B331" s="21">
        <f t="shared" si="5"/>
        <v>0</v>
      </c>
      <c r="C331" s="21" t="str">
        <f>VLOOKUP(A331, hash!A$2:B$500, 2, 0)</f>
        <v>65c3d9c7d68ebf8c5aaf9473</v>
      </c>
      <c r="D331" s="23">
        <f t="shared" si="1"/>
        <v>0</v>
      </c>
      <c r="F331" s="45"/>
      <c r="H331" s="45"/>
      <c r="J331" s="45"/>
    </row>
    <row r="332">
      <c r="A332" s="22" t="s">
        <v>249</v>
      </c>
      <c r="B332" s="21">
        <f t="shared" si="5"/>
        <v>0</v>
      </c>
      <c r="C332" s="21" t="str">
        <f>VLOOKUP(A332, hash!A$2:B$500, 2, 0)</f>
        <v>65c3db43dc2e959b628fb2d3</v>
      </c>
      <c r="D332" s="23">
        <f t="shared" si="1"/>
        <v>0</v>
      </c>
      <c r="F332" s="45"/>
      <c r="H332" s="45"/>
      <c r="J332" s="45"/>
    </row>
    <row r="333">
      <c r="A333" s="22" t="s">
        <v>250</v>
      </c>
      <c r="B333" s="21">
        <f t="shared" si="5"/>
        <v>0</v>
      </c>
      <c r="C333" s="21" t="str">
        <f>VLOOKUP(A333, hash!A$2:B$500, 2, 0)</f>
        <v>65c3e17176cb308ec1a40c91</v>
      </c>
      <c r="D333" s="23">
        <f t="shared" si="1"/>
        <v>0</v>
      </c>
      <c r="F333" s="45"/>
      <c r="H333" s="45"/>
      <c r="J333" s="45"/>
    </row>
    <row r="334">
      <c r="A334" s="22" t="s">
        <v>251</v>
      </c>
      <c r="B334" s="21">
        <f t="shared" si="5"/>
        <v>0</v>
      </c>
      <c r="C334" s="21" t="str">
        <f>VLOOKUP(A334, hash!A$2:B$500, 2, 0)</f>
        <v>65c3e474f24067cac00a6560</v>
      </c>
      <c r="D334" s="23">
        <f t="shared" si="1"/>
        <v>0</v>
      </c>
      <c r="F334" s="45"/>
      <c r="H334" s="45"/>
      <c r="J334" s="45"/>
    </row>
    <row r="335">
      <c r="A335" s="22" t="s">
        <v>252</v>
      </c>
      <c r="B335" s="21">
        <f t="shared" si="5"/>
        <v>0</v>
      </c>
      <c r="C335" s="21" t="str">
        <f>VLOOKUP(A335, hash!A$2:B$500, 2, 0)</f>
        <v>65c3e7519c89c663f1bf9f3a</v>
      </c>
      <c r="D335" s="23">
        <f t="shared" si="1"/>
        <v>0</v>
      </c>
      <c r="F335" s="45"/>
      <c r="H335" s="45"/>
      <c r="J335" s="45"/>
    </row>
    <row r="336">
      <c r="A336" s="22" t="s">
        <v>253</v>
      </c>
      <c r="B336" s="21">
        <f t="shared" si="5"/>
        <v>0</v>
      </c>
      <c r="C336" s="21" t="str">
        <f>VLOOKUP(A336, hash!A$2:B$500, 2, 0)</f>
        <v>65c404d5adbf166dfd681f4c</v>
      </c>
      <c r="D336" s="23">
        <f t="shared" si="1"/>
        <v>0</v>
      </c>
      <c r="F336" s="45"/>
      <c r="H336" s="45"/>
      <c r="J336" s="45"/>
    </row>
    <row r="337">
      <c r="A337" s="22" t="s">
        <v>254</v>
      </c>
      <c r="B337" s="21">
        <f t="shared" si="5"/>
        <v>0</v>
      </c>
      <c r="C337" s="21" t="str">
        <f>VLOOKUP(A337, hash!A$2:B$500, 2, 0)</f>
        <v>65c452c7bdf2b49b06b9f1e8</v>
      </c>
      <c r="D337" s="23">
        <f t="shared" si="1"/>
        <v>0</v>
      </c>
      <c r="F337" s="45"/>
      <c r="H337" s="45"/>
      <c r="J337" s="45"/>
    </row>
    <row r="338">
      <c r="A338" s="22" t="s">
        <v>634</v>
      </c>
      <c r="B338" s="21">
        <f t="shared" si="5"/>
        <v>0</v>
      </c>
      <c r="C338" s="21" t="str">
        <f>VLOOKUP(A338, hash!A$2:B$500, 2, 0)</f>
        <v>#N/A</v>
      </c>
      <c r="D338" s="23">
        <f t="shared" si="1"/>
        <v>0</v>
      </c>
      <c r="F338" s="45"/>
      <c r="H338" s="45"/>
      <c r="J338" s="45"/>
    </row>
    <row r="339">
      <c r="A339" s="22" t="s">
        <v>635</v>
      </c>
      <c r="B339" s="21">
        <f t="shared" si="5"/>
        <v>0</v>
      </c>
      <c r="C339" s="21" t="str">
        <f>VLOOKUP(A339, hash!A$2:B$500, 2, 0)</f>
        <v>#N/A</v>
      </c>
      <c r="D339" s="23">
        <f t="shared" si="1"/>
        <v>0</v>
      </c>
      <c r="F339" s="45"/>
      <c r="H339" s="45"/>
      <c r="J339" s="45"/>
    </row>
    <row r="340">
      <c r="A340" s="22" t="s">
        <v>636</v>
      </c>
      <c r="B340" s="21">
        <f t="shared" si="5"/>
        <v>0</v>
      </c>
      <c r="C340" s="21" t="str">
        <f>VLOOKUP(A340, hash!A$2:B$500, 2, 0)</f>
        <v>#N/A</v>
      </c>
      <c r="D340" s="23">
        <f t="shared" si="1"/>
        <v>0</v>
      </c>
      <c r="F340" s="45"/>
      <c r="H340" s="45"/>
      <c r="J340" s="45"/>
    </row>
    <row r="341">
      <c r="A341" s="22" t="s">
        <v>637</v>
      </c>
      <c r="B341" s="21">
        <f t="shared" si="5"/>
        <v>0</v>
      </c>
      <c r="C341" s="21" t="str">
        <f>VLOOKUP(A341, hash!A$2:B$500, 2, 0)</f>
        <v>#N/A</v>
      </c>
      <c r="D341" s="23">
        <f t="shared" si="1"/>
        <v>0</v>
      </c>
      <c r="F341" s="45"/>
      <c r="H341" s="45"/>
      <c r="J341" s="45"/>
    </row>
    <row r="342">
      <c r="A342" s="22" t="s">
        <v>255</v>
      </c>
      <c r="B342" s="21">
        <f t="shared" si="5"/>
        <v>0</v>
      </c>
      <c r="C342" s="21" t="str">
        <f>VLOOKUP(A342, hash!A$2:B$500, 2, 0)</f>
        <v>65cd13d251407ce2e1c4e690</v>
      </c>
      <c r="D342" s="23">
        <f t="shared" si="1"/>
        <v>0</v>
      </c>
      <c r="F342" s="45"/>
      <c r="H342" s="45"/>
      <c r="J342" s="45"/>
    </row>
    <row r="343">
      <c r="A343" s="22" t="s">
        <v>256</v>
      </c>
      <c r="B343" s="21">
        <f t="shared" si="5"/>
        <v>0</v>
      </c>
      <c r="C343" s="21" t="str">
        <f>VLOOKUP(A343, hash!A$2:B$500, 2, 0)</f>
        <v>65cd13f6adf37a1fed1cd455</v>
      </c>
      <c r="D343" s="23">
        <f t="shared" si="1"/>
        <v>0</v>
      </c>
      <c r="F343" s="45"/>
      <c r="H343" s="45"/>
      <c r="J343" s="45"/>
    </row>
    <row r="344">
      <c r="A344" s="22" t="s">
        <v>638</v>
      </c>
      <c r="B344" s="21">
        <f t="shared" si="5"/>
        <v>0</v>
      </c>
      <c r="C344" s="21" t="str">
        <f>VLOOKUP(A344, hash!A$2:B$500, 2, 0)</f>
        <v>#N/A</v>
      </c>
      <c r="D344" s="23">
        <f t="shared" si="1"/>
        <v>0</v>
      </c>
      <c r="F344" s="45"/>
      <c r="H344" s="45"/>
      <c r="J344" s="45"/>
    </row>
    <row r="345">
      <c r="A345" s="22" t="s">
        <v>257</v>
      </c>
      <c r="B345" s="21">
        <f t="shared" si="5"/>
        <v>0</v>
      </c>
      <c r="C345" s="21" t="str">
        <f>VLOOKUP(A345, hash!A$2:B$500, 2, 0)</f>
        <v>65cd2a48c6e20b3c3d4798b8</v>
      </c>
      <c r="D345" s="23">
        <f t="shared" si="1"/>
        <v>0</v>
      </c>
      <c r="F345" s="45"/>
      <c r="H345" s="45"/>
      <c r="J345" s="45"/>
    </row>
    <row r="346">
      <c r="A346" s="22" t="s">
        <v>258</v>
      </c>
      <c r="B346" s="21">
        <f t="shared" si="5"/>
        <v>0</v>
      </c>
      <c r="C346" s="21" t="str">
        <f>VLOOKUP(A346, hash!A$2:B$500, 2, 0)</f>
        <v>65d65a5fe2aa0ab4944e133f</v>
      </c>
      <c r="D346" s="23">
        <f t="shared" si="1"/>
        <v>0</v>
      </c>
      <c r="F346" s="45"/>
      <c r="H346" s="45"/>
      <c r="J346" s="45"/>
    </row>
    <row r="347">
      <c r="A347" s="22" t="s">
        <v>259</v>
      </c>
      <c r="B347" s="21">
        <f t="shared" si="5"/>
        <v>0</v>
      </c>
      <c r="C347" s="21" t="str">
        <f>VLOOKUP(A347, hash!A$2:B$500, 2, 0)</f>
        <v>65d65b94ec98c933c1065a3c</v>
      </c>
      <c r="D347" s="23">
        <f t="shared" si="1"/>
        <v>0</v>
      </c>
      <c r="F347" s="45"/>
      <c r="H347" s="45"/>
      <c r="J347" s="45"/>
    </row>
    <row r="348">
      <c r="A348" s="22" t="s">
        <v>260</v>
      </c>
      <c r="B348" s="21">
        <f t="shared" si="5"/>
        <v>0</v>
      </c>
      <c r="C348" s="21" t="str">
        <f>VLOOKUP(A348, hash!A$2:B$500, 2, 0)</f>
        <v>65d65bdbec98c933c1065a41</v>
      </c>
      <c r="D348" s="23">
        <f t="shared" si="1"/>
        <v>0</v>
      </c>
      <c r="F348" s="45"/>
      <c r="H348" s="45"/>
      <c r="J348" s="45"/>
    </row>
    <row r="349">
      <c r="A349" s="22" t="s">
        <v>261</v>
      </c>
      <c r="B349" s="21">
        <f t="shared" si="5"/>
        <v>0</v>
      </c>
      <c r="C349" s="21" t="str">
        <f>VLOOKUP(A349, hash!A$2:B$500, 2, 0)</f>
        <v>65d65beaec98c933c1065a42</v>
      </c>
      <c r="D349" s="23">
        <f t="shared" si="1"/>
        <v>0</v>
      </c>
      <c r="F349" s="45"/>
      <c r="H349" s="45"/>
      <c r="J349" s="45"/>
    </row>
    <row r="350">
      <c r="A350" s="22" t="s">
        <v>262</v>
      </c>
      <c r="B350" s="21">
        <f t="shared" si="5"/>
        <v>0</v>
      </c>
      <c r="C350" s="21" t="str">
        <f>VLOOKUP(A350, hash!A$2:B$500, 2, 0)</f>
        <v>65d65befec98c933c1065a43</v>
      </c>
      <c r="D350" s="23">
        <f t="shared" si="1"/>
        <v>0</v>
      </c>
      <c r="F350" s="45"/>
      <c r="H350" s="45"/>
      <c r="J350" s="45"/>
    </row>
    <row r="351">
      <c r="A351" s="22" t="s">
        <v>263</v>
      </c>
      <c r="B351" s="21">
        <f t="shared" si="5"/>
        <v>0</v>
      </c>
      <c r="C351" s="21" t="str">
        <f>VLOOKUP(A351, hash!A$2:B$500, 2, 0)</f>
        <v>65fb2f31f305810d3c392009</v>
      </c>
      <c r="D351" s="23">
        <f t="shared" si="1"/>
        <v>0</v>
      </c>
      <c r="F351" s="45"/>
      <c r="H351" s="45"/>
      <c r="J351" s="45"/>
    </row>
    <row r="352">
      <c r="A352" s="22" t="s">
        <v>639</v>
      </c>
      <c r="B352" s="21">
        <f t="shared" si="5"/>
        <v>0</v>
      </c>
      <c r="C352" s="21" t="str">
        <f>VLOOKUP(A352, hash!A$2:B$500, 2, 0)</f>
        <v>#N/A</v>
      </c>
      <c r="D352" s="23">
        <f t="shared" si="1"/>
        <v>0</v>
      </c>
      <c r="F352" s="45"/>
      <c r="H352" s="45"/>
      <c r="J352" s="45"/>
    </row>
    <row r="353">
      <c r="A353" s="22" t="s">
        <v>264</v>
      </c>
      <c r="B353" s="21">
        <f t="shared" si="5"/>
        <v>0</v>
      </c>
      <c r="C353" s="21" t="str">
        <f>VLOOKUP(A353, hash!A$2:B$500, 2, 0)</f>
        <v>661437cbd0884a240a6505ae</v>
      </c>
      <c r="D353" s="23">
        <f t="shared" si="1"/>
        <v>0</v>
      </c>
      <c r="F353" s="45"/>
      <c r="H353" s="45"/>
      <c r="J353" s="45"/>
    </row>
    <row r="354">
      <c r="A354" s="22" t="s">
        <v>265</v>
      </c>
      <c r="B354" s="21">
        <f t="shared" si="5"/>
        <v>0</v>
      </c>
      <c r="C354" s="21" t="str">
        <f>VLOOKUP(A354, hash!A$2:B$500, 2, 0)</f>
        <v>66144853927e0e420e0cbc96</v>
      </c>
      <c r="D354" s="23">
        <f t="shared" si="1"/>
        <v>0</v>
      </c>
      <c r="F354" s="45"/>
      <c r="H354" s="45"/>
      <c r="J354" s="45"/>
    </row>
    <row r="355">
      <c r="A355" s="22" t="s">
        <v>266</v>
      </c>
      <c r="B355" s="21">
        <f t="shared" si="5"/>
        <v>0</v>
      </c>
      <c r="C355" s="21" t="str">
        <f>VLOOKUP(A355, hash!A$2:B$500, 2, 0)</f>
        <v>6614485b927e0e420e0cbc97</v>
      </c>
      <c r="D355" s="23">
        <f t="shared" si="1"/>
        <v>0</v>
      </c>
      <c r="F355" s="45"/>
      <c r="H355" s="45"/>
      <c r="J355" s="45"/>
    </row>
    <row r="356">
      <c r="A356" s="22" t="s">
        <v>267</v>
      </c>
      <c r="B356" s="21">
        <f t="shared" si="5"/>
        <v>0</v>
      </c>
      <c r="C356" s="21" t="str">
        <f>VLOOKUP(A356, hash!A$2:B$500, 2, 0)</f>
        <v>6614485f927e0e420e0cbc99</v>
      </c>
      <c r="D356" s="23">
        <f t="shared" si="1"/>
        <v>0</v>
      </c>
      <c r="F356" s="45"/>
      <c r="H356" s="45"/>
      <c r="J356" s="45"/>
    </row>
    <row r="357">
      <c r="A357" s="22" t="s">
        <v>640</v>
      </c>
      <c r="B357" s="21">
        <f t="shared" si="5"/>
        <v>0</v>
      </c>
      <c r="C357" s="21" t="str">
        <f>VLOOKUP(A357, hash!A$2:B$500, 2, 0)</f>
        <v>#N/A</v>
      </c>
      <c r="D357" s="23">
        <f t="shared" si="1"/>
        <v>0</v>
      </c>
      <c r="F357" s="45"/>
      <c r="H357" s="45"/>
      <c r="J357" s="45"/>
    </row>
    <row r="358">
      <c r="A358" s="22" t="s">
        <v>641</v>
      </c>
      <c r="B358" s="21">
        <f t="shared" si="5"/>
        <v>0</v>
      </c>
      <c r="C358" s="21" t="str">
        <f>VLOOKUP(A358, hash!A$2:B$500, 2, 0)</f>
        <v>#N/A</v>
      </c>
      <c r="D358" s="23">
        <f t="shared" si="1"/>
        <v>0</v>
      </c>
      <c r="F358" s="45"/>
      <c r="H358" s="45"/>
      <c r="J358" s="45"/>
    </row>
    <row r="359">
      <c r="A359" s="22" t="s">
        <v>268</v>
      </c>
      <c r="B359" s="21">
        <f t="shared" si="5"/>
        <v>0</v>
      </c>
      <c r="C359" s="21" t="str">
        <f>VLOOKUP(A359, hash!A$2:B$500, 2, 0)</f>
        <v>662950e951eb7e9e714289d0</v>
      </c>
      <c r="D359" s="23">
        <f t="shared" si="1"/>
        <v>0</v>
      </c>
      <c r="F359" s="45"/>
      <c r="H359" s="45"/>
      <c r="J359" s="45"/>
    </row>
    <row r="360">
      <c r="A360" s="22" t="s">
        <v>269</v>
      </c>
      <c r="B360" s="21">
        <f t="shared" si="5"/>
        <v>0</v>
      </c>
      <c r="C360" s="21" t="str">
        <f>VLOOKUP(A360, hash!A$2:B$500, 2, 0)</f>
        <v>66328a4fa55f727a8c1b9f8b</v>
      </c>
      <c r="D360" s="23">
        <f t="shared" si="1"/>
        <v>0</v>
      </c>
      <c r="F360" s="45"/>
      <c r="H360" s="45"/>
      <c r="J360" s="45"/>
    </row>
    <row r="361">
      <c r="A361" s="22" t="s">
        <v>270</v>
      </c>
      <c r="B361" s="21">
        <f t="shared" si="5"/>
        <v>0</v>
      </c>
      <c r="C361" s="21" t="str">
        <f>VLOOKUP(A361, hash!A$2:B$500, 2, 0)</f>
        <v>66328a501875b701f3af072f</v>
      </c>
      <c r="D361" s="23">
        <f t="shared" si="1"/>
        <v>0</v>
      </c>
      <c r="F361" s="45"/>
      <c r="H361" s="45"/>
      <c r="J361" s="45"/>
    </row>
    <row r="362">
      <c r="A362" s="22" t="s">
        <v>271</v>
      </c>
      <c r="B362" s="21">
        <f t="shared" si="5"/>
        <v>0</v>
      </c>
      <c r="C362" s="21" t="str">
        <f>VLOOKUP(A362, hash!A$2:B$500, 2, 0)</f>
        <v>663a810cfd55cc6d42fc3373</v>
      </c>
      <c r="D362" s="23">
        <f t="shared" si="1"/>
        <v>0</v>
      </c>
      <c r="F362" s="45"/>
      <c r="H362" s="45"/>
      <c r="J362" s="45"/>
    </row>
    <row r="363">
      <c r="A363" s="22" t="s">
        <v>272</v>
      </c>
      <c r="B363" s="21">
        <f t="shared" si="5"/>
        <v>0</v>
      </c>
      <c r="C363" s="21" t="str">
        <f>VLOOKUP(A363, hash!A$2:B$500, 2, 0)</f>
        <v>66450a83df126c7d8f1e547c</v>
      </c>
      <c r="D363" s="23">
        <f t="shared" si="1"/>
        <v>0</v>
      </c>
      <c r="F363" s="45"/>
      <c r="H363" s="45"/>
      <c r="J363" s="45"/>
    </row>
    <row r="364">
      <c r="A364" s="22" t="s">
        <v>273</v>
      </c>
      <c r="B364" s="21">
        <f t="shared" si="5"/>
        <v>0</v>
      </c>
      <c r="C364" s="21" t="str">
        <f>VLOOKUP(A364, hash!A$2:B$500, 2, 0)</f>
        <v>664e3a49317dec867b3ddb30</v>
      </c>
      <c r="D364" s="23">
        <f t="shared" si="1"/>
        <v>0</v>
      </c>
      <c r="F364" s="45"/>
      <c r="H364" s="45"/>
      <c r="J364" s="45"/>
    </row>
    <row r="365">
      <c r="A365" s="22" t="s">
        <v>274</v>
      </c>
      <c r="B365" s="21">
        <f t="shared" si="5"/>
        <v>0</v>
      </c>
      <c r="C365" s="21" t="str">
        <f>VLOOKUP(A365, hash!A$2:B$500, 2, 0)</f>
        <v>664e45f07cadce18e9e94600</v>
      </c>
      <c r="D365" s="23">
        <f t="shared" si="1"/>
        <v>0</v>
      </c>
      <c r="F365" s="45"/>
      <c r="H365" s="45"/>
      <c r="J365" s="45"/>
    </row>
    <row r="366">
      <c r="A366" s="22" t="s">
        <v>275</v>
      </c>
      <c r="B366" s="21">
        <f t="shared" si="5"/>
        <v>0</v>
      </c>
      <c r="C366" s="21" t="str">
        <f>VLOOKUP(A366, hash!A$2:B$500, 2, 0)</f>
        <v>665773d4af4d86d206115ffb</v>
      </c>
      <c r="D366" s="23">
        <f t="shared" si="1"/>
        <v>0</v>
      </c>
      <c r="F366" s="45"/>
      <c r="H366" s="45"/>
      <c r="J366" s="45"/>
    </row>
    <row r="367">
      <c r="A367" s="22" t="s">
        <v>642</v>
      </c>
      <c r="B367" s="21">
        <f t="shared" si="5"/>
        <v>0</v>
      </c>
      <c r="C367" s="21" t="str">
        <f>VLOOKUP(A367, hash!A$2:B$500, 2, 0)</f>
        <v>#N/A</v>
      </c>
      <c r="D367" s="23">
        <f t="shared" si="1"/>
        <v>0</v>
      </c>
      <c r="F367" s="45"/>
      <c r="H367" s="45"/>
      <c r="J367" s="45"/>
    </row>
    <row r="368">
      <c r="A368" s="22" t="s">
        <v>643</v>
      </c>
      <c r="B368" s="21">
        <f t="shared" si="5"/>
        <v>0</v>
      </c>
      <c r="C368" s="21" t="str">
        <f>VLOOKUP(A368, hash!A$2:B$500, 2, 0)</f>
        <v>#N/A</v>
      </c>
      <c r="D368" s="23">
        <f t="shared" si="1"/>
        <v>0</v>
      </c>
      <c r="F368" s="45"/>
      <c r="H368" s="45"/>
      <c r="J368" s="45"/>
    </row>
    <row r="369">
      <c r="A369" s="22" t="s">
        <v>276</v>
      </c>
      <c r="B369" s="21">
        <f t="shared" si="5"/>
        <v>0</v>
      </c>
      <c r="C369" s="21" t="str">
        <f>VLOOKUP(A369, hash!A$2:B$500, 2, 0)</f>
        <v>66cac517e3728ef7a173d5b4</v>
      </c>
      <c r="D369" s="23">
        <f t="shared" si="1"/>
        <v>0</v>
      </c>
      <c r="F369" s="45"/>
      <c r="H369" s="45"/>
      <c r="J369" s="45"/>
    </row>
    <row r="370">
      <c r="A370" s="22" t="s">
        <v>277</v>
      </c>
      <c r="B370" s="21">
        <f t="shared" si="5"/>
        <v>0</v>
      </c>
      <c r="C370" s="21" t="str">
        <f>VLOOKUP(A370, hash!A$2:B$500, 2, 0)</f>
        <v>66d4dfe22c49b6570be6d76d</v>
      </c>
      <c r="D370" s="23">
        <f t="shared" si="1"/>
        <v>0</v>
      </c>
      <c r="E370" s="14">
        <v>0.0</v>
      </c>
      <c r="F370" s="27">
        <v>0.0</v>
      </c>
      <c r="G370" s="14">
        <v>0.0</v>
      </c>
      <c r="H370" s="27">
        <v>0.0</v>
      </c>
      <c r="I370" s="14">
        <v>0.0</v>
      </c>
      <c r="J370" s="27">
        <v>0.0</v>
      </c>
    </row>
    <row r="371">
      <c r="A371" s="22" t="s">
        <v>278</v>
      </c>
      <c r="B371" s="21">
        <f t="shared" si="5"/>
        <v>0</v>
      </c>
      <c r="C371" s="21" t="str">
        <f>VLOOKUP(A371, hash!A$2:B$500, 2, 0)</f>
        <v>66db0378ada861be3f1186a3</v>
      </c>
      <c r="D371" s="23">
        <f t="shared" si="1"/>
        <v>0</v>
      </c>
      <c r="F371" s="45"/>
      <c r="H371" s="45"/>
      <c r="J371" s="45"/>
    </row>
    <row r="372">
      <c r="A372" s="22" t="s">
        <v>280</v>
      </c>
      <c r="B372" s="21">
        <f t="shared" si="5"/>
        <v>0</v>
      </c>
      <c r="C372" s="21" t="str">
        <f>VLOOKUP(A372, hash!A$2:B$500, 2, 0)</f>
        <v>66e1e0ef855f2a7e8fb837e2</v>
      </c>
      <c r="D372" s="23">
        <f t="shared" si="1"/>
        <v>0</v>
      </c>
      <c r="F372" s="45"/>
      <c r="H372" s="45"/>
      <c r="J372" s="45"/>
    </row>
    <row r="373">
      <c r="A373" s="22" t="s">
        <v>281</v>
      </c>
      <c r="B373" s="21">
        <f t="shared" si="5"/>
        <v>0</v>
      </c>
      <c r="C373" s="21" t="str">
        <f>VLOOKUP(A373, hash!A$2:B$500, 2, 0)</f>
        <v>66e1e0fe855f2a7e8fb837e3</v>
      </c>
      <c r="D373" s="23">
        <f t="shared" si="1"/>
        <v>0</v>
      </c>
      <c r="F373" s="45"/>
      <c r="H373" s="45"/>
      <c r="J373" s="45"/>
    </row>
    <row r="374">
      <c r="A374" s="22" t="s">
        <v>282</v>
      </c>
      <c r="B374" s="21">
        <f t="shared" si="5"/>
        <v>0</v>
      </c>
      <c r="C374" s="21" t="str">
        <f>VLOOKUP(A374, hash!A$2:B$500, 2, 0)</f>
        <v>66e1e105a61e89c7c68f6e30</v>
      </c>
      <c r="D374" s="23">
        <f t="shared" si="1"/>
        <v>0</v>
      </c>
      <c r="F374" s="45"/>
      <c r="H374" s="45"/>
      <c r="J374" s="45"/>
    </row>
    <row r="375">
      <c r="A375" s="22" t="s">
        <v>43</v>
      </c>
      <c r="B375" s="21">
        <f t="shared" si="5"/>
        <v>0</v>
      </c>
      <c r="C375" s="21" t="str">
        <f>VLOOKUP(A375, hash!A$2:B$500, 2, 0)</f>
        <v>66e1e108a61e89c7c68f6e31</v>
      </c>
      <c r="D375" s="23">
        <f t="shared" si="1"/>
        <v>0</v>
      </c>
      <c r="E375" s="14">
        <v>0.0</v>
      </c>
      <c r="F375" s="27">
        <v>0.0</v>
      </c>
      <c r="G375" s="14">
        <v>0.0</v>
      </c>
      <c r="H375" s="27">
        <v>0.0</v>
      </c>
      <c r="I375" s="14">
        <v>0.0</v>
      </c>
      <c r="J375" s="27">
        <v>0.0</v>
      </c>
    </row>
    <row r="376">
      <c r="A376" s="22" t="s">
        <v>283</v>
      </c>
      <c r="B376" s="21">
        <f t="shared" si="5"/>
        <v>0</v>
      </c>
      <c r="C376" s="21" t="str">
        <f>VLOOKUP(A376, hash!A$2:B$500, 2, 0)</f>
        <v>66e1e10bdb315cbd40043fc3</v>
      </c>
      <c r="D376" s="23">
        <f t="shared" si="1"/>
        <v>0</v>
      </c>
      <c r="F376" s="45"/>
      <c r="H376" s="45"/>
      <c r="J376" s="45"/>
    </row>
    <row r="377">
      <c r="A377" s="22" t="s">
        <v>284</v>
      </c>
      <c r="B377" s="21">
        <f t="shared" si="5"/>
        <v>0</v>
      </c>
      <c r="C377" s="21" t="str">
        <f>VLOOKUP(A377, hash!A$2:B$500, 2, 0)</f>
        <v>66e1e111f0db8f5922c91d81</v>
      </c>
      <c r="D377" s="23">
        <f t="shared" si="1"/>
        <v>0</v>
      </c>
      <c r="F377" s="45"/>
      <c r="H377" s="45"/>
      <c r="J377" s="45"/>
    </row>
    <row r="378">
      <c r="A378" s="22" t="s">
        <v>285</v>
      </c>
      <c r="B378" s="21">
        <f t="shared" si="5"/>
        <v>0</v>
      </c>
      <c r="C378" s="21" t="str">
        <f>VLOOKUP(A378, hash!A$2:B$500, 2, 0)</f>
        <v>66e1e116f0db8f5922c91d82</v>
      </c>
      <c r="D378" s="23">
        <f t="shared" si="1"/>
        <v>0</v>
      </c>
      <c r="F378" s="45"/>
      <c r="H378" s="45"/>
      <c r="J378" s="45"/>
    </row>
    <row r="379">
      <c r="A379" s="22" t="s">
        <v>286</v>
      </c>
      <c r="B379" s="21">
        <f t="shared" si="5"/>
        <v>0</v>
      </c>
      <c r="C379" s="21" t="str">
        <f>VLOOKUP(A379, hash!A$2:B$500, 2, 0)</f>
        <v>66e1e1187a8e6dc2aed3a63d</v>
      </c>
      <c r="D379" s="23">
        <f t="shared" si="1"/>
        <v>0</v>
      </c>
      <c r="F379" s="45"/>
      <c r="H379" s="45"/>
      <c r="J379" s="45"/>
    </row>
    <row r="380">
      <c r="A380" s="22" t="s">
        <v>287</v>
      </c>
      <c r="B380" s="21">
        <f t="shared" si="5"/>
        <v>0</v>
      </c>
      <c r="C380" s="21" t="str">
        <f>VLOOKUP(A380, hash!A$2:B$500, 2, 0)</f>
        <v>66e1e119f0db8f5922c91d83</v>
      </c>
      <c r="D380" s="23">
        <f t="shared" si="1"/>
        <v>0</v>
      </c>
      <c r="F380" s="45"/>
      <c r="H380" s="45"/>
      <c r="J380" s="45"/>
    </row>
    <row r="381">
      <c r="A381" s="22" t="s">
        <v>288</v>
      </c>
      <c r="B381" s="21">
        <f t="shared" si="5"/>
        <v>0</v>
      </c>
      <c r="C381" s="21" t="str">
        <f>VLOOKUP(A381, hash!A$2:B$500, 2, 0)</f>
        <v>66e1e11f45950d34f313912f</v>
      </c>
      <c r="D381" s="23">
        <f t="shared" si="1"/>
        <v>0</v>
      </c>
      <c r="F381" s="45"/>
      <c r="H381" s="45"/>
      <c r="J381" s="45"/>
    </row>
    <row r="382">
      <c r="A382" s="22" t="s">
        <v>100</v>
      </c>
      <c r="B382" s="21">
        <f t="shared" si="5"/>
        <v>0</v>
      </c>
      <c r="C382" s="21" t="str">
        <f>VLOOKUP(A382, hash!A$2:B$500, 2, 0)</f>
        <v>66e1e1207a8e6dc2aed3a63e</v>
      </c>
      <c r="D382" s="23">
        <f t="shared" si="1"/>
        <v>0</v>
      </c>
      <c r="F382" s="27"/>
      <c r="H382" s="27"/>
      <c r="J382" s="27"/>
    </row>
    <row r="383">
      <c r="A383" s="22" t="s">
        <v>289</v>
      </c>
      <c r="B383" s="21">
        <f t="shared" si="5"/>
        <v>0</v>
      </c>
      <c r="C383" s="21" t="str">
        <f>VLOOKUP(A383, hash!A$2:B$500, 2, 0)</f>
        <v>66e1e1217a8e6dc2aed3a63f</v>
      </c>
      <c r="D383" s="23">
        <f t="shared" si="1"/>
        <v>0</v>
      </c>
      <c r="F383" s="45"/>
      <c r="H383" s="45"/>
      <c r="J383" s="45"/>
    </row>
    <row r="384">
      <c r="A384" s="22" t="s">
        <v>290</v>
      </c>
      <c r="B384" s="21">
        <f t="shared" si="5"/>
        <v>0</v>
      </c>
      <c r="C384" s="21" t="str">
        <f>VLOOKUP(A384, hash!A$2:B$500, 2, 0)</f>
        <v>66e1e1227a8e6dc2aed3a640</v>
      </c>
      <c r="D384" s="23">
        <f t="shared" si="1"/>
        <v>0</v>
      </c>
      <c r="E384" s="14">
        <v>0.0</v>
      </c>
      <c r="F384" s="27">
        <v>0.0</v>
      </c>
      <c r="G384" s="14">
        <v>0.0</v>
      </c>
      <c r="H384" s="27">
        <v>0.0</v>
      </c>
      <c r="I384" s="14">
        <v>0.0</v>
      </c>
      <c r="J384" s="27">
        <v>0.0</v>
      </c>
    </row>
    <row r="385">
      <c r="A385" s="22" t="s">
        <v>50</v>
      </c>
      <c r="B385" s="21">
        <f t="shared" si="5"/>
        <v>0</v>
      </c>
      <c r="C385" s="21" t="str">
        <f>VLOOKUP(A385, hash!A$2:B$500, 2, 0)</f>
        <v>66e1e1227a8e6dc2aed3a641</v>
      </c>
      <c r="D385" s="23">
        <f t="shared" si="1"/>
        <v>0</v>
      </c>
      <c r="F385" s="45"/>
      <c r="H385" s="45"/>
      <c r="J385" s="45"/>
    </row>
    <row r="386">
      <c r="A386" s="22" t="s">
        <v>291</v>
      </c>
      <c r="B386" s="21">
        <f t="shared" si="5"/>
        <v>0</v>
      </c>
      <c r="C386" s="21" t="str">
        <f>VLOOKUP(A386, hash!A$2:B$500, 2, 0)</f>
        <v>66e1e122e2fbdff8a0c35634</v>
      </c>
      <c r="D386" s="23">
        <f t="shared" si="1"/>
        <v>0</v>
      </c>
      <c r="E386" s="14">
        <v>0.0</v>
      </c>
      <c r="F386" s="27">
        <v>0.0</v>
      </c>
      <c r="G386" s="14">
        <v>0.0</v>
      </c>
      <c r="H386" s="27">
        <v>0.0</v>
      </c>
      <c r="I386" s="14">
        <v>0.0</v>
      </c>
      <c r="J386" s="27">
        <v>0.0</v>
      </c>
    </row>
    <row r="387">
      <c r="A387" s="22" t="s">
        <v>292</v>
      </c>
      <c r="B387" s="21">
        <f t="shared" si="5"/>
        <v>0</v>
      </c>
      <c r="C387" s="21" t="str">
        <f>VLOOKUP(A387, hash!A$2:B$500, 2, 0)</f>
        <v>66e1e1257a8e6dc2aed3a643</v>
      </c>
      <c r="D387" s="23">
        <f t="shared" si="1"/>
        <v>0</v>
      </c>
      <c r="E387" s="14">
        <v>0.0</v>
      </c>
      <c r="F387" s="27">
        <v>0.0</v>
      </c>
      <c r="G387" s="14">
        <v>0.0</v>
      </c>
      <c r="H387" s="27">
        <v>0.0</v>
      </c>
      <c r="I387" s="14">
        <v>0.0</v>
      </c>
      <c r="J387" s="27">
        <v>0.0</v>
      </c>
    </row>
    <row r="388">
      <c r="A388" s="22" t="s">
        <v>44</v>
      </c>
      <c r="B388" s="21">
        <f t="shared" si="5"/>
        <v>0</v>
      </c>
      <c r="C388" s="21" t="str">
        <f>VLOOKUP(A388, hash!A$2:B$500, 2, 0)</f>
        <v>66e1e125f0db8f5922c91d84</v>
      </c>
      <c r="D388" s="23">
        <f t="shared" si="1"/>
        <v>0</v>
      </c>
      <c r="F388" s="45"/>
      <c r="H388" s="45"/>
      <c r="J388" s="45"/>
    </row>
    <row r="389">
      <c r="A389" s="22" t="s">
        <v>16</v>
      </c>
      <c r="B389" s="21">
        <f t="shared" si="5"/>
        <v>0</v>
      </c>
      <c r="C389" s="21" t="str">
        <f>VLOOKUP(A389, hash!A$2:B$500, 2, 0)</f>
        <v>66e1e1267a8e6dc2aed3a644</v>
      </c>
      <c r="D389" s="23">
        <f t="shared" si="1"/>
        <v>0</v>
      </c>
      <c r="F389" s="45"/>
      <c r="H389" s="45"/>
      <c r="J389" s="45"/>
    </row>
    <row r="390">
      <c r="A390" s="22" t="s">
        <v>294</v>
      </c>
      <c r="B390" s="21">
        <f t="shared" si="5"/>
        <v>0</v>
      </c>
      <c r="C390" s="21" t="str">
        <f>VLOOKUP(A390, hash!A$2:B$500, 2, 0)</f>
        <v>66e1e127e2fbdff8a0c35636</v>
      </c>
      <c r="D390" s="23">
        <f t="shared" si="1"/>
        <v>0</v>
      </c>
      <c r="F390" s="45"/>
      <c r="H390" s="45"/>
      <c r="J390" s="45"/>
    </row>
    <row r="391">
      <c r="A391" s="22" t="s">
        <v>295</v>
      </c>
      <c r="B391" s="21">
        <f t="shared" si="5"/>
        <v>0</v>
      </c>
      <c r="C391" s="21" t="str">
        <f>VLOOKUP(A391, hash!A$2:B$500, 2, 0)</f>
        <v>66e1e128f0db8f5922c91d86</v>
      </c>
      <c r="D391" s="23">
        <f t="shared" si="1"/>
        <v>0</v>
      </c>
      <c r="F391" s="45"/>
      <c r="H391" s="45"/>
      <c r="J391" s="45"/>
    </row>
    <row r="392">
      <c r="A392" s="22" t="s">
        <v>296</v>
      </c>
      <c r="B392" s="21">
        <f t="shared" si="5"/>
        <v>0</v>
      </c>
      <c r="C392" s="21" t="str">
        <f>VLOOKUP(A392, hash!A$2:B$500, 2, 0)</f>
        <v>66e1e129f0db8f5922c91d87</v>
      </c>
      <c r="D392" s="23">
        <f t="shared" si="1"/>
        <v>0</v>
      </c>
      <c r="E392" s="14">
        <v>0.0</v>
      </c>
      <c r="F392" s="27">
        <v>0.0</v>
      </c>
      <c r="G392" s="14">
        <v>0.0</v>
      </c>
      <c r="H392" s="27">
        <v>0.0</v>
      </c>
      <c r="I392" s="14">
        <v>0.0</v>
      </c>
      <c r="J392" s="27">
        <v>0.0</v>
      </c>
    </row>
    <row r="393">
      <c r="A393" s="22" t="s">
        <v>62</v>
      </c>
      <c r="B393" s="21">
        <f t="shared" si="5"/>
        <v>0</v>
      </c>
      <c r="C393" s="21" t="str">
        <f>VLOOKUP(A393, hash!A$2:B$500, 2, 0)</f>
        <v>66e1e12a45950d34f3139132</v>
      </c>
      <c r="D393" s="23">
        <f t="shared" si="1"/>
        <v>0</v>
      </c>
      <c r="F393" s="45"/>
      <c r="H393" s="45"/>
      <c r="J393" s="45"/>
    </row>
    <row r="394">
      <c r="A394" s="22" t="s">
        <v>297</v>
      </c>
      <c r="B394" s="21">
        <f t="shared" si="5"/>
        <v>0</v>
      </c>
      <c r="C394" s="21" t="str">
        <f>VLOOKUP(A394, hash!A$2:B$500, 2, 0)</f>
        <v>66e1e12bf0db8f5922c91d88</v>
      </c>
      <c r="D394" s="23">
        <f t="shared" si="1"/>
        <v>0</v>
      </c>
      <c r="E394" s="14">
        <v>0.0</v>
      </c>
      <c r="F394" s="27">
        <v>0.0</v>
      </c>
      <c r="G394" s="14">
        <v>0.0</v>
      </c>
      <c r="H394" s="27">
        <v>0.0</v>
      </c>
      <c r="I394" s="14">
        <v>0.0</v>
      </c>
      <c r="J394" s="27">
        <v>0.0</v>
      </c>
    </row>
    <row r="395">
      <c r="A395" s="22" t="s">
        <v>63</v>
      </c>
      <c r="B395" s="21">
        <f t="shared" si="5"/>
        <v>0</v>
      </c>
      <c r="C395" s="21" t="str">
        <f>VLOOKUP(A395, hash!A$2:B$500, 2, 0)</f>
        <v>66e1e12cf0db8f5922c91d89</v>
      </c>
      <c r="D395" s="23">
        <f t="shared" si="1"/>
        <v>0</v>
      </c>
      <c r="E395" s="14">
        <v>0.0</v>
      </c>
      <c r="F395" s="27">
        <v>0.0</v>
      </c>
      <c r="G395" s="14">
        <v>0.0</v>
      </c>
      <c r="H395" s="27">
        <v>0.0</v>
      </c>
      <c r="I395" s="14">
        <v>0.0</v>
      </c>
      <c r="J395" s="27">
        <v>0.0</v>
      </c>
    </row>
    <row r="396">
      <c r="A396" s="22" t="s">
        <v>299</v>
      </c>
      <c r="B396" s="21">
        <f t="shared" si="5"/>
        <v>0</v>
      </c>
      <c r="C396" s="21" t="str">
        <f>VLOOKUP(A396, hash!A$2:B$500, 2, 0)</f>
        <v>66e1e12c68fa766abf5d11d7</v>
      </c>
      <c r="D396" s="23">
        <f t="shared" si="1"/>
        <v>0</v>
      </c>
      <c r="F396" s="45"/>
      <c r="H396" s="45"/>
      <c r="J396" s="45"/>
    </row>
    <row r="397">
      <c r="A397" s="22" t="s">
        <v>300</v>
      </c>
      <c r="B397" s="21">
        <f t="shared" si="5"/>
        <v>0</v>
      </c>
      <c r="C397" s="21" t="str">
        <f>VLOOKUP(A397, hash!A$2:B$500, 2, 0)</f>
        <v>66e1e12df0db8f5922c91d8a</v>
      </c>
      <c r="D397" s="23">
        <f t="shared" si="1"/>
        <v>0</v>
      </c>
      <c r="F397" s="45"/>
      <c r="H397" s="45"/>
      <c r="J397" s="45"/>
    </row>
    <row r="398">
      <c r="A398" s="22" t="s">
        <v>301</v>
      </c>
      <c r="B398" s="21">
        <f t="shared" si="5"/>
        <v>0</v>
      </c>
      <c r="C398" s="21" t="str">
        <f>VLOOKUP(A398, hash!A$2:B$500, 2, 0)</f>
        <v>66e1e12ee2fbdff8a0c3563a</v>
      </c>
      <c r="D398" s="23">
        <f t="shared" si="1"/>
        <v>0</v>
      </c>
      <c r="F398" s="45"/>
      <c r="H398" s="45"/>
      <c r="J398" s="45"/>
    </row>
    <row r="399">
      <c r="A399" s="22" t="s">
        <v>41</v>
      </c>
      <c r="B399" s="21">
        <f t="shared" si="5"/>
        <v>0</v>
      </c>
      <c r="C399" s="21" t="str">
        <f>VLOOKUP(A399, hash!A$2:B$500, 2, 0)</f>
        <v>66e1e12ef0db8f5922c91d8b</v>
      </c>
      <c r="D399" s="23">
        <f t="shared" si="1"/>
        <v>0</v>
      </c>
      <c r="E399" s="14">
        <v>0.0</v>
      </c>
      <c r="F399" s="27">
        <v>0.0</v>
      </c>
      <c r="G399" s="14">
        <v>0.0</v>
      </c>
      <c r="H399" s="27">
        <v>0.0</v>
      </c>
      <c r="I399" s="14">
        <v>0.0</v>
      </c>
      <c r="J399" s="27">
        <v>0.0</v>
      </c>
    </row>
    <row r="400">
      <c r="A400" s="22" t="s">
        <v>302</v>
      </c>
      <c r="B400" s="21">
        <f t="shared" si="5"/>
        <v>0</v>
      </c>
      <c r="C400" s="21" t="str">
        <f>VLOOKUP(A400, hash!A$2:B$500, 2, 0)</f>
        <v>66e1e12f7a8e6dc2aed3a646</v>
      </c>
      <c r="D400" s="23">
        <f t="shared" si="1"/>
        <v>0</v>
      </c>
      <c r="E400" s="14">
        <v>0.0</v>
      </c>
      <c r="F400" s="27">
        <v>0.0</v>
      </c>
      <c r="G400" s="14">
        <v>0.0</v>
      </c>
      <c r="H400" s="27">
        <v>0.0</v>
      </c>
      <c r="I400" s="14">
        <v>0.0</v>
      </c>
      <c r="J400" s="27">
        <v>0.0</v>
      </c>
    </row>
    <row r="401">
      <c r="A401" s="22" t="s">
        <v>304</v>
      </c>
      <c r="B401" s="21">
        <f t="shared" si="5"/>
        <v>0</v>
      </c>
      <c r="C401" s="21" t="str">
        <f>VLOOKUP(A401, hash!A$2:B$500, 2, 0)</f>
        <v>66e1e139f0db8f5922c91d8d</v>
      </c>
      <c r="D401" s="23">
        <f t="shared" si="1"/>
        <v>0</v>
      </c>
      <c r="F401" s="45"/>
      <c r="H401" s="45"/>
      <c r="J401" s="45"/>
    </row>
    <row r="402">
      <c r="A402" s="22" t="s">
        <v>31</v>
      </c>
      <c r="B402" s="21">
        <f t="shared" si="5"/>
        <v>0</v>
      </c>
      <c r="C402" s="21" t="str">
        <f>VLOOKUP(A402, hash!A$2:B$500, 2, 0)</f>
        <v>66e1e13fdb315cbd40043fca</v>
      </c>
      <c r="D402" s="23">
        <f t="shared" si="1"/>
        <v>0</v>
      </c>
      <c r="E402" s="14">
        <v>0.0</v>
      </c>
      <c r="F402" s="27">
        <v>0.0</v>
      </c>
      <c r="G402" s="14">
        <v>0.0</v>
      </c>
      <c r="H402" s="27">
        <v>0.0</v>
      </c>
      <c r="I402" s="14">
        <v>0.0</v>
      </c>
      <c r="J402" s="27">
        <v>0.0</v>
      </c>
    </row>
    <row r="403">
      <c r="A403" s="22" t="s">
        <v>307</v>
      </c>
      <c r="B403" s="21">
        <f t="shared" si="5"/>
        <v>0</v>
      </c>
      <c r="C403" s="21" t="str">
        <f>VLOOKUP(A403, hash!A$2:B$500, 2, 0)</f>
        <v>66e1e14b7a8e6dc2aed3a649</v>
      </c>
      <c r="D403" s="23">
        <f t="shared" si="1"/>
        <v>0</v>
      </c>
      <c r="F403" s="45"/>
      <c r="H403" s="45"/>
      <c r="J403" s="45"/>
    </row>
    <row r="404">
      <c r="A404" s="22" t="s">
        <v>308</v>
      </c>
      <c r="B404" s="21">
        <f t="shared" si="5"/>
        <v>0</v>
      </c>
      <c r="C404" s="21" t="str">
        <f>VLOOKUP(A404, hash!A$2:B$500, 2, 0)</f>
        <v>66e1e14cf0db8f5922c91d94</v>
      </c>
      <c r="D404" s="23">
        <f t="shared" si="1"/>
        <v>0</v>
      </c>
      <c r="F404" s="45"/>
      <c r="H404" s="45"/>
      <c r="J404" s="45"/>
    </row>
    <row r="405">
      <c r="A405" s="22" t="s">
        <v>309</v>
      </c>
      <c r="B405" s="21">
        <f t="shared" si="5"/>
        <v>0</v>
      </c>
      <c r="C405" s="21" t="str">
        <f>VLOOKUP(A405, hash!A$2:B$500, 2, 0)</f>
        <v>66e1e200bbd279710a4f25a0</v>
      </c>
      <c r="D405" s="23">
        <f t="shared" si="1"/>
        <v>0</v>
      </c>
      <c r="F405" s="27"/>
      <c r="H405" s="27"/>
      <c r="J405" s="27"/>
    </row>
    <row r="406">
      <c r="A406" s="22" t="s">
        <v>38</v>
      </c>
      <c r="B406" s="21">
        <f t="shared" si="5"/>
        <v>0</v>
      </c>
      <c r="C406" s="21" t="str">
        <f>VLOOKUP(A406, hash!A$2:B$500, 2, 0)</f>
        <v>66e1e295c67d6a88d4309dde</v>
      </c>
      <c r="D406" s="23">
        <f t="shared" si="1"/>
        <v>0</v>
      </c>
      <c r="F406" s="45"/>
      <c r="H406" s="45"/>
      <c r="J406" s="45"/>
    </row>
    <row r="407">
      <c r="A407" s="22" t="s">
        <v>310</v>
      </c>
      <c r="B407" s="21">
        <f t="shared" si="5"/>
        <v>0</v>
      </c>
      <c r="C407" s="21" t="str">
        <f>VLOOKUP(A407, hash!A$2:B$500, 2, 0)</f>
        <v>66e1ed7ce62f650d943808d3</v>
      </c>
      <c r="D407" s="23">
        <f t="shared" si="1"/>
        <v>0</v>
      </c>
      <c r="F407" s="45"/>
      <c r="H407" s="45"/>
      <c r="J407" s="45"/>
    </row>
    <row r="408">
      <c r="A408" s="22" t="s">
        <v>311</v>
      </c>
      <c r="B408" s="21">
        <f t="shared" si="5"/>
        <v>0</v>
      </c>
      <c r="C408" s="21" t="str">
        <f>VLOOKUP(A408, hash!A$2:B$500, 2, 0)</f>
        <v>66e1ed80e62f650d943808d4</v>
      </c>
      <c r="D408" s="23">
        <f t="shared" si="1"/>
        <v>0</v>
      </c>
      <c r="F408" s="45"/>
      <c r="H408" s="45"/>
      <c r="J408" s="45"/>
    </row>
    <row r="409">
      <c r="A409" s="22" t="s">
        <v>313</v>
      </c>
      <c r="B409" s="21">
        <f t="shared" si="5"/>
        <v>0</v>
      </c>
      <c r="C409" s="21" t="str">
        <f>VLOOKUP(A409, hash!A$2:B$500, 2, 0)</f>
        <v>66e1ed8677e929b3df889a0a</v>
      </c>
      <c r="D409" s="23">
        <f t="shared" si="1"/>
        <v>0</v>
      </c>
      <c r="F409" s="27"/>
      <c r="H409" s="27"/>
      <c r="J409" s="27"/>
    </row>
    <row r="410">
      <c r="A410" s="22" t="s">
        <v>314</v>
      </c>
      <c r="B410" s="21">
        <f t="shared" si="5"/>
        <v>0</v>
      </c>
      <c r="C410" s="21" t="str">
        <f>VLOOKUP(A410, hash!A$2:B$500, 2, 0)</f>
        <v>66e1ed871129889a3e2c24a9</v>
      </c>
      <c r="D410" s="23">
        <f t="shared" si="1"/>
        <v>0</v>
      </c>
      <c r="F410" s="45"/>
      <c r="H410" s="45"/>
      <c r="J410" s="45"/>
    </row>
    <row r="411">
      <c r="A411" s="22" t="s">
        <v>64</v>
      </c>
      <c r="B411" s="21">
        <f t="shared" si="5"/>
        <v>0</v>
      </c>
      <c r="C411" s="21" t="str">
        <f>VLOOKUP(A411, hash!A$2:B$500, 2, 0)</f>
        <v>66e1ed8c1129889a3e2c24aa</v>
      </c>
      <c r="D411" s="23">
        <f t="shared" si="1"/>
        <v>0</v>
      </c>
      <c r="E411" s="14">
        <v>0.0</v>
      </c>
      <c r="F411" s="27">
        <v>0.0</v>
      </c>
      <c r="G411" s="14">
        <v>0.0</v>
      </c>
      <c r="H411" s="27">
        <v>0.0</v>
      </c>
      <c r="I411" s="14">
        <v>0.0</v>
      </c>
      <c r="J411" s="27">
        <v>0.0</v>
      </c>
    </row>
    <row r="412">
      <c r="A412" s="22" t="s">
        <v>315</v>
      </c>
      <c r="B412" s="21">
        <f t="shared" si="5"/>
        <v>0</v>
      </c>
      <c r="C412" s="21" t="str">
        <f>VLOOKUP(A412, hash!A$2:B$500, 2, 0)</f>
        <v>66e1ed901129889a3e2c24ac</v>
      </c>
      <c r="D412" s="23">
        <f t="shared" si="1"/>
        <v>0</v>
      </c>
      <c r="F412" s="45"/>
      <c r="H412" s="45"/>
      <c r="J412" s="45"/>
    </row>
    <row r="413">
      <c r="A413" s="22" t="s">
        <v>316</v>
      </c>
      <c r="B413" s="21">
        <f t="shared" si="5"/>
        <v>0</v>
      </c>
      <c r="C413" s="21" t="str">
        <f>VLOOKUP(A413, hash!A$2:B$500, 2, 0)</f>
        <v>66e1ed9207067318cc1e18cb</v>
      </c>
      <c r="D413" s="23">
        <f t="shared" si="1"/>
        <v>0</v>
      </c>
      <c r="F413" s="45"/>
      <c r="H413" s="45"/>
      <c r="J413" s="45"/>
    </row>
    <row r="414">
      <c r="A414" s="22" t="s">
        <v>317</v>
      </c>
      <c r="B414" s="21">
        <f t="shared" si="5"/>
        <v>0</v>
      </c>
      <c r="C414" s="21" t="str">
        <f>VLOOKUP(A414, hash!A$2:B$500, 2, 0)</f>
        <v>66e1ed9207067318cc1e18cc</v>
      </c>
      <c r="D414" s="23">
        <f t="shared" si="1"/>
        <v>0</v>
      </c>
      <c r="F414" s="45"/>
      <c r="H414" s="45"/>
      <c r="J414" s="45"/>
    </row>
    <row r="415">
      <c r="A415" s="22" t="s">
        <v>318</v>
      </c>
      <c r="B415" s="21">
        <f t="shared" si="5"/>
        <v>0</v>
      </c>
      <c r="C415" s="21" t="str">
        <f>VLOOKUP(A415, hash!A$2:B$500, 2, 0)</f>
        <v>66e1ed9407067318cc1e18cd</v>
      </c>
      <c r="D415" s="23">
        <f t="shared" si="1"/>
        <v>0</v>
      </c>
      <c r="E415" s="14">
        <v>0.0</v>
      </c>
      <c r="F415" s="27">
        <v>0.0</v>
      </c>
      <c r="G415" s="14">
        <v>0.0</v>
      </c>
      <c r="H415" s="27">
        <v>0.0</v>
      </c>
      <c r="I415" s="14">
        <v>0.0</v>
      </c>
      <c r="J415" s="27">
        <v>0.0</v>
      </c>
    </row>
    <row r="416">
      <c r="A416" s="22" t="s">
        <v>319</v>
      </c>
      <c r="B416" s="21">
        <f t="shared" si="5"/>
        <v>0</v>
      </c>
      <c r="C416" s="21" t="str">
        <f>VLOOKUP(A416, hash!A$2:B$500, 2, 0)</f>
        <v>66e1ed96e62f650d943808d5</v>
      </c>
      <c r="D416" s="23">
        <f t="shared" si="1"/>
        <v>0</v>
      </c>
      <c r="F416" s="45"/>
      <c r="H416" s="45"/>
      <c r="J416" s="45"/>
    </row>
    <row r="417">
      <c r="A417" s="22" t="s">
        <v>320</v>
      </c>
      <c r="B417" s="21">
        <f t="shared" si="5"/>
        <v>0</v>
      </c>
      <c r="C417" s="21" t="str">
        <f>VLOOKUP(A417, hash!A$2:B$500, 2, 0)</f>
        <v>66e1ed97e62f650d943808d6</v>
      </c>
      <c r="D417" s="23">
        <f t="shared" si="1"/>
        <v>0</v>
      </c>
      <c r="F417" s="27"/>
      <c r="H417" s="27"/>
      <c r="J417" s="27"/>
    </row>
    <row r="418">
      <c r="A418" s="22" t="s">
        <v>321</v>
      </c>
      <c r="B418" s="21">
        <f t="shared" si="5"/>
        <v>0</v>
      </c>
      <c r="C418" s="21" t="str">
        <f>VLOOKUP(A418, hash!A$2:B$500, 2, 0)</f>
        <v>66e1ed9877e929b3df889a0b</v>
      </c>
      <c r="D418" s="23">
        <f t="shared" si="1"/>
        <v>0</v>
      </c>
      <c r="F418" s="27"/>
      <c r="H418" s="27"/>
      <c r="J418" s="27"/>
    </row>
    <row r="419">
      <c r="A419" s="22" t="s">
        <v>322</v>
      </c>
      <c r="B419" s="21">
        <f t="shared" si="5"/>
        <v>0</v>
      </c>
      <c r="C419" s="21" t="str">
        <f>VLOOKUP(A419, hash!A$2:B$500, 2, 0)</f>
        <v>66e1ed9877e929b3df889a0c</v>
      </c>
      <c r="D419" s="23">
        <f t="shared" si="1"/>
        <v>0</v>
      </c>
      <c r="F419" s="45"/>
      <c r="H419" s="45"/>
      <c r="J419" s="45"/>
    </row>
    <row r="420">
      <c r="A420" s="22" t="s">
        <v>323</v>
      </c>
      <c r="B420" s="21">
        <f t="shared" si="5"/>
        <v>0</v>
      </c>
      <c r="C420" s="21" t="str">
        <f>VLOOKUP(A420, hash!A$2:B$500, 2, 0)</f>
        <v>66e1ed98e62f650d943808d7</v>
      </c>
      <c r="D420" s="23">
        <f t="shared" si="1"/>
        <v>0</v>
      </c>
      <c r="F420" s="45"/>
      <c r="H420" s="45"/>
      <c r="J420" s="45"/>
    </row>
    <row r="421">
      <c r="A421" s="22" t="s">
        <v>324</v>
      </c>
      <c r="B421" s="21">
        <f t="shared" si="5"/>
        <v>0</v>
      </c>
      <c r="C421" s="21" t="str">
        <f>VLOOKUP(A421, hash!A$2:B$500, 2, 0)</f>
        <v>66e1ed9b535f0d0c02349bed</v>
      </c>
      <c r="D421" s="23">
        <f t="shared" si="1"/>
        <v>0</v>
      </c>
      <c r="F421" s="45"/>
      <c r="H421" s="45"/>
      <c r="J421" s="45"/>
    </row>
    <row r="422">
      <c r="A422" s="22" t="s">
        <v>325</v>
      </c>
      <c r="B422" s="21">
        <f t="shared" si="5"/>
        <v>0</v>
      </c>
      <c r="C422" s="21" t="str">
        <f>VLOOKUP(A422, hash!A$2:B$500, 2, 0)</f>
        <v>66e1ed9c07067318cc1e18ce</v>
      </c>
      <c r="D422" s="23">
        <f t="shared" si="1"/>
        <v>0</v>
      </c>
      <c r="E422" s="14">
        <v>0.0</v>
      </c>
      <c r="F422" s="27">
        <v>0.0</v>
      </c>
      <c r="G422" s="14">
        <v>0.0</v>
      </c>
      <c r="H422" s="27">
        <v>0.0</v>
      </c>
      <c r="I422" s="14">
        <v>0.0</v>
      </c>
      <c r="J422" s="27">
        <v>0.0</v>
      </c>
    </row>
    <row r="423">
      <c r="A423" s="22" t="s">
        <v>326</v>
      </c>
      <c r="B423" s="21">
        <f t="shared" si="5"/>
        <v>0</v>
      </c>
      <c r="C423" s="21" t="str">
        <f>VLOOKUP(A423, hash!A$2:B$500, 2, 0)</f>
        <v>66e1ed9e07067318cc1e18cf</v>
      </c>
      <c r="D423" s="23">
        <f t="shared" si="1"/>
        <v>0</v>
      </c>
      <c r="E423" s="14">
        <v>0.0</v>
      </c>
      <c r="F423" s="27">
        <v>0.0</v>
      </c>
      <c r="G423" s="14">
        <v>0.0</v>
      </c>
      <c r="H423" s="27">
        <v>0.0</v>
      </c>
      <c r="I423" s="14">
        <v>0.0</v>
      </c>
      <c r="J423" s="27">
        <v>0.0</v>
      </c>
    </row>
    <row r="424">
      <c r="A424" s="22" t="s">
        <v>327</v>
      </c>
      <c r="B424" s="21">
        <f t="shared" si="5"/>
        <v>0</v>
      </c>
      <c r="C424" s="21" t="str">
        <f>VLOOKUP(A424, hash!A$2:B$500, 2, 0)</f>
        <v>66e1ed9f07067318cc1e18d0</v>
      </c>
      <c r="D424" s="23">
        <f t="shared" si="1"/>
        <v>0</v>
      </c>
      <c r="E424" s="14">
        <v>0.0</v>
      </c>
      <c r="F424" s="27">
        <v>0.0</v>
      </c>
      <c r="G424" s="14">
        <v>0.0</v>
      </c>
      <c r="H424" s="27">
        <v>0.0</v>
      </c>
      <c r="I424" s="14">
        <v>0.0</v>
      </c>
      <c r="J424" s="27">
        <v>0.0</v>
      </c>
    </row>
    <row r="425">
      <c r="A425" s="22" t="s">
        <v>328</v>
      </c>
      <c r="B425" s="21">
        <f t="shared" si="5"/>
        <v>0</v>
      </c>
      <c r="C425" s="21" t="str">
        <f>VLOOKUP(A425, hash!A$2:B$500, 2, 0)</f>
        <v>66e1eda007067318cc1e18d1</v>
      </c>
      <c r="D425" s="23">
        <f t="shared" si="1"/>
        <v>0</v>
      </c>
      <c r="F425" s="45"/>
      <c r="H425" s="45"/>
      <c r="J425" s="45"/>
    </row>
    <row r="426">
      <c r="A426" s="22" t="s">
        <v>329</v>
      </c>
      <c r="B426" s="21">
        <f t="shared" si="5"/>
        <v>0</v>
      </c>
      <c r="C426" s="21" t="str">
        <f>VLOOKUP(A426, hash!A$2:B$500, 2, 0)</f>
        <v>66e1eda1535f0d0c02349bee</v>
      </c>
      <c r="D426" s="23">
        <f t="shared" si="1"/>
        <v>0</v>
      </c>
      <c r="F426" s="45"/>
      <c r="H426" s="45"/>
      <c r="J426" s="45"/>
    </row>
    <row r="427">
      <c r="A427" s="22" t="s">
        <v>330</v>
      </c>
      <c r="B427" s="21">
        <f t="shared" si="5"/>
        <v>0</v>
      </c>
      <c r="C427" s="21" t="str">
        <f>VLOOKUP(A427, hash!A$2:B$500, 2, 0)</f>
        <v>66e1eda5535f0d0c02349bef</v>
      </c>
      <c r="D427" s="23">
        <f t="shared" si="1"/>
        <v>0</v>
      </c>
      <c r="F427" s="45"/>
      <c r="H427" s="45"/>
      <c r="J427" s="27"/>
    </row>
    <row r="428">
      <c r="A428" s="22" t="s">
        <v>331</v>
      </c>
      <c r="B428" s="21">
        <f t="shared" si="5"/>
        <v>0</v>
      </c>
      <c r="C428" s="21" t="str">
        <f>VLOOKUP(A428, hash!A$2:B$500, 2, 0)</f>
        <v>66e1eda6535f0d0c02349bf0</v>
      </c>
      <c r="D428" s="23">
        <f t="shared" si="1"/>
        <v>0</v>
      </c>
      <c r="F428" s="45"/>
      <c r="H428" s="45"/>
      <c r="J428" s="45"/>
    </row>
    <row r="429">
      <c r="A429" s="22" t="s">
        <v>97</v>
      </c>
      <c r="B429" s="21">
        <f t="shared" si="5"/>
        <v>0</v>
      </c>
      <c r="C429" s="21" t="str">
        <f>VLOOKUP(A429, hash!A$2:B$500, 2, 0)</f>
        <v>66e1eda71129889a3e2c24ae</v>
      </c>
      <c r="D429" s="23">
        <f t="shared" si="1"/>
        <v>0</v>
      </c>
      <c r="F429" s="45"/>
      <c r="H429" s="45"/>
      <c r="J429" s="45"/>
    </row>
    <row r="430">
      <c r="A430" s="22" t="s">
        <v>332</v>
      </c>
      <c r="B430" s="21">
        <f t="shared" si="5"/>
        <v>0</v>
      </c>
      <c r="C430" s="21" t="str">
        <f>VLOOKUP(A430, hash!A$2:B$500, 2, 0)</f>
        <v>66e1eda81129889a3e2c24af</v>
      </c>
      <c r="D430" s="23">
        <f t="shared" si="1"/>
        <v>0</v>
      </c>
      <c r="F430" s="27"/>
      <c r="H430" s="27"/>
      <c r="J430" s="27"/>
    </row>
    <row r="431">
      <c r="A431" s="22" t="s">
        <v>333</v>
      </c>
      <c r="B431" s="21">
        <f t="shared" si="5"/>
        <v>0</v>
      </c>
      <c r="C431" s="21" t="str">
        <f>VLOOKUP(A431, hash!A$2:B$500, 2, 0)</f>
        <v>66e1eda807067318cc1e18d2</v>
      </c>
      <c r="D431" s="23">
        <f t="shared" si="1"/>
        <v>0</v>
      </c>
      <c r="F431" s="45"/>
      <c r="H431" s="45"/>
      <c r="J431" s="45"/>
    </row>
    <row r="432">
      <c r="A432" s="22" t="s">
        <v>90</v>
      </c>
      <c r="B432" s="21">
        <f t="shared" si="5"/>
        <v>0</v>
      </c>
      <c r="C432" s="21" t="str">
        <f>VLOOKUP(A432, hash!A$2:B$500, 2, 0)</f>
        <v>66e1edab07067318cc1e18d3</v>
      </c>
      <c r="D432" s="23">
        <f t="shared" si="1"/>
        <v>0</v>
      </c>
      <c r="F432" s="45"/>
      <c r="H432" s="45"/>
      <c r="J432" s="45"/>
    </row>
    <row r="433">
      <c r="A433" s="22" t="s">
        <v>334</v>
      </c>
      <c r="B433" s="21">
        <f t="shared" si="5"/>
        <v>0</v>
      </c>
      <c r="C433" s="21" t="str">
        <f>VLOOKUP(A433, hash!A$2:B$500, 2, 0)</f>
        <v>66e1edbc07067318cc1e18d8</v>
      </c>
      <c r="D433" s="23">
        <f t="shared" si="1"/>
        <v>0</v>
      </c>
      <c r="F433" s="45"/>
      <c r="H433" s="45"/>
      <c r="J433" s="45"/>
    </row>
    <row r="434">
      <c r="A434" s="22" t="s">
        <v>335</v>
      </c>
      <c r="B434" s="21">
        <f t="shared" si="5"/>
        <v>0</v>
      </c>
      <c r="C434" s="21" t="str">
        <f>VLOOKUP(A434, hash!A$2:B$500, 2, 0)</f>
        <v>66e1edd11129889a3e2c24ba</v>
      </c>
      <c r="D434" s="23">
        <f t="shared" si="1"/>
        <v>0</v>
      </c>
      <c r="F434" s="45"/>
      <c r="H434" s="45"/>
      <c r="J434" s="45"/>
    </row>
    <row r="435">
      <c r="A435" s="22" t="s">
        <v>336</v>
      </c>
      <c r="B435" s="21">
        <f t="shared" si="5"/>
        <v>0</v>
      </c>
      <c r="C435" s="21" t="str">
        <f>VLOOKUP(A435, hash!A$2:B$500, 2, 0)</f>
        <v>66e1ee9d77e929b3df889a14</v>
      </c>
      <c r="D435" s="23">
        <f t="shared" si="1"/>
        <v>0</v>
      </c>
      <c r="F435" s="27"/>
      <c r="H435" s="27"/>
      <c r="J435" s="27"/>
    </row>
    <row r="436">
      <c r="A436" s="22" t="s">
        <v>337</v>
      </c>
      <c r="B436" s="21">
        <f t="shared" si="5"/>
        <v>0</v>
      </c>
      <c r="C436" s="21" t="str">
        <f>VLOOKUP(A436, hash!A$2:B$500, 2, 0)</f>
        <v>66e1f36e97e3bb4b1a02d659</v>
      </c>
      <c r="D436" s="23">
        <f t="shared" si="1"/>
        <v>0</v>
      </c>
      <c r="F436" s="45"/>
      <c r="H436" s="45"/>
      <c r="J436" s="45"/>
    </row>
    <row r="437">
      <c r="A437" s="22" t="s">
        <v>37</v>
      </c>
      <c r="B437" s="21">
        <f t="shared" si="5"/>
        <v>0</v>
      </c>
      <c r="C437" s="21" t="str">
        <f>VLOOKUP(A437, hash!A$2:B$500, 2, 0)</f>
        <v>66e21e0e9dc93e7d858c34ab</v>
      </c>
      <c r="D437" s="23">
        <f t="shared" si="1"/>
        <v>0</v>
      </c>
      <c r="F437" s="45"/>
      <c r="H437" s="45"/>
      <c r="J437" s="45"/>
    </row>
    <row r="438">
      <c r="A438" s="22" t="s">
        <v>98</v>
      </c>
      <c r="B438" s="21">
        <f t="shared" si="5"/>
        <v>0</v>
      </c>
      <c r="C438" s="21" t="str">
        <f>VLOOKUP(A438, hash!A$2:B$500, 2, 0)</f>
        <v>66e4659d317cf70a1c31109e</v>
      </c>
      <c r="D438" s="23">
        <f t="shared" si="1"/>
        <v>0</v>
      </c>
      <c r="F438" s="45"/>
      <c r="H438" s="45"/>
      <c r="J438" s="45"/>
    </row>
    <row r="439">
      <c r="A439" s="22" t="s">
        <v>338</v>
      </c>
      <c r="B439" s="21">
        <f t="shared" si="5"/>
        <v>0</v>
      </c>
      <c r="C439" s="21" t="str">
        <f>VLOOKUP(A439, hash!A$2:B$500, 2, 0)</f>
        <v>66ea1f306b0b246c2372bbac</v>
      </c>
      <c r="D439" s="23">
        <f t="shared" si="1"/>
        <v>0</v>
      </c>
      <c r="F439" s="45"/>
      <c r="H439" s="45"/>
      <c r="J439" s="45"/>
    </row>
    <row r="440">
      <c r="A440" s="22" t="s">
        <v>35</v>
      </c>
      <c r="B440" s="21">
        <f t="shared" si="5"/>
        <v>0</v>
      </c>
      <c r="C440" s="21" t="str">
        <f>VLOOKUP(A440, hash!A$2:B$500, 2, 0)</f>
        <v>66eb1b4237edf2b32f9fc2ec</v>
      </c>
      <c r="D440" s="23">
        <f t="shared" si="1"/>
        <v>0</v>
      </c>
      <c r="F440" s="45"/>
      <c r="H440" s="45"/>
      <c r="J440" s="45"/>
    </row>
    <row r="441">
      <c r="A441" s="22" t="s">
        <v>339</v>
      </c>
      <c r="B441" s="21">
        <f t="shared" si="5"/>
        <v>0</v>
      </c>
      <c r="C441" s="21" t="str">
        <f>VLOOKUP(A441, hash!A$2:B$500, 2, 0)</f>
        <v>66eb1bdf61b31c87a7ea090e</v>
      </c>
      <c r="D441" s="23">
        <f t="shared" si="1"/>
        <v>0</v>
      </c>
      <c r="F441" s="45"/>
      <c r="H441" s="45"/>
      <c r="J441" s="45"/>
    </row>
    <row r="442">
      <c r="A442" s="22" t="s">
        <v>340</v>
      </c>
      <c r="B442" s="21">
        <f t="shared" si="5"/>
        <v>0</v>
      </c>
      <c r="C442" s="21" t="str">
        <f>VLOOKUP(A442, hash!A$2:B$500, 2, 0)</f>
        <v>66eb1bedcb6c430d242f37c4</v>
      </c>
      <c r="D442" s="23">
        <f t="shared" si="1"/>
        <v>0</v>
      </c>
      <c r="F442" s="45"/>
      <c r="H442" s="45"/>
      <c r="J442" s="45"/>
    </row>
    <row r="443">
      <c r="A443" s="22" t="s">
        <v>341</v>
      </c>
      <c r="B443" s="21">
        <f t="shared" si="5"/>
        <v>0</v>
      </c>
      <c r="C443" s="21" t="str">
        <f>VLOOKUP(A443, hash!A$2:B$500, 2, 0)</f>
        <v>66eb1bf21132636931fb1927</v>
      </c>
      <c r="D443" s="23">
        <f t="shared" si="1"/>
        <v>0</v>
      </c>
      <c r="E443" s="14">
        <v>0.0</v>
      </c>
      <c r="F443" s="27">
        <v>0.0</v>
      </c>
      <c r="G443" s="14">
        <v>0.0</v>
      </c>
      <c r="H443" s="27">
        <v>0.0</v>
      </c>
      <c r="I443" s="14">
        <v>0.0</v>
      </c>
      <c r="J443" s="27">
        <v>0.0</v>
      </c>
    </row>
    <row r="444">
      <c r="A444" s="22" t="s">
        <v>342</v>
      </c>
      <c r="B444" s="21">
        <f t="shared" si="5"/>
        <v>0</v>
      </c>
      <c r="C444" s="21" t="str">
        <f>VLOOKUP(A444, hash!A$2:B$500, 2, 0)</f>
        <v>66eb1bf5cb6c430d242f37c7</v>
      </c>
      <c r="D444" s="23">
        <f t="shared" si="1"/>
        <v>0</v>
      </c>
      <c r="E444" s="14">
        <v>0.0</v>
      </c>
      <c r="F444" s="27">
        <v>0.0</v>
      </c>
      <c r="G444" s="14">
        <v>0.0</v>
      </c>
      <c r="H444" s="27">
        <v>0.0</v>
      </c>
      <c r="I444" s="14">
        <v>0.0</v>
      </c>
      <c r="J444" s="27">
        <v>0.0</v>
      </c>
    </row>
    <row r="445">
      <c r="A445" s="22" t="s">
        <v>343</v>
      </c>
      <c r="B445" s="21">
        <f t="shared" si="5"/>
        <v>0</v>
      </c>
      <c r="C445" s="21" t="str">
        <f>VLOOKUP(A445, hash!A$2:B$500, 2, 0)</f>
        <v>66eb1bf91132636931fb1929</v>
      </c>
      <c r="D445" s="23">
        <f t="shared" si="1"/>
        <v>0</v>
      </c>
      <c r="F445" s="45"/>
      <c r="H445" s="45"/>
      <c r="J445" s="45"/>
    </row>
    <row r="446">
      <c r="A446" s="22" t="s">
        <v>344</v>
      </c>
      <c r="B446" s="21">
        <f t="shared" si="5"/>
        <v>0</v>
      </c>
      <c r="C446" s="21" t="str">
        <f>VLOOKUP(A446, hash!A$2:B$500, 2, 0)</f>
        <v>66eb1bff8647681e6a2afbde</v>
      </c>
      <c r="D446" s="23">
        <f t="shared" si="1"/>
        <v>0</v>
      </c>
      <c r="F446" s="45"/>
      <c r="H446" s="45"/>
      <c r="J446" s="45"/>
    </row>
    <row r="447">
      <c r="A447" s="22" t="s">
        <v>345</v>
      </c>
      <c r="B447" s="21">
        <f t="shared" si="5"/>
        <v>0</v>
      </c>
      <c r="C447" s="21" t="str">
        <f>VLOOKUP(A447, hash!A$2:B$500, 2, 0)</f>
        <v>66eb1c00a52629221738126a</v>
      </c>
      <c r="D447" s="23">
        <f t="shared" si="1"/>
        <v>0</v>
      </c>
      <c r="F447" s="45"/>
      <c r="H447" s="45"/>
      <c r="J447" s="45"/>
    </row>
    <row r="448">
      <c r="A448" s="22" t="s">
        <v>347</v>
      </c>
      <c r="B448" s="21">
        <f t="shared" si="5"/>
        <v>0</v>
      </c>
      <c r="C448" s="21" t="str">
        <f>VLOOKUP(A448, hash!A$2:B$500, 2, 0)</f>
        <v>66eb1c248647681e6a2afbe7</v>
      </c>
      <c r="D448" s="23">
        <f t="shared" si="1"/>
        <v>0</v>
      </c>
      <c r="F448" s="45"/>
      <c r="H448" s="45"/>
      <c r="J448" s="45"/>
    </row>
    <row r="449">
      <c r="A449" s="22" t="s">
        <v>348</v>
      </c>
      <c r="B449" s="21">
        <f t="shared" si="5"/>
        <v>0</v>
      </c>
      <c r="C449" s="21" t="str">
        <f>VLOOKUP(A449, hash!A$2:B$500, 2, 0)</f>
        <v>66eb1c2ba526292217381274</v>
      </c>
      <c r="D449" s="23">
        <f t="shared" si="1"/>
        <v>0</v>
      </c>
      <c r="E449" s="14">
        <v>0.0</v>
      </c>
      <c r="F449" s="27">
        <v>0.0</v>
      </c>
      <c r="G449" s="14">
        <v>0.0</v>
      </c>
      <c r="H449" s="27">
        <v>0.0</v>
      </c>
      <c r="I449" s="14">
        <v>0.0</v>
      </c>
      <c r="J449" s="27">
        <v>0.0</v>
      </c>
    </row>
    <row r="450">
      <c r="A450" s="22" t="s">
        <v>349</v>
      </c>
      <c r="B450" s="21">
        <f t="shared" si="5"/>
        <v>0</v>
      </c>
      <c r="C450" s="21" t="str">
        <f>VLOOKUP(A450, hash!A$2:B$500, 2, 0)</f>
        <v>66eb1c2b8647681e6a2afbe8</v>
      </c>
      <c r="D450" s="23">
        <f t="shared" si="1"/>
        <v>0</v>
      </c>
      <c r="F450" s="45"/>
      <c r="H450" s="45"/>
      <c r="J450" s="45"/>
    </row>
    <row r="451">
      <c r="A451" s="22" t="s">
        <v>350</v>
      </c>
      <c r="B451" s="21">
        <f t="shared" si="5"/>
        <v>0</v>
      </c>
      <c r="C451" s="21" t="str">
        <f>VLOOKUP(A451, hash!A$2:B$500, 2, 0)</f>
        <v>66eb1c33cb6c430d242f37d2</v>
      </c>
      <c r="D451" s="23">
        <f t="shared" si="1"/>
        <v>0</v>
      </c>
      <c r="F451" s="45"/>
      <c r="H451" s="45"/>
      <c r="J451" s="45"/>
    </row>
    <row r="452">
      <c r="A452" s="22" t="s">
        <v>351</v>
      </c>
      <c r="B452" s="21">
        <f t="shared" si="5"/>
        <v>0</v>
      </c>
      <c r="C452" s="21" t="str">
        <f>VLOOKUP(A452, hash!A$2:B$500, 2, 0)</f>
        <v>66eb1c341132636931fb192f</v>
      </c>
      <c r="D452" s="23">
        <f t="shared" si="1"/>
        <v>0</v>
      </c>
      <c r="F452" s="45"/>
      <c r="H452" s="45"/>
      <c r="J452" s="45"/>
    </row>
    <row r="453">
      <c r="A453" s="22" t="s">
        <v>352</v>
      </c>
      <c r="B453" s="21">
        <f t="shared" si="5"/>
        <v>0</v>
      </c>
      <c r="C453" s="21" t="str">
        <f>VLOOKUP(A453, hash!A$2:B$500, 2, 0)</f>
        <v>66eb1c681132636931fb1934</v>
      </c>
      <c r="D453" s="23">
        <f t="shared" si="1"/>
        <v>0</v>
      </c>
      <c r="F453" s="45"/>
      <c r="H453" s="45"/>
      <c r="J453" s="45"/>
    </row>
    <row r="454">
      <c r="A454" s="22" t="s">
        <v>353</v>
      </c>
      <c r="B454" s="21">
        <f t="shared" si="5"/>
        <v>0</v>
      </c>
      <c r="C454" s="21" t="str">
        <f>VLOOKUP(A454, hash!A$2:B$500, 2, 0)</f>
        <v>66eb1c6ecb6c430d242f37d9</v>
      </c>
      <c r="D454" s="23">
        <f t="shared" si="1"/>
        <v>0</v>
      </c>
      <c r="F454" s="45"/>
      <c r="H454" s="45"/>
      <c r="J454" s="45"/>
    </row>
    <row r="455">
      <c r="A455" s="22" t="s">
        <v>354</v>
      </c>
      <c r="B455" s="21">
        <f t="shared" si="5"/>
        <v>0</v>
      </c>
      <c r="C455" s="21" t="str">
        <f>VLOOKUP(A455, hash!A$2:B$500, 2, 0)</f>
        <v>66eb1c79cb6c430d242f37da</v>
      </c>
      <c r="D455" s="23">
        <f t="shared" si="1"/>
        <v>0</v>
      </c>
      <c r="F455" s="45"/>
      <c r="H455" s="45"/>
      <c r="J455" s="45"/>
    </row>
    <row r="456">
      <c r="A456" s="22" t="s">
        <v>355</v>
      </c>
      <c r="B456" s="21">
        <f t="shared" si="5"/>
        <v>0</v>
      </c>
      <c r="C456" s="21" t="str">
        <f>VLOOKUP(A456, hash!A$2:B$500, 2, 0)</f>
        <v>66eb1c7e1132636931fb1938</v>
      </c>
      <c r="D456" s="23">
        <f t="shared" si="1"/>
        <v>0</v>
      </c>
      <c r="F456" s="45"/>
      <c r="H456" s="45"/>
      <c r="J456" s="45"/>
    </row>
    <row r="457">
      <c r="A457" s="22" t="s">
        <v>356</v>
      </c>
      <c r="B457" s="21">
        <f t="shared" si="5"/>
        <v>0</v>
      </c>
      <c r="C457" s="21" t="str">
        <f>VLOOKUP(A457, hash!A$2:B$500, 2, 0)</f>
        <v>66eb1cb28647681e6a2afbec</v>
      </c>
      <c r="D457" s="23">
        <f t="shared" si="1"/>
        <v>0</v>
      </c>
      <c r="F457" s="45"/>
      <c r="H457" s="45"/>
      <c r="J457" s="45"/>
    </row>
    <row r="458">
      <c r="A458" s="22" t="s">
        <v>357</v>
      </c>
      <c r="B458" s="21">
        <f t="shared" si="5"/>
        <v>0</v>
      </c>
      <c r="C458" s="21" t="str">
        <f>VLOOKUP(A458, hash!A$2:B$500, 2, 0)</f>
        <v>66eb1ce18647681e6a2afbed</v>
      </c>
      <c r="D458" s="23">
        <f t="shared" si="1"/>
        <v>0</v>
      </c>
      <c r="F458" s="45"/>
      <c r="H458" s="45"/>
      <c r="J458" s="45"/>
    </row>
    <row r="459">
      <c r="A459" s="22" t="s">
        <v>358</v>
      </c>
      <c r="B459" s="21">
        <f t="shared" si="5"/>
        <v>0</v>
      </c>
      <c r="C459" s="21" t="str">
        <f>VLOOKUP(A459, hash!A$2:B$500, 2, 0)</f>
        <v>66eb26e01132636931fb1948</v>
      </c>
      <c r="D459" s="23">
        <f t="shared" si="1"/>
        <v>0</v>
      </c>
      <c r="F459" s="45"/>
      <c r="H459" s="45"/>
      <c r="J459" s="45"/>
    </row>
    <row r="460">
      <c r="A460" s="22" t="s">
        <v>359</v>
      </c>
      <c r="B460" s="21">
        <f t="shared" si="5"/>
        <v>0</v>
      </c>
      <c r="C460" s="21" t="str">
        <f>VLOOKUP(A460, hash!A$2:B$500, 2, 0)</f>
        <v>66eb2791f5cf341f2cef5f68</v>
      </c>
      <c r="D460" s="23">
        <f t="shared" si="1"/>
        <v>0</v>
      </c>
      <c r="F460" s="45"/>
      <c r="H460" s="45"/>
      <c r="J460" s="45"/>
    </row>
    <row r="461">
      <c r="A461" s="22" t="s">
        <v>360</v>
      </c>
      <c r="B461" s="21">
        <f t="shared" si="5"/>
        <v>0</v>
      </c>
      <c r="C461" s="21" t="str">
        <f>VLOOKUP(A461, hash!A$2:B$500, 2, 0)</f>
        <v>66eb283093ca556f981967dc</v>
      </c>
      <c r="D461" s="23">
        <f t="shared" si="1"/>
        <v>0</v>
      </c>
      <c r="F461" s="45"/>
      <c r="H461" s="45"/>
      <c r="J461" s="45"/>
    </row>
    <row r="462">
      <c r="A462" s="24" t="s">
        <v>361</v>
      </c>
      <c r="B462" s="21">
        <f t="shared" si="5"/>
        <v>0</v>
      </c>
      <c r="C462" s="21" t="str">
        <f>VLOOKUP(A462, hash!A$2:B$500, 2, 0)</f>
        <v>66eb283593ca556f981967de</v>
      </c>
      <c r="D462" s="23">
        <f t="shared" si="1"/>
        <v>0</v>
      </c>
      <c r="F462" s="45"/>
      <c r="H462" s="45"/>
      <c r="J462" s="45"/>
    </row>
    <row r="463">
      <c r="A463" s="22" t="s">
        <v>362</v>
      </c>
      <c r="B463" s="21">
        <f t="shared" si="5"/>
        <v>0</v>
      </c>
      <c r="C463" s="21" t="str">
        <f>VLOOKUP(A463, hash!A$2:B$500, 2, 0)</f>
        <v>66eb28586bd7ab0d5c9d8c1c</v>
      </c>
      <c r="D463" s="23">
        <f t="shared" si="1"/>
        <v>0</v>
      </c>
      <c r="F463" s="45"/>
      <c r="H463" s="45"/>
      <c r="J463" s="45"/>
    </row>
    <row r="464">
      <c r="A464" s="22" t="s">
        <v>644</v>
      </c>
      <c r="B464" s="21">
        <f t="shared" si="5"/>
        <v>0</v>
      </c>
      <c r="C464" s="21" t="str">
        <f>VLOOKUP(A464, hash!A$2:B$500, 2, 0)</f>
        <v>#N/A</v>
      </c>
      <c r="D464" s="23">
        <f t="shared" si="1"/>
        <v>0</v>
      </c>
      <c r="F464" s="45"/>
      <c r="H464" s="45"/>
      <c r="J464" s="45"/>
    </row>
    <row r="465">
      <c r="A465" s="22" t="s">
        <v>363</v>
      </c>
      <c r="B465" s="21">
        <f t="shared" si="5"/>
        <v>0</v>
      </c>
      <c r="C465" s="21" t="str">
        <f>VLOOKUP(A465, hash!A$2:B$500, 2, 0)</f>
        <v>66eb28b493ca556f981967e8</v>
      </c>
      <c r="D465" s="23">
        <f t="shared" si="1"/>
        <v>0</v>
      </c>
      <c r="F465" s="45"/>
      <c r="H465" s="45"/>
      <c r="J465" s="45"/>
    </row>
    <row r="466">
      <c r="A466" s="22" t="s">
        <v>364</v>
      </c>
      <c r="B466" s="21">
        <f t="shared" si="5"/>
        <v>0</v>
      </c>
      <c r="C466" s="21" t="str">
        <f>VLOOKUP(A466, hash!A$2:B$500, 2, 0)</f>
        <v>66eb293393ca556f981967ec</v>
      </c>
      <c r="D466" s="23">
        <f t="shared" si="1"/>
        <v>0</v>
      </c>
      <c r="F466" s="45"/>
      <c r="H466" s="45"/>
      <c r="J466" s="45"/>
    </row>
    <row r="467">
      <c r="A467" s="22" t="s">
        <v>365</v>
      </c>
      <c r="B467" s="21">
        <f t="shared" si="5"/>
        <v>0</v>
      </c>
      <c r="C467" s="21" t="str">
        <f>VLOOKUP(A467, hash!A$2:B$500, 2, 0)</f>
        <v>66eb295cf5cf341f2cef5f6e</v>
      </c>
      <c r="D467" s="23">
        <f t="shared" si="1"/>
        <v>0</v>
      </c>
      <c r="F467" s="45"/>
      <c r="H467" s="45"/>
      <c r="J467" s="45"/>
    </row>
    <row r="468">
      <c r="A468" s="24" t="s">
        <v>366</v>
      </c>
      <c r="B468" s="21">
        <f t="shared" si="5"/>
        <v>0</v>
      </c>
      <c r="C468" s="21" t="str">
        <f>VLOOKUP(A468, hash!A$2:B$500, 2, 0)</f>
        <v>66ec5f65155b01592e9cc06d</v>
      </c>
      <c r="D468" s="23">
        <f t="shared" si="1"/>
        <v>0</v>
      </c>
      <c r="F468" s="45"/>
      <c r="H468" s="45"/>
      <c r="J468" s="45"/>
    </row>
    <row r="469">
      <c r="A469" s="24" t="s">
        <v>62</v>
      </c>
      <c r="B469" s="21">
        <f t="shared" si="5"/>
        <v>0</v>
      </c>
      <c r="C469" s="69" t="str">
        <f>VLOOKUP(A469, hash!A$2:B$500, 2, 0)</f>
        <v>66e1e12a45950d34f3139132</v>
      </c>
      <c r="D469" s="23">
        <f t="shared" si="1"/>
        <v>0</v>
      </c>
      <c r="E469" s="14">
        <v>0.0</v>
      </c>
      <c r="F469" s="27">
        <v>0.0</v>
      </c>
      <c r="G469" s="14">
        <v>0.0</v>
      </c>
      <c r="H469" s="27">
        <v>0.0</v>
      </c>
      <c r="I469" s="14">
        <v>0.0</v>
      </c>
      <c r="J469" s="27">
        <v>0.0</v>
      </c>
    </row>
    <row r="470">
      <c r="A470" s="24" t="s">
        <v>373</v>
      </c>
      <c r="B470" s="21">
        <f t="shared" si="5"/>
        <v>0</v>
      </c>
      <c r="C470" s="69" t="str">
        <f>VLOOKUP(A470, hash!A$2:B$500, 2, 0)</f>
        <v>670433a06db2b04a6e31a055</v>
      </c>
      <c r="D470" s="23">
        <f t="shared" si="1"/>
        <v>0</v>
      </c>
      <c r="E470" s="14">
        <v>0.0</v>
      </c>
      <c r="F470" s="27">
        <v>0.0</v>
      </c>
      <c r="G470" s="14">
        <v>0.0</v>
      </c>
      <c r="H470" s="27">
        <v>0.0</v>
      </c>
      <c r="I470" s="14">
        <v>0.0</v>
      </c>
      <c r="J470" s="27">
        <v>0.0</v>
      </c>
    </row>
    <row r="471">
      <c r="A471" s="14" t="s">
        <v>613</v>
      </c>
      <c r="B471" s="21">
        <f t="shared" si="5"/>
        <v>916.2497279</v>
      </c>
      <c r="C471" s="69" t="str">
        <f>VLOOKUP(A471, hash!A$2:B$500, 2, 0)</f>
        <v>#N/A</v>
      </c>
      <c r="D471" s="23">
        <f t="shared" si="1"/>
        <v>4.60327049</v>
      </c>
      <c r="E471" s="35">
        <v>1.0</v>
      </c>
      <c r="F471" s="35">
        <v>1.0</v>
      </c>
      <c r="G471" s="38"/>
      <c r="H471" s="38"/>
      <c r="I471" s="38"/>
      <c r="J471" s="38"/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 ht="15.75" customHeight="1">
      <c r="A1" s="14" t="s">
        <v>1</v>
      </c>
      <c r="B1" s="14" t="s">
        <v>499</v>
      </c>
      <c r="C1" s="14" t="s">
        <v>500</v>
      </c>
      <c r="D1" s="20" t="s">
        <v>501</v>
      </c>
      <c r="E1" s="14" t="s">
        <v>502</v>
      </c>
      <c r="F1" s="27" t="s">
        <v>503</v>
      </c>
      <c r="G1" s="14" t="s">
        <v>504</v>
      </c>
      <c r="H1" s="27" t="s">
        <v>505</v>
      </c>
      <c r="I1" s="14" t="s">
        <v>506</v>
      </c>
      <c r="J1" s="27" t="s">
        <v>507</v>
      </c>
      <c r="L1" s="70" t="s">
        <v>508</v>
      </c>
      <c r="M1" s="71">
        <f t="array" ref="M1">sum(large(D2:D1469,column(indirect("$A$1:" &amp;ADDRESS( 1, 12)))))/12</f>
        <v>7.171514241</v>
      </c>
      <c r="N1" s="47"/>
      <c r="O1" s="47"/>
      <c r="P1" s="47"/>
      <c r="Q1" s="47"/>
      <c r="R1" s="47"/>
    </row>
    <row r="2">
      <c r="A2" s="22" t="s">
        <v>558</v>
      </c>
      <c r="B2" s="21">
        <f>D2/M$1*2000</f>
        <v>5582.640313</v>
      </c>
      <c r="C2" s="21" t="str">
        <f>VLOOKUP(A2, hash!A$2:B$500, 2, 0)</f>
        <v>#N/A</v>
      </c>
      <c r="D2" s="23">
        <f t="shared" ref="D2:D469" si="1">SUMPRODUCT(E2:J2,$M$4:$R$4)</f>
        <v>20.01799225</v>
      </c>
      <c r="E2" s="14">
        <v>1.0</v>
      </c>
      <c r="F2" s="27">
        <v>1.0</v>
      </c>
      <c r="G2" s="14">
        <v>1.0</v>
      </c>
      <c r="H2" s="27">
        <v>1.0</v>
      </c>
      <c r="I2" s="14">
        <v>1.0</v>
      </c>
      <c r="J2" s="27">
        <v>1.0</v>
      </c>
      <c r="L2" s="47"/>
      <c r="M2" s="72" t="s">
        <v>502</v>
      </c>
      <c r="N2" s="72" t="s">
        <v>503</v>
      </c>
      <c r="O2" s="72" t="s">
        <v>504</v>
      </c>
      <c r="P2" s="72" t="s">
        <v>505</v>
      </c>
      <c r="Q2" s="72" t="s">
        <v>506</v>
      </c>
      <c r="R2" s="72" t="s">
        <v>507</v>
      </c>
    </row>
    <row r="3">
      <c r="A3" s="22" t="s">
        <v>8</v>
      </c>
      <c r="B3" s="14">
        <v>4231.278306</v>
      </c>
      <c r="C3" s="21" t="str">
        <f>VLOOKUP(A3, hash!A$2:B$500, 2, 0)</f>
        <v>6322202c0aa8ba2dbc57c0a6</v>
      </c>
      <c r="D3" s="23">
        <f t="shared" si="1"/>
        <v>0</v>
      </c>
      <c r="F3" s="27"/>
      <c r="H3" s="27"/>
      <c r="J3" s="27"/>
      <c r="L3" s="72" t="s">
        <v>559</v>
      </c>
      <c r="M3" s="71">
        <f t="shared" ref="M3:R3" si="2">SUM(E:E)</f>
        <v>49</v>
      </c>
      <c r="N3" s="71">
        <f t="shared" si="2"/>
        <v>43</v>
      </c>
      <c r="O3" s="71">
        <f t="shared" si="2"/>
        <v>6</v>
      </c>
      <c r="P3" s="71">
        <f t="shared" si="2"/>
        <v>3</v>
      </c>
      <c r="Q3" s="71">
        <f t="shared" si="2"/>
        <v>3</v>
      </c>
      <c r="R3" s="71">
        <f t="shared" si="2"/>
        <v>1</v>
      </c>
    </row>
    <row r="4">
      <c r="A4" s="22" t="s">
        <v>10</v>
      </c>
      <c r="B4" s="21">
        <f t="shared" ref="B4:B6" si="4">D4/M$1*2000</f>
        <v>2945.897324</v>
      </c>
      <c r="C4" s="21" t="str">
        <f>VLOOKUP(A4, hash!A$2:B$500, 2, 0)</f>
        <v>632220270aa8ba2dbc57c0a4</v>
      </c>
      <c r="D4" s="23">
        <f t="shared" si="1"/>
        <v>10.5632723</v>
      </c>
      <c r="E4" s="14">
        <v>1.0</v>
      </c>
      <c r="F4" s="27">
        <v>1.0</v>
      </c>
      <c r="G4" s="14">
        <v>1.0</v>
      </c>
      <c r="H4" s="27">
        <v>0.0</v>
      </c>
      <c r="I4" s="14">
        <v>1.0</v>
      </c>
      <c r="J4" s="27">
        <v>0.0</v>
      </c>
      <c r="L4" s="72" t="s">
        <v>561</v>
      </c>
      <c r="M4" s="73">
        <f t="shared" ref="M4:R4" si="3">1+LN($M$8/M3)</f>
        <v>1.384845821</v>
      </c>
      <c r="N4" s="71">
        <f t="shared" si="3"/>
        <v>1.515466003</v>
      </c>
      <c r="O4" s="71">
        <f t="shared" si="3"/>
        <v>3.48490665</v>
      </c>
      <c r="P4" s="71">
        <f t="shared" si="3"/>
        <v>4.17805383</v>
      </c>
      <c r="Q4" s="71">
        <f t="shared" si="3"/>
        <v>4.17805383</v>
      </c>
      <c r="R4" s="71">
        <f t="shared" si="3"/>
        <v>5.276666119</v>
      </c>
    </row>
    <row r="5">
      <c r="A5" s="22" t="s">
        <v>11</v>
      </c>
      <c r="B5" s="21">
        <f t="shared" si="4"/>
        <v>2945.897324</v>
      </c>
      <c r="C5" s="21" t="str">
        <f>VLOOKUP(A5, hash!A$2:B$500, 2, 0)</f>
        <v>6502005e1d8cbbbd315ad52c</v>
      </c>
      <c r="D5" s="23">
        <f t="shared" si="1"/>
        <v>10.5632723</v>
      </c>
      <c r="E5" s="14">
        <v>1.0</v>
      </c>
      <c r="F5" s="27">
        <v>1.0</v>
      </c>
      <c r="G5" s="14">
        <v>1.0</v>
      </c>
      <c r="H5" s="27">
        <v>1.0</v>
      </c>
      <c r="I5" s="14">
        <v>0.0</v>
      </c>
      <c r="J5" s="27">
        <v>0.0</v>
      </c>
      <c r="L5" s="47"/>
      <c r="M5" s="47"/>
      <c r="N5" s="47"/>
      <c r="O5" s="47"/>
      <c r="P5" s="47"/>
      <c r="Q5" s="47"/>
      <c r="R5" s="47"/>
    </row>
    <row r="6">
      <c r="A6" s="22" t="s">
        <v>432</v>
      </c>
      <c r="B6" s="21">
        <f t="shared" si="4"/>
        <v>2945.897324</v>
      </c>
      <c r="C6" s="21" t="str">
        <f>VLOOKUP(A6, hash!A$2:B$500, 2, 0)</f>
        <v>632220620aa8ba2dbc57c0ab</v>
      </c>
      <c r="D6" s="23">
        <f t="shared" si="1"/>
        <v>10.5632723</v>
      </c>
      <c r="E6" s="14">
        <v>1.0</v>
      </c>
      <c r="F6" s="27">
        <v>1.0</v>
      </c>
      <c r="G6" s="14">
        <v>1.0</v>
      </c>
      <c r="H6" s="27">
        <v>0.0</v>
      </c>
      <c r="I6" s="14">
        <v>1.0</v>
      </c>
      <c r="J6" s="27">
        <v>0.0</v>
      </c>
      <c r="L6" s="47"/>
      <c r="M6" s="47"/>
      <c r="N6" s="47"/>
      <c r="O6" s="47"/>
      <c r="P6" s="47"/>
      <c r="Q6" s="68"/>
      <c r="R6" s="47"/>
    </row>
    <row r="7">
      <c r="A7" s="22" t="s">
        <v>562</v>
      </c>
      <c r="B7" s="14">
        <v>3415.386888</v>
      </c>
      <c r="C7" s="21" t="str">
        <f>VLOOKUP(A7, hash!A$2:B$500, 2, 0)</f>
        <v>#N/A</v>
      </c>
      <c r="D7" s="23">
        <f t="shared" si="1"/>
        <v>0</v>
      </c>
      <c r="F7" s="27"/>
      <c r="H7" s="27"/>
      <c r="J7" s="27"/>
      <c r="L7" s="46"/>
      <c r="M7" s="71" t="s">
        <v>564</v>
      </c>
      <c r="N7" s="47"/>
      <c r="O7" s="47"/>
      <c r="P7" s="47"/>
      <c r="Q7" s="68"/>
      <c r="R7" s="47"/>
    </row>
    <row r="8">
      <c r="A8" s="22" t="s">
        <v>560</v>
      </c>
      <c r="B8" s="21">
        <f t="shared" ref="B8:B469" si="5">D8/M$1*2000</f>
        <v>1974.022617</v>
      </c>
      <c r="C8" s="21" t="str">
        <f>VLOOKUP(A8, hash!A$2:B$500, 2, 0)</f>
        <v>#N/A</v>
      </c>
      <c r="D8" s="23">
        <f t="shared" si="1"/>
        <v>7.078365655</v>
      </c>
      <c r="E8" s="14">
        <v>1.0</v>
      </c>
      <c r="F8" s="27">
        <v>1.0</v>
      </c>
      <c r="G8" s="14">
        <v>0.0</v>
      </c>
      <c r="H8" s="27">
        <v>1.0</v>
      </c>
      <c r="J8" s="27">
        <v>0.0</v>
      </c>
      <c r="L8" s="47"/>
      <c r="M8" s="14">
        <f>COUNTA(E2:E500)</f>
        <v>72</v>
      </c>
      <c r="N8" s="47"/>
      <c r="O8" s="47"/>
      <c r="P8" s="47"/>
      <c r="Q8" s="47"/>
      <c r="R8" s="47"/>
    </row>
    <row r="9">
      <c r="A9" s="22" t="s">
        <v>563</v>
      </c>
      <c r="B9" s="21">
        <f t="shared" si="5"/>
        <v>1780.716948</v>
      </c>
      <c r="C9" s="21" t="str">
        <f>VLOOKUP(A9, hash!A$2:B$500, 2, 0)</f>
        <v>#N/A</v>
      </c>
      <c r="D9" s="23">
        <f t="shared" si="1"/>
        <v>6.385218474</v>
      </c>
      <c r="E9" s="14">
        <v>1.0</v>
      </c>
      <c r="F9" s="27">
        <v>1.0</v>
      </c>
      <c r="G9" s="14">
        <v>1.0</v>
      </c>
      <c r="H9" s="27">
        <v>0.0</v>
      </c>
      <c r="I9" s="14">
        <v>0.0</v>
      </c>
      <c r="J9" s="27">
        <v>0.0</v>
      </c>
      <c r="L9" s="47"/>
      <c r="M9" s="46"/>
      <c r="N9" s="47"/>
      <c r="O9" s="47"/>
      <c r="P9" s="47"/>
      <c r="Q9" s="47"/>
      <c r="R9" s="47"/>
    </row>
    <row r="10">
      <c r="A10" s="22" t="s">
        <v>92</v>
      </c>
      <c r="B10" s="21">
        <f t="shared" si="5"/>
        <v>1780.716948</v>
      </c>
      <c r="C10" s="21" t="str">
        <f>VLOOKUP(A10, hash!A$2:B$500, 2, 0)</f>
        <v>66e1e12ae2fbdff8a0c35638</v>
      </c>
      <c r="D10" s="23">
        <f t="shared" si="1"/>
        <v>6.385218474</v>
      </c>
      <c r="E10" s="14">
        <v>1.0</v>
      </c>
      <c r="F10" s="27">
        <v>1.0</v>
      </c>
      <c r="G10" s="14">
        <v>1.0</v>
      </c>
      <c r="H10" s="27">
        <v>0.0</v>
      </c>
      <c r="I10" s="14">
        <v>0.0</v>
      </c>
      <c r="J10" s="27">
        <v>0.0</v>
      </c>
      <c r="L10" s="47"/>
      <c r="M10" s="47"/>
      <c r="N10" s="47"/>
      <c r="O10" s="47"/>
      <c r="P10" s="47"/>
      <c r="Q10" s="47"/>
      <c r="R10" s="47"/>
    </row>
    <row r="11">
      <c r="A11" s="22" t="s">
        <v>9</v>
      </c>
      <c r="B11" s="21">
        <f t="shared" si="5"/>
        <v>808.8422408</v>
      </c>
      <c r="C11" s="21" t="str">
        <f>VLOOKUP(A11, hash!A$2:B$500, 2, 0)</f>
        <v>66e1e1237a8e6dc2aed3a642</v>
      </c>
      <c r="D11" s="23">
        <f t="shared" si="1"/>
        <v>2.900311824</v>
      </c>
      <c r="E11" s="14">
        <v>1.0</v>
      </c>
      <c r="F11" s="27">
        <v>1.0</v>
      </c>
      <c r="G11" s="14">
        <v>0.0</v>
      </c>
      <c r="H11" s="27">
        <v>0.0</v>
      </c>
      <c r="I11" s="14">
        <v>0.0</v>
      </c>
      <c r="J11" s="27">
        <v>0.0</v>
      </c>
      <c r="L11" s="47"/>
      <c r="M11" s="47"/>
      <c r="N11" s="47"/>
      <c r="O11" s="47"/>
      <c r="P11" s="47"/>
      <c r="Q11" s="47"/>
      <c r="R11" s="47"/>
    </row>
    <row r="12">
      <c r="A12" s="22" t="s">
        <v>565</v>
      </c>
      <c r="B12" s="21">
        <f t="shared" si="5"/>
        <v>808.8422408</v>
      </c>
      <c r="C12" s="21" t="str">
        <f>VLOOKUP(A12, hash!A$2:B$500, 2, 0)</f>
        <v>#N/A</v>
      </c>
      <c r="D12" s="23">
        <f t="shared" si="1"/>
        <v>2.900311824</v>
      </c>
      <c r="E12" s="14">
        <v>1.0</v>
      </c>
      <c r="F12" s="27">
        <v>1.0</v>
      </c>
      <c r="G12" s="14">
        <v>0.0</v>
      </c>
      <c r="H12" s="27">
        <v>0.0</v>
      </c>
      <c r="I12" s="14">
        <v>0.0</v>
      </c>
      <c r="J12" s="27">
        <v>0.0</v>
      </c>
      <c r="L12" s="47"/>
      <c r="M12" s="47"/>
      <c r="N12" s="47"/>
      <c r="O12" s="47"/>
      <c r="P12" s="47"/>
      <c r="Q12" s="47"/>
      <c r="R12" s="47"/>
    </row>
    <row r="13">
      <c r="A13" s="22" t="s">
        <v>30</v>
      </c>
      <c r="B13" s="21">
        <f t="shared" si="5"/>
        <v>808.8422408</v>
      </c>
      <c r="C13" s="21" t="str">
        <f>VLOOKUP(A13, hash!A$2:B$500, 2, 0)</f>
        <v>6322236ef382c17890e6a3e1</v>
      </c>
      <c r="D13" s="23">
        <f t="shared" si="1"/>
        <v>2.900311824</v>
      </c>
      <c r="E13" s="14">
        <v>1.0</v>
      </c>
      <c r="F13" s="27">
        <v>1.0</v>
      </c>
      <c r="G13" s="14">
        <v>0.0</v>
      </c>
      <c r="H13" s="27">
        <v>0.0</v>
      </c>
      <c r="I13" s="14">
        <v>0.0</v>
      </c>
      <c r="J13" s="27">
        <v>0.0</v>
      </c>
      <c r="L13" s="47"/>
      <c r="M13" s="47"/>
      <c r="N13" s="47"/>
      <c r="O13" s="47"/>
      <c r="P13" s="47"/>
      <c r="Q13" s="47"/>
      <c r="R13" s="47"/>
    </row>
    <row r="14">
      <c r="A14" s="22" t="s">
        <v>18</v>
      </c>
      <c r="B14" s="21">
        <f t="shared" si="5"/>
        <v>808.8422408</v>
      </c>
      <c r="C14" s="21" t="str">
        <f>VLOOKUP(A14, hash!A$2:B$500, 2, 0)</f>
        <v>6502003d1d8cbbbd315ad525</v>
      </c>
      <c r="D14" s="23">
        <f t="shared" si="1"/>
        <v>2.900311824</v>
      </c>
      <c r="E14" s="14">
        <v>1.0</v>
      </c>
      <c r="F14" s="27">
        <v>1.0</v>
      </c>
      <c r="G14" s="14">
        <v>0.0</v>
      </c>
      <c r="H14" s="27">
        <v>0.0</v>
      </c>
      <c r="I14" s="14">
        <v>0.0</v>
      </c>
      <c r="J14" s="27">
        <v>0.0</v>
      </c>
      <c r="L14" s="47"/>
      <c r="M14" s="72" t="s">
        <v>567</v>
      </c>
      <c r="N14" s="47"/>
      <c r="O14" s="47"/>
      <c r="P14" s="47"/>
      <c r="Q14" s="47"/>
      <c r="R14" s="47"/>
    </row>
    <row r="15">
      <c r="A15" s="22" t="s">
        <v>566</v>
      </c>
      <c r="B15" s="21">
        <f t="shared" si="5"/>
        <v>808.8422408</v>
      </c>
      <c r="C15" s="21" t="str">
        <f>VLOOKUP(A15, hash!A$2:B$500, 2, 0)</f>
        <v>#N/A</v>
      </c>
      <c r="D15" s="23">
        <f t="shared" si="1"/>
        <v>2.900311824</v>
      </c>
      <c r="E15" s="14">
        <v>1.0</v>
      </c>
      <c r="F15" s="27">
        <v>1.0</v>
      </c>
      <c r="G15" s="14">
        <v>0.0</v>
      </c>
      <c r="H15" s="27">
        <v>0.0</v>
      </c>
      <c r="I15" s="14">
        <v>0.0</v>
      </c>
      <c r="J15" s="27">
        <v>0.0</v>
      </c>
      <c r="L15" s="47"/>
      <c r="M15" s="71">
        <f>SUM(E2:J15)/12</f>
        <v>3.083333333</v>
      </c>
      <c r="N15" s="47"/>
      <c r="O15" s="47"/>
      <c r="P15" s="47"/>
      <c r="Q15" s="47"/>
      <c r="R15" s="47"/>
    </row>
    <row r="16">
      <c r="A16" s="22" t="s">
        <v>15</v>
      </c>
      <c r="B16" s="21">
        <f t="shared" si="5"/>
        <v>808.8422408</v>
      </c>
      <c r="C16" s="21" t="str">
        <f>VLOOKUP(A16, hash!A$2:B$500, 2, 0)</f>
        <v>65020037540ba7cc68909a9b</v>
      </c>
      <c r="D16" s="23">
        <f t="shared" si="1"/>
        <v>2.900311824</v>
      </c>
      <c r="E16" s="14">
        <v>1.0</v>
      </c>
      <c r="F16" s="27">
        <v>1.0</v>
      </c>
      <c r="G16" s="14">
        <v>0.0</v>
      </c>
      <c r="H16" s="27">
        <v>0.0</v>
      </c>
      <c r="I16" s="14">
        <v>0.0</v>
      </c>
      <c r="J16" s="27">
        <v>0.0</v>
      </c>
    </row>
    <row r="17">
      <c r="A17" s="22" t="s">
        <v>430</v>
      </c>
      <c r="B17" s="21">
        <f t="shared" si="5"/>
        <v>808.8422408</v>
      </c>
      <c r="C17" s="21" t="str">
        <f>VLOOKUP(A17, hash!A$2:B$500, 2, 0)</f>
        <v>63222011e6a618b2a0444361</v>
      </c>
      <c r="D17" s="23">
        <f t="shared" si="1"/>
        <v>2.900311824</v>
      </c>
      <c r="E17" s="14">
        <v>1.0</v>
      </c>
      <c r="F17" s="27">
        <v>1.0</v>
      </c>
      <c r="G17" s="14">
        <v>0.0</v>
      </c>
      <c r="H17" s="27">
        <v>0.0</v>
      </c>
      <c r="I17" s="14">
        <v>0.0</v>
      </c>
      <c r="J17" s="27">
        <v>0.0</v>
      </c>
    </row>
    <row r="18">
      <c r="A18" s="22" t="s">
        <v>569</v>
      </c>
      <c r="B18" s="21">
        <f t="shared" si="5"/>
        <v>808.8422408</v>
      </c>
      <c r="C18" s="21" t="str">
        <f>VLOOKUP(A18, hash!A$2:B$500, 2, 0)</f>
        <v>#N/A</v>
      </c>
      <c r="D18" s="23">
        <f t="shared" si="1"/>
        <v>2.900311824</v>
      </c>
      <c r="E18" s="14">
        <v>1.0</v>
      </c>
      <c r="F18" s="27">
        <v>1.0</v>
      </c>
      <c r="G18" s="14">
        <v>0.0</v>
      </c>
      <c r="H18" s="27">
        <v>0.0</v>
      </c>
      <c r="I18" s="14">
        <v>0.0</v>
      </c>
      <c r="J18" s="27">
        <v>0.0</v>
      </c>
    </row>
    <row r="19">
      <c r="A19" s="22" t="s">
        <v>14</v>
      </c>
      <c r="B19" s="21">
        <f t="shared" si="5"/>
        <v>808.8422408</v>
      </c>
      <c r="C19" s="21" t="str">
        <f>VLOOKUP(A19, hash!A$2:B$500, 2, 0)</f>
        <v>66e1e10f7a8e6dc2aed3a63c</v>
      </c>
      <c r="D19" s="23">
        <f t="shared" si="1"/>
        <v>2.900311824</v>
      </c>
      <c r="E19" s="14">
        <v>1.0</v>
      </c>
      <c r="F19" s="27">
        <v>1.0</v>
      </c>
      <c r="G19" s="14">
        <v>0.0</v>
      </c>
      <c r="H19" s="27">
        <v>0.0</v>
      </c>
      <c r="I19" s="14">
        <v>0.0</v>
      </c>
      <c r="J19" s="27">
        <v>0.0</v>
      </c>
    </row>
    <row r="20">
      <c r="A20" s="22" t="s">
        <v>434</v>
      </c>
      <c r="B20" s="21">
        <f t="shared" si="5"/>
        <v>808.8422408</v>
      </c>
      <c r="C20" s="21" t="str">
        <f>VLOOKUP(A20, hash!A$2:B$500, 2, 0)</f>
        <v>63222083cfccb655ce1f3a74</v>
      </c>
      <c r="D20" s="23">
        <f t="shared" si="1"/>
        <v>2.900311824</v>
      </c>
      <c r="E20" s="14">
        <v>1.0</v>
      </c>
      <c r="F20" s="27">
        <v>1.0</v>
      </c>
      <c r="G20" s="14">
        <v>0.0</v>
      </c>
      <c r="H20" s="27">
        <v>0.0</v>
      </c>
      <c r="I20" s="14">
        <v>0.0</v>
      </c>
      <c r="J20" s="27">
        <v>0.0</v>
      </c>
    </row>
    <row r="21">
      <c r="A21" s="22" t="s">
        <v>39</v>
      </c>
      <c r="B21" s="21">
        <f t="shared" si="5"/>
        <v>808.8422408</v>
      </c>
      <c r="C21" s="21" t="str">
        <f>VLOOKUP(A21, hash!A$2:B$500, 2, 0)</f>
        <v>6594377be0f4f63927a8ce26</v>
      </c>
      <c r="D21" s="23">
        <f t="shared" si="1"/>
        <v>2.900311824</v>
      </c>
      <c r="E21" s="14">
        <v>1.0</v>
      </c>
      <c r="F21" s="27">
        <v>1.0</v>
      </c>
      <c r="G21" s="14">
        <v>0.0</v>
      </c>
      <c r="H21" s="27">
        <v>0.0</v>
      </c>
      <c r="I21" s="14">
        <v>0.0</v>
      </c>
      <c r="J21" s="27">
        <v>0.0</v>
      </c>
    </row>
    <row r="22">
      <c r="A22" s="22" t="s">
        <v>29</v>
      </c>
      <c r="B22" s="21">
        <f t="shared" si="5"/>
        <v>808.8422408</v>
      </c>
      <c r="C22" s="21" t="str">
        <f>VLOOKUP(A22, hash!A$2:B$500, 2, 0)</f>
        <v>66e1e1659bdd593ffcd624e6</v>
      </c>
      <c r="D22" s="23">
        <f t="shared" si="1"/>
        <v>2.900311824</v>
      </c>
      <c r="E22" s="14">
        <v>1.0</v>
      </c>
      <c r="F22" s="27">
        <v>1.0</v>
      </c>
      <c r="G22" s="14">
        <v>0.0</v>
      </c>
      <c r="H22" s="27">
        <v>0.0</v>
      </c>
      <c r="I22" s="14">
        <v>0.0</v>
      </c>
      <c r="J22" s="27">
        <v>0.0</v>
      </c>
    </row>
    <row r="23">
      <c r="A23" s="22" t="s">
        <v>86</v>
      </c>
      <c r="B23" s="21">
        <f t="shared" si="5"/>
        <v>808.8422408</v>
      </c>
      <c r="C23" s="21" t="str">
        <f>VLOOKUP(A23, hash!A$2:B$500, 2, 0)</f>
        <v>65020c05097ac3c9d0632651</v>
      </c>
      <c r="D23" s="23">
        <f t="shared" si="1"/>
        <v>2.900311824</v>
      </c>
      <c r="E23" s="14">
        <v>1.0</v>
      </c>
      <c r="F23" s="27">
        <v>1.0</v>
      </c>
      <c r="G23" s="14">
        <v>0.0</v>
      </c>
      <c r="H23" s="27">
        <v>0.0</v>
      </c>
      <c r="I23" s="14">
        <v>0.0</v>
      </c>
      <c r="J23" s="27">
        <v>0.0</v>
      </c>
    </row>
    <row r="24">
      <c r="A24" s="22" t="s">
        <v>96</v>
      </c>
      <c r="B24" s="21">
        <f t="shared" si="5"/>
        <v>808.8422408</v>
      </c>
      <c r="C24" s="21" t="str">
        <f>VLOOKUP(A24, hash!A$2:B$500, 2, 0)</f>
        <v>65020be28f2b101294bb3da3</v>
      </c>
      <c r="D24" s="23">
        <f t="shared" si="1"/>
        <v>2.900311824</v>
      </c>
      <c r="E24" s="14">
        <v>1.0</v>
      </c>
      <c r="F24" s="27">
        <v>1.0</v>
      </c>
      <c r="G24" s="14">
        <v>0.0</v>
      </c>
      <c r="H24" s="27">
        <v>0.0</v>
      </c>
      <c r="I24" s="14">
        <v>0.0</v>
      </c>
      <c r="J24" s="27">
        <v>0.0</v>
      </c>
    </row>
    <row r="25">
      <c r="A25" s="22" t="s">
        <v>571</v>
      </c>
      <c r="B25" s="21">
        <f t="shared" si="5"/>
        <v>808.8422408</v>
      </c>
      <c r="C25" s="21" t="str">
        <f>VLOOKUP(A25, hash!A$2:B$500, 2, 0)</f>
        <v>#N/A</v>
      </c>
      <c r="D25" s="23">
        <f t="shared" si="1"/>
        <v>2.900311824</v>
      </c>
      <c r="E25" s="14">
        <v>1.0</v>
      </c>
      <c r="F25" s="27">
        <v>1.0</v>
      </c>
      <c r="G25" s="14">
        <v>0.0</v>
      </c>
      <c r="H25" s="27">
        <v>0.0</v>
      </c>
      <c r="I25" s="14">
        <v>0.0</v>
      </c>
      <c r="J25" s="27">
        <v>0.0</v>
      </c>
    </row>
    <row r="26">
      <c r="A26" s="22" t="s">
        <v>573</v>
      </c>
      <c r="B26" s="21">
        <f t="shared" si="5"/>
        <v>808.8422408</v>
      </c>
      <c r="C26" s="21" t="str">
        <f>VLOOKUP(A26, hash!A$2:B$500, 2, 0)</f>
        <v>#N/A</v>
      </c>
      <c r="D26" s="23">
        <f t="shared" si="1"/>
        <v>2.900311824</v>
      </c>
      <c r="E26" s="14">
        <v>1.0</v>
      </c>
      <c r="F26" s="27">
        <v>1.0</v>
      </c>
      <c r="G26" s="14">
        <v>0.0</v>
      </c>
      <c r="H26" s="27">
        <v>0.0</v>
      </c>
      <c r="I26" s="14">
        <v>0.0</v>
      </c>
      <c r="J26" s="27">
        <v>0.0</v>
      </c>
    </row>
    <row r="27">
      <c r="A27" s="22" t="s">
        <v>431</v>
      </c>
      <c r="B27" s="21">
        <f t="shared" si="5"/>
        <v>808.8422408</v>
      </c>
      <c r="C27" s="21" t="str">
        <f>VLOOKUP(A27, hash!A$2:B$500, 2, 0)</f>
        <v>6322202a0aa8ba2dbc57c0a5</v>
      </c>
      <c r="D27" s="23">
        <f t="shared" si="1"/>
        <v>2.900311824</v>
      </c>
      <c r="E27" s="14">
        <v>1.0</v>
      </c>
      <c r="F27" s="27">
        <v>1.0</v>
      </c>
      <c r="G27" s="14">
        <v>0.0</v>
      </c>
      <c r="H27" s="27">
        <v>0.0</v>
      </c>
      <c r="I27" s="14">
        <v>0.0</v>
      </c>
      <c r="J27" s="27">
        <v>0.0</v>
      </c>
    </row>
    <row r="28">
      <c r="A28" s="22" t="s">
        <v>433</v>
      </c>
      <c r="B28" s="21">
        <f t="shared" si="5"/>
        <v>808.8422408</v>
      </c>
      <c r="C28" s="21" t="str">
        <f>VLOOKUP(A28, hash!A$2:B$500, 2, 0)</f>
        <v>6322203581b57daeeb478dd2</v>
      </c>
      <c r="D28" s="23">
        <f t="shared" si="1"/>
        <v>2.900311824</v>
      </c>
      <c r="E28" s="14">
        <v>1.0</v>
      </c>
      <c r="F28" s="27">
        <v>1.0</v>
      </c>
      <c r="G28" s="14">
        <v>0.0</v>
      </c>
      <c r="H28" s="27">
        <v>0.0</v>
      </c>
      <c r="I28" s="14">
        <v>0.0</v>
      </c>
      <c r="J28" s="27">
        <v>0.0</v>
      </c>
    </row>
    <row r="29">
      <c r="A29" s="22" t="s">
        <v>34</v>
      </c>
      <c r="B29" s="21">
        <f t="shared" si="5"/>
        <v>808.8422408</v>
      </c>
      <c r="C29" s="21" t="str">
        <f>VLOOKUP(A29, hash!A$2:B$500, 2, 0)</f>
        <v>63222c2fed58d92b843f7cbf</v>
      </c>
      <c r="D29" s="23">
        <f t="shared" si="1"/>
        <v>2.900311824</v>
      </c>
      <c r="E29" s="14">
        <v>1.0</v>
      </c>
      <c r="F29" s="27">
        <v>1.0</v>
      </c>
      <c r="G29" s="14">
        <v>0.0</v>
      </c>
      <c r="H29" s="27">
        <v>0.0</v>
      </c>
      <c r="I29" s="14">
        <v>0.0</v>
      </c>
      <c r="J29" s="27">
        <v>0.0</v>
      </c>
    </row>
    <row r="30">
      <c r="A30" s="22" t="s">
        <v>95</v>
      </c>
      <c r="B30" s="21">
        <f t="shared" si="5"/>
        <v>808.8422408</v>
      </c>
      <c r="C30" s="21" t="str">
        <f>VLOOKUP(A30, hash!A$2:B$500, 2, 0)</f>
        <v>6502002d96a576d9fa03f999</v>
      </c>
      <c r="D30" s="23">
        <f t="shared" si="1"/>
        <v>2.900311824</v>
      </c>
      <c r="E30" s="14">
        <v>1.0</v>
      </c>
      <c r="F30" s="27">
        <v>1.0</v>
      </c>
      <c r="G30" s="14">
        <v>0.0</v>
      </c>
      <c r="H30" s="27">
        <v>0.0</v>
      </c>
      <c r="I30" s="14">
        <v>0.0</v>
      </c>
      <c r="J30" s="27">
        <v>0.0</v>
      </c>
    </row>
    <row r="31">
      <c r="A31" s="22" t="s">
        <v>19</v>
      </c>
      <c r="B31" s="21">
        <f t="shared" si="5"/>
        <v>808.8422408</v>
      </c>
      <c r="C31" s="21" t="str">
        <f>VLOOKUP(A31, hash!A$2:B$500, 2, 0)</f>
        <v>6502007357ae167867eac223</v>
      </c>
      <c r="D31" s="23">
        <f t="shared" si="1"/>
        <v>2.900311824</v>
      </c>
      <c r="E31" s="14">
        <v>1.0</v>
      </c>
      <c r="F31" s="27">
        <v>1.0</v>
      </c>
      <c r="G31" s="14">
        <v>0.0</v>
      </c>
      <c r="H31" s="27">
        <v>0.0</v>
      </c>
      <c r="I31" s="14">
        <v>0.0</v>
      </c>
      <c r="J31" s="27">
        <v>0.0</v>
      </c>
    </row>
    <row r="32">
      <c r="A32" s="22" t="s">
        <v>88</v>
      </c>
      <c r="B32" s="21">
        <f t="shared" si="5"/>
        <v>808.8422408</v>
      </c>
      <c r="C32" s="21" t="str">
        <f>VLOOKUP(A32, hash!A$2:B$500, 2, 0)</f>
        <v>65020d65097ac3c9d063266d</v>
      </c>
      <c r="D32" s="23">
        <f t="shared" si="1"/>
        <v>2.900311824</v>
      </c>
      <c r="E32" s="14">
        <v>1.0</v>
      </c>
      <c r="F32" s="27">
        <v>1.0</v>
      </c>
      <c r="G32" s="14">
        <v>0.0</v>
      </c>
      <c r="H32" s="27">
        <v>0.0</v>
      </c>
      <c r="I32" s="14">
        <v>0.0</v>
      </c>
      <c r="J32" s="27">
        <v>0.0</v>
      </c>
    </row>
    <row r="33">
      <c r="A33" s="22" t="s">
        <v>44</v>
      </c>
      <c r="B33" s="21">
        <f t="shared" si="5"/>
        <v>808.8422408</v>
      </c>
      <c r="C33" s="21" t="str">
        <f>VLOOKUP(A33, hash!A$2:B$500, 2, 0)</f>
        <v>66e1e125f0db8f5922c91d84</v>
      </c>
      <c r="D33" s="23">
        <f t="shared" si="1"/>
        <v>2.900311824</v>
      </c>
      <c r="E33" s="14">
        <v>1.0</v>
      </c>
      <c r="F33" s="27">
        <v>1.0</v>
      </c>
      <c r="G33" s="14">
        <v>0.0</v>
      </c>
      <c r="H33" s="27">
        <v>0.0</v>
      </c>
      <c r="I33" s="14">
        <v>0.0</v>
      </c>
      <c r="J33" s="27">
        <v>0.0</v>
      </c>
    </row>
    <row r="34">
      <c r="A34" s="22" t="s">
        <v>33</v>
      </c>
      <c r="B34" s="21">
        <f t="shared" si="5"/>
        <v>808.8422408</v>
      </c>
      <c r="C34" s="21" t="str">
        <f>VLOOKUP(A34, hash!A$2:B$500, 2, 0)</f>
        <v>66e1e126f0db8f5922c91d85</v>
      </c>
      <c r="D34" s="23">
        <f t="shared" si="1"/>
        <v>2.900311824</v>
      </c>
      <c r="E34" s="14">
        <v>1.0</v>
      </c>
      <c r="F34" s="27">
        <v>1.0</v>
      </c>
      <c r="G34" s="14">
        <v>0.0</v>
      </c>
      <c r="H34" s="27">
        <v>0.0</v>
      </c>
      <c r="I34" s="14">
        <v>0.0</v>
      </c>
      <c r="J34" s="27">
        <v>0.0</v>
      </c>
    </row>
    <row r="35">
      <c r="A35" s="22" t="s">
        <v>16</v>
      </c>
      <c r="B35" s="21">
        <f t="shared" si="5"/>
        <v>808.8422408</v>
      </c>
      <c r="C35" s="21" t="str">
        <f>VLOOKUP(A35, hash!A$2:B$500, 2, 0)</f>
        <v>66e1e1267a8e6dc2aed3a644</v>
      </c>
      <c r="D35" s="23">
        <f t="shared" si="1"/>
        <v>2.900311824</v>
      </c>
      <c r="E35" s="14">
        <v>1.0</v>
      </c>
      <c r="F35" s="27">
        <v>1.0</v>
      </c>
      <c r="G35" s="14">
        <v>0.0</v>
      </c>
      <c r="H35" s="27">
        <v>0.0</v>
      </c>
      <c r="I35" s="14">
        <v>0.0</v>
      </c>
      <c r="J35" s="27">
        <v>0.0</v>
      </c>
    </row>
    <row r="36">
      <c r="A36" s="22" t="s">
        <v>24</v>
      </c>
      <c r="B36" s="21">
        <f t="shared" si="5"/>
        <v>808.8422408</v>
      </c>
      <c r="C36" s="21" t="str">
        <f>VLOOKUP(A36, hash!A$2:B$500, 2, 0)</f>
        <v>66e1e1277a8e6dc2aed3a645</v>
      </c>
      <c r="D36" s="23">
        <f t="shared" si="1"/>
        <v>2.900311824</v>
      </c>
      <c r="E36" s="14">
        <v>1.0</v>
      </c>
      <c r="F36" s="27">
        <v>1.0</v>
      </c>
      <c r="G36" s="14">
        <v>0.0</v>
      </c>
      <c r="H36" s="27">
        <v>0.0</v>
      </c>
      <c r="I36" s="14">
        <v>0.0</v>
      </c>
      <c r="J36" s="27">
        <v>0.0</v>
      </c>
    </row>
    <row r="37">
      <c r="A37" s="22" t="s">
        <v>63</v>
      </c>
      <c r="B37" s="21">
        <f t="shared" si="5"/>
        <v>808.8422408</v>
      </c>
      <c r="C37" s="21" t="str">
        <f>VLOOKUP(A37, hash!A$2:B$500, 2, 0)</f>
        <v>66e1e12cf0db8f5922c91d89</v>
      </c>
      <c r="D37" s="23">
        <f t="shared" si="1"/>
        <v>2.900311824</v>
      </c>
      <c r="E37" s="14">
        <v>1.0</v>
      </c>
      <c r="F37" s="27">
        <v>1.0</v>
      </c>
      <c r="G37" s="14">
        <v>0.0</v>
      </c>
      <c r="H37" s="27">
        <v>0.0</v>
      </c>
      <c r="I37" s="14">
        <v>0.0</v>
      </c>
      <c r="J37" s="27">
        <v>0.0</v>
      </c>
    </row>
    <row r="38">
      <c r="A38" s="22" t="s">
        <v>57</v>
      </c>
      <c r="B38" s="21">
        <f t="shared" si="5"/>
        <v>808.8422408</v>
      </c>
      <c r="C38" s="21" t="str">
        <f>VLOOKUP(A38, hash!A$2:B$500, 2, 0)</f>
        <v>66e1e13168fa766abf5d11d8</v>
      </c>
      <c r="D38" s="23">
        <f t="shared" si="1"/>
        <v>2.900311824</v>
      </c>
      <c r="E38" s="14">
        <v>1.0</v>
      </c>
      <c r="F38" s="27">
        <v>1.0</v>
      </c>
      <c r="G38" s="14">
        <v>0.0</v>
      </c>
      <c r="H38" s="27">
        <v>0.0</v>
      </c>
      <c r="I38" s="14">
        <v>0.0</v>
      </c>
      <c r="J38" s="27">
        <v>0.0</v>
      </c>
    </row>
    <row r="39">
      <c r="A39" s="22" t="s">
        <v>298</v>
      </c>
      <c r="B39" s="21">
        <f t="shared" si="5"/>
        <v>422.6348725</v>
      </c>
      <c r="C39" s="21" t="str">
        <f>VLOOKUP(A39, hash!A$2:B$500, 2, 0)</f>
        <v>66e1e12be2fbdff8a0c35639</v>
      </c>
      <c r="D39" s="23">
        <f t="shared" si="1"/>
        <v>1.515466003</v>
      </c>
      <c r="E39" s="14">
        <v>0.0</v>
      </c>
      <c r="F39" s="27">
        <v>1.0</v>
      </c>
      <c r="G39" s="14">
        <v>0.0</v>
      </c>
      <c r="H39" s="27">
        <v>0.0</v>
      </c>
      <c r="I39" s="14">
        <v>0.0</v>
      </c>
      <c r="J39" s="27">
        <v>0.0</v>
      </c>
    </row>
    <row r="40">
      <c r="A40" s="24" t="s">
        <v>13</v>
      </c>
      <c r="B40" s="21">
        <f t="shared" si="5"/>
        <v>422.6348725</v>
      </c>
      <c r="C40" s="21" t="str">
        <f>VLOOKUP(A40, hash!A$2:B$500, 2, 0)</f>
        <v>65020be78f2b101294bb3da8</v>
      </c>
      <c r="D40" s="23">
        <f t="shared" si="1"/>
        <v>1.515466003</v>
      </c>
      <c r="E40" s="14">
        <v>0.0</v>
      </c>
      <c r="F40" s="27">
        <v>1.0</v>
      </c>
      <c r="G40" s="14">
        <v>0.0</v>
      </c>
      <c r="H40" s="27">
        <v>0.0</v>
      </c>
      <c r="I40" s="14">
        <v>0.0</v>
      </c>
      <c r="J40" s="27">
        <v>0.0</v>
      </c>
    </row>
    <row r="41">
      <c r="A41" s="22" t="s">
        <v>40</v>
      </c>
      <c r="B41" s="21">
        <f t="shared" si="5"/>
        <v>422.6348725</v>
      </c>
      <c r="C41" s="21" t="str">
        <f>VLOOKUP(A41, hash!A$2:B$500, 2, 0)</f>
        <v>65020bed03dd812a55d3a207</v>
      </c>
      <c r="D41" s="23">
        <f t="shared" si="1"/>
        <v>1.515466003</v>
      </c>
      <c r="E41" s="14">
        <v>0.0</v>
      </c>
      <c r="F41" s="27">
        <v>1.0</v>
      </c>
      <c r="G41" s="14">
        <v>0.0</v>
      </c>
      <c r="H41" s="27">
        <v>0.0</v>
      </c>
      <c r="I41" s="14">
        <v>0.0</v>
      </c>
      <c r="J41" s="27">
        <v>0.0</v>
      </c>
    </row>
    <row r="42">
      <c r="A42" s="22" t="s">
        <v>21</v>
      </c>
      <c r="B42" s="21">
        <f t="shared" si="5"/>
        <v>422.6348725</v>
      </c>
      <c r="C42" s="21" t="str">
        <f>VLOOKUP(A42, hash!A$2:B$500, 2, 0)</f>
        <v>63222da0116f680d68804fa7</v>
      </c>
      <c r="D42" s="23">
        <f t="shared" si="1"/>
        <v>1.515466003</v>
      </c>
      <c r="E42" s="14">
        <v>0.0</v>
      </c>
      <c r="F42" s="27">
        <v>1.0</v>
      </c>
      <c r="G42" s="14">
        <v>0.0</v>
      </c>
      <c r="H42" s="27">
        <v>0.0</v>
      </c>
      <c r="I42" s="14">
        <v>0.0</v>
      </c>
      <c r="J42" s="27">
        <v>0.0</v>
      </c>
    </row>
    <row r="43">
      <c r="A43" s="22" t="s">
        <v>43</v>
      </c>
      <c r="B43" s="21">
        <f t="shared" si="5"/>
        <v>422.6348725</v>
      </c>
      <c r="C43" s="21" t="str">
        <f>VLOOKUP(A43, hash!A$2:B$500, 2, 0)</f>
        <v>66e1e108a61e89c7c68f6e31</v>
      </c>
      <c r="D43" s="23">
        <f t="shared" si="1"/>
        <v>1.515466003</v>
      </c>
      <c r="E43" s="14">
        <v>0.0</v>
      </c>
      <c r="F43" s="27">
        <v>1.0</v>
      </c>
      <c r="G43" s="14">
        <v>0.0</v>
      </c>
      <c r="H43" s="27">
        <v>0.0</v>
      </c>
      <c r="I43" s="14">
        <v>0.0</v>
      </c>
      <c r="J43" s="27">
        <v>0.0</v>
      </c>
    </row>
    <row r="44">
      <c r="A44" s="22" t="s">
        <v>31</v>
      </c>
      <c r="B44" s="21">
        <f t="shared" si="5"/>
        <v>422.6348725</v>
      </c>
      <c r="C44" s="21" t="str">
        <f>VLOOKUP(A44, hash!A$2:B$500, 2, 0)</f>
        <v>66e1e13fdb315cbd40043fca</v>
      </c>
      <c r="D44" s="23">
        <f t="shared" si="1"/>
        <v>1.515466003</v>
      </c>
      <c r="E44" s="14">
        <v>0.0</v>
      </c>
      <c r="F44" s="27">
        <v>1.0</v>
      </c>
      <c r="G44" s="14">
        <v>0.0</v>
      </c>
      <c r="H44" s="27">
        <v>0.0</v>
      </c>
      <c r="I44" s="14">
        <v>0.0</v>
      </c>
      <c r="J44" s="27">
        <v>0.0</v>
      </c>
    </row>
    <row r="45">
      <c r="A45" s="22" t="s">
        <v>325</v>
      </c>
      <c r="B45" s="21">
        <f t="shared" si="5"/>
        <v>422.6348725</v>
      </c>
      <c r="C45" s="21" t="str">
        <f>VLOOKUP(A45, hash!A$2:B$500, 2, 0)</f>
        <v>66e1ed9c07067318cc1e18ce</v>
      </c>
      <c r="D45" s="23">
        <f t="shared" si="1"/>
        <v>1.515466003</v>
      </c>
      <c r="E45" s="14">
        <v>0.0</v>
      </c>
      <c r="F45" s="27">
        <v>1.0</v>
      </c>
      <c r="G45" s="14">
        <v>0.0</v>
      </c>
      <c r="H45" s="27">
        <v>0.0</v>
      </c>
      <c r="I45" s="14">
        <v>0.0</v>
      </c>
      <c r="J45" s="27">
        <v>0.0</v>
      </c>
    </row>
    <row r="46">
      <c r="A46" s="22" t="s">
        <v>45</v>
      </c>
      <c r="B46" s="21">
        <f t="shared" si="5"/>
        <v>386.2073683</v>
      </c>
      <c r="C46" s="21" t="str">
        <f>VLOOKUP(A46, hash!A$2:B$500, 2, 0)</f>
        <v>66e1ed8d1129889a3e2c24ab</v>
      </c>
      <c r="D46" s="23">
        <f t="shared" si="1"/>
        <v>1.384845821</v>
      </c>
      <c r="E46" s="14">
        <v>1.0</v>
      </c>
      <c r="F46" s="27">
        <v>0.0</v>
      </c>
      <c r="G46" s="14">
        <v>0.0</v>
      </c>
      <c r="H46" s="27">
        <v>0.0</v>
      </c>
      <c r="I46" s="14">
        <v>0.0</v>
      </c>
      <c r="J46" s="27">
        <v>0.0</v>
      </c>
    </row>
    <row r="47">
      <c r="A47" s="22" t="s">
        <v>305</v>
      </c>
      <c r="B47" s="21">
        <f t="shared" si="5"/>
        <v>386.2073683</v>
      </c>
      <c r="C47" s="21" t="str">
        <f>VLOOKUP(A47, hash!A$2:B$500, 2, 0)</f>
        <v>66e1e141f0db8f5922c91d90</v>
      </c>
      <c r="D47" s="23">
        <f t="shared" si="1"/>
        <v>1.384845821</v>
      </c>
      <c r="E47" s="14">
        <v>1.0</v>
      </c>
      <c r="F47" s="27">
        <v>0.0</v>
      </c>
      <c r="G47" s="14">
        <v>0.0</v>
      </c>
      <c r="H47" s="27">
        <v>0.0</v>
      </c>
      <c r="I47" s="14">
        <v>0.0</v>
      </c>
      <c r="J47" s="27">
        <v>0.0</v>
      </c>
    </row>
    <row r="48">
      <c r="A48" s="22" t="s">
        <v>572</v>
      </c>
      <c r="B48" s="21">
        <f t="shared" si="5"/>
        <v>386.2073683</v>
      </c>
      <c r="C48" s="21" t="str">
        <f>VLOOKUP(A48, hash!A$2:B$500, 2, 0)</f>
        <v>#N/A</v>
      </c>
      <c r="D48" s="23">
        <f t="shared" si="1"/>
        <v>1.384845821</v>
      </c>
      <c r="E48" s="14">
        <v>1.0</v>
      </c>
      <c r="F48" s="27">
        <v>0.0</v>
      </c>
      <c r="G48" s="14">
        <v>0.0</v>
      </c>
      <c r="H48" s="27">
        <v>0.0</v>
      </c>
      <c r="I48" s="14">
        <v>0.0</v>
      </c>
      <c r="J48" s="27">
        <v>0.0</v>
      </c>
    </row>
    <row r="49">
      <c r="A49" s="22" t="s">
        <v>578</v>
      </c>
      <c r="B49" s="21">
        <f t="shared" si="5"/>
        <v>386.2073683</v>
      </c>
      <c r="C49" s="21" t="str">
        <f>VLOOKUP(A49, hash!A$2:B$500, 2, 0)</f>
        <v>#N/A</v>
      </c>
      <c r="D49" s="23">
        <f t="shared" si="1"/>
        <v>1.384845821</v>
      </c>
      <c r="E49" s="14">
        <v>1.0</v>
      </c>
      <c r="F49" s="27">
        <v>0.0</v>
      </c>
      <c r="G49" s="14">
        <v>0.0</v>
      </c>
      <c r="H49" s="27">
        <v>0.0</v>
      </c>
      <c r="I49" s="14">
        <v>0.0</v>
      </c>
      <c r="J49" s="27">
        <v>0.0</v>
      </c>
    </row>
    <row r="50">
      <c r="A50" s="22" t="s">
        <v>56</v>
      </c>
      <c r="B50" s="21">
        <f t="shared" si="5"/>
        <v>386.2073683</v>
      </c>
      <c r="C50" s="21" t="str">
        <f>VLOOKUP(A50, hash!A$2:B$500, 2, 0)</f>
        <v>64515f804c53122bd367c958</v>
      </c>
      <c r="D50" s="23">
        <f t="shared" si="1"/>
        <v>1.384845821</v>
      </c>
      <c r="E50" s="14">
        <v>1.0</v>
      </c>
      <c r="F50" s="27">
        <v>0.0</v>
      </c>
      <c r="G50" s="14">
        <v>0.0</v>
      </c>
      <c r="H50" s="27">
        <v>0.0</v>
      </c>
      <c r="I50" s="14">
        <v>0.0</v>
      </c>
      <c r="J50" s="27">
        <v>0.0</v>
      </c>
    </row>
    <row r="51">
      <c r="A51" s="22" t="s">
        <v>23</v>
      </c>
      <c r="B51" s="21">
        <f t="shared" si="5"/>
        <v>386.2073683</v>
      </c>
      <c r="C51" s="21" t="str">
        <f>VLOOKUP(A51, hash!A$2:B$500, 2, 0)</f>
        <v>65020bfe097ac3c9d063264f</v>
      </c>
      <c r="D51" s="23">
        <f t="shared" si="1"/>
        <v>1.384845821</v>
      </c>
      <c r="E51" s="14">
        <v>1.0</v>
      </c>
      <c r="F51" s="27">
        <v>0.0</v>
      </c>
      <c r="G51" s="14">
        <v>0.0</v>
      </c>
      <c r="H51" s="27">
        <v>0.0</v>
      </c>
      <c r="I51" s="14">
        <v>0.0</v>
      </c>
      <c r="J51" s="27">
        <v>0.0</v>
      </c>
    </row>
    <row r="52">
      <c r="A52" s="22" t="s">
        <v>234</v>
      </c>
      <c r="B52" s="21">
        <f t="shared" si="5"/>
        <v>386.2073683</v>
      </c>
      <c r="C52" s="21" t="str">
        <f>VLOOKUP(A52, hash!A$2:B$500, 2, 0)</f>
        <v>6595bf45b775f9fc5a64da54</v>
      </c>
      <c r="D52" s="23">
        <f t="shared" si="1"/>
        <v>1.384845821</v>
      </c>
      <c r="E52" s="14">
        <v>1.0</v>
      </c>
      <c r="F52" s="27">
        <v>0.0</v>
      </c>
      <c r="G52" s="14">
        <v>0.0</v>
      </c>
      <c r="H52" s="27">
        <v>0.0</v>
      </c>
      <c r="I52" s="14">
        <v>0.0</v>
      </c>
      <c r="J52" s="27">
        <v>0.0</v>
      </c>
    </row>
    <row r="53">
      <c r="A53" s="22" t="s">
        <v>60</v>
      </c>
      <c r="B53" s="21">
        <f t="shared" si="5"/>
        <v>386.2073683</v>
      </c>
      <c r="C53" s="21" t="str">
        <f>VLOOKUP(A53, hash!A$2:B$500, 2, 0)</f>
        <v>66e1e105db315cbd40043fc1</v>
      </c>
      <c r="D53" s="23">
        <f t="shared" si="1"/>
        <v>1.384845821</v>
      </c>
      <c r="E53" s="14">
        <v>1.0</v>
      </c>
      <c r="F53" s="27">
        <v>0.0</v>
      </c>
      <c r="G53" s="14">
        <v>0.0</v>
      </c>
      <c r="H53" s="27">
        <v>0.0</v>
      </c>
      <c r="I53" s="14">
        <v>0.0</v>
      </c>
      <c r="J53" s="27">
        <v>0.0</v>
      </c>
    </row>
    <row r="54">
      <c r="A54" s="22" t="s">
        <v>89</v>
      </c>
      <c r="B54" s="21">
        <f t="shared" si="5"/>
        <v>386.2073683</v>
      </c>
      <c r="C54" s="21" t="str">
        <f>VLOOKUP(A54, hash!A$2:B$500, 2, 0)</f>
        <v>66e1e10cdb315cbd40043fc4</v>
      </c>
      <c r="D54" s="23">
        <f t="shared" si="1"/>
        <v>1.384845821</v>
      </c>
      <c r="E54" s="14">
        <v>1.0</v>
      </c>
      <c r="F54" s="27">
        <v>0.0</v>
      </c>
      <c r="G54" s="14">
        <v>0.0</v>
      </c>
      <c r="H54" s="27">
        <v>0.0</v>
      </c>
      <c r="I54" s="14">
        <v>0.0</v>
      </c>
      <c r="J54" s="27">
        <v>0.0</v>
      </c>
    </row>
    <row r="55">
      <c r="A55" s="22" t="s">
        <v>285</v>
      </c>
      <c r="B55" s="21">
        <f t="shared" si="5"/>
        <v>386.2073683</v>
      </c>
      <c r="C55" s="21" t="str">
        <f>VLOOKUP(A55, hash!A$2:B$500, 2, 0)</f>
        <v>66e1e116f0db8f5922c91d82</v>
      </c>
      <c r="D55" s="23">
        <f t="shared" si="1"/>
        <v>1.384845821</v>
      </c>
      <c r="E55" s="14">
        <v>1.0</v>
      </c>
      <c r="F55" s="27">
        <v>0.0</v>
      </c>
      <c r="G55" s="14">
        <v>0.0</v>
      </c>
      <c r="H55" s="27">
        <v>0.0</v>
      </c>
      <c r="I55" s="14">
        <v>0.0</v>
      </c>
      <c r="J55" s="27">
        <v>0.0</v>
      </c>
    </row>
    <row r="56">
      <c r="A56" s="22" t="s">
        <v>301</v>
      </c>
      <c r="B56" s="21">
        <f t="shared" si="5"/>
        <v>386.2073683</v>
      </c>
      <c r="C56" s="21" t="str">
        <f>VLOOKUP(A56, hash!A$2:B$500, 2, 0)</f>
        <v>66e1e12ee2fbdff8a0c3563a</v>
      </c>
      <c r="D56" s="23">
        <f t="shared" si="1"/>
        <v>1.384845821</v>
      </c>
      <c r="E56" s="14">
        <v>1.0</v>
      </c>
      <c r="F56" s="27">
        <v>0.0</v>
      </c>
      <c r="G56" s="14">
        <v>0.0</v>
      </c>
      <c r="H56" s="27">
        <v>0.0</v>
      </c>
      <c r="I56" s="14">
        <v>0.0</v>
      </c>
      <c r="J56" s="27">
        <v>0.0</v>
      </c>
    </row>
    <row r="57">
      <c r="A57" s="22" t="s">
        <v>64</v>
      </c>
      <c r="B57" s="21">
        <f t="shared" si="5"/>
        <v>386.2073683</v>
      </c>
      <c r="C57" s="21" t="str">
        <f>VLOOKUP(A57, hash!A$2:B$500, 2, 0)</f>
        <v>66e1ed8c1129889a3e2c24aa</v>
      </c>
      <c r="D57" s="23">
        <f t="shared" si="1"/>
        <v>1.384845821</v>
      </c>
      <c r="E57" s="14">
        <v>1.0</v>
      </c>
      <c r="F57" s="27">
        <v>0.0</v>
      </c>
      <c r="G57" s="14">
        <v>0.0</v>
      </c>
      <c r="H57" s="27">
        <v>0.0</v>
      </c>
      <c r="I57" s="14">
        <v>0.0</v>
      </c>
      <c r="J57" s="27">
        <v>0.0</v>
      </c>
    </row>
    <row r="58">
      <c r="A58" s="22" t="s">
        <v>319</v>
      </c>
      <c r="B58" s="21">
        <f t="shared" si="5"/>
        <v>386.2073683</v>
      </c>
      <c r="C58" s="21" t="str">
        <f>VLOOKUP(A58, hash!A$2:B$500, 2, 0)</f>
        <v>66e1ed96e62f650d943808d5</v>
      </c>
      <c r="D58" s="23">
        <f t="shared" si="1"/>
        <v>1.384845821</v>
      </c>
      <c r="E58" s="14">
        <v>1.0</v>
      </c>
      <c r="F58" s="27">
        <v>0.0</v>
      </c>
      <c r="G58" s="14">
        <v>0.0</v>
      </c>
      <c r="H58" s="27">
        <v>0.0</v>
      </c>
      <c r="I58" s="14">
        <v>0.0</v>
      </c>
      <c r="J58" s="27">
        <v>0.0</v>
      </c>
    </row>
    <row r="59">
      <c r="A59" s="22" t="s">
        <v>568</v>
      </c>
      <c r="B59" s="21">
        <f t="shared" si="5"/>
        <v>0</v>
      </c>
      <c r="C59" s="21" t="str">
        <f>VLOOKUP(A59, hash!A$2:B$500, 2, 0)</f>
        <v>#N/A</v>
      </c>
      <c r="D59" s="23">
        <f t="shared" si="1"/>
        <v>0</v>
      </c>
      <c r="F59" s="27"/>
      <c r="H59" s="45"/>
      <c r="J59" s="45"/>
    </row>
    <row r="60">
      <c r="A60" s="22" t="s">
        <v>17</v>
      </c>
      <c r="B60" s="21">
        <f t="shared" si="5"/>
        <v>0</v>
      </c>
      <c r="C60" s="21" t="str">
        <f>VLOOKUP(A60, hash!A$2:B$500, 2, 0)</f>
        <v>65020bfc097ac3c9d063264d</v>
      </c>
      <c r="D60" s="23">
        <f t="shared" si="1"/>
        <v>0</v>
      </c>
      <c r="F60" s="27"/>
      <c r="H60" s="45"/>
      <c r="J60" s="45"/>
    </row>
    <row r="61">
      <c r="A61" s="22" t="s">
        <v>435</v>
      </c>
      <c r="B61" s="21">
        <f t="shared" si="5"/>
        <v>0</v>
      </c>
      <c r="C61" s="21" t="str">
        <f>VLOOKUP(A61, hash!A$2:B$500, 2, 0)</f>
        <v>63222a4c5bded5e4ff37ac1f</v>
      </c>
      <c r="D61" s="23">
        <f t="shared" si="1"/>
        <v>0</v>
      </c>
      <c r="F61" s="27"/>
      <c r="H61" s="27"/>
      <c r="J61" s="27"/>
    </row>
    <row r="62">
      <c r="A62" s="22" t="s">
        <v>61</v>
      </c>
      <c r="B62" s="21">
        <f t="shared" si="5"/>
        <v>0</v>
      </c>
      <c r="C62" s="21" t="str">
        <f>VLOOKUP(A62, hash!A$2:B$500, 2, 0)</f>
        <v>65020c0f8f2b101294bb3dae</v>
      </c>
      <c r="D62" s="23">
        <f t="shared" si="1"/>
        <v>0</v>
      </c>
      <c r="F62" s="27"/>
      <c r="H62" s="27"/>
      <c r="J62" s="27"/>
    </row>
    <row r="63">
      <c r="A63" s="22" t="s">
        <v>441</v>
      </c>
      <c r="B63" s="21">
        <f t="shared" si="5"/>
        <v>0</v>
      </c>
      <c r="C63" s="21" t="str">
        <f>VLOOKUP(A63, hash!A$2:B$500, 2, 0)</f>
        <v>632220596d021b5cf508ccd5</v>
      </c>
      <c r="D63" s="23">
        <f t="shared" si="1"/>
        <v>0</v>
      </c>
      <c r="F63" s="27"/>
      <c r="H63" s="27"/>
      <c r="J63" s="27"/>
    </row>
    <row r="64">
      <c r="A64" s="22" t="s">
        <v>442</v>
      </c>
      <c r="B64" s="21">
        <f t="shared" si="5"/>
        <v>0</v>
      </c>
      <c r="C64" s="21" t="str">
        <f>VLOOKUP(A64, hash!A$2:B$500, 2, 0)</f>
        <v>632220710aa8ba2dbc57c0ac</v>
      </c>
      <c r="D64" s="23">
        <f t="shared" si="1"/>
        <v>0</v>
      </c>
      <c r="F64" s="27"/>
      <c r="H64" s="27"/>
      <c r="J64" s="27"/>
    </row>
    <row r="65">
      <c r="A65" s="22" t="s">
        <v>570</v>
      </c>
      <c r="B65" s="21">
        <f t="shared" si="5"/>
        <v>0</v>
      </c>
      <c r="C65" s="21" t="str">
        <f>VLOOKUP(A65, hash!A$2:B$500, 2, 0)</f>
        <v>#N/A</v>
      </c>
      <c r="D65" s="23">
        <f t="shared" si="1"/>
        <v>0</v>
      </c>
      <c r="F65" s="45"/>
      <c r="H65" s="45"/>
      <c r="J65" s="45"/>
    </row>
    <row r="66">
      <c r="A66" s="22" t="s">
        <v>42</v>
      </c>
      <c r="B66" s="21">
        <f t="shared" si="5"/>
        <v>0</v>
      </c>
      <c r="C66" s="21" t="str">
        <f>VLOOKUP(A66, hash!A$2:B$500, 2, 0)</f>
        <v>66e1e102a61e89c7c68f6e2f</v>
      </c>
      <c r="D66" s="23">
        <f t="shared" si="1"/>
        <v>0</v>
      </c>
      <c r="F66" s="45"/>
      <c r="H66" s="45"/>
      <c r="J66" s="45"/>
    </row>
    <row r="67">
      <c r="A67" s="22" t="s">
        <v>99</v>
      </c>
      <c r="B67" s="21">
        <f t="shared" si="5"/>
        <v>0</v>
      </c>
      <c r="C67" s="21" t="str">
        <f>VLOOKUP(A67, hash!A$2:B$500, 2, 0)</f>
        <v>66e1e1107315471e09f2b5b1</v>
      </c>
      <c r="D67" s="23">
        <f t="shared" si="1"/>
        <v>0</v>
      </c>
      <c r="F67" s="27"/>
      <c r="H67" s="27"/>
      <c r="J67" s="27"/>
    </row>
    <row r="68">
      <c r="A68" s="22" t="s">
        <v>293</v>
      </c>
      <c r="B68" s="21">
        <f t="shared" si="5"/>
        <v>0</v>
      </c>
      <c r="C68" s="21" t="str">
        <f>VLOOKUP(A68, hash!A$2:B$500, 2, 0)</f>
        <v>66e1e125e2fbdff8a0c35635</v>
      </c>
      <c r="D68" s="23">
        <f t="shared" si="1"/>
        <v>0</v>
      </c>
      <c r="F68" s="27"/>
      <c r="H68" s="27"/>
      <c r="J68" s="27"/>
    </row>
    <row r="69">
      <c r="A69" s="22" t="s">
        <v>303</v>
      </c>
      <c r="B69" s="21">
        <f t="shared" si="5"/>
        <v>0</v>
      </c>
      <c r="C69" s="21" t="str">
        <f>VLOOKUP(A69, hash!A$2:B$500, 2, 0)</f>
        <v>66e1e137db315cbd40043fc5</v>
      </c>
      <c r="D69" s="23">
        <f t="shared" si="1"/>
        <v>0</v>
      </c>
      <c r="E69" s="14">
        <v>0.0</v>
      </c>
      <c r="F69" s="27">
        <v>0.0</v>
      </c>
      <c r="G69" s="14">
        <v>0.0</v>
      </c>
      <c r="H69" s="27">
        <v>0.0</v>
      </c>
      <c r="I69" s="14">
        <v>0.0</v>
      </c>
      <c r="J69" s="27">
        <v>0.0</v>
      </c>
    </row>
    <row r="70">
      <c r="A70" s="22" t="s">
        <v>306</v>
      </c>
      <c r="B70" s="21">
        <f t="shared" si="5"/>
        <v>0</v>
      </c>
      <c r="C70" s="21" t="str">
        <f>VLOOKUP(A70, hash!A$2:B$500, 2, 0)</f>
        <v>66e1e143db315cbd40043fcb</v>
      </c>
      <c r="D70" s="23">
        <f t="shared" si="1"/>
        <v>0</v>
      </c>
      <c r="F70" s="27"/>
      <c r="H70" s="27"/>
      <c r="J70" s="27"/>
    </row>
    <row r="71">
      <c r="A71" s="22" t="s">
        <v>312</v>
      </c>
      <c r="B71" s="21">
        <f t="shared" si="5"/>
        <v>0</v>
      </c>
      <c r="C71" s="21" t="str">
        <f>VLOOKUP(A71, hash!A$2:B$500, 2, 0)</f>
        <v>66e1ed841129889a3e2c24a8</v>
      </c>
      <c r="D71" s="23">
        <f t="shared" si="1"/>
        <v>0</v>
      </c>
      <c r="E71" s="14">
        <v>0.0</v>
      </c>
      <c r="F71" s="27">
        <v>0.0</v>
      </c>
      <c r="G71" s="14">
        <v>0.0</v>
      </c>
      <c r="H71" s="27">
        <v>0.0</v>
      </c>
      <c r="I71" s="14">
        <v>0.0</v>
      </c>
      <c r="J71" s="27">
        <v>0.0</v>
      </c>
    </row>
    <row r="72">
      <c r="A72" s="22" t="s">
        <v>346</v>
      </c>
      <c r="B72" s="21">
        <f t="shared" si="5"/>
        <v>0</v>
      </c>
      <c r="C72" s="21" t="str">
        <f>VLOOKUP(A72, hash!A$2:B$500, 2, 0)</f>
        <v>66eb1c19a526292217381272</v>
      </c>
      <c r="D72" s="23">
        <f t="shared" si="1"/>
        <v>0</v>
      </c>
      <c r="F72" s="27"/>
      <c r="H72" s="27"/>
      <c r="J72" s="27"/>
    </row>
    <row r="73">
      <c r="A73" s="22" t="s">
        <v>140</v>
      </c>
      <c r="B73" s="21">
        <f t="shared" si="5"/>
        <v>0</v>
      </c>
      <c r="C73" s="21" t="str">
        <f>VLOOKUP(A73, hash!A$2:B$500, 2, 0)</f>
        <v>6502001596a576d9fa03f98e</v>
      </c>
      <c r="D73" s="23">
        <f t="shared" si="1"/>
        <v>0</v>
      </c>
      <c r="F73" s="27"/>
      <c r="H73" s="27"/>
      <c r="J73" s="27"/>
    </row>
    <row r="74">
      <c r="A74" s="22" t="s">
        <v>437</v>
      </c>
      <c r="B74" s="21">
        <f t="shared" si="5"/>
        <v>0</v>
      </c>
      <c r="C74" s="21" t="str">
        <f>VLOOKUP(A74, hash!A$2:B$500, 2, 0)</f>
        <v>63221ff90aa8ba2dbc57c0a2</v>
      </c>
      <c r="D74" s="23">
        <f t="shared" si="1"/>
        <v>0</v>
      </c>
      <c r="F74" s="27"/>
      <c r="H74" s="27"/>
      <c r="J74" s="45"/>
    </row>
    <row r="75">
      <c r="A75" s="22" t="s">
        <v>438</v>
      </c>
      <c r="B75" s="21">
        <f t="shared" si="5"/>
        <v>0</v>
      </c>
      <c r="C75" s="21" t="str">
        <f>VLOOKUP(A75, hash!A$2:B$500, 2, 0)</f>
        <v>6322202f81b57daeeb478dd1</v>
      </c>
      <c r="D75" s="23">
        <f t="shared" si="1"/>
        <v>0</v>
      </c>
      <c r="F75" s="27"/>
      <c r="H75" s="27"/>
      <c r="J75" s="27"/>
    </row>
    <row r="76">
      <c r="A76" s="22" t="s">
        <v>439</v>
      </c>
      <c r="B76" s="21">
        <f t="shared" si="5"/>
        <v>0</v>
      </c>
      <c r="C76" s="21" t="str">
        <f>VLOOKUP(A76, hash!A$2:B$500, 2, 0)</f>
        <v>632220300aa8ba2dbc57c0a7</v>
      </c>
      <c r="D76" s="23">
        <f t="shared" si="1"/>
        <v>0</v>
      </c>
      <c r="F76" s="45"/>
      <c r="H76" s="45"/>
      <c r="J76" s="45"/>
    </row>
    <row r="77">
      <c r="A77" s="22" t="s">
        <v>440</v>
      </c>
      <c r="B77" s="21">
        <f t="shared" si="5"/>
        <v>0</v>
      </c>
      <c r="C77" s="21" t="str">
        <f>VLOOKUP(A77, hash!A$2:B$500, 2, 0)</f>
        <v>632220580aa8ba2dbc57c0a9</v>
      </c>
      <c r="D77" s="23">
        <f t="shared" si="1"/>
        <v>0</v>
      </c>
      <c r="F77" s="45"/>
      <c r="H77" s="45"/>
      <c r="J77" s="45"/>
    </row>
    <row r="78">
      <c r="A78" s="22" t="s">
        <v>574</v>
      </c>
      <c r="B78" s="21">
        <f t="shared" si="5"/>
        <v>0</v>
      </c>
      <c r="C78" s="21" t="str">
        <f>VLOOKUP(A78, hash!A$2:B$500, 2, 0)</f>
        <v>#N/A</v>
      </c>
      <c r="D78" s="23">
        <f t="shared" si="1"/>
        <v>0</v>
      </c>
      <c r="F78" s="45"/>
      <c r="H78" s="45"/>
      <c r="J78" s="45"/>
    </row>
    <row r="79">
      <c r="A79" s="22" t="s">
        <v>575</v>
      </c>
      <c r="B79" s="21">
        <f t="shared" si="5"/>
        <v>0</v>
      </c>
      <c r="C79" s="21" t="str">
        <f>VLOOKUP(A79, hash!A$2:B$500, 2, 0)</f>
        <v>#N/A</v>
      </c>
      <c r="D79" s="23">
        <f t="shared" si="1"/>
        <v>0</v>
      </c>
      <c r="F79" s="45"/>
      <c r="H79" s="45"/>
      <c r="J79" s="45"/>
    </row>
    <row r="80">
      <c r="A80" s="22" t="s">
        <v>576</v>
      </c>
      <c r="B80" s="21">
        <f t="shared" si="5"/>
        <v>0</v>
      </c>
      <c r="C80" s="21" t="str">
        <f>VLOOKUP(A80, hash!A$2:B$500, 2, 0)</f>
        <v>#N/A</v>
      </c>
      <c r="D80" s="23">
        <f t="shared" si="1"/>
        <v>0</v>
      </c>
      <c r="F80" s="45"/>
      <c r="H80" s="45"/>
      <c r="J80" s="45"/>
    </row>
    <row r="81">
      <c r="A81" s="22" t="s">
        <v>577</v>
      </c>
      <c r="B81" s="21">
        <f t="shared" si="5"/>
        <v>0</v>
      </c>
      <c r="C81" s="21" t="str">
        <f>VLOOKUP(A81, hash!A$2:B$500, 2, 0)</f>
        <v>#N/A</v>
      </c>
      <c r="D81" s="23">
        <f t="shared" si="1"/>
        <v>0</v>
      </c>
      <c r="F81" s="45"/>
      <c r="H81" s="45"/>
      <c r="J81" s="45"/>
    </row>
    <row r="82">
      <c r="A82" s="22" t="s">
        <v>443</v>
      </c>
      <c r="B82" s="21">
        <f t="shared" si="5"/>
        <v>0</v>
      </c>
      <c r="C82" s="21" t="str">
        <f>VLOOKUP(A82, hash!A$2:B$500, 2, 0)</f>
        <v>6322211bf382c17890e6a3dd</v>
      </c>
      <c r="D82" s="23">
        <f t="shared" si="1"/>
        <v>0</v>
      </c>
      <c r="F82" s="45"/>
      <c r="H82" s="45"/>
      <c r="J82" s="45"/>
    </row>
    <row r="83">
      <c r="A83" s="22" t="s">
        <v>444</v>
      </c>
      <c r="B83" s="21">
        <f t="shared" si="5"/>
        <v>0</v>
      </c>
      <c r="C83" s="21" t="str">
        <f>VLOOKUP(A83, hash!A$2:B$500, 2, 0)</f>
        <v>63222123f382c17890e6a3de</v>
      </c>
      <c r="D83" s="23">
        <f t="shared" si="1"/>
        <v>0</v>
      </c>
      <c r="F83" s="45"/>
      <c r="H83" s="45"/>
      <c r="J83" s="45"/>
    </row>
    <row r="84">
      <c r="A84" s="22" t="s">
        <v>445</v>
      </c>
      <c r="B84" s="21">
        <f t="shared" si="5"/>
        <v>0</v>
      </c>
      <c r="C84" s="21" t="str">
        <f>VLOOKUP(A84, hash!A$2:B$500, 2, 0)</f>
        <v>632222c3f382c17890e6a3e0</v>
      </c>
      <c r="D84" s="23">
        <f t="shared" si="1"/>
        <v>0</v>
      </c>
      <c r="F84" s="45"/>
      <c r="H84" s="45"/>
      <c r="J84" s="45"/>
    </row>
    <row r="85">
      <c r="A85" s="22" t="s">
        <v>446</v>
      </c>
      <c r="B85" s="21">
        <f t="shared" si="5"/>
        <v>0</v>
      </c>
      <c r="C85" s="21" t="str">
        <f>VLOOKUP(A85, hash!A$2:B$500, 2, 0)</f>
        <v>63222372f382c17890e6a3e2</v>
      </c>
      <c r="D85" s="23">
        <f t="shared" si="1"/>
        <v>0</v>
      </c>
      <c r="F85" s="45"/>
      <c r="H85" s="45"/>
      <c r="J85" s="45"/>
    </row>
    <row r="86">
      <c r="A86" s="22" t="s">
        <v>447</v>
      </c>
      <c r="B86" s="21">
        <f t="shared" si="5"/>
        <v>0</v>
      </c>
      <c r="C86" s="21" t="str">
        <f>VLOOKUP(A86, hash!A$2:B$500, 2, 0)</f>
        <v>632223746d021b5cf508ccde</v>
      </c>
      <c r="D86" s="23">
        <f t="shared" si="1"/>
        <v>0</v>
      </c>
      <c r="F86" s="45"/>
      <c r="H86" s="45"/>
      <c r="J86" s="45"/>
    </row>
    <row r="87">
      <c r="A87" s="22" t="s">
        <v>448</v>
      </c>
      <c r="B87" s="21">
        <f t="shared" si="5"/>
        <v>0</v>
      </c>
      <c r="C87" s="21" t="str">
        <f>VLOOKUP(A87, hash!A$2:B$500, 2, 0)</f>
        <v>6322239b6d021b5cf508cce5</v>
      </c>
      <c r="D87" s="23">
        <f t="shared" si="1"/>
        <v>0</v>
      </c>
      <c r="F87" s="45"/>
      <c r="H87" s="45"/>
      <c r="J87" s="45"/>
    </row>
    <row r="88">
      <c r="A88" s="22" t="s">
        <v>449</v>
      </c>
      <c r="B88" s="21">
        <f t="shared" si="5"/>
        <v>0</v>
      </c>
      <c r="C88" s="21" t="str">
        <f>VLOOKUP(A88, hash!A$2:B$500, 2, 0)</f>
        <v>632223a1d53b2d7ef1d3746d</v>
      </c>
      <c r="D88" s="23">
        <f t="shared" si="1"/>
        <v>0</v>
      </c>
      <c r="F88" s="45"/>
      <c r="H88" s="45"/>
      <c r="J88" s="45"/>
    </row>
    <row r="89">
      <c r="A89" s="22" t="s">
        <v>450</v>
      </c>
      <c r="B89" s="21">
        <f t="shared" si="5"/>
        <v>0</v>
      </c>
      <c r="C89" s="21" t="str">
        <f>VLOOKUP(A89, hash!A$2:B$500, 2, 0)</f>
        <v>632223bdd53b2d7ef1d3746e</v>
      </c>
      <c r="D89" s="23">
        <f t="shared" si="1"/>
        <v>0</v>
      </c>
      <c r="F89" s="45"/>
      <c r="H89" s="45"/>
      <c r="J89" s="45"/>
    </row>
    <row r="90">
      <c r="A90" s="22" t="s">
        <v>451</v>
      </c>
      <c r="B90" s="21">
        <f t="shared" si="5"/>
        <v>0</v>
      </c>
      <c r="C90" s="21" t="str">
        <f>VLOOKUP(A90, hash!A$2:B$500, 2, 0)</f>
        <v>632223e585532e9bb23b7f01</v>
      </c>
      <c r="D90" s="23">
        <f t="shared" si="1"/>
        <v>0</v>
      </c>
      <c r="F90" s="45"/>
      <c r="H90" s="45"/>
      <c r="J90" s="45"/>
    </row>
    <row r="91">
      <c r="A91" s="22" t="s">
        <v>452</v>
      </c>
      <c r="B91" s="21">
        <f t="shared" si="5"/>
        <v>0</v>
      </c>
      <c r="C91" s="21" t="str">
        <f>VLOOKUP(A91, hash!A$2:B$500, 2, 0)</f>
        <v>632226f3d53b2d7ef1d37472</v>
      </c>
      <c r="D91" s="23">
        <f t="shared" si="1"/>
        <v>0</v>
      </c>
      <c r="F91" s="45"/>
      <c r="H91" s="45"/>
      <c r="J91" s="45"/>
    </row>
    <row r="92">
      <c r="A92" s="22" t="s">
        <v>453</v>
      </c>
      <c r="B92" s="21">
        <f t="shared" si="5"/>
        <v>0</v>
      </c>
      <c r="C92" s="21" t="str">
        <f>VLOOKUP(A92, hash!A$2:B$500, 2, 0)</f>
        <v>63222960d53b2d7ef1d37476</v>
      </c>
      <c r="D92" s="23">
        <f t="shared" si="1"/>
        <v>0</v>
      </c>
      <c r="F92" s="45"/>
      <c r="H92" s="45"/>
      <c r="J92" s="45"/>
    </row>
    <row r="93">
      <c r="A93" s="22" t="s">
        <v>454</v>
      </c>
      <c r="B93" s="21">
        <f t="shared" si="5"/>
        <v>0</v>
      </c>
      <c r="C93" s="21" t="str">
        <f>VLOOKUP(A93, hash!A$2:B$500, 2, 0)</f>
        <v>632229c19832ea0dea0e2dcf</v>
      </c>
      <c r="D93" s="23">
        <f t="shared" si="1"/>
        <v>0</v>
      </c>
      <c r="F93" s="45"/>
      <c r="H93" s="45"/>
      <c r="J93" s="45"/>
    </row>
    <row r="94">
      <c r="A94" s="22" t="s">
        <v>455</v>
      </c>
      <c r="B94" s="21">
        <f t="shared" si="5"/>
        <v>0</v>
      </c>
      <c r="C94" s="21" t="str">
        <f>VLOOKUP(A94, hash!A$2:B$500, 2, 0)</f>
        <v>63222a025bded5e4ff37ac1e</v>
      </c>
      <c r="D94" s="23">
        <f t="shared" si="1"/>
        <v>0</v>
      </c>
      <c r="F94" s="45"/>
      <c r="H94" s="45"/>
      <c r="J94" s="45"/>
    </row>
    <row r="95">
      <c r="A95" s="22" t="s">
        <v>579</v>
      </c>
      <c r="B95" s="21">
        <f t="shared" si="5"/>
        <v>0</v>
      </c>
      <c r="C95" s="21" t="str">
        <f>VLOOKUP(A95, hash!A$2:B$500, 2, 0)</f>
        <v>#N/A</v>
      </c>
      <c r="D95" s="23">
        <f t="shared" si="1"/>
        <v>0</v>
      </c>
      <c r="F95" s="45"/>
      <c r="H95" s="45"/>
      <c r="J95" s="45"/>
    </row>
    <row r="96">
      <c r="A96" s="22" t="s">
        <v>580</v>
      </c>
      <c r="B96" s="21">
        <f t="shared" si="5"/>
        <v>0</v>
      </c>
      <c r="C96" s="21" t="str">
        <f>VLOOKUP(A96, hash!A$2:B$500, 2, 0)</f>
        <v>#N/A</v>
      </c>
      <c r="D96" s="23">
        <f t="shared" si="1"/>
        <v>0</v>
      </c>
      <c r="F96" s="45"/>
      <c r="H96" s="45"/>
      <c r="J96" s="45"/>
    </row>
    <row r="97">
      <c r="A97" s="22" t="s">
        <v>581</v>
      </c>
      <c r="B97" s="21">
        <f t="shared" si="5"/>
        <v>0</v>
      </c>
      <c r="C97" s="21" t="str">
        <f>VLOOKUP(A97, hash!A$2:B$500, 2, 0)</f>
        <v>#N/A</v>
      </c>
      <c r="D97" s="23">
        <f t="shared" si="1"/>
        <v>0</v>
      </c>
      <c r="E97" s="14">
        <v>0.0</v>
      </c>
      <c r="F97" s="27">
        <v>0.0</v>
      </c>
      <c r="G97" s="14">
        <v>0.0</v>
      </c>
      <c r="H97" s="27">
        <v>0.0</v>
      </c>
      <c r="I97" s="14">
        <v>0.0</v>
      </c>
      <c r="J97" s="27">
        <v>0.0</v>
      </c>
    </row>
    <row r="98">
      <c r="A98" s="22" t="s">
        <v>456</v>
      </c>
      <c r="B98" s="21">
        <f t="shared" si="5"/>
        <v>0</v>
      </c>
      <c r="C98" s="21" t="str">
        <f>VLOOKUP(A98, hash!A$2:B$500, 2, 0)</f>
        <v>63222a9ced58d92b843f7cb0</v>
      </c>
      <c r="D98" s="23">
        <f t="shared" si="1"/>
        <v>0</v>
      </c>
      <c r="F98" s="45"/>
      <c r="H98" s="45"/>
      <c r="J98" s="45"/>
    </row>
    <row r="99">
      <c r="A99" s="22" t="s">
        <v>457</v>
      </c>
      <c r="B99" s="21">
        <f t="shared" si="5"/>
        <v>0</v>
      </c>
      <c r="C99" s="21" t="str">
        <f>VLOOKUP(A99, hash!A$2:B$500, 2, 0)</f>
        <v>63222ae4562da848b695b87f</v>
      </c>
      <c r="D99" s="23">
        <f t="shared" si="1"/>
        <v>0</v>
      </c>
      <c r="F99" s="45"/>
      <c r="H99" s="45"/>
      <c r="J99" s="45"/>
    </row>
    <row r="100">
      <c r="A100" s="22" t="s">
        <v>582</v>
      </c>
      <c r="B100" s="21">
        <f t="shared" si="5"/>
        <v>0</v>
      </c>
      <c r="C100" s="21" t="str">
        <f>VLOOKUP(A100, hash!A$2:B$500, 2, 0)</f>
        <v>#N/A</v>
      </c>
      <c r="D100" s="23">
        <f t="shared" si="1"/>
        <v>0</v>
      </c>
      <c r="F100" s="27"/>
      <c r="H100" s="27"/>
      <c r="J100" s="27"/>
    </row>
    <row r="101">
      <c r="A101" s="22" t="s">
        <v>583</v>
      </c>
      <c r="B101" s="21">
        <f t="shared" si="5"/>
        <v>0</v>
      </c>
      <c r="C101" s="21" t="str">
        <f>VLOOKUP(A101, hash!A$2:B$500, 2, 0)</f>
        <v>#N/A</v>
      </c>
      <c r="D101" s="23">
        <f t="shared" si="1"/>
        <v>0</v>
      </c>
      <c r="F101" s="45"/>
      <c r="H101" s="45"/>
      <c r="J101" s="45"/>
    </row>
    <row r="102">
      <c r="A102" s="22" t="s">
        <v>584</v>
      </c>
      <c r="B102" s="21">
        <f t="shared" si="5"/>
        <v>0</v>
      </c>
      <c r="C102" s="21" t="str">
        <f>VLOOKUP(A102, hash!A$2:B$500, 2, 0)</f>
        <v>#N/A</v>
      </c>
      <c r="D102" s="23">
        <f t="shared" si="1"/>
        <v>0</v>
      </c>
      <c r="F102" s="45"/>
      <c r="H102" s="45"/>
      <c r="J102" s="45"/>
    </row>
    <row r="103">
      <c r="A103" s="22" t="s">
        <v>458</v>
      </c>
      <c r="B103" s="21">
        <f t="shared" si="5"/>
        <v>0</v>
      </c>
      <c r="C103" s="21" t="str">
        <f>VLOOKUP(A103, hash!A$2:B$500, 2, 0)</f>
        <v>63222d94ed58d92b843f7cc0</v>
      </c>
      <c r="D103" s="23">
        <f t="shared" si="1"/>
        <v>0</v>
      </c>
      <c r="F103" s="45"/>
      <c r="H103" s="45"/>
      <c r="J103" s="45"/>
    </row>
    <row r="104">
      <c r="A104" s="22" t="s">
        <v>459</v>
      </c>
      <c r="B104" s="21">
        <f t="shared" si="5"/>
        <v>0</v>
      </c>
      <c r="C104" s="21" t="str">
        <f>VLOOKUP(A104, hash!A$2:B$500, 2, 0)</f>
        <v>63222da4562da848b695b882</v>
      </c>
      <c r="D104" s="23">
        <f t="shared" si="1"/>
        <v>0</v>
      </c>
      <c r="F104" s="45"/>
      <c r="H104" s="45"/>
      <c r="J104" s="45"/>
    </row>
    <row r="105">
      <c r="A105" s="22" t="s">
        <v>585</v>
      </c>
      <c r="B105" s="21">
        <f t="shared" si="5"/>
        <v>0</v>
      </c>
      <c r="C105" s="21" t="str">
        <f>VLOOKUP(A105, hash!A$2:B$500, 2, 0)</f>
        <v>#N/A</v>
      </c>
      <c r="D105" s="23">
        <f t="shared" si="1"/>
        <v>0</v>
      </c>
      <c r="F105" s="45"/>
      <c r="H105" s="45"/>
      <c r="J105" s="45"/>
    </row>
    <row r="106">
      <c r="A106" s="22" t="s">
        <v>460</v>
      </c>
      <c r="B106" s="21">
        <f t="shared" si="5"/>
        <v>0</v>
      </c>
      <c r="C106" s="21" t="str">
        <f>VLOOKUP(A106, hash!A$2:B$500, 2, 0)</f>
        <v>63222dc6a729a8363c093b6b</v>
      </c>
      <c r="D106" s="23">
        <f t="shared" si="1"/>
        <v>0</v>
      </c>
      <c r="F106" s="45"/>
      <c r="H106" s="45"/>
      <c r="J106" s="45"/>
    </row>
    <row r="107">
      <c r="A107" s="22" t="s">
        <v>436</v>
      </c>
      <c r="B107" s="21">
        <f t="shared" si="5"/>
        <v>0</v>
      </c>
      <c r="C107" s="21" t="str">
        <f>VLOOKUP(A107, hash!A$2:B$500, 2, 0)</f>
        <v>63222dd4a729a8363c093b6d</v>
      </c>
      <c r="D107" s="23">
        <f t="shared" si="1"/>
        <v>0</v>
      </c>
      <c r="F107" s="45"/>
      <c r="H107" s="27"/>
      <c r="J107" s="27"/>
    </row>
    <row r="108">
      <c r="A108" s="22" t="s">
        <v>461</v>
      </c>
      <c r="B108" s="21">
        <f t="shared" si="5"/>
        <v>0</v>
      </c>
      <c r="C108" s="21" t="str">
        <f>VLOOKUP(A108, hash!A$2:B$500, 2, 0)</f>
        <v>63222dd7a729a8363c093b6e</v>
      </c>
      <c r="D108" s="23">
        <f t="shared" si="1"/>
        <v>0</v>
      </c>
      <c r="F108" s="45"/>
      <c r="H108" s="45"/>
      <c r="J108" s="45"/>
    </row>
    <row r="109">
      <c r="A109" s="22" t="s">
        <v>462</v>
      </c>
      <c r="B109" s="21">
        <f t="shared" si="5"/>
        <v>0</v>
      </c>
      <c r="C109" s="21" t="str">
        <f>VLOOKUP(A109, hash!A$2:B$500, 2, 0)</f>
        <v>63222deca729a8363c093b71</v>
      </c>
      <c r="D109" s="23">
        <f t="shared" si="1"/>
        <v>0</v>
      </c>
      <c r="F109" s="45"/>
      <c r="H109" s="45"/>
      <c r="J109" s="45"/>
    </row>
    <row r="110">
      <c r="A110" s="22" t="s">
        <v>463</v>
      </c>
      <c r="B110" s="21">
        <f t="shared" si="5"/>
        <v>0</v>
      </c>
      <c r="C110" s="21" t="str">
        <f>VLOOKUP(A110, hash!A$2:B$500, 2, 0)</f>
        <v>63222e10ed58d92b843f7cca</v>
      </c>
      <c r="D110" s="23">
        <f t="shared" si="1"/>
        <v>0</v>
      </c>
      <c r="F110" s="45"/>
      <c r="H110" s="45"/>
      <c r="J110" s="45"/>
    </row>
    <row r="111">
      <c r="A111" s="22" t="s">
        <v>464</v>
      </c>
      <c r="B111" s="21">
        <f t="shared" si="5"/>
        <v>0</v>
      </c>
      <c r="C111" s="21" t="str">
        <f>VLOOKUP(A111, hash!A$2:B$500, 2, 0)</f>
        <v>63222e35ed58d92b843f7ccd</v>
      </c>
      <c r="D111" s="23">
        <f t="shared" si="1"/>
        <v>0</v>
      </c>
      <c r="F111" s="45"/>
      <c r="H111" s="45"/>
      <c r="J111" s="45"/>
    </row>
    <row r="112">
      <c r="A112" s="22" t="s">
        <v>465</v>
      </c>
      <c r="B112" s="21">
        <f t="shared" si="5"/>
        <v>0</v>
      </c>
      <c r="C112" s="21" t="str">
        <f>VLOOKUP(A112, hash!A$2:B$500, 2, 0)</f>
        <v>63222e3a116f680d68804fa8</v>
      </c>
      <c r="D112" s="23">
        <f t="shared" si="1"/>
        <v>0</v>
      </c>
      <c r="F112" s="45"/>
      <c r="H112" s="45"/>
      <c r="J112" s="45"/>
    </row>
    <row r="113">
      <c r="A113" s="22" t="s">
        <v>466</v>
      </c>
      <c r="B113" s="21">
        <f t="shared" si="5"/>
        <v>0</v>
      </c>
      <c r="C113" s="21" t="str">
        <f>VLOOKUP(A113, hash!A$2:B$500, 2, 0)</f>
        <v>63222fa8562da848b695b887</v>
      </c>
      <c r="D113" s="23">
        <f t="shared" si="1"/>
        <v>0</v>
      </c>
      <c r="F113" s="45"/>
      <c r="H113" s="45"/>
      <c r="J113" s="45"/>
    </row>
    <row r="114">
      <c r="A114" s="22" t="s">
        <v>586</v>
      </c>
      <c r="B114" s="21">
        <f t="shared" si="5"/>
        <v>0</v>
      </c>
      <c r="C114" s="21" t="str">
        <f>VLOOKUP(A114, hash!A$2:B$500, 2, 0)</f>
        <v>#N/A</v>
      </c>
      <c r="D114" s="23">
        <f t="shared" si="1"/>
        <v>0</v>
      </c>
      <c r="F114" s="45"/>
      <c r="H114" s="45"/>
      <c r="J114" s="45"/>
    </row>
    <row r="115">
      <c r="A115" s="22" t="s">
        <v>467</v>
      </c>
      <c r="B115" s="21">
        <f t="shared" si="5"/>
        <v>0</v>
      </c>
      <c r="C115" s="21" t="str">
        <f>VLOOKUP(A115, hash!A$2:B$500, 2, 0)</f>
        <v>6329051b0c14e4fbd2ecace8</v>
      </c>
      <c r="D115" s="23">
        <f t="shared" si="1"/>
        <v>0</v>
      </c>
      <c r="F115" s="45"/>
      <c r="H115" s="45"/>
      <c r="J115" s="45"/>
    </row>
    <row r="116">
      <c r="A116" s="22" t="s">
        <v>468</v>
      </c>
      <c r="B116" s="21">
        <f t="shared" si="5"/>
        <v>0</v>
      </c>
      <c r="C116" s="21" t="str">
        <f>VLOOKUP(A116, hash!A$2:B$500, 2, 0)</f>
        <v>632b580f43e430c49f17d5dc</v>
      </c>
      <c r="D116" s="23">
        <f t="shared" si="1"/>
        <v>0</v>
      </c>
      <c r="F116" s="45"/>
      <c r="H116" s="45"/>
      <c r="J116" s="45"/>
    </row>
    <row r="117">
      <c r="A117" s="22" t="s">
        <v>469</v>
      </c>
      <c r="B117" s="21">
        <f t="shared" si="5"/>
        <v>0</v>
      </c>
      <c r="C117" s="21" t="str">
        <f>VLOOKUP(A117, hash!A$2:B$500, 2, 0)</f>
        <v>632b58290801926c6f0d9a37</v>
      </c>
      <c r="D117" s="23">
        <f t="shared" si="1"/>
        <v>0</v>
      </c>
      <c r="F117" s="45"/>
      <c r="H117" s="45"/>
      <c r="J117" s="45"/>
    </row>
    <row r="118">
      <c r="A118" s="22" t="s">
        <v>470</v>
      </c>
      <c r="B118" s="21">
        <f t="shared" si="5"/>
        <v>0</v>
      </c>
      <c r="C118" s="21" t="str">
        <f>VLOOKUP(A118, hash!A$2:B$500, 2, 0)</f>
        <v>632b5867c396d0088321be3a</v>
      </c>
      <c r="D118" s="23">
        <f t="shared" si="1"/>
        <v>0</v>
      </c>
      <c r="F118" s="45"/>
      <c r="H118" s="45"/>
      <c r="J118" s="45"/>
    </row>
    <row r="119">
      <c r="A119" s="22" t="s">
        <v>587</v>
      </c>
      <c r="B119" s="21">
        <f t="shared" si="5"/>
        <v>0</v>
      </c>
      <c r="C119" s="21" t="str">
        <f>VLOOKUP(A119, hash!A$2:B$500, 2, 0)</f>
        <v>#N/A</v>
      </c>
      <c r="D119" s="23">
        <f t="shared" si="1"/>
        <v>0</v>
      </c>
      <c r="F119" s="45"/>
      <c r="H119" s="45"/>
      <c r="J119" s="45"/>
    </row>
    <row r="120">
      <c r="A120" s="22" t="s">
        <v>471</v>
      </c>
      <c r="B120" s="21">
        <f t="shared" si="5"/>
        <v>0</v>
      </c>
      <c r="C120" s="21" t="str">
        <f>VLOOKUP(A120, hash!A$2:B$500, 2, 0)</f>
        <v>632b592764f599396d113b28</v>
      </c>
      <c r="D120" s="23">
        <f t="shared" si="1"/>
        <v>0</v>
      </c>
      <c r="F120" s="45"/>
      <c r="H120" s="45"/>
      <c r="J120" s="45"/>
    </row>
    <row r="121">
      <c r="A121" s="22" t="s">
        <v>588</v>
      </c>
      <c r="B121" s="21">
        <f t="shared" si="5"/>
        <v>0</v>
      </c>
      <c r="C121" s="21" t="str">
        <f>VLOOKUP(A121, hash!A$2:B$500, 2, 0)</f>
        <v>#N/A</v>
      </c>
      <c r="D121" s="23">
        <f t="shared" si="1"/>
        <v>0</v>
      </c>
      <c r="F121" s="45"/>
      <c r="H121" s="45"/>
      <c r="J121" s="45"/>
    </row>
    <row r="122">
      <c r="A122" s="22" t="s">
        <v>589</v>
      </c>
      <c r="B122" s="21">
        <f t="shared" si="5"/>
        <v>0</v>
      </c>
      <c r="C122" s="21" t="str">
        <f>VLOOKUP(A122, hash!A$2:B$500, 2, 0)</f>
        <v>#N/A</v>
      </c>
      <c r="D122" s="23">
        <f t="shared" si="1"/>
        <v>0</v>
      </c>
      <c r="F122" s="45"/>
      <c r="H122" s="45"/>
      <c r="J122" s="45"/>
    </row>
    <row r="123">
      <c r="A123" s="22" t="s">
        <v>590</v>
      </c>
      <c r="B123" s="21">
        <f t="shared" si="5"/>
        <v>0</v>
      </c>
      <c r="C123" s="21" t="str">
        <f>VLOOKUP(A123, hash!A$2:B$500, 2, 0)</f>
        <v>#N/A</v>
      </c>
      <c r="D123" s="23">
        <f t="shared" si="1"/>
        <v>0</v>
      </c>
      <c r="F123" s="45"/>
      <c r="H123" s="45"/>
      <c r="J123" s="45"/>
    </row>
    <row r="124">
      <c r="A124" s="22" t="s">
        <v>591</v>
      </c>
      <c r="B124" s="21">
        <f t="shared" si="5"/>
        <v>0</v>
      </c>
      <c r="C124" s="21" t="str">
        <f>VLOOKUP(A124, hash!A$2:B$500, 2, 0)</f>
        <v>#N/A</v>
      </c>
      <c r="D124" s="23">
        <f t="shared" si="1"/>
        <v>0</v>
      </c>
      <c r="F124" s="45"/>
      <c r="H124" s="45"/>
      <c r="J124" s="45"/>
    </row>
    <row r="125">
      <c r="A125" s="22" t="s">
        <v>592</v>
      </c>
      <c r="B125" s="21">
        <f t="shared" si="5"/>
        <v>0</v>
      </c>
      <c r="C125" s="21" t="str">
        <f>VLOOKUP(A125, hash!A$2:B$500, 2, 0)</f>
        <v>#N/A</v>
      </c>
      <c r="D125" s="23">
        <f t="shared" si="1"/>
        <v>0</v>
      </c>
      <c r="F125" s="45"/>
      <c r="H125" s="45"/>
      <c r="J125" s="45"/>
    </row>
    <row r="126">
      <c r="A126" s="22" t="s">
        <v>472</v>
      </c>
      <c r="B126" s="21">
        <f t="shared" si="5"/>
        <v>0</v>
      </c>
      <c r="C126" s="21" t="str">
        <f>VLOOKUP(A126, hash!A$2:B$500, 2, 0)</f>
        <v>632b659ebfb5f9d04c8cca40</v>
      </c>
      <c r="D126" s="23">
        <f t="shared" si="1"/>
        <v>0</v>
      </c>
      <c r="F126" s="45"/>
      <c r="H126" s="45"/>
      <c r="J126" s="45"/>
    </row>
    <row r="127">
      <c r="A127" s="22" t="s">
        <v>473</v>
      </c>
      <c r="B127" s="21">
        <f t="shared" si="5"/>
        <v>0</v>
      </c>
      <c r="C127" s="21" t="str">
        <f>VLOOKUP(A127, hash!A$2:B$500, 2, 0)</f>
        <v>63332820dde72043c98a24b0</v>
      </c>
      <c r="D127" s="23">
        <f t="shared" si="1"/>
        <v>0</v>
      </c>
      <c r="F127" s="45"/>
      <c r="H127" s="45"/>
      <c r="J127" s="45"/>
    </row>
    <row r="128">
      <c r="A128" s="22" t="s">
        <v>474</v>
      </c>
      <c r="B128" s="21">
        <f t="shared" si="5"/>
        <v>0</v>
      </c>
      <c r="C128" s="21" t="str">
        <f>VLOOKUP(A128, hash!A$2:B$500, 2, 0)</f>
        <v>6334930daf5a29e196628f54</v>
      </c>
      <c r="D128" s="23">
        <f t="shared" si="1"/>
        <v>0</v>
      </c>
      <c r="F128" s="45"/>
      <c r="H128" s="45"/>
      <c r="J128" s="45"/>
    </row>
    <row r="129">
      <c r="A129" s="22" t="s">
        <v>593</v>
      </c>
      <c r="B129" s="21">
        <f t="shared" si="5"/>
        <v>0</v>
      </c>
      <c r="C129" s="21" t="str">
        <f>VLOOKUP(A129, hash!A$2:B$500, 2, 0)</f>
        <v>#N/A</v>
      </c>
      <c r="D129" s="23">
        <f t="shared" si="1"/>
        <v>0</v>
      </c>
      <c r="F129" s="45"/>
      <c r="H129" s="45"/>
      <c r="J129" s="45"/>
    </row>
    <row r="130">
      <c r="A130" s="22" t="s">
        <v>510</v>
      </c>
      <c r="B130" s="21">
        <f t="shared" si="5"/>
        <v>0</v>
      </c>
      <c r="C130" s="21" t="str">
        <f>VLOOKUP(A130, hash!A$2:B$500, 2, 0)</f>
        <v>6334931c5db42318c75b941a</v>
      </c>
      <c r="D130" s="23">
        <f t="shared" si="1"/>
        <v>0</v>
      </c>
      <c r="F130" s="45"/>
      <c r="H130" s="45"/>
      <c r="J130" s="45"/>
    </row>
    <row r="131">
      <c r="A131" s="22" t="s">
        <v>475</v>
      </c>
      <c r="B131" s="21">
        <f t="shared" si="5"/>
        <v>0</v>
      </c>
      <c r="C131" s="21" t="str">
        <f>VLOOKUP(A131, hash!A$2:B$500, 2, 0)</f>
        <v>6334934ee801712b31d25536</v>
      </c>
      <c r="D131" s="23">
        <f t="shared" si="1"/>
        <v>0</v>
      </c>
      <c r="F131" s="45"/>
      <c r="H131" s="45"/>
      <c r="J131" s="45"/>
    </row>
    <row r="132">
      <c r="A132" s="22" t="s">
        <v>476</v>
      </c>
      <c r="B132" s="21">
        <f t="shared" si="5"/>
        <v>0</v>
      </c>
      <c r="C132" s="21" t="str">
        <f>VLOOKUP(A132, hash!A$2:B$500, 2, 0)</f>
        <v>63349f8e3a8dbca7ef791374</v>
      </c>
      <c r="D132" s="23">
        <f t="shared" si="1"/>
        <v>0</v>
      </c>
      <c r="F132" s="45"/>
      <c r="H132" s="45"/>
      <c r="J132" s="45"/>
    </row>
    <row r="133">
      <c r="A133" s="22" t="s">
        <v>594</v>
      </c>
      <c r="B133" s="21">
        <f t="shared" si="5"/>
        <v>0</v>
      </c>
      <c r="C133" s="21" t="str">
        <f>VLOOKUP(A133, hash!A$2:B$500, 2, 0)</f>
        <v>#N/A</v>
      </c>
      <c r="D133" s="23">
        <f t="shared" si="1"/>
        <v>0</v>
      </c>
      <c r="F133" s="27"/>
      <c r="H133" s="45"/>
      <c r="J133" s="45"/>
    </row>
    <row r="134">
      <c r="A134" s="22" t="s">
        <v>477</v>
      </c>
      <c r="B134" s="21">
        <f t="shared" si="5"/>
        <v>0</v>
      </c>
      <c r="C134" s="21" t="str">
        <f>VLOOKUP(A134, hash!A$2:B$500, 2, 0)</f>
        <v>63349f9a3a8dbca7ef791375</v>
      </c>
      <c r="D134" s="23">
        <f t="shared" si="1"/>
        <v>0</v>
      </c>
      <c r="F134" s="45"/>
      <c r="H134" s="45"/>
      <c r="J134" s="45"/>
    </row>
    <row r="135">
      <c r="A135" s="22" t="s">
        <v>478</v>
      </c>
      <c r="B135" s="21">
        <f t="shared" si="5"/>
        <v>0</v>
      </c>
      <c r="C135" s="21" t="str">
        <f>VLOOKUP(A135, hash!A$2:B$500, 2, 0)</f>
        <v>633b2944907d3b0ce904b02f</v>
      </c>
      <c r="D135" s="23">
        <f t="shared" si="1"/>
        <v>0</v>
      </c>
      <c r="F135" s="45"/>
      <c r="H135" s="45"/>
      <c r="J135" s="45"/>
    </row>
    <row r="136">
      <c r="A136" s="22" t="s">
        <v>595</v>
      </c>
      <c r="B136" s="21">
        <f t="shared" si="5"/>
        <v>0</v>
      </c>
      <c r="C136" s="21" t="str">
        <f>VLOOKUP(A136, hash!A$2:B$500, 2, 0)</f>
        <v>#N/A</v>
      </c>
      <c r="D136" s="23">
        <f t="shared" si="1"/>
        <v>0</v>
      </c>
      <c r="F136" s="45"/>
      <c r="H136" s="45"/>
      <c r="J136" s="45"/>
    </row>
    <row r="137">
      <c r="A137" s="22" t="s">
        <v>479</v>
      </c>
      <c r="B137" s="21">
        <f t="shared" si="5"/>
        <v>0</v>
      </c>
      <c r="C137" s="21" t="str">
        <f>VLOOKUP(A137, hash!A$2:B$500, 2, 0)</f>
        <v>633b296e907d3b0ce904b03b</v>
      </c>
      <c r="D137" s="23">
        <f t="shared" si="1"/>
        <v>0</v>
      </c>
      <c r="F137" s="45"/>
      <c r="H137" s="45"/>
      <c r="J137" s="45"/>
    </row>
    <row r="138">
      <c r="A138" s="22" t="s">
        <v>596</v>
      </c>
      <c r="B138" s="21">
        <f t="shared" si="5"/>
        <v>0</v>
      </c>
      <c r="C138" s="21" t="str">
        <f>VLOOKUP(A138, hash!A$2:B$500, 2, 0)</f>
        <v>#N/A</v>
      </c>
      <c r="D138" s="23">
        <f t="shared" si="1"/>
        <v>0</v>
      </c>
      <c r="F138" s="45"/>
      <c r="H138" s="45"/>
      <c r="J138" s="27"/>
    </row>
    <row r="139">
      <c r="A139" s="22" t="s">
        <v>480</v>
      </c>
      <c r="B139" s="21">
        <f t="shared" si="5"/>
        <v>0</v>
      </c>
      <c r="C139" s="21" t="str">
        <f>VLOOKUP(A139, hash!A$2:B$500, 2, 0)</f>
        <v>633b33dde2076b371abb58dd</v>
      </c>
      <c r="D139" s="23">
        <f t="shared" si="1"/>
        <v>0</v>
      </c>
      <c r="F139" s="45"/>
      <c r="H139" s="45"/>
      <c r="J139" s="45"/>
    </row>
    <row r="140">
      <c r="A140" s="22" t="s">
        <v>481</v>
      </c>
      <c r="B140" s="21">
        <f t="shared" si="5"/>
        <v>0</v>
      </c>
      <c r="C140" s="21" t="str">
        <f>VLOOKUP(A140, hash!A$2:B$500, 2, 0)</f>
        <v>633b36b4e2076b371abb58ed</v>
      </c>
      <c r="D140" s="23">
        <f t="shared" si="1"/>
        <v>0</v>
      </c>
      <c r="F140" s="45"/>
      <c r="H140" s="45"/>
      <c r="J140" s="45"/>
    </row>
    <row r="141">
      <c r="A141" s="22" t="s">
        <v>597</v>
      </c>
      <c r="B141" s="21">
        <f t="shared" si="5"/>
        <v>0</v>
      </c>
      <c r="C141" s="21" t="str">
        <f>VLOOKUP(A141, hash!A$2:B$500, 2, 0)</f>
        <v>#N/A</v>
      </c>
      <c r="D141" s="23">
        <f t="shared" si="1"/>
        <v>0</v>
      </c>
      <c r="F141" s="45"/>
      <c r="H141" s="45"/>
      <c r="J141" s="45"/>
    </row>
    <row r="142">
      <c r="A142" s="22" t="s">
        <v>598</v>
      </c>
      <c r="B142" s="21">
        <f t="shared" si="5"/>
        <v>0</v>
      </c>
      <c r="C142" s="21" t="str">
        <f>VLOOKUP(A142, hash!A$2:B$500, 2, 0)</f>
        <v>#N/A</v>
      </c>
      <c r="D142" s="23">
        <f t="shared" si="1"/>
        <v>0</v>
      </c>
      <c r="F142" s="45"/>
      <c r="H142" s="45"/>
      <c r="J142" s="45"/>
    </row>
    <row r="143">
      <c r="A143" s="22" t="s">
        <v>599</v>
      </c>
      <c r="B143" s="21">
        <f t="shared" si="5"/>
        <v>0</v>
      </c>
      <c r="C143" s="21" t="str">
        <f>VLOOKUP(A143, hash!A$2:B$500, 2, 0)</f>
        <v>#N/A</v>
      </c>
      <c r="D143" s="23">
        <f t="shared" si="1"/>
        <v>0</v>
      </c>
      <c r="F143" s="45"/>
      <c r="H143" s="45"/>
      <c r="J143" s="45"/>
    </row>
    <row r="144">
      <c r="A144" s="22" t="s">
        <v>600</v>
      </c>
      <c r="B144" s="21">
        <f t="shared" si="5"/>
        <v>0</v>
      </c>
      <c r="C144" s="21" t="str">
        <f>VLOOKUP(A144, hash!A$2:B$500, 2, 0)</f>
        <v>#N/A</v>
      </c>
      <c r="D144" s="23">
        <f t="shared" si="1"/>
        <v>0</v>
      </c>
      <c r="F144" s="45"/>
      <c r="H144" s="45"/>
      <c r="J144" s="45"/>
    </row>
    <row r="145">
      <c r="A145" s="22" t="s">
        <v>601</v>
      </c>
      <c r="B145" s="21">
        <f t="shared" si="5"/>
        <v>0</v>
      </c>
      <c r="C145" s="21" t="str">
        <f>VLOOKUP(A145, hash!A$2:B$500, 2, 0)</f>
        <v>#N/A</v>
      </c>
      <c r="D145" s="23">
        <f t="shared" si="1"/>
        <v>0</v>
      </c>
      <c r="F145" s="45"/>
      <c r="H145" s="45"/>
      <c r="J145" s="45"/>
    </row>
    <row r="146">
      <c r="A146" s="22" t="s">
        <v>482</v>
      </c>
      <c r="B146" s="21">
        <f t="shared" si="5"/>
        <v>0</v>
      </c>
      <c r="C146" s="21" t="str">
        <f>VLOOKUP(A146, hash!A$2:B$500, 2, 0)</f>
        <v>634ebd057dcff4d8aaf60ecd</v>
      </c>
      <c r="D146" s="23">
        <f t="shared" si="1"/>
        <v>0</v>
      </c>
      <c r="F146" s="45"/>
      <c r="H146" s="45"/>
      <c r="J146" s="45"/>
    </row>
    <row r="147">
      <c r="A147" s="22" t="s">
        <v>483</v>
      </c>
      <c r="B147" s="21">
        <f t="shared" si="5"/>
        <v>0</v>
      </c>
      <c r="C147" s="21" t="str">
        <f>VLOOKUP(A147, hash!A$2:B$500, 2, 0)</f>
        <v>6350260e6b84e6835b7bdb10</v>
      </c>
      <c r="D147" s="23">
        <f t="shared" si="1"/>
        <v>0</v>
      </c>
      <c r="F147" s="45"/>
      <c r="H147" s="45"/>
      <c r="J147" s="45"/>
    </row>
    <row r="148">
      <c r="A148" s="22" t="s">
        <v>484</v>
      </c>
      <c r="B148" s="21">
        <f t="shared" si="5"/>
        <v>0</v>
      </c>
      <c r="C148" s="21" t="str">
        <f>VLOOKUP(A148, hash!A$2:B$500, 2, 0)</f>
        <v>635041d40aaa9d7642b16a2a</v>
      </c>
      <c r="D148" s="23">
        <f t="shared" si="1"/>
        <v>0</v>
      </c>
      <c r="F148" s="45"/>
      <c r="H148" s="45"/>
      <c r="J148" s="45"/>
    </row>
    <row r="149">
      <c r="A149" s="22" t="s">
        <v>485</v>
      </c>
      <c r="B149" s="21">
        <f t="shared" si="5"/>
        <v>0</v>
      </c>
      <c r="C149" s="21" t="str">
        <f>VLOOKUP(A149, hash!A$2:B$500, 2, 0)</f>
        <v>63504cfc4e941e57f7932609</v>
      </c>
      <c r="D149" s="23">
        <f t="shared" si="1"/>
        <v>0</v>
      </c>
      <c r="F149" s="45"/>
      <c r="H149" s="45"/>
      <c r="J149" s="45"/>
    </row>
    <row r="150">
      <c r="A150" s="22" t="s">
        <v>486</v>
      </c>
      <c r="B150" s="21">
        <f t="shared" si="5"/>
        <v>0</v>
      </c>
      <c r="C150" s="21" t="str">
        <f>VLOOKUP(A150, hash!A$2:B$500, 2, 0)</f>
        <v>63504d21680a31686694f409</v>
      </c>
      <c r="D150" s="23">
        <f t="shared" si="1"/>
        <v>0</v>
      </c>
      <c r="F150" s="45"/>
      <c r="H150" s="45"/>
      <c r="J150" s="45"/>
    </row>
    <row r="151">
      <c r="A151" s="22" t="s">
        <v>487</v>
      </c>
      <c r="B151" s="21">
        <f t="shared" si="5"/>
        <v>0</v>
      </c>
      <c r="C151" s="21" t="str">
        <f>VLOOKUP(A151, hash!A$2:B$500, 2, 0)</f>
        <v>63504d993b59fc8152ddcd16</v>
      </c>
      <c r="D151" s="23">
        <f t="shared" si="1"/>
        <v>0</v>
      </c>
      <c r="F151" s="45"/>
      <c r="H151" s="45"/>
      <c r="J151" s="45"/>
    </row>
    <row r="152">
      <c r="A152" s="22" t="s">
        <v>488</v>
      </c>
      <c r="B152" s="21">
        <f t="shared" si="5"/>
        <v>0</v>
      </c>
      <c r="C152" s="21" t="str">
        <f>VLOOKUP(A152, hash!A$2:B$500, 2, 0)</f>
        <v>63504f2bf3c9b5fc221a8b0b</v>
      </c>
      <c r="D152" s="23">
        <f t="shared" si="1"/>
        <v>0</v>
      </c>
      <c r="F152" s="45"/>
      <c r="H152" s="45"/>
      <c r="J152" s="45"/>
    </row>
    <row r="153">
      <c r="A153" s="22" t="s">
        <v>489</v>
      </c>
      <c r="B153" s="21">
        <f t="shared" si="5"/>
        <v>0</v>
      </c>
      <c r="C153" s="21" t="str">
        <f>VLOOKUP(A153, hash!A$2:B$500, 2, 0)</f>
        <v>63505039f3c9b5fc221a8b11</v>
      </c>
      <c r="D153" s="23">
        <f t="shared" si="1"/>
        <v>0</v>
      </c>
      <c r="F153" s="45"/>
      <c r="H153" s="45"/>
      <c r="J153" s="45"/>
    </row>
    <row r="154">
      <c r="A154" s="22" t="s">
        <v>490</v>
      </c>
      <c r="B154" s="21">
        <f t="shared" si="5"/>
        <v>0</v>
      </c>
      <c r="C154" s="21" t="str">
        <f>VLOOKUP(A154, hash!A$2:B$500, 2, 0)</f>
        <v>6350508cf3c9b5fc221a8b14</v>
      </c>
      <c r="D154" s="23">
        <f t="shared" si="1"/>
        <v>0</v>
      </c>
      <c r="F154" s="45"/>
      <c r="H154" s="45"/>
      <c r="J154" s="45"/>
    </row>
    <row r="155">
      <c r="A155" s="22" t="s">
        <v>491</v>
      </c>
      <c r="B155" s="21">
        <f t="shared" si="5"/>
        <v>0</v>
      </c>
      <c r="C155" s="21" t="str">
        <f>VLOOKUP(A155, hash!A$2:B$500, 2, 0)</f>
        <v>635052bcd5280881c6468696</v>
      </c>
      <c r="D155" s="23">
        <f t="shared" si="1"/>
        <v>0</v>
      </c>
      <c r="F155" s="45"/>
      <c r="H155" s="45"/>
      <c r="J155" s="45"/>
    </row>
    <row r="156">
      <c r="A156" s="22" t="s">
        <v>492</v>
      </c>
      <c r="B156" s="21">
        <f t="shared" si="5"/>
        <v>0</v>
      </c>
      <c r="C156" s="21" t="str">
        <f>VLOOKUP(A156, hash!A$2:B$500, 2, 0)</f>
        <v>635053873b59fc8152ddcd3f</v>
      </c>
      <c r="D156" s="23">
        <f t="shared" si="1"/>
        <v>0</v>
      </c>
      <c r="F156" s="45"/>
      <c r="H156" s="45"/>
      <c r="J156" s="45"/>
    </row>
    <row r="157">
      <c r="A157" s="22" t="s">
        <v>493</v>
      </c>
      <c r="B157" s="21">
        <f t="shared" si="5"/>
        <v>0</v>
      </c>
      <c r="C157" s="21" t="str">
        <f>VLOOKUP(A157, hash!A$2:B$500, 2, 0)</f>
        <v>6350549ca87d74ab21f25e75</v>
      </c>
      <c r="D157" s="23">
        <f t="shared" si="1"/>
        <v>0</v>
      </c>
      <c r="F157" s="45"/>
      <c r="H157" s="45"/>
      <c r="J157" s="45"/>
    </row>
    <row r="158">
      <c r="A158" s="22" t="s">
        <v>602</v>
      </c>
      <c r="B158" s="21">
        <f t="shared" si="5"/>
        <v>0</v>
      </c>
      <c r="C158" s="21" t="str">
        <f>VLOOKUP(A158, hash!A$2:B$500, 2, 0)</f>
        <v>#N/A</v>
      </c>
      <c r="D158" s="23">
        <f t="shared" si="1"/>
        <v>0</v>
      </c>
      <c r="F158" s="45"/>
      <c r="H158" s="45"/>
      <c r="J158" s="45"/>
    </row>
    <row r="159">
      <c r="A159" s="22" t="s">
        <v>494</v>
      </c>
      <c r="B159" s="21">
        <f t="shared" si="5"/>
        <v>0</v>
      </c>
      <c r="C159" s="21" t="str">
        <f>VLOOKUP(A159, hash!A$2:B$500, 2, 0)</f>
        <v>63529e993c9eeacf2b95884e</v>
      </c>
      <c r="D159" s="23">
        <f t="shared" si="1"/>
        <v>0</v>
      </c>
      <c r="F159" s="45"/>
      <c r="H159" s="45"/>
      <c r="J159" s="45"/>
    </row>
    <row r="160">
      <c r="A160" s="22" t="s">
        <v>495</v>
      </c>
      <c r="B160" s="21">
        <f t="shared" si="5"/>
        <v>0</v>
      </c>
      <c r="C160" s="21" t="str">
        <f>VLOOKUP(A160, hash!A$2:B$500, 2, 0)</f>
        <v>63597cb9a9e578282a60ad9d</v>
      </c>
      <c r="D160" s="23">
        <f t="shared" si="1"/>
        <v>0</v>
      </c>
      <c r="F160" s="45"/>
      <c r="H160" s="45"/>
      <c r="J160" s="45"/>
    </row>
    <row r="161">
      <c r="A161" s="22" t="s">
        <v>603</v>
      </c>
      <c r="B161" s="21">
        <f t="shared" si="5"/>
        <v>0</v>
      </c>
      <c r="C161" s="21" t="str">
        <f>VLOOKUP(A161, hash!A$2:B$500, 2, 0)</f>
        <v>#N/A</v>
      </c>
      <c r="D161" s="23">
        <f t="shared" si="1"/>
        <v>0</v>
      </c>
      <c r="F161" s="45"/>
      <c r="H161" s="45"/>
      <c r="J161" s="45"/>
    </row>
    <row r="162">
      <c r="A162" s="22" t="s">
        <v>101</v>
      </c>
      <c r="B162" s="21">
        <f t="shared" si="5"/>
        <v>0</v>
      </c>
      <c r="C162" s="21" t="str">
        <f>VLOOKUP(A162, hash!A$2:B$500, 2, 0)</f>
        <v>6362864bd6615019231bd3fc</v>
      </c>
      <c r="D162" s="23">
        <f t="shared" si="1"/>
        <v>0</v>
      </c>
      <c r="F162" s="45"/>
      <c r="H162" s="45"/>
      <c r="J162" s="45"/>
    </row>
    <row r="163">
      <c r="A163" s="22" t="s">
        <v>102</v>
      </c>
      <c r="B163" s="21">
        <f t="shared" si="5"/>
        <v>0</v>
      </c>
      <c r="C163" s="21" t="str">
        <f>VLOOKUP(A163, hash!A$2:B$500, 2, 0)</f>
        <v>6362b77fe777ad6bbb240412</v>
      </c>
      <c r="D163" s="23">
        <f t="shared" si="1"/>
        <v>0</v>
      </c>
      <c r="F163" s="45"/>
      <c r="H163" s="45"/>
      <c r="J163" s="45"/>
    </row>
    <row r="164">
      <c r="A164" s="22" t="s">
        <v>604</v>
      </c>
      <c r="B164" s="21">
        <f t="shared" si="5"/>
        <v>0</v>
      </c>
      <c r="C164" s="21" t="str">
        <f>VLOOKUP(A164, hash!A$2:B$500, 2, 0)</f>
        <v>#N/A</v>
      </c>
      <c r="D164" s="23">
        <f t="shared" si="1"/>
        <v>0</v>
      </c>
      <c r="F164" s="45"/>
      <c r="H164" s="45"/>
      <c r="J164" s="45"/>
    </row>
    <row r="165">
      <c r="A165" s="22" t="s">
        <v>103</v>
      </c>
      <c r="B165" s="21">
        <f t="shared" si="5"/>
        <v>0</v>
      </c>
      <c r="C165" s="21" t="str">
        <f>VLOOKUP(A165, hash!A$2:B$500, 2, 0)</f>
        <v>6376b58661fba9785d07416f</v>
      </c>
      <c r="D165" s="23">
        <f t="shared" si="1"/>
        <v>0</v>
      </c>
      <c r="F165" s="45"/>
      <c r="H165" s="45"/>
      <c r="J165" s="45"/>
    </row>
    <row r="166">
      <c r="A166" s="22" t="s">
        <v>605</v>
      </c>
      <c r="B166" s="21">
        <f t="shared" si="5"/>
        <v>0</v>
      </c>
      <c r="C166" s="21" t="str">
        <f>VLOOKUP(A166, hash!A$2:B$500, 2, 0)</f>
        <v>#N/A</v>
      </c>
      <c r="D166" s="23">
        <f t="shared" si="1"/>
        <v>0</v>
      </c>
      <c r="F166" s="45"/>
      <c r="H166" s="45"/>
      <c r="J166" s="45"/>
    </row>
    <row r="167">
      <c r="A167" s="22" t="s">
        <v>606</v>
      </c>
      <c r="B167" s="21">
        <f t="shared" si="5"/>
        <v>0</v>
      </c>
      <c r="C167" s="21" t="str">
        <f>VLOOKUP(A167, hash!A$2:B$500, 2, 0)</f>
        <v>#N/A</v>
      </c>
      <c r="D167" s="23">
        <f t="shared" si="1"/>
        <v>0</v>
      </c>
      <c r="F167" s="45"/>
      <c r="H167" s="45"/>
      <c r="J167" s="45"/>
    </row>
    <row r="168">
      <c r="A168" s="22" t="s">
        <v>104</v>
      </c>
      <c r="B168" s="21">
        <f t="shared" si="5"/>
        <v>0</v>
      </c>
      <c r="C168" s="21" t="str">
        <f>VLOOKUP(A168, hash!A$2:B$500, 2, 0)</f>
        <v>6387bb73c1e51a839dd5a996</v>
      </c>
      <c r="D168" s="23">
        <f t="shared" si="1"/>
        <v>0</v>
      </c>
      <c r="F168" s="45"/>
      <c r="H168" s="45"/>
      <c r="J168" s="45"/>
    </row>
    <row r="169">
      <c r="A169" s="22" t="s">
        <v>105</v>
      </c>
      <c r="B169" s="21">
        <f t="shared" si="5"/>
        <v>0</v>
      </c>
      <c r="C169" s="21" t="str">
        <f>VLOOKUP(A169, hash!A$2:B$500, 2, 0)</f>
        <v>6387bbc6c1e51a839dd5a9a4</v>
      </c>
      <c r="D169" s="23">
        <f t="shared" si="1"/>
        <v>0</v>
      </c>
      <c r="F169" s="45"/>
      <c r="H169" s="45"/>
      <c r="J169" s="45"/>
    </row>
    <row r="170">
      <c r="A170" s="22" t="s">
        <v>106</v>
      </c>
      <c r="B170" s="21">
        <f t="shared" si="5"/>
        <v>0</v>
      </c>
      <c r="C170" s="21" t="str">
        <f>VLOOKUP(A170, hash!A$2:B$500, 2, 0)</f>
        <v>639a2e9e3b748bad962c153c</v>
      </c>
      <c r="D170" s="23">
        <f t="shared" si="1"/>
        <v>0</v>
      </c>
      <c r="F170" s="45"/>
      <c r="H170" s="45"/>
      <c r="J170" s="45"/>
    </row>
    <row r="171">
      <c r="A171" s="22" t="s">
        <v>107</v>
      </c>
      <c r="B171" s="21">
        <f t="shared" si="5"/>
        <v>0</v>
      </c>
      <c r="C171" s="21" t="str">
        <f>VLOOKUP(A171, hash!A$2:B$500, 2, 0)</f>
        <v>63b5d35a964a47f092354843</v>
      </c>
      <c r="D171" s="23">
        <f t="shared" si="1"/>
        <v>0</v>
      </c>
      <c r="F171" s="45"/>
      <c r="H171" s="45"/>
      <c r="J171" s="45"/>
    </row>
    <row r="172">
      <c r="A172" s="22" t="s">
        <v>108</v>
      </c>
      <c r="B172" s="21">
        <f t="shared" si="5"/>
        <v>0</v>
      </c>
      <c r="C172" s="21" t="str">
        <f>VLOOKUP(A172, hash!A$2:B$500, 2, 0)</f>
        <v>63c833ef38ef4ba2f7bbe919</v>
      </c>
      <c r="D172" s="23">
        <f t="shared" si="1"/>
        <v>0</v>
      </c>
      <c r="F172" s="45"/>
      <c r="H172" s="45"/>
      <c r="J172" s="45"/>
    </row>
    <row r="173">
      <c r="A173" s="22" t="s">
        <v>109</v>
      </c>
      <c r="B173" s="21">
        <f t="shared" si="5"/>
        <v>0</v>
      </c>
      <c r="C173" s="21" t="str">
        <f>VLOOKUP(A173, hash!A$2:B$500, 2, 0)</f>
        <v>63c8473f511ce7e89481b00b</v>
      </c>
      <c r="D173" s="23">
        <f t="shared" si="1"/>
        <v>0</v>
      </c>
      <c r="F173" s="45"/>
      <c r="H173" s="45"/>
      <c r="J173" s="45"/>
    </row>
    <row r="174">
      <c r="A174" s="22" t="s">
        <v>110</v>
      </c>
      <c r="B174" s="21">
        <f t="shared" si="5"/>
        <v>0</v>
      </c>
      <c r="C174" s="21" t="str">
        <f>VLOOKUP(A174, hash!A$2:B$500, 2, 0)</f>
        <v>63c8477b67bbb48b24b073b9</v>
      </c>
      <c r="D174" s="23">
        <f t="shared" si="1"/>
        <v>0</v>
      </c>
      <c r="F174" s="45"/>
      <c r="H174" s="45"/>
      <c r="J174" s="45"/>
    </row>
    <row r="175">
      <c r="A175" s="22" t="s">
        <v>607</v>
      </c>
      <c r="B175" s="21">
        <f t="shared" si="5"/>
        <v>0</v>
      </c>
      <c r="C175" s="21" t="str">
        <f>VLOOKUP(A175, hash!A$2:B$500, 2, 0)</f>
        <v>#N/A</v>
      </c>
      <c r="D175" s="23">
        <f t="shared" si="1"/>
        <v>0</v>
      </c>
      <c r="F175" s="45"/>
      <c r="H175" s="45"/>
      <c r="J175" s="45"/>
    </row>
    <row r="176">
      <c r="A176" s="22" t="s">
        <v>608</v>
      </c>
      <c r="B176" s="21">
        <f t="shared" si="5"/>
        <v>0</v>
      </c>
      <c r="C176" s="21" t="str">
        <f>VLOOKUP(A176, hash!A$2:B$500, 2, 0)</f>
        <v>#N/A</v>
      </c>
      <c r="D176" s="23">
        <f t="shared" si="1"/>
        <v>0</v>
      </c>
      <c r="F176" s="45"/>
      <c r="H176" s="45"/>
      <c r="J176" s="45"/>
    </row>
    <row r="177">
      <c r="A177" s="22" t="s">
        <v>111</v>
      </c>
      <c r="B177" s="21">
        <f t="shared" si="5"/>
        <v>0</v>
      </c>
      <c r="C177" s="21" t="str">
        <f>VLOOKUP(A177, hash!A$2:B$500, 2, 0)</f>
        <v>63dabd0663f6b9aef34df313</v>
      </c>
      <c r="D177" s="23">
        <f t="shared" si="1"/>
        <v>0</v>
      </c>
      <c r="F177" s="45"/>
      <c r="H177" s="45"/>
      <c r="J177" s="45"/>
    </row>
    <row r="178">
      <c r="A178" s="22" t="s">
        <v>112</v>
      </c>
      <c r="B178" s="21">
        <f t="shared" si="5"/>
        <v>0</v>
      </c>
      <c r="C178" s="21" t="str">
        <f>VLOOKUP(A178, hash!A$2:B$500, 2, 0)</f>
        <v>63dabd3d9dab57a89c8ed2ec</v>
      </c>
      <c r="D178" s="23">
        <f t="shared" si="1"/>
        <v>0</v>
      </c>
      <c r="F178" s="45"/>
      <c r="H178" s="45"/>
      <c r="J178" s="45"/>
    </row>
    <row r="179">
      <c r="A179" s="22" t="s">
        <v>609</v>
      </c>
      <c r="B179" s="21">
        <f t="shared" si="5"/>
        <v>0</v>
      </c>
      <c r="C179" s="21" t="str">
        <f>VLOOKUP(A179, hash!A$2:B$500, 2, 0)</f>
        <v>#N/A</v>
      </c>
      <c r="D179" s="23">
        <f t="shared" si="1"/>
        <v>0</v>
      </c>
      <c r="F179" s="45"/>
      <c r="H179" s="45"/>
      <c r="J179" s="45"/>
    </row>
    <row r="180">
      <c r="A180" s="22" t="s">
        <v>113</v>
      </c>
      <c r="B180" s="21">
        <f t="shared" si="5"/>
        <v>0</v>
      </c>
      <c r="C180" s="21" t="str">
        <f>VLOOKUP(A180, hash!A$2:B$500, 2, 0)</f>
        <v>63ddd5541cf7a4a53455fa2b</v>
      </c>
      <c r="D180" s="23">
        <f t="shared" si="1"/>
        <v>0</v>
      </c>
      <c r="F180" s="45"/>
      <c r="H180" s="45"/>
      <c r="J180" s="45"/>
    </row>
    <row r="181">
      <c r="A181" s="22" t="s">
        <v>610</v>
      </c>
      <c r="B181" s="21">
        <f t="shared" si="5"/>
        <v>0</v>
      </c>
      <c r="C181" s="21" t="str">
        <f>VLOOKUP(A181, hash!A$2:B$500, 2, 0)</f>
        <v>#N/A</v>
      </c>
      <c r="D181" s="23">
        <f t="shared" si="1"/>
        <v>0</v>
      </c>
      <c r="F181" s="45"/>
      <c r="H181" s="45"/>
      <c r="J181" s="45"/>
    </row>
    <row r="182">
      <c r="A182" s="22" t="s">
        <v>114</v>
      </c>
      <c r="B182" s="21">
        <f t="shared" si="5"/>
        <v>0</v>
      </c>
      <c r="C182" s="21" t="str">
        <f>VLOOKUP(A182, hash!A$2:B$500, 2, 0)</f>
        <v>63ed3c20ba3040bfda3dc990</v>
      </c>
      <c r="D182" s="23">
        <f t="shared" si="1"/>
        <v>0</v>
      </c>
      <c r="F182" s="45"/>
      <c r="H182" s="45"/>
      <c r="J182" s="45"/>
    </row>
    <row r="183">
      <c r="A183" s="22" t="s">
        <v>115</v>
      </c>
      <c r="B183" s="21">
        <f t="shared" si="5"/>
        <v>0</v>
      </c>
      <c r="C183" s="21" t="str">
        <f>VLOOKUP(A183, hash!A$2:B$500, 2, 0)</f>
        <v>63f67889c8ff9ace793384df</v>
      </c>
      <c r="D183" s="23">
        <f t="shared" si="1"/>
        <v>0</v>
      </c>
      <c r="F183" s="45"/>
      <c r="H183" s="45"/>
      <c r="J183" s="45"/>
    </row>
    <row r="184">
      <c r="A184" s="22" t="s">
        <v>116</v>
      </c>
      <c r="B184" s="21">
        <f t="shared" si="5"/>
        <v>0</v>
      </c>
      <c r="C184" s="21" t="str">
        <f>VLOOKUP(A184, hash!A$2:B$500, 2, 0)</f>
        <v>63f67911eb2d54539e475aef</v>
      </c>
      <c r="D184" s="23">
        <f t="shared" si="1"/>
        <v>0</v>
      </c>
      <c r="F184" s="45"/>
      <c r="H184" s="45"/>
      <c r="J184" s="45"/>
    </row>
    <row r="185">
      <c r="A185" s="22" t="s">
        <v>611</v>
      </c>
      <c r="B185" s="21">
        <f t="shared" si="5"/>
        <v>0</v>
      </c>
      <c r="C185" s="21" t="str">
        <f>VLOOKUP(A185, hash!A$2:B$500, 2, 0)</f>
        <v>#N/A</v>
      </c>
      <c r="D185" s="23">
        <f t="shared" si="1"/>
        <v>0</v>
      </c>
      <c r="F185" s="45"/>
      <c r="H185" s="45"/>
      <c r="J185" s="45"/>
    </row>
    <row r="186">
      <c r="A186" s="22" t="s">
        <v>612</v>
      </c>
      <c r="B186" s="21">
        <f t="shared" si="5"/>
        <v>0</v>
      </c>
      <c r="C186" s="21" t="str">
        <f>VLOOKUP(A186, hash!A$2:B$500, 2, 0)</f>
        <v>#N/A</v>
      </c>
      <c r="D186" s="23">
        <f t="shared" si="1"/>
        <v>0</v>
      </c>
      <c r="F186" s="45"/>
      <c r="H186" s="45"/>
      <c r="J186" s="45"/>
    </row>
    <row r="187">
      <c r="A187" s="22" t="s">
        <v>117</v>
      </c>
      <c r="B187" s="21">
        <f t="shared" si="5"/>
        <v>0</v>
      </c>
      <c r="C187" s="21" t="str">
        <f>VLOOKUP(A187, hash!A$2:B$500, 2, 0)</f>
        <v>64120eb5cd7bcbc0e50f33da</v>
      </c>
      <c r="D187" s="23">
        <f t="shared" si="1"/>
        <v>0</v>
      </c>
      <c r="F187" s="45"/>
      <c r="H187" s="45"/>
      <c r="J187" s="45"/>
    </row>
    <row r="188">
      <c r="A188" s="22" t="s">
        <v>118</v>
      </c>
      <c r="B188" s="21">
        <f t="shared" si="5"/>
        <v>0</v>
      </c>
      <c r="C188" s="21" t="str">
        <f>VLOOKUP(A188, hash!A$2:B$500, 2, 0)</f>
        <v>64403390f40f176b87a687a7</v>
      </c>
      <c r="D188" s="23">
        <f t="shared" si="1"/>
        <v>0</v>
      </c>
      <c r="F188" s="45"/>
      <c r="H188" s="45"/>
      <c r="J188" s="45"/>
    </row>
    <row r="189">
      <c r="A189" s="22" t="s">
        <v>119</v>
      </c>
      <c r="B189" s="21">
        <f t="shared" si="5"/>
        <v>0</v>
      </c>
      <c r="C189" s="21" t="str">
        <f>VLOOKUP(A189, hash!A$2:B$500, 2, 0)</f>
        <v>64403395ea1fa9a912edb699</v>
      </c>
      <c r="D189" s="23">
        <f t="shared" si="1"/>
        <v>0</v>
      </c>
      <c r="F189" s="45"/>
      <c r="H189" s="45"/>
      <c r="J189" s="51"/>
    </row>
    <row r="190">
      <c r="A190" s="22" t="s">
        <v>120</v>
      </c>
      <c r="B190" s="21">
        <f t="shared" si="5"/>
        <v>0</v>
      </c>
      <c r="C190" s="21" t="str">
        <f>VLOOKUP(A190, hash!A$2:B$500, 2, 0)</f>
        <v>64403399ea1fa9a912edb69a</v>
      </c>
      <c r="D190" s="23">
        <f t="shared" si="1"/>
        <v>0</v>
      </c>
      <c r="F190" s="45"/>
      <c r="H190" s="45"/>
      <c r="J190" s="45"/>
    </row>
    <row r="191">
      <c r="A191" s="22" t="s">
        <v>121</v>
      </c>
      <c r="B191" s="21">
        <f t="shared" si="5"/>
        <v>0</v>
      </c>
      <c r="C191" s="21" t="str">
        <f>VLOOKUP(A191, hash!A$2:B$500, 2, 0)</f>
        <v>644033a6ea1fa9a912edb69b</v>
      </c>
      <c r="D191" s="23">
        <f t="shared" si="1"/>
        <v>0</v>
      </c>
      <c r="F191" s="45"/>
      <c r="H191" s="45"/>
      <c r="J191" s="45"/>
    </row>
    <row r="192">
      <c r="A192" s="22" t="s">
        <v>122</v>
      </c>
      <c r="B192" s="21">
        <f t="shared" si="5"/>
        <v>0</v>
      </c>
      <c r="C192" s="21" t="str">
        <f>VLOOKUP(A192, hash!A$2:B$500, 2, 0)</f>
        <v>6440343c3d99f5a46dd56558</v>
      </c>
      <c r="D192" s="23">
        <f t="shared" si="1"/>
        <v>0</v>
      </c>
      <c r="F192" s="45"/>
      <c r="H192" s="45"/>
      <c r="J192" s="45"/>
    </row>
    <row r="193">
      <c r="A193" s="22" t="s">
        <v>123</v>
      </c>
      <c r="B193" s="21">
        <f t="shared" si="5"/>
        <v>0</v>
      </c>
      <c r="C193" s="21" t="str">
        <f>VLOOKUP(A193, hash!A$2:B$500, 2, 0)</f>
        <v>644034954fa829a66b219e95</v>
      </c>
      <c r="D193" s="23">
        <f t="shared" si="1"/>
        <v>0</v>
      </c>
      <c r="F193" s="45"/>
      <c r="H193" s="45"/>
      <c r="J193" s="45"/>
    </row>
    <row r="194">
      <c r="A194" s="22" t="s">
        <v>124</v>
      </c>
      <c r="B194" s="21">
        <f t="shared" si="5"/>
        <v>0</v>
      </c>
      <c r="C194" s="21" t="str">
        <f>VLOOKUP(A194, hash!A$2:B$500, 2, 0)</f>
        <v>6451565d77ece8ad709943e6</v>
      </c>
      <c r="D194" s="23">
        <f t="shared" si="1"/>
        <v>0</v>
      </c>
      <c r="F194" s="45"/>
      <c r="H194" s="45"/>
      <c r="J194" s="45"/>
    </row>
    <row r="195">
      <c r="A195" s="22" t="s">
        <v>125</v>
      </c>
      <c r="B195" s="21">
        <f t="shared" si="5"/>
        <v>0</v>
      </c>
      <c r="C195" s="21" t="str">
        <f>VLOOKUP(A195, hash!A$2:B$500, 2, 0)</f>
        <v>6451566b3e57b23a771eb77e</v>
      </c>
      <c r="D195" s="23">
        <f t="shared" si="1"/>
        <v>0</v>
      </c>
      <c r="F195" s="45"/>
      <c r="H195" s="45"/>
      <c r="J195" s="45"/>
    </row>
    <row r="196">
      <c r="A196" s="22" t="s">
        <v>126</v>
      </c>
      <c r="B196" s="21">
        <f t="shared" si="5"/>
        <v>0</v>
      </c>
      <c r="C196" s="21" t="str">
        <f>VLOOKUP(A196, hash!A$2:B$500, 2, 0)</f>
        <v>64515f40d1db94b82bde4768</v>
      </c>
      <c r="D196" s="23">
        <f t="shared" si="1"/>
        <v>0</v>
      </c>
      <c r="F196" s="45"/>
      <c r="H196" s="45"/>
      <c r="J196" s="45"/>
    </row>
    <row r="197">
      <c r="A197" s="22" t="s">
        <v>613</v>
      </c>
      <c r="B197" s="21">
        <f t="shared" si="5"/>
        <v>0</v>
      </c>
      <c r="C197" s="21" t="str">
        <f>VLOOKUP(A197, hash!A$2:B$500, 2, 0)</f>
        <v>#N/A</v>
      </c>
      <c r="D197" s="23">
        <f t="shared" si="1"/>
        <v>0</v>
      </c>
      <c r="F197" s="45"/>
      <c r="H197" s="45"/>
      <c r="J197" s="45"/>
    </row>
    <row r="198">
      <c r="A198" s="22" t="s">
        <v>127</v>
      </c>
      <c r="B198" s="21">
        <f t="shared" si="5"/>
        <v>0</v>
      </c>
      <c r="C198" s="21" t="str">
        <f>VLOOKUP(A198, hash!A$2:B$500, 2, 0)</f>
        <v>6501ffd91d8cbbbd315ad51c</v>
      </c>
      <c r="D198" s="23">
        <f t="shared" si="1"/>
        <v>0</v>
      </c>
      <c r="F198" s="45"/>
      <c r="H198" s="45"/>
      <c r="J198" s="45"/>
    </row>
    <row r="199">
      <c r="A199" s="22" t="s">
        <v>128</v>
      </c>
      <c r="B199" s="21">
        <f t="shared" si="5"/>
        <v>0</v>
      </c>
      <c r="C199" s="21" t="str">
        <f>VLOOKUP(A199, hash!A$2:B$500, 2, 0)</f>
        <v>6501ffe41d8cbbbd315ad51d</v>
      </c>
      <c r="D199" s="23">
        <f t="shared" si="1"/>
        <v>0</v>
      </c>
      <c r="F199" s="45"/>
      <c r="H199" s="45"/>
      <c r="J199" s="45"/>
    </row>
    <row r="200">
      <c r="A200" s="22" t="s">
        <v>129</v>
      </c>
      <c r="B200" s="21">
        <f t="shared" si="5"/>
        <v>0</v>
      </c>
      <c r="C200" s="21" t="str">
        <f>VLOOKUP(A200, hash!A$2:B$500, 2, 0)</f>
        <v>6501fff01d8cbbbd315ad51f</v>
      </c>
      <c r="D200" s="23">
        <f t="shared" si="1"/>
        <v>0</v>
      </c>
      <c r="F200" s="45"/>
      <c r="H200" s="45"/>
      <c r="J200" s="45"/>
    </row>
    <row r="201">
      <c r="A201" s="22" t="s">
        <v>130</v>
      </c>
      <c r="B201" s="21">
        <f t="shared" si="5"/>
        <v>0</v>
      </c>
      <c r="C201" s="21" t="str">
        <f>VLOOKUP(A201, hash!A$2:B$500, 2, 0)</f>
        <v>6501fff296a576d9fa03f986</v>
      </c>
      <c r="D201" s="23">
        <f t="shared" si="1"/>
        <v>0</v>
      </c>
      <c r="F201" s="45"/>
      <c r="H201" s="45"/>
      <c r="J201" s="45"/>
    </row>
    <row r="202">
      <c r="A202" s="22" t="s">
        <v>131</v>
      </c>
      <c r="B202" s="21">
        <f t="shared" si="5"/>
        <v>0</v>
      </c>
      <c r="C202" s="21" t="str">
        <f>VLOOKUP(A202, hash!A$2:B$500, 2, 0)</f>
        <v>6501fffc96a576d9fa03f988</v>
      </c>
      <c r="D202" s="23">
        <f t="shared" si="1"/>
        <v>0</v>
      </c>
      <c r="F202" s="45"/>
      <c r="H202" s="45"/>
      <c r="J202" s="45"/>
    </row>
    <row r="203">
      <c r="A203" s="22" t="s">
        <v>132</v>
      </c>
      <c r="B203" s="21">
        <f t="shared" si="5"/>
        <v>0</v>
      </c>
      <c r="C203" s="21" t="str">
        <f>VLOOKUP(A203, hash!A$2:B$500, 2, 0)</f>
        <v>6501fffd96a576d9fa03f989</v>
      </c>
      <c r="D203" s="23">
        <f t="shared" si="1"/>
        <v>0</v>
      </c>
      <c r="F203" s="45"/>
      <c r="H203" s="45"/>
      <c r="J203" s="45"/>
    </row>
    <row r="204">
      <c r="A204" s="22" t="s">
        <v>133</v>
      </c>
      <c r="B204" s="21">
        <f t="shared" si="5"/>
        <v>0</v>
      </c>
      <c r="C204" s="21" t="str">
        <f>VLOOKUP(A204, hash!A$2:B$500, 2, 0)</f>
        <v>6502000096a576d9fa03f98a</v>
      </c>
      <c r="D204" s="23">
        <f t="shared" si="1"/>
        <v>0</v>
      </c>
      <c r="F204" s="45"/>
      <c r="H204" s="45"/>
      <c r="J204" s="45"/>
    </row>
    <row r="205">
      <c r="A205" s="22" t="s">
        <v>134</v>
      </c>
      <c r="B205" s="21">
        <f t="shared" si="5"/>
        <v>0</v>
      </c>
      <c r="C205" s="21" t="str">
        <f>VLOOKUP(A205, hash!A$2:B$500, 2, 0)</f>
        <v>6502000196a576d9fa03f98b</v>
      </c>
      <c r="D205" s="23">
        <f t="shared" si="1"/>
        <v>0</v>
      </c>
      <c r="E205" s="14">
        <v>0.0</v>
      </c>
      <c r="F205" s="27">
        <v>0.0</v>
      </c>
      <c r="G205" s="14">
        <v>0.0</v>
      </c>
      <c r="H205" s="27">
        <v>0.0</v>
      </c>
      <c r="I205" s="14">
        <v>0.0</v>
      </c>
      <c r="J205" s="27">
        <v>0.0</v>
      </c>
    </row>
    <row r="206">
      <c r="A206" s="22" t="s">
        <v>135</v>
      </c>
      <c r="B206" s="21">
        <f t="shared" si="5"/>
        <v>0</v>
      </c>
      <c r="C206" s="21" t="str">
        <f>VLOOKUP(A206, hash!A$2:B$500, 2, 0)</f>
        <v>65020008540ba7cc68909a94</v>
      </c>
      <c r="D206" s="23">
        <f t="shared" si="1"/>
        <v>0</v>
      </c>
      <c r="F206" s="45"/>
      <c r="H206" s="45"/>
      <c r="J206" s="45"/>
    </row>
    <row r="207">
      <c r="A207" s="22" t="s">
        <v>136</v>
      </c>
      <c r="B207" s="21">
        <f t="shared" si="5"/>
        <v>0</v>
      </c>
      <c r="C207" s="21" t="str">
        <f>VLOOKUP(A207, hash!A$2:B$500, 2, 0)</f>
        <v>6502000b1d8cbbbd315ad521</v>
      </c>
      <c r="D207" s="23">
        <f t="shared" si="1"/>
        <v>0</v>
      </c>
      <c r="F207" s="45"/>
      <c r="H207" s="45"/>
      <c r="J207" s="45"/>
    </row>
    <row r="208">
      <c r="A208" s="22" t="s">
        <v>137</v>
      </c>
      <c r="B208" s="21">
        <f t="shared" si="5"/>
        <v>0</v>
      </c>
      <c r="C208" s="21" t="str">
        <f>VLOOKUP(A208, hash!A$2:B$500, 2, 0)</f>
        <v>65020010540ba7cc68909a95</v>
      </c>
      <c r="D208" s="23">
        <f t="shared" si="1"/>
        <v>0</v>
      </c>
      <c r="F208" s="45"/>
      <c r="H208" s="45"/>
      <c r="J208" s="45"/>
    </row>
    <row r="209">
      <c r="A209" s="22" t="s">
        <v>138</v>
      </c>
      <c r="B209" s="21">
        <f t="shared" si="5"/>
        <v>0</v>
      </c>
      <c r="C209" s="21" t="str">
        <f>VLOOKUP(A209, hash!A$2:B$500, 2, 0)</f>
        <v>6502001196a576d9fa03f98c</v>
      </c>
      <c r="D209" s="23">
        <f t="shared" si="1"/>
        <v>0</v>
      </c>
      <c r="F209" s="45"/>
      <c r="H209" s="45"/>
      <c r="J209" s="45"/>
    </row>
    <row r="210">
      <c r="A210" s="22" t="s">
        <v>139</v>
      </c>
      <c r="B210" s="21">
        <f t="shared" si="5"/>
        <v>0</v>
      </c>
      <c r="C210" s="21" t="str">
        <f>VLOOKUP(A210, hash!A$2:B$500, 2, 0)</f>
        <v>6502001196a576d9fa03f98d</v>
      </c>
      <c r="D210" s="23">
        <f t="shared" si="1"/>
        <v>0</v>
      </c>
      <c r="F210" s="45"/>
      <c r="H210" s="45"/>
      <c r="J210" s="45"/>
    </row>
    <row r="211">
      <c r="A211" s="22" t="s">
        <v>141</v>
      </c>
      <c r="B211" s="21">
        <f t="shared" si="5"/>
        <v>0</v>
      </c>
      <c r="C211" s="21" t="str">
        <f>VLOOKUP(A211, hash!A$2:B$500, 2, 0)</f>
        <v>6502001d540ba7cc68909a96</v>
      </c>
      <c r="D211" s="23">
        <f t="shared" si="1"/>
        <v>0</v>
      </c>
      <c r="F211" s="45"/>
      <c r="H211" s="45"/>
      <c r="J211" s="45"/>
    </row>
    <row r="212">
      <c r="A212" s="22" t="s">
        <v>142</v>
      </c>
      <c r="B212" s="21">
        <f t="shared" si="5"/>
        <v>0</v>
      </c>
      <c r="C212" s="21" t="str">
        <f>VLOOKUP(A212, hash!A$2:B$500, 2, 0)</f>
        <v>6502001f96a576d9fa03f991</v>
      </c>
      <c r="D212" s="23">
        <f t="shared" si="1"/>
        <v>0</v>
      </c>
      <c r="F212" s="45"/>
      <c r="H212" s="45"/>
      <c r="J212" s="45"/>
    </row>
    <row r="213">
      <c r="A213" s="22" t="s">
        <v>143</v>
      </c>
      <c r="B213" s="21">
        <f t="shared" si="5"/>
        <v>0</v>
      </c>
      <c r="C213" s="21" t="str">
        <f>VLOOKUP(A213, hash!A$2:B$500, 2, 0)</f>
        <v>6502002296a576d9fa03f993</v>
      </c>
      <c r="D213" s="23">
        <f t="shared" si="1"/>
        <v>0</v>
      </c>
      <c r="F213" s="45"/>
      <c r="H213" s="45"/>
      <c r="J213" s="45"/>
    </row>
    <row r="214">
      <c r="A214" s="22" t="s">
        <v>144</v>
      </c>
      <c r="B214" s="21">
        <f t="shared" si="5"/>
        <v>0</v>
      </c>
      <c r="C214" s="21" t="str">
        <f>VLOOKUP(A214, hash!A$2:B$500, 2, 0)</f>
        <v>6502002396a576d9fa03f994</v>
      </c>
      <c r="D214" s="23">
        <f t="shared" si="1"/>
        <v>0</v>
      </c>
      <c r="F214" s="45"/>
      <c r="H214" s="45"/>
      <c r="J214" s="45"/>
    </row>
    <row r="215">
      <c r="A215" s="22" t="s">
        <v>94</v>
      </c>
      <c r="B215" s="21">
        <f t="shared" si="5"/>
        <v>0</v>
      </c>
      <c r="C215" s="21" t="str">
        <f>VLOOKUP(A215, hash!A$2:B$500, 2, 0)</f>
        <v>6502002b1d8cbbbd315ad524</v>
      </c>
      <c r="D215" s="23">
        <f t="shared" si="1"/>
        <v>0</v>
      </c>
      <c r="F215" s="45"/>
      <c r="H215" s="45"/>
      <c r="J215" s="45"/>
    </row>
    <row r="216">
      <c r="A216" s="22" t="s">
        <v>145</v>
      </c>
      <c r="B216" s="21">
        <f t="shared" si="5"/>
        <v>0</v>
      </c>
      <c r="C216" s="21" t="str">
        <f>VLOOKUP(A216, hash!A$2:B$500, 2, 0)</f>
        <v>6502003c96a576d9fa03f99d</v>
      </c>
      <c r="D216" s="23">
        <f t="shared" si="1"/>
        <v>0</v>
      </c>
      <c r="F216" s="45"/>
      <c r="H216" s="45"/>
      <c r="J216" s="45"/>
    </row>
    <row r="217">
      <c r="A217" s="22" t="s">
        <v>614</v>
      </c>
      <c r="B217" s="21">
        <f t="shared" si="5"/>
        <v>0</v>
      </c>
      <c r="C217" s="21" t="str">
        <f>VLOOKUP(A217, hash!A$2:B$500, 2, 0)</f>
        <v>#N/A</v>
      </c>
      <c r="D217" s="23">
        <f t="shared" si="1"/>
        <v>0</v>
      </c>
      <c r="F217" s="45"/>
      <c r="H217" s="45"/>
      <c r="J217" s="45"/>
    </row>
    <row r="218">
      <c r="A218" s="22" t="s">
        <v>146</v>
      </c>
      <c r="B218" s="21">
        <f t="shared" si="5"/>
        <v>0</v>
      </c>
      <c r="C218" s="21" t="str">
        <f>VLOOKUP(A218, hash!A$2:B$500, 2, 0)</f>
        <v>6502003d57ae167867eac21c</v>
      </c>
      <c r="D218" s="23">
        <f t="shared" si="1"/>
        <v>0</v>
      </c>
      <c r="F218" s="27"/>
      <c r="H218" s="27"/>
      <c r="J218" s="27"/>
    </row>
    <row r="219">
      <c r="A219" s="22" t="s">
        <v>147</v>
      </c>
      <c r="B219" s="21">
        <f t="shared" si="5"/>
        <v>0</v>
      </c>
      <c r="C219" s="21" t="str">
        <f>VLOOKUP(A219, hash!A$2:B$500, 2, 0)</f>
        <v>65020041540ba7cc68909aa3</v>
      </c>
      <c r="D219" s="23">
        <f t="shared" si="1"/>
        <v>0</v>
      </c>
      <c r="F219" s="45"/>
      <c r="H219" s="45"/>
      <c r="J219" s="45"/>
    </row>
    <row r="220">
      <c r="A220" s="22" t="s">
        <v>615</v>
      </c>
      <c r="B220" s="21">
        <f t="shared" si="5"/>
        <v>0</v>
      </c>
      <c r="C220" s="21" t="str">
        <f>VLOOKUP(A220, hash!A$2:B$500, 2, 0)</f>
        <v>#N/A</v>
      </c>
      <c r="D220" s="23">
        <f t="shared" si="1"/>
        <v>0</v>
      </c>
      <c r="F220" s="45"/>
      <c r="H220" s="45"/>
      <c r="J220" s="45"/>
    </row>
    <row r="221">
      <c r="A221" s="22" t="s">
        <v>148</v>
      </c>
      <c r="B221" s="21">
        <f t="shared" si="5"/>
        <v>0</v>
      </c>
      <c r="C221" s="21" t="str">
        <f>VLOOKUP(A221, hash!A$2:B$500, 2, 0)</f>
        <v>650200481d8cbbbd315ad528</v>
      </c>
      <c r="D221" s="23">
        <f t="shared" si="1"/>
        <v>0</v>
      </c>
      <c r="F221" s="45"/>
      <c r="H221" s="45"/>
      <c r="J221" s="45"/>
    </row>
    <row r="222">
      <c r="A222" s="22" t="s">
        <v>149</v>
      </c>
      <c r="B222" s="21">
        <f t="shared" si="5"/>
        <v>0</v>
      </c>
      <c r="C222" s="21" t="str">
        <f>VLOOKUP(A222, hash!A$2:B$500, 2, 0)</f>
        <v>6502004f1d8cbbbd315ad52a</v>
      </c>
      <c r="D222" s="23">
        <f t="shared" si="1"/>
        <v>0</v>
      </c>
      <c r="F222" s="45"/>
      <c r="H222" s="45"/>
      <c r="J222" s="45"/>
    </row>
    <row r="223">
      <c r="A223" s="22" t="s">
        <v>616</v>
      </c>
      <c r="B223" s="21">
        <f t="shared" si="5"/>
        <v>0</v>
      </c>
      <c r="C223" s="21" t="str">
        <f>VLOOKUP(A223, hash!A$2:B$500, 2, 0)</f>
        <v>#N/A</v>
      </c>
      <c r="D223" s="23">
        <f t="shared" si="1"/>
        <v>0</v>
      </c>
      <c r="F223" s="45"/>
      <c r="H223" s="45"/>
      <c r="J223" s="45"/>
    </row>
    <row r="224">
      <c r="A224" s="22" t="s">
        <v>150</v>
      </c>
      <c r="B224" s="21">
        <f t="shared" si="5"/>
        <v>0</v>
      </c>
      <c r="C224" s="21" t="str">
        <f>VLOOKUP(A224, hash!A$2:B$500, 2, 0)</f>
        <v>6502005118c31aadb7469b1a</v>
      </c>
      <c r="D224" s="23">
        <f t="shared" si="1"/>
        <v>0</v>
      </c>
      <c r="F224" s="27"/>
      <c r="H224" s="27"/>
      <c r="J224" s="27"/>
    </row>
    <row r="225">
      <c r="A225" s="22" t="s">
        <v>151</v>
      </c>
      <c r="B225" s="21">
        <f t="shared" si="5"/>
        <v>0</v>
      </c>
      <c r="C225" s="21" t="str">
        <f>VLOOKUP(A225, hash!A$2:B$500, 2, 0)</f>
        <v>650200601d8cbbbd315ad52d</v>
      </c>
      <c r="D225" s="23">
        <f t="shared" si="1"/>
        <v>0</v>
      </c>
      <c r="F225" s="45"/>
      <c r="H225" s="45"/>
      <c r="J225" s="45"/>
    </row>
    <row r="226">
      <c r="A226" s="22" t="s">
        <v>152</v>
      </c>
      <c r="B226" s="21">
        <f t="shared" si="5"/>
        <v>0</v>
      </c>
      <c r="C226" s="21" t="str">
        <f>VLOOKUP(A226, hash!A$2:B$500, 2, 0)</f>
        <v>6502007218c31aadb7469b1d</v>
      </c>
      <c r="D226" s="23">
        <f t="shared" si="1"/>
        <v>0</v>
      </c>
      <c r="F226" s="45"/>
      <c r="H226" s="45"/>
      <c r="J226" s="45"/>
    </row>
    <row r="227">
      <c r="A227" s="22" t="s">
        <v>153</v>
      </c>
      <c r="B227" s="21">
        <f t="shared" si="5"/>
        <v>0</v>
      </c>
      <c r="C227" s="21" t="str">
        <f>VLOOKUP(A227, hash!A$2:B$500, 2, 0)</f>
        <v>6502007618c31aadb7469b1f</v>
      </c>
      <c r="D227" s="23">
        <f t="shared" si="1"/>
        <v>0</v>
      </c>
      <c r="F227" s="45"/>
      <c r="H227" s="45"/>
      <c r="J227" s="45"/>
    </row>
    <row r="228">
      <c r="A228" s="22" t="s">
        <v>617</v>
      </c>
      <c r="B228" s="21">
        <f t="shared" si="5"/>
        <v>0</v>
      </c>
      <c r="C228" s="21" t="str">
        <f>VLOOKUP(A228, hash!A$2:B$500, 2, 0)</f>
        <v>#N/A</v>
      </c>
      <c r="D228" s="23">
        <f t="shared" si="1"/>
        <v>0</v>
      </c>
      <c r="F228" s="45"/>
      <c r="H228" s="45"/>
      <c r="J228" s="45"/>
    </row>
    <row r="229">
      <c r="A229" s="22" t="s">
        <v>154</v>
      </c>
      <c r="B229" s="21">
        <f t="shared" si="5"/>
        <v>0</v>
      </c>
      <c r="C229" s="21" t="str">
        <f>VLOOKUP(A229, hash!A$2:B$500, 2, 0)</f>
        <v>6502008357ae167867eac228</v>
      </c>
      <c r="D229" s="23">
        <f t="shared" si="1"/>
        <v>0</v>
      </c>
      <c r="F229" s="45"/>
      <c r="H229" s="45"/>
      <c r="J229" s="45"/>
    </row>
    <row r="230">
      <c r="A230" s="22" t="s">
        <v>155</v>
      </c>
      <c r="B230" s="21">
        <f t="shared" si="5"/>
        <v>0</v>
      </c>
      <c r="C230" s="21" t="str">
        <f>VLOOKUP(A230, hash!A$2:B$500, 2, 0)</f>
        <v>650200931d8cbbbd315ad536</v>
      </c>
      <c r="D230" s="23">
        <f t="shared" si="1"/>
        <v>0</v>
      </c>
      <c r="F230" s="45"/>
      <c r="H230" s="45"/>
      <c r="J230" s="45"/>
    </row>
    <row r="231">
      <c r="A231" s="22" t="s">
        <v>156</v>
      </c>
      <c r="B231" s="21">
        <f t="shared" si="5"/>
        <v>0</v>
      </c>
      <c r="C231" s="21" t="str">
        <f>VLOOKUP(A231, hash!A$2:B$500, 2, 0)</f>
        <v>65020bcc03dd812a55d3a1fd</v>
      </c>
      <c r="D231" s="23">
        <f t="shared" si="1"/>
        <v>0</v>
      </c>
      <c r="F231" s="45"/>
      <c r="H231" s="45"/>
      <c r="J231" s="45"/>
    </row>
    <row r="232">
      <c r="A232" s="22" t="s">
        <v>157</v>
      </c>
      <c r="B232" s="21">
        <f t="shared" si="5"/>
        <v>0</v>
      </c>
      <c r="C232" s="21" t="str">
        <f>VLOOKUP(A232, hash!A$2:B$500, 2, 0)</f>
        <v>65020bcd03dd812a55d3a1fe</v>
      </c>
      <c r="D232" s="23">
        <f t="shared" si="1"/>
        <v>0</v>
      </c>
      <c r="F232" s="45"/>
      <c r="H232" s="45"/>
      <c r="J232" s="45"/>
    </row>
    <row r="233">
      <c r="A233" s="22" t="s">
        <v>158</v>
      </c>
      <c r="B233" s="21">
        <f t="shared" si="5"/>
        <v>0</v>
      </c>
      <c r="C233" s="21" t="str">
        <f>VLOOKUP(A233, hash!A$2:B$500, 2, 0)</f>
        <v>65020bcf8f2b101294bb3da0</v>
      </c>
      <c r="D233" s="23">
        <f t="shared" si="1"/>
        <v>0</v>
      </c>
      <c r="F233" s="45"/>
      <c r="H233" s="45"/>
      <c r="J233" s="45"/>
    </row>
    <row r="234">
      <c r="A234" s="22" t="s">
        <v>159</v>
      </c>
      <c r="B234" s="21">
        <f t="shared" si="5"/>
        <v>0</v>
      </c>
      <c r="C234" s="21" t="str">
        <f>VLOOKUP(A234, hash!A$2:B$500, 2, 0)</f>
        <v>65020bd28f2b101294bb3da1</v>
      </c>
      <c r="D234" s="23">
        <f t="shared" si="1"/>
        <v>0</v>
      </c>
      <c r="F234" s="45"/>
      <c r="H234" s="45"/>
      <c r="J234" s="45"/>
    </row>
    <row r="235">
      <c r="A235" s="22" t="s">
        <v>160</v>
      </c>
      <c r="B235" s="21">
        <f t="shared" si="5"/>
        <v>0</v>
      </c>
      <c r="C235" s="21" t="str">
        <f>VLOOKUP(A235, hash!A$2:B$500, 2, 0)</f>
        <v>65020bd203dd812a55d3a1ff</v>
      </c>
      <c r="D235" s="23">
        <f t="shared" si="1"/>
        <v>0</v>
      </c>
      <c r="F235" s="45"/>
      <c r="H235" s="45"/>
      <c r="J235" s="45"/>
    </row>
    <row r="236">
      <c r="A236" s="22" t="s">
        <v>161</v>
      </c>
      <c r="B236" s="21">
        <f t="shared" si="5"/>
        <v>0</v>
      </c>
      <c r="C236" s="21" t="str">
        <f>VLOOKUP(A236, hash!A$2:B$500, 2, 0)</f>
        <v>65020bd2967e3c86d1681e9e</v>
      </c>
      <c r="D236" s="23">
        <f t="shared" si="1"/>
        <v>0</v>
      </c>
      <c r="F236" s="45"/>
      <c r="H236" s="45"/>
      <c r="J236" s="45"/>
    </row>
    <row r="237">
      <c r="A237" s="22" t="s">
        <v>93</v>
      </c>
      <c r="B237" s="21">
        <f t="shared" si="5"/>
        <v>0</v>
      </c>
      <c r="C237" s="21" t="str">
        <f>VLOOKUP(A237, hash!A$2:B$500, 2, 0)</f>
        <v>65020bd203dd812a55d3a200</v>
      </c>
      <c r="D237" s="23">
        <f t="shared" si="1"/>
        <v>0</v>
      </c>
      <c r="F237" s="27"/>
      <c r="H237" s="27"/>
      <c r="J237" s="27"/>
    </row>
    <row r="238">
      <c r="A238" s="22" t="s">
        <v>162</v>
      </c>
      <c r="B238" s="21">
        <f t="shared" si="5"/>
        <v>0</v>
      </c>
      <c r="C238" s="21" t="str">
        <f>VLOOKUP(A238, hash!A$2:B$500, 2, 0)</f>
        <v>65020bdb03dd812a55d3a202</v>
      </c>
      <c r="D238" s="23">
        <f t="shared" si="1"/>
        <v>0</v>
      </c>
      <c r="F238" s="45"/>
      <c r="H238" s="45"/>
      <c r="J238" s="45"/>
    </row>
    <row r="239">
      <c r="A239" s="22" t="s">
        <v>163</v>
      </c>
      <c r="B239" s="21">
        <f t="shared" si="5"/>
        <v>0</v>
      </c>
      <c r="C239" s="21" t="str">
        <f>VLOOKUP(A239, hash!A$2:B$500, 2, 0)</f>
        <v>65020bde03dd812a55d3a203</v>
      </c>
      <c r="D239" s="23">
        <f t="shared" si="1"/>
        <v>0</v>
      </c>
      <c r="F239" s="45"/>
      <c r="H239" s="45"/>
      <c r="J239" s="45"/>
    </row>
    <row r="240">
      <c r="A240" s="22" t="s">
        <v>164</v>
      </c>
      <c r="B240" s="21">
        <f t="shared" si="5"/>
        <v>0</v>
      </c>
      <c r="C240" s="21" t="str">
        <f>VLOOKUP(A240, hash!A$2:B$500, 2, 0)</f>
        <v>65020be303dd812a55d3a205</v>
      </c>
      <c r="D240" s="23">
        <f t="shared" si="1"/>
        <v>0</v>
      </c>
      <c r="F240" s="45"/>
      <c r="H240" s="45"/>
      <c r="J240" s="45"/>
    </row>
    <row r="241">
      <c r="A241" s="22" t="s">
        <v>165</v>
      </c>
      <c r="B241" s="21">
        <f t="shared" si="5"/>
        <v>0</v>
      </c>
      <c r="C241" s="21" t="str">
        <f>VLOOKUP(A241, hash!A$2:B$500, 2, 0)</f>
        <v>65020be48f2b101294bb3da4</v>
      </c>
      <c r="D241" s="23">
        <f t="shared" si="1"/>
        <v>0</v>
      </c>
      <c r="F241" s="45"/>
      <c r="H241" s="45"/>
      <c r="J241" s="45"/>
    </row>
    <row r="242">
      <c r="A242" s="22" t="s">
        <v>166</v>
      </c>
      <c r="B242" s="21">
        <f t="shared" si="5"/>
        <v>0</v>
      </c>
      <c r="C242" s="21" t="str">
        <f>VLOOKUP(A242, hash!A$2:B$500, 2, 0)</f>
        <v>65020be58f2b101294bb3da6</v>
      </c>
      <c r="D242" s="23">
        <f t="shared" si="1"/>
        <v>0</v>
      </c>
      <c r="F242" s="45"/>
      <c r="H242" s="45"/>
      <c r="J242" s="45"/>
    </row>
    <row r="243">
      <c r="A243" s="22" t="s">
        <v>167</v>
      </c>
      <c r="B243" s="21">
        <f t="shared" si="5"/>
        <v>0</v>
      </c>
      <c r="C243" s="21" t="str">
        <f>VLOOKUP(A243, hash!A$2:B$500, 2, 0)</f>
        <v>65020be68f2b101294bb3da7</v>
      </c>
      <c r="D243" s="23">
        <f t="shared" si="1"/>
        <v>0</v>
      </c>
      <c r="F243" s="45"/>
      <c r="H243" s="45"/>
      <c r="J243" s="45"/>
    </row>
    <row r="244">
      <c r="A244" s="24" t="s">
        <v>618</v>
      </c>
      <c r="B244" s="21">
        <f t="shared" si="5"/>
        <v>0</v>
      </c>
      <c r="C244" s="21" t="str">
        <f>VLOOKUP(A244, hash!A$2:B$500, 2, 0)</f>
        <v>#N/A</v>
      </c>
      <c r="D244" s="23">
        <f t="shared" si="1"/>
        <v>0</v>
      </c>
      <c r="F244" s="45"/>
      <c r="H244" s="45"/>
      <c r="J244" s="45"/>
    </row>
    <row r="245">
      <c r="A245" s="22" t="s">
        <v>168</v>
      </c>
      <c r="B245" s="21">
        <f t="shared" si="5"/>
        <v>0</v>
      </c>
      <c r="C245" s="21" t="str">
        <f>VLOOKUP(A245, hash!A$2:B$500, 2, 0)</f>
        <v>65020bec8f2b101294bb3da9</v>
      </c>
      <c r="D245" s="23">
        <f t="shared" si="1"/>
        <v>0</v>
      </c>
      <c r="F245" s="45"/>
      <c r="H245" s="45"/>
      <c r="J245" s="45"/>
    </row>
    <row r="246">
      <c r="A246" s="22" t="s">
        <v>169</v>
      </c>
      <c r="B246" s="21">
        <f t="shared" si="5"/>
        <v>0</v>
      </c>
      <c r="C246" s="21" t="str">
        <f>VLOOKUP(A246, hash!A$2:B$500, 2, 0)</f>
        <v>65020bf103dd812a55d3a208</v>
      </c>
      <c r="D246" s="23">
        <f t="shared" si="1"/>
        <v>0</v>
      </c>
      <c r="F246" s="45"/>
      <c r="H246" s="45"/>
      <c r="J246" s="45"/>
    </row>
    <row r="247">
      <c r="A247" s="22" t="s">
        <v>170</v>
      </c>
      <c r="B247" s="21">
        <f t="shared" si="5"/>
        <v>0</v>
      </c>
      <c r="C247" s="21" t="str">
        <f>VLOOKUP(A247, hash!A$2:B$500, 2, 0)</f>
        <v>65020bf203dd812a55d3a209</v>
      </c>
      <c r="D247" s="23">
        <f t="shared" si="1"/>
        <v>0</v>
      </c>
      <c r="F247" s="45"/>
      <c r="H247" s="45"/>
      <c r="J247" s="45"/>
    </row>
    <row r="248">
      <c r="A248" s="22" t="s">
        <v>171</v>
      </c>
      <c r="B248" s="21">
        <f t="shared" si="5"/>
        <v>0</v>
      </c>
      <c r="C248" s="21" t="str">
        <f>VLOOKUP(A248, hash!A$2:B$500, 2, 0)</f>
        <v>65020bf603dd812a55d3a20a</v>
      </c>
      <c r="D248" s="23">
        <f t="shared" si="1"/>
        <v>0</v>
      </c>
      <c r="F248" s="45"/>
      <c r="H248" s="45"/>
      <c r="J248" s="45"/>
    </row>
    <row r="249">
      <c r="A249" s="22" t="s">
        <v>172</v>
      </c>
      <c r="B249" s="21">
        <f t="shared" si="5"/>
        <v>0</v>
      </c>
      <c r="C249" s="21" t="str">
        <f>VLOOKUP(A249, hash!A$2:B$500, 2, 0)</f>
        <v>65020bf8097ac3c9d063264a</v>
      </c>
      <c r="D249" s="23">
        <f t="shared" si="1"/>
        <v>0</v>
      </c>
      <c r="F249" s="45"/>
      <c r="H249" s="45"/>
      <c r="J249" s="45"/>
    </row>
    <row r="250">
      <c r="A250" s="22" t="s">
        <v>619</v>
      </c>
      <c r="B250" s="21">
        <f t="shared" si="5"/>
        <v>0</v>
      </c>
      <c r="C250" s="21" t="str">
        <f>VLOOKUP(A250, hash!A$2:B$500, 2, 0)</f>
        <v>#N/A</v>
      </c>
      <c r="D250" s="23">
        <f t="shared" si="1"/>
        <v>0</v>
      </c>
      <c r="F250" s="45"/>
      <c r="H250" s="45"/>
      <c r="J250" s="45"/>
    </row>
    <row r="251">
      <c r="A251" s="22" t="s">
        <v>173</v>
      </c>
      <c r="B251" s="21">
        <f t="shared" si="5"/>
        <v>0</v>
      </c>
      <c r="C251" s="21" t="str">
        <f>VLOOKUP(A251, hash!A$2:B$500, 2, 0)</f>
        <v>65020bfb097ac3c9d063264c</v>
      </c>
      <c r="D251" s="23">
        <f t="shared" si="1"/>
        <v>0</v>
      </c>
      <c r="E251" s="14">
        <v>0.0</v>
      </c>
      <c r="F251" s="27">
        <v>0.0</v>
      </c>
      <c r="G251" s="14">
        <v>0.0</v>
      </c>
      <c r="H251" s="27">
        <v>0.0</v>
      </c>
      <c r="I251" s="14">
        <v>0.0</v>
      </c>
      <c r="J251" s="27">
        <v>0.0</v>
      </c>
    </row>
    <row r="252">
      <c r="A252" s="22" t="s">
        <v>174</v>
      </c>
      <c r="B252" s="21">
        <f t="shared" si="5"/>
        <v>0</v>
      </c>
      <c r="C252" s="21" t="str">
        <f>VLOOKUP(A252, hash!A$2:B$500, 2, 0)</f>
        <v>65020bfc097ac3c9d063264e</v>
      </c>
      <c r="D252" s="23">
        <f t="shared" si="1"/>
        <v>0</v>
      </c>
      <c r="F252" s="45"/>
      <c r="H252" s="45"/>
      <c r="J252" s="45"/>
    </row>
    <row r="253">
      <c r="A253" s="22" t="s">
        <v>175</v>
      </c>
      <c r="B253" s="21">
        <f t="shared" si="5"/>
        <v>0</v>
      </c>
      <c r="C253" s="21" t="str">
        <f>VLOOKUP(A253, hash!A$2:B$500, 2, 0)</f>
        <v>65020c00097ac3c9d0632650</v>
      </c>
      <c r="D253" s="23">
        <f t="shared" si="1"/>
        <v>0</v>
      </c>
      <c r="F253" s="45"/>
      <c r="H253" s="45"/>
      <c r="J253" s="45"/>
    </row>
    <row r="254">
      <c r="A254" s="22" t="s">
        <v>176</v>
      </c>
      <c r="B254" s="21">
        <f t="shared" si="5"/>
        <v>0</v>
      </c>
      <c r="C254" s="21" t="str">
        <f>VLOOKUP(A254, hash!A$2:B$500, 2, 0)</f>
        <v>65020c058f2b101294bb3daa</v>
      </c>
      <c r="D254" s="23">
        <f t="shared" si="1"/>
        <v>0</v>
      </c>
      <c r="F254" s="45"/>
      <c r="H254" s="45"/>
      <c r="J254" s="45"/>
    </row>
    <row r="255">
      <c r="A255" s="22" t="s">
        <v>177</v>
      </c>
      <c r="B255" s="21">
        <f t="shared" si="5"/>
        <v>0</v>
      </c>
      <c r="C255" s="21" t="str">
        <f>VLOOKUP(A255, hash!A$2:B$500, 2, 0)</f>
        <v>65020c068f2b101294bb3dab</v>
      </c>
      <c r="D255" s="23">
        <f t="shared" si="1"/>
        <v>0</v>
      </c>
      <c r="F255" s="45"/>
      <c r="H255" s="45"/>
      <c r="J255" s="45"/>
    </row>
    <row r="256">
      <c r="A256" s="22" t="s">
        <v>178</v>
      </c>
      <c r="B256" s="21">
        <f t="shared" si="5"/>
        <v>0</v>
      </c>
      <c r="C256" s="21" t="str">
        <f>VLOOKUP(A256, hash!A$2:B$500, 2, 0)</f>
        <v>65020c06097ac3c9d0632652</v>
      </c>
      <c r="D256" s="23">
        <f t="shared" si="1"/>
        <v>0</v>
      </c>
      <c r="F256" s="45"/>
      <c r="H256" s="45"/>
      <c r="J256" s="45"/>
    </row>
    <row r="257">
      <c r="A257" s="22" t="s">
        <v>179</v>
      </c>
      <c r="B257" s="21">
        <f t="shared" si="5"/>
        <v>0</v>
      </c>
      <c r="C257" s="21" t="str">
        <f>VLOOKUP(A257, hash!A$2:B$500, 2, 0)</f>
        <v>65020c088f2b101294bb3dad</v>
      </c>
      <c r="D257" s="23">
        <f t="shared" si="1"/>
        <v>0</v>
      </c>
      <c r="F257" s="27"/>
      <c r="H257" s="27"/>
      <c r="J257" s="27"/>
    </row>
    <row r="258">
      <c r="A258" s="22" t="s">
        <v>180</v>
      </c>
      <c r="B258" s="21">
        <f t="shared" si="5"/>
        <v>0</v>
      </c>
      <c r="C258" s="21" t="str">
        <f>VLOOKUP(A258, hash!A$2:B$500, 2, 0)</f>
        <v>65020c0f03dd812a55d3a20d</v>
      </c>
      <c r="D258" s="23">
        <f t="shared" si="1"/>
        <v>0</v>
      </c>
      <c r="F258" s="45"/>
      <c r="H258" s="45"/>
      <c r="J258" s="45"/>
    </row>
    <row r="259">
      <c r="A259" s="22" t="s">
        <v>181</v>
      </c>
      <c r="B259" s="21">
        <f t="shared" si="5"/>
        <v>0</v>
      </c>
      <c r="C259" s="21" t="str">
        <f>VLOOKUP(A259, hash!A$2:B$500, 2, 0)</f>
        <v>65020c158f2b101294bb3daf</v>
      </c>
      <c r="D259" s="23">
        <f t="shared" si="1"/>
        <v>0</v>
      </c>
      <c r="F259" s="45"/>
      <c r="H259" s="45"/>
      <c r="J259" s="45"/>
    </row>
    <row r="260">
      <c r="A260" s="22" t="s">
        <v>182</v>
      </c>
      <c r="B260" s="21">
        <f t="shared" si="5"/>
        <v>0</v>
      </c>
      <c r="C260" s="21" t="str">
        <f>VLOOKUP(A260, hash!A$2:B$500, 2, 0)</f>
        <v>65020c188f2b101294bb3db0</v>
      </c>
      <c r="D260" s="23">
        <f t="shared" si="1"/>
        <v>0</v>
      </c>
      <c r="F260" s="45"/>
      <c r="H260" s="45"/>
      <c r="J260" s="45"/>
    </row>
    <row r="261">
      <c r="A261" s="22" t="s">
        <v>620</v>
      </c>
      <c r="B261" s="21">
        <f t="shared" si="5"/>
        <v>0</v>
      </c>
      <c r="C261" s="21" t="str">
        <f>VLOOKUP(A261, hash!A$2:B$500, 2, 0)</f>
        <v>#N/A</v>
      </c>
      <c r="D261" s="23">
        <f t="shared" si="1"/>
        <v>0</v>
      </c>
      <c r="F261" s="45"/>
      <c r="H261" s="45"/>
      <c r="J261" s="45"/>
    </row>
    <row r="262">
      <c r="A262" s="22" t="s">
        <v>183</v>
      </c>
      <c r="B262" s="21">
        <f t="shared" si="5"/>
        <v>0</v>
      </c>
      <c r="C262" s="21" t="str">
        <f>VLOOKUP(A262, hash!A$2:B$500, 2, 0)</f>
        <v>65020c5b097ac3c9d0632661</v>
      </c>
      <c r="D262" s="23">
        <f t="shared" si="1"/>
        <v>0</v>
      </c>
      <c r="F262" s="45"/>
      <c r="H262" s="45"/>
      <c r="J262" s="45"/>
    </row>
    <row r="263">
      <c r="A263" s="22" t="s">
        <v>184</v>
      </c>
      <c r="B263" s="21">
        <f t="shared" si="5"/>
        <v>0</v>
      </c>
      <c r="C263" s="21" t="str">
        <f>VLOOKUP(A263, hash!A$2:B$500, 2, 0)</f>
        <v>65020cea8f2b101294bb3dbe</v>
      </c>
      <c r="D263" s="23">
        <f t="shared" si="1"/>
        <v>0</v>
      </c>
      <c r="F263" s="45"/>
      <c r="H263" s="45"/>
      <c r="J263" s="45"/>
    </row>
    <row r="264">
      <c r="A264" s="22" t="s">
        <v>185</v>
      </c>
      <c r="B264" s="21">
        <f t="shared" si="5"/>
        <v>0</v>
      </c>
      <c r="C264" s="21" t="str">
        <f>VLOOKUP(A264, hash!A$2:B$500, 2, 0)</f>
        <v>65020d4b097ac3c9d063266a</v>
      </c>
      <c r="D264" s="23">
        <f t="shared" si="1"/>
        <v>0</v>
      </c>
      <c r="F264" s="45"/>
      <c r="H264" s="45"/>
      <c r="J264" s="45"/>
    </row>
    <row r="265">
      <c r="A265" s="22" t="s">
        <v>186</v>
      </c>
      <c r="B265" s="21">
        <f t="shared" si="5"/>
        <v>0</v>
      </c>
      <c r="C265" s="21" t="str">
        <f>VLOOKUP(A265, hash!A$2:B$500, 2, 0)</f>
        <v>65044a78c61c6a809dc7166a</v>
      </c>
      <c r="D265" s="23">
        <f t="shared" si="1"/>
        <v>0</v>
      </c>
      <c r="F265" s="45"/>
      <c r="H265" s="45"/>
      <c r="J265" s="45"/>
    </row>
    <row r="266">
      <c r="A266" s="22" t="s">
        <v>187</v>
      </c>
      <c r="B266" s="21">
        <f t="shared" si="5"/>
        <v>0</v>
      </c>
      <c r="C266" s="21" t="str">
        <f>VLOOKUP(A266, hash!A$2:B$500, 2, 0)</f>
        <v>650b3a05831593811cfcd7a6</v>
      </c>
      <c r="D266" s="23">
        <f t="shared" si="1"/>
        <v>0</v>
      </c>
      <c r="F266" s="45"/>
      <c r="H266" s="45"/>
      <c r="J266" s="45"/>
    </row>
    <row r="267">
      <c r="A267" s="22" t="s">
        <v>188</v>
      </c>
      <c r="B267" s="21">
        <f t="shared" si="5"/>
        <v>0</v>
      </c>
      <c r="C267" s="21" t="str">
        <f>VLOOKUP(A267, hash!A$2:B$500, 2, 0)</f>
        <v>650b3a079d801acd9fe283a1</v>
      </c>
      <c r="D267" s="23">
        <f t="shared" si="1"/>
        <v>0</v>
      </c>
      <c r="F267" s="45"/>
      <c r="H267" s="45"/>
      <c r="J267" s="45"/>
    </row>
    <row r="268">
      <c r="A268" s="22" t="s">
        <v>189</v>
      </c>
      <c r="B268" s="21">
        <f t="shared" si="5"/>
        <v>0</v>
      </c>
      <c r="C268" s="21" t="str">
        <f>VLOOKUP(A268, hash!A$2:B$500, 2, 0)</f>
        <v>650b3a09ed7955a527757145</v>
      </c>
      <c r="D268" s="23">
        <f t="shared" si="1"/>
        <v>0</v>
      </c>
      <c r="F268" s="45"/>
      <c r="H268" s="45"/>
      <c r="J268" s="45"/>
    </row>
    <row r="269">
      <c r="A269" s="22" t="s">
        <v>190</v>
      </c>
      <c r="B269" s="21">
        <f t="shared" si="5"/>
        <v>0</v>
      </c>
      <c r="C269" s="21" t="str">
        <f>VLOOKUP(A269, hash!A$2:B$500, 2, 0)</f>
        <v>650b3a0ded7955a527757147</v>
      </c>
      <c r="D269" s="23">
        <f t="shared" si="1"/>
        <v>0</v>
      </c>
      <c r="F269" s="45"/>
      <c r="H269" s="45"/>
      <c r="J269" s="45"/>
    </row>
    <row r="270">
      <c r="A270" s="22" t="s">
        <v>191</v>
      </c>
      <c r="B270" s="21">
        <f t="shared" si="5"/>
        <v>0</v>
      </c>
      <c r="C270" s="21" t="str">
        <f>VLOOKUP(A270, hash!A$2:B$500, 2, 0)</f>
        <v>650b3a0eacb6c663527423b7</v>
      </c>
      <c r="D270" s="23">
        <f t="shared" si="1"/>
        <v>0</v>
      </c>
      <c r="F270" s="45"/>
      <c r="H270" s="45"/>
      <c r="J270" s="45"/>
    </row>
    <row r="271">
      <c r="A271" s="22" t="s">
        <v>192</v>
      </c>
      <c r="B271" s="21">
        <f t="shared" si="5"/>
        <v>0</v>
      </c>
      <c r="C271" s="21" t="str">
        <f>VLOOKUP(A271, hash!A$2:B$500, 2, 0)</f>
        <v>650b3a0e9d801acd9fe283a2</v>
      </c>
      <c r="D271" s="23">
        <f t="shared" si="1"/>
        <v>0</v>
      </c>
      <c r="F271" s="45"/>
      <c r="H271" s="45"/>
      <c r="J271" s="45"/>
    </row>
    <row r="272">
      <c r="A272" s="22" t="s">
        <v>193</v>
      </c>
      <c r="B272" s="21">
        <f t="shared" si="5"/>
        <v>0</v>
      </c>
      <c r="C272" s="21" t="str">
        <f>VLOOKUP(A272, hash!A$2:B$500, 2, 0)</f>
        <v>650b3a15ed7955a527757149</v>
      </c>
      <c r="D272" s="23">
        <f t="shared" si="1"/>
        <v>0</v>
      </c>
      <c r="F272" s="45"/>
      <c r="H272" s="45"/>
      <c r="J272" s="45"/>
    </row>
    <row r="273">
      <c r="A273" s="22" t="s">
        <v>194</v>
      </c>
      <c r="B273" s="21">
        <f t="shared" si="5"/>
        <v>0</v>
      </c>
      <c r="C273" s="21" t="str">
        <f>VLOOKUP(A273, hash!A$2:B$500, 2, 0)</f>
        <v>650b3a1ced7955a52775714b</v>
      </c>
      <c r="D273" s="23">
        <f t="shared" si="1"/>
        <v>0</v>
      </c>
      <c r="F273" s="45"/>
      <c r="H273" s="45"/>
      <c r="J273" s="45"/>
    </row>
    <row r="274">
      <c r="A274" s="22" t="s">
        <v>195</v>
      </c>
      <c r="B274" s="21">
        <f t="shared" si="5"/>
        <v>0</v>
      </c>
      <c r="C274" s="21" t="str">
        <f>VLOOKUP(A274, hash!A$2:B$500, 2, 0)</f>
        <v>650b3a9e41c634acd2e8f3d0</v>
      </c>
      <c r="D274" s="23">
        <f t="shared" si="1"/>
        <v>0</v>
      </c>
      <c r="F274" s="45"/>
      <c r="H274" s="45"/>
      <c r="J274" s="45"/>
    </row>
    <row r="275">
      <c r="A275" s="22" t="s">
        <v>196</v>
      </c>
      <c r="B275" s="21">
        <f t="shared" si="5"/>
        <v>0</v>
      </c>
      <c r="C275" s="21" t="str">
        <f>VLOOKUP(A275, hash!A$2:B$500, 2, 0)</f>
        <v>650b40c463d8964b8e363b3b</v>
      </c>
      <c r="D275" s="23">
        <f t="shared" si="1"/>
        <v>0</v>
      </c>
      <c r="F275" s="45"/>
      <c r="H275" s="45"/>
      <c r="J275" s="45"/>
    </row>
    <row r="276">
      <c r="A276" s="22" t="s">
        <v>197</v>
      </c>
      <c r="B276" s="21">
        <f t="shared" si="5"/>
        <v>0</v>
      </c>
      <c r="C276" s="21" t="str">
        <f>VLOOKUP(A276, hash!A$2:B$500, 2, 0)</f>
        <v>650b40ce63d8964b8e363b3d</v>
      </c>
      <c r="D276" s="23">
        <f t="shared" si="1"/>
        <v>0</v>
      </c>
      <c r="F276" s="45"/>
      <c r="H276" s="45"/>
      <c r="J276" s="45"/>
    </row>
    <row r="277">
      <c r="A277" s="22" t="s">
        <v>198</v>
      </c>
      <c r="B277" s="21">
        <f t="shared" si="5"/>
        <v>0</v>
      </c>
      <c r="C277" s="21" t="str">
        <f>VLOOKUP(A277, hash!A$2:B$500, 2, 0)</f>
        <v>650b446c63d8964b8e363b40</v>
      </c>
      <c r="D277" s="23">
        <f t="shared" si="1"/>
        <v>0</v>
      </c>
      <c r="F277" s="45"/>
      <c r="H277" s="45"/>
      <c r="J277" s="45"/>
    </row>
    <row r="278">
      <c r="A278" s="22" t="s">
        <v>199</v>
      </c>
      <c r="B278" s="21">
        <f t="shared" si="5"/>
        <v>0</v>
      </c>
      <c r="C278" s="21" t="str">
        <f>VLOOKUP(A278, hash!A$2:B$500, 2, 0)</f>
        <v>650b44847b17d110a03d7208</v>
      </c>
      <c r="D278" s="23">
        <f t="shared" si="1"/>
        <v>0</v>
      </c>
      <c r="F278" s="45"/>
      <c r="H278" s="45"/>
      <c r="J278" s="45"/>
    </row>
    <row r="279">
      <c r="A279" s="22" t="s">
        <v>200</v>
      </c>
      <c r="B279" s="21">
        <f t="shared" si="5"/>
        <v>0</v>
      </c>
      <c r="C279" s="21" t="str">
        <f>VLOOKUP(A279, hash!A$2:B$500, 2, 0)</f>
        <v>650b44997b17d110a03d7209</v>
      </c>
      <c r="D279" s="23">
        <f t="shared" si="1"/>
        <v>0</v>
      </c>
      <c r="F279" s="45"/>
      <c r="H279" s="45"/>
      <c r="J279" s="45"/>
    </row>
    <row r="280">
      <c r="A280" s="22" t="s">
        <v>201</v>
      </c>
      <c r="B280" s="21">
        <f t="shared" si="5"/>
        <v>0</v>
      </c>
      <c r="C280" s="21" t="str">
        <f>VLOOKUP(A280, hash!A$2:B$500, 2, 0)</f>
        <v>650b45dd0df4236622e51063</v>
      </c>
      <c r="D280" s="23">
        <f t="shared" si="1"/>
        <v>0</v>
      </c>
      <c r="F280" s="45"/>
      <c r="H280" s="45"/>
      <c r="J280" s="45"/>
    </row>
    <row r="281">
      <c r="A281" s="22" t="s">
        <v>202</v>
      </c>
      <c r="B281" s="21">
        <f t="shared" si="5"/>
        <v>0</v>
      </c>
      <c r="C281" s="21" t="str">
        <f>VLOOKUP(A281, hash!A$2:B$500, 2, 0)</f>
        <v>650b461a1798582bd25e6f14</v>
      </c>
      <c r="D281" s="23">
        <f t="shared" si="1"/>
        <v>0</v>
      </c>
      <c r="F281" s="45"/>
      <c r="H281" s="45"/>
      <c r="J281" s="45"/>
    </row>
    <row r="282">
      <c r="A282" s="22" t="s">
        <v>203</v>
      </c>
      <c r="B282" s="21">
        <f t="shared" si="5"/>
        <v>0</v>
      </c>
      <c r="C282" s="21" t="str">
        <f>VLOOKUP(A282, hash!A$2:B$500, 2, 0)</f>
        <v>650b466f0ebdcd576cc45c6f</v>
      </c>
      <c r="D282" s="23">
        <f t="shared" si="1"/>
        <v>0</v>
      </c>
      <c r="F282" s="45"/>
      <c r="H282" s="45"/>
      <c r="J282" s="45"/>
    </row>
    <row r="283">
      <c r="A283" s="22" t="s">
        <v>204</v>
      </c>
      <c r="B283" s="21">
        <f t="shared" si="5"/>
        <v>0</v>
      </c>
      <c r="C283" s="21" t="str">
        <f>VLOOKUP(A283, hash!A$2:B$500, 2, 0)</f>
        <v>650b46820ebdcd576cc45c70</v>
      </c>
      <c r="D283" s="23">
        <f t="shared" si="1"/>
        <v>0</v>
      </c>
      <c r="F283" s="45"/>
      <c r="H283" s="45"/>
      <c r="J283" s="45"/>
    </row>
    <row r="284">
      <c r="A284" s="22" t="s">
        <v>205</v>
      </c>
      <c r="B284" s="21">
        <f t="shared" si="5"/>
        <v>0</v>
      </c>
      <c r="C284" s="21" t="str">
        <f>VLOOKUP(A284, hash!A$2:B$500, 2, 0)</f>
        <v>650b477d7b17d110a03d7221</v>
      </c>
      <c r="D284" s="23">
        <f t="shared" si="1"/>
        <v>0</v>
      </c>
      <c r="F284" s="45"/>
      <c r="H284" s="45"/>
      <c r="J284" s="45"/>
    </row>
    <row r="285">
      <c r="A285" s="22" t="s">
        <v>621</v>
      </c>
      <c r="B285" s="21">
        <f t="shared" si="5"/>
        <v>0</v>
      </c>
      <c r="C285" s="21" t="str">
        <f>VLOOKUP(A285, hash!A$2:B$500, 2, 0)</f>
        <v>#N/A</v>
      </c>
      <c r="D285" s="23">
        <f t="shared" si="1"/>
        <v>0</v>
      </c>
      <c r="F285" s="45"/>
      <c r="H285" s="45"/>
      <c r="J285" s="45"/>
    </row>
    <row r="286">
      <c r="A286" s="22" t="s">
        <v>206</v>
      </c>
      <c r="B286" s="21">
        <f t="shared" si="5"/>
        <v>0</v>
      </c>
      <c r="C286" s="21" t="str">
        <f>VLOOKUP(A286, hash!A$2:B$500, 2, 0)</f>
        <v>651473b073ba37322a56bc86</v>
      </c>
      <c r="D286" s="23">
        <f t="shared" si="1"/>
        <v>0</v>
      </c>
      <c r="F286" s="45"/>
      <c r="H286" s="45"/>
      <c r="J286" s="45"/>
    </row>
    <row r="287">
      <c r="A287" s="22" t="s">
        <v>207</v>
      </c>
      <c r="B287" s="21">
        <f t="shared" si="5"/>
        <v>0</v>
      </c>
      <c r="C287" s="21" t="str">
        <f>VLOOKUP(A287, hash!A$2:B$500, 2, 0)</f>
        <v>6514746bcb3856acbe2e045e</v>
      </c>
      <c r="D287" s="23">
        <f t="shared" si="1"/>
        <v>0</v>
      </c>
      <c r="F287" s="45"/>
      <c r="H287" s="45"/>
      <c r="J287" s="45"/>
    </row>
    <row r="288">
      <c r="A288" s="22" t="s">
        <v>208</v>
      </c>
      <c r="B288" s="21">
        <f t="shared" si="5"/>
        <v>0</v>
      </c>
      <c r="C288" s="21" t="str">
        <f>VLOOKUP(A288, hash!A$2:B$500, 2, 0)</f>
        <v>651474adbad0d569bbd8c620</v>
      </c>
      <c r="D288" s="23">
        <f t="shared" si="1"/>
        <v>0</v>
      </c>
      <c r="F288" s="45"/>
      <c r="H288" s="45"/>
      <c r="J288" s="45"/>
    </row>
    <row r="289">
      <c r="A289" s="22" t="s">
        <v>622</v>
      </c>
      <c r="B289" s="21">
        <f t="shared" si="5"/>
        <v>0</v>
      </c>
      <c r="C289" s="21" t="str">
        <f>VLOOKUP(A289, hash!A$2:B$500, 2, 0)</f>
        <v>#N/A</v>
      </c>
      <c r="D289" s="23">
        <f t="shared" si="1"/>
        <v>0</v>
      </c>
      <c r="F289" s="45"/>
      <c r="H289" s="45"/>
      <c r="J289" s="45"/>
    </row>
    <row r="290">
      <c r="A290" s="22" t="s">
        <v>209</v>
      </c>
      <c r="B290" s="21">
        <f t="shared" si="5"/>
        <v>0</v>
      </c>
      <c r="C290" s="21" t="str">
        <f>VLOOKUP(A290, hash!A$2:B$500, 2, 0)</f>
        <v>651480e5b25a8777756c8277</v>
      </c>
      <c r="D290" s="23">
        <f t="shared" si="1"/>
        <v>0</v>
      </c>
      <c r="F290" s="45"/>
      <c r="H290" s="45"/>
      <c r="J290" s="45"/>
    </row>
    <row r="291">
      <c r="A291" s="22" t="s">
        <v>210</v>
      </c>
      <c r="B291" s="21">
        <f t="shared" si="5"/>
        <v>0</v>
      </c>
      <c r="C291" s="21" t="str">
        <f>VLOOKUP(A291, hash!A$2:B$500, 2, 0)</f>
        <v>651621a7755b5ba7402891b3</v>
      </c>
      <c r="D291" s="23">
        <f t="shared" si="1"/>
        <v>0</v>
      </c>
      <c r="F291" s="45"/>
      <c r="H291" s="45"/>
      <c r="J291" s="45"/>
    </row>
    <row r="292">
      <c r="A292" s="22" t="s">
        <v>12</v>
      </c>
      <c r="B292" s="21">
        <f t="shared" si="5"/>
        <v>0</v>
      </c>
      <c r="C292" s="21" t="str">
        <f>VLOOKUP(A292, hash!A$2:B$500, 2, 0)</f>
        <v>651dadf4a69631c34bde617f</v>
      </c>
      <c r="D292" s="23">
        <f t="shared" si="1"/>
        <v>0</v>
      </c>
      <c r="E292" s="14">
        <v>0.0</v>
      </c>
      <c r="F292" s="27">
        <v>0.0</v>
      </c>
      <c r="G292" s="14">
        <v>0.0</v>
      </c>
      <c r="H292" s="27">
        <v>0.0</v>
      </c>
      <c r="I292" s="14">
        <v>0.0</v>
      </c>
      <c r="J292" s="27">
        <v>0.0</v>
      </c>
    </row>
    <row r="293">
      <c r="A293" s="22" t="s">
        <v>211</v>
      </c>
      <c r="B293" s="21">
        <f t="shared" si="5"/>
        <v>0</v>
      </c>
      <c r="C293" s="21" t="str">
        <f>VLOOKUP(A293, hash!A$2:B$500, 2, 0)</f>
        <v>651daf0edc9060f76fe584c7</v>
      </c>
      <c r="D293" s="23">
        <f t="shared" si="1"/>
        <v>0</v>
      </c>
      <c r="F293" s="45"/>
      <c r="H293" s="45"/>
      <c r="J293" s="45"/>
    </row>
    <row r="294">
      <c r="A294" s="22" t="s">
        <v>212</v>
      </c>
      <c r="B294" s="21">
        <f t="shared" si="5"/>
        <v>0</v>
      </c>
      <c r="C294" s="21" t="str">
        <f>VLOOKUP(A294, hash!A$2:B$500, 2, 0)</f>
        <v>651db9af9dea57c7cb020129</v>
      </c>
      <c r="D294" s="23">
        <f t="shared" si="1"/>
        <v>0</v>
      </c>
      <c r="F294" s="27"/>
      <c r="H294" s="27"/>
      <c r="J294" s="27"/>
    </row>
    <row r="295">
      <c r="A295" s="22" t="s">
        <v>213</v>
      </c>
      <c r="B295" s="21">
        <f t="shared" si="5"/>
        <v>0</v>
      </c>
      <c r="C295" s="21" t="str">
        <f>VLOOKUP(A295, hash!A$2:B$500, 2, 0)</f>
        <v>651dbad69dea57c7cb020139</v>
      </c>
      <c r="D295" s="23">
        <f t="shared" si="1"/>
        <v>0</v>
      </c>
      <c r="F295" s="45"/>
      <c r="H295" s="45"/>
      <c r="J295" s="45"/>
    </row>
    <row r="296">
      <c r="A296" s="22" t="s">
        <v>214</v>
      </c>
      <c r="B296" s="21">
        <f t="shared" si="5"/>
        <v>0</v>
      </c>
      <c r="C296" s="21" t="str">
        <f>VLOOKUP(A296, hash!A$2:B$500, 2, 0)</f>
        <v>651dbae7d54b632818878f41</v>
      </c>
      <c r="D296" s="23">
        <f t="shared" si="1"/>
        <v>0</v>
      </c>
      <c r="F296" s="45"/>
      <c r="H296" s="45"/>
      <c r="J296" s="45"/>
    </row>
    <row r="297">
      <c r="A297" s="22" t="s">
        <v>215</v>
      </c>
      <c r="B297" s="21">
        <f t="shared" si="5"/>
        <v>0</v>
      </c>
      <c r="C297" s="21" t="str">
        <f>VLOOKUP(A297, hash!A$2:B$500, 2, 0)</f>
        <v>651dbb15d54b632818878f43</v>
      </c>
      <c r="D297" s="23">
        <f t="shared" si="1"/>
        <v>0</v>
      </c>
      <c r="F297" s="45"/>
      <c r="H297" s="45"/>
      <c r="J297" s="45"/>
    </row>
    <row r="298">
      <c r="A298" s="22" t="s">
        <v>216</v>
      </c>
      <c r="B298" s="21">
        <f t="shared" si="5"/>
        <v>0</v>
      </c>
      <c r="C298" s="21" t="str">
        <f>VLOOKUP(A298, hash!A$2:B$500, 2, 0)</f>
        <v>651dbb299dea57c7cb020142</v>
      </c>
      <c r="D298" s="23">
        <f t="shared" si="1"/>
        <v>0</v>
      </c>
      <c r="F298" s="45"/>
      <c r="H298" s="45"/>
      <c r="J298" s="45"/>
    </row>
    <row r="299">
      <c r="A299" s="22" t="s">
        <v>217</v>
      </c>
      <c r="B299" s="21">
        <f t="shared" si="5"/>
        <v>0</v>
      </c>
      <c r="C299" s="21" t="str">
        <f>VLOOKUP(A299, hash!A$2:B$500, 2, 0)</f>
        <v>651dbb3f9dea57c7cb020143</v>
      </c>
      <c r="D299" s="23">
        <f t="shared" si="1"/>
        <v>0</v>
      </c>
      <c r="F299" s="45"/>
      <c r="H299" s="45"/>
      <c r="J299" s="45"/>
    </row>
    <row r="300">
      <c r="A300" s="22" t="s">
        <v>218</v>
      </c>
      <c r="B300" s="21">
        <f t="shared" si="5"/>
        <v>0</v>
      </c>
      <c r="C300" s="21" t="str">
        <f>VLOOKUP(A300, hash!A$2:B$500, 2, 0)</f>
        <v>651dbc99ca156cc80367f4eb</v>
      </c>
      <c r="D300" s="23">
        <f t="shared" si="1"/>
        <v>0</v>
      </c>
      <c r="F300" s="45"/>
      <c r="H300" s="45"/>
      <c r="J300" s="45"/>
    </row>
    <row r="301">
      <c r="A301" s="22" t="s">
        <v>623</v>
      </c>
      <c r="B301" s="21">
        <f t="shared" si="5"/>
        <v>0</v>
      </c>
      <c r="C301" s="21" t="str">
        <f>VLOOKUP(A301, hash!A$2:B$500, 2, 0)</f>
        <v>#N/A</v>
      </c>
      <c r="D301" s="23">
        <f t="shared" si="1"/>
        <v>0</v>
      </c>
      <c r="F301" s="45"/>
      <c r="H301" s="45"/>
      <c r="J301" s="45"/>
    </row>
    <row r="302">
      <c r="A302" s="22" t="s">
        <v>219</v>
      </c>
      <c r="B302" s="21">
        <f t="shared" si="5"/>
        <v>0</v>
      </c>
      <c r="C302" s="21" t="str">
        <f>VLOOKUP(A302, hash!A$2:B$500, 2, 0)</f>
        <v>652403893fc5d4c9ab851009</v>
      </c>
      <c r="D302" s="23">
        <f t="shared" si="1"/>
        <v>0</v>
      </c>
      <c r="F302" s="27"/>
      <c r="H302" s="27"/>
      <c r="J302" s="27"/>
    </row>
    <row r="303">
      <c r="A303" s="22" t="s">
        <v>220</v>
      </c>
      <c r="B303" s="21">
        <f t="shared" si="5"/>
        <v>0</v>
      </c>
      <c r="C303" s="21" t="str">
        <f>VLOOKUP(A303, hash!A$2:B$500, 2, 0)</f>
        <v>6530232bcf7c5adcfb301ec7</v>
      </c>
      <c r="D303" s="23">
        <f t="shared" si="1"/>
        <v>0</v>
      </c>
      <c r="F303" s="45"/>
      <c r="H303" s="45"/>
      <c r="J303" s="45"/>
    </row>
    <row r="304">
      <c r="A304" s="22" t="s">
        <v>221</v>
      </c>
      <c r="B304" s="21">
        <f t="shared" si="5"/>
        <v>0</v>
      </c>
      <c r="C304" s="21" t="str">
        <f>VLOOKUP(A304, hash!A$2:B$500, 2, 0)</f>
        <v>65302e080e286366617e4629</v>
      </c>
      <c r="D304" s="23">
        <f t="shared" si="1"/>
        <v>0</v>
      </c>
      <c r="F304" s="45"/>
      <c r="H304" s="45"/>
      <c r="J304" s="45"/>
    </row>
    <row r="305">
      <c r="A305" s="22" t="s">
        <v>222</v>
      </c>
      <c r="B305" s="21">
        <f t="shared" si="5"/>
        <v>0</v>
      </c>
      <c r="C305" s="21" t="str">
        <f>VLOOKUP(A305, hash!A$2:B$500, 2, 0)</f>
        <v>65395d6799af0b0f3444fd51</v>
      </c>
      <c r="D305" s="23">
        <f t="shared" si="1"/>
        <v>0</v>
      </c>
      <c r="F305" s="27"/>
      <c r="H305" s="27"/>
      <c r="J305" s="27"/>
    </row>
    <row r="306">
      <c r="A306" s="22" t="s">
        <v>223</v>
      </c>
      <c r="B306" s="21">
        <f t="shared" si="5"/>
        <v>0</v>
      </c>
      <c r="C306" s="21" t="str">
        <f>VLOOKUP(A306, hash!A$2:B$500, 2, 0)</f>
        <v>6539689ac8f6bb22aba878d1</v>
      </c>
      <c r="D306" s="23">
        <f t="shared" si="1"/>
        <v>0</v>
      </c>
      <c r="F306" s="45"/>
      <c r="H306" s="45"/>
      <c r="J306" s="45"/>
    </row>
    <row r="307">
      <c r="A307" s="22" t="s">
        <v>224</v>
      </c>
      <c r="B307" s="21">
        <f t="shared" si="5"/>
        <v>0</v>
      </c>
      <c r="C307" s="21" t="str">
        <f>VLOOKUP(A307, hash!A$2:B$500, 2, 0)</f>
        <v>6542987e2bee7559f37bee8d</v>
      </c>
      <c r="D307" s="23">
        <f t="shared" si="1"/>
        <v>0</v>
      </c>
      <c r="F307" s="45"/>
      <c r="H307" s="45"/>
      <c r="J307" s="45"/>
    </row>
    <row r="308">
      <c r="A308" s="22" t="s">
        <v>225</v>
      </c>
      <c r="B308" s="21">
        <f t="shared" si="5"/>
        <v>0</v>
      </c>
      <c r="C308" s="21" t="str">
        <f>VLOOKUP(A308, hash!A$2:B$500, 2, 0)</f>
        <v>65429927208c9c77b87ab693</v>
      </c>
      <c r="D308" s="23">
        <f t="shared" si="1"/>
        <v>0</v>
      </c>
      <c r="F308" s="45"/>
      <c r="H308" s="45"/>
      <c r="J308" s="45"/>
    </row>
    <row r="309">
      <c r="A309" s="22" t="s">
        <v>226</v>
      </c>
      <c r="B309" s="21">
        <f t="shared" si="5"/>
        <v>0</v>
      </c>
      <c r="C309" s="21" t="str">
        <f>VLOOKUP(A309, hash!A$2:B$500, 2, 0)</f>
        <v>654a6fba5f40f5f7b7c97164</v>
      </c>
      <c r="D309" s="23">
        <f t="shared" si="1"/>
        <v>0</v>
      </c>
      <c r="F309" s="45"/>
      <c r="H309" s="45"/>
      <c r="J309" s="45"/>
    </row>
    <row r="310">
      <c r="A310" s="22" t="s">
        <v>227</v>
      </c>
      <c r="B310" s="21">
        <f t="shared" si="5"/>
        <v>0</v>
      </c>
      <c r="C310" s="21" t="str">
        <f>VLOOKUP(A310, hash!A$2:B$500, 2, 0)</f>
        <v>65551bef3234b9c505dd527e</v>
      </c>
      <c r="D310" s="23">
        <f t="shared" si="1"/>
        <v>0</v>
      </c>
      <c r="F310" s="45"/>
      <c r="H310" s="45"/>
      <c r="J310" s="45"/>
    </row>
    <row r="311">
      <c r="A311" s="22" t="s">
        <v>228</v>
      </c>
      <c r="B311" s="21">
        <f t="shared" si="5"/>
        <v>0</v>
      </c>
      <c r="C311" s="21" t="str">
        <f>VLOOKUP(A311, hash!A$2:B$500, 2, 0)</f>
        <v>655528e7b6dffbe82fb08e97</v>
      </c>
      <c r="D311" s="23">
        <f t="shared" si="1"/>
        <v>0</v>
      </c>
      <c r="F311" s="45"/>
      <c r="H311" s="45"/>
      <c r="J311" s="45"/>
    </row>
    <row r="312">
      <c r="A312" s="22" t="s">
        <v>624</v>
      </c>
      <c r="B312" s="21">
        <f t="shared" si="5"/>
        <v>0</v>
      </c>
      <c r="C312" s="21" t="str">
        <f>VLOOKUP(A312, hash!A$2:B$500, 2, 0)</f>
        <v>#N/A</v>
      </c>
      <c r="D312" s="23">
        <f t="shared" si="1"/>
        <v>0</v>
      </c>
      <c r="F312" s="45"/>
      <c r="H312" s="45"/>
      <c r="J312" s="45"/>
    </row>
    <row r="313">
      <c r="A313" s="22" t="s">
        <v>229</v>
      </c>
      <c r="B313" s="21">
        <f t="shared" si="5"/>
        <v>0</v>
      </c>
      <c r="C313" s="21" t="str">
        <f>VLOOKUP(A313, hash!A$2:B$500, 2, 0)</f>
        <v>655bb33eff8d447e7d019f70</v>
      </c>
      <c r="D313" s="23">
        <f t="shared" si="1"/>
        <v>0</v>
      </c>
      <c r="F313" s="45"/>
      <c r="H313" s="45"/>
      <c r="J313" s="45"/>
    </row>
    <row r="314">
      <c r="A314" s="22" t="s">
        <v>230</v>
      </c>
      <c r="B314" s="21">
        <f t="shared" si="5"/>
        <v>0</v>
      </c>
      <c r="C314" s="21" t="str">
        <f>VLOOKUP(A314, hash!A$2:B$500, 2, 0)</f>
        <v>655bc0057093eb94b1c6cc92</v>
      </c>
      <c r="D314" s="23">
        <f t="shared" si="1"/>
        <v>0</v>
      </c>
      <c r="F314" s="45"/>
      <c r="H314" s="45"/>
      <c r="J314" s="45"/>
    </row>
    <row r="315">
      <c r="A315" s="22" t="s">
        <v>231</v>
      </c>
      <c r="B315" s="21">
        <f t="shared" si="5"/>
        <v>0</v>
      </c>
      <c r="C315" s="21" t="str">
        <f>VLOOKUP(A315, hash!A$2:B$500, 2, 0)</f>
        <v>655bc0097093eb94b1c6cc93</v>
      </c>
      <c r="D315" s="23">
        <f t="shared" si="1"/>
        <v>0</v>
      </c>
      <c r="F315" s="45"/>
      <c r="H315" s="45"/>
      <c r="J315" s="45"/>
    </row>
    <row r="316">
      <c r="A316" s="22" t="s">
        <v>625</v>
      </c>
      <c r="B316" s="21">
        <f t="shared" si="5"/>
        <v>0</v>
      </c>
      <c r="C316" s="21" t="str">
        <f>VLOOKUP(A316, hash!A$2:B$500, 2, 0)</f>
        <v>#N/A</v>
      </c>
      <c r="D316" s="23">
        <f t="shared" si="1"/>
        <v>0</v>
      </c>
      <c r="F316" s="45"/>
      <c r="H316" s="45"/>
      <c r="J316" s="45"/>
    </row>
    <row r="317">
      <c r="A317" s="22" t="s">
        <v>232</v>
      </c>
      <c r="B317" s="21">
        <f t="shared" si="5"/>
        <v>0</v>
      </c>
      <c r="C317" s="21" t="str">
        <f>VLOOKUP(A317, hash!A$2:B$500, 2, 0)</f>
        <v>6595977fb46b00d2f83c52c5</v>
      </c>
      <c r="D317" s="23">
        <f t="shared" si="1"/>
        <v>0</v>
      </c>
      <c r="F317" s="45"/>
      <c r="H317" s="45"/>
      <c r="J317" s="45"/>
    </row>
    <row r="318">
      <c r="A318" s="22" t="s">
        <v>233</v>
      </c>
      <c r="B318" s="21">
        <f t="shared" si="5"/>
        <v>0</v>
      </c>
      <c r="C318" s="21" t="str">
        <f>VLOOKUP(A318, hash!A$2:B$500, 2, 0)</f>
        <v>6595b65ec49a903206004ba0</v>
      </c>
      <c r="D318" s="23">
        <f t="shared" si="1"/>
        <v>0</v>
      </c>
      <c r="F318" s="45"/>
      <c r="H318" s="45"/>
      <c r="J318" s="45"/>
    </row>
    <row r="319">
      <c r="A319" s="22" t="s">
        <v>235</v>
      </c>
      <c r="B319" s="21">
        <f t="shared" si="5"/>
        <v>0</v>
      </c>
      <c r="C319" s="21" t="str">
        <f>VLOOKUP(A319, hash!A$2:B$500, 2, 0)</f>
        <v>6595c208b775f9fc5a64da66</v>
      </c>
      <c r="D319" s="23">
        <f t="shared" si="1"/>
        <v>0</v>
      </c>
      <c r="F319" s="45"/>
      <c r="H319" s="45"/>
      <c r="J319" s="45"/>
    </row>
    <row r="320">
      <c r="A320" s="22" t="s">
        <v>236</v>
      </c>
      <c r="B320" s="21">
        <f t="shared" si="5"/>
        <v>0</v>
      </c>
      <c r="C320" s="21" t="str">
        <f>VLOOKUP(A320, hash!A$2:B$500, 2, 0)</f>
        <v>6595c23e2fa1031babec0ce3</v>
      </c>
      <c r="D320" s="23">
        <f t="shared" si="1"/>
        <v>0</v>
      </c>
      <c r="F320" s="45"/>
      <c r="H320" s="45"/>
      <c r="J320" s="45"/>
    </row>
    <row r="321">
      <c r="A321" s="22" t="s">
        <v>237</v>
      </c>
      <c r="B321" s="21">
        <f t="shared" si="5"/>
        <v>0</v>
      </c>
      <c r="C321" s="21" t="str">
        <f>VLOOKUP(A321, hash!A$2:B$500, 2, 0)</f>
        <v>6595c391cd5b972b6b680d1b</v>
      </c>
      <c r="D321" s="23">
        <f t="shared" si="1"/>
        <v>0</v>
      </c>
      <c r="F321" s="45"/>
      <c r="H321" s="45"/>
      <c r="J321" s="45"/>
    </row>
    <row r="322">
      <c r="A322" s="22" t="s">
        <v>626</v>
      </c>
      <c r="B322" s="21">
        <f t="shared" si="5"/>
        <v>0</v>
      </c>
      <c r="C322" s="21" t="str">
        <f>VLOOKUP(A322, hash!A$2:B$500, 2, 0)</f>
        <v>#N/A</v>
      </c>
      <c r="D322" s="23">
        <f t="shared" si="1"/>
        <v>0</v>
      </c>
      <c r="F322" s="45"/>
      <c r="H322" s="45"/>
      <c r="J322" s="45"/>
    </row>
    <row r="323">
      <c r="A323" s="22" t="s">
        <v>627</v>
      </c>
      <c r="B323" s="21">
        <f t="shared" si="5"/>
        <v>0</v>
      </c>
      <c r="C323" s="21" t="str">
        <f>VLOOKUP(A323, hash!A$2:B$500, 2, 0)</f>
        <v>#N/A</v>
      </c>
      <c r="D323" s="23">
        <f t="shared" si="1"/>
        <v>0</v>
      </c>
      <c r="F323" s="45"/>
      <c r="H323" s="45"/>
      <c r="J323" s="45"/>
    </row>
    <row r="324">
      <c r="A324" s="22" t="s">
        <v>628</v>
      </c>
      <c r="B324" s="21">
        <f t="shared" si="5"/>
        <v>0</v>
      </c>
      <c r="C324" s="21" t="str">
        <f>VLOOKUP(A324, hash!A$2:B$500, 2, 0)</f>
        <v>#N/A</v>
      </c>
      <c r="D324" s="23">
        <f t="shared" si="1"/>
        <v>0</v>
      </c>
      <c r="F324" s="45"/>
      <c r="H324" s="45"/>
      <c r="J324" s="45"/>
    </row>
    <row r="325">
      <c r="A325" s="22" t="s">
        <v>238</v>
      </c>
      <c r="B325" s="21">
        <f t="shared" si="5"/>
        <v>0</v>
      </c>
      <c r="C325" s="21" t="str">
        <f>VLOOKUP(A325, hash!A$2:B$500, 2, 0)</f>
        <v>65ba9f33f33e907d7c81d87a</v>
      </c>
      <c r="D325" s="23">
        <f t="shared" si="1"/>
        <v>0</v>
      </c>
      <c r="F325" s="45"/>
      <c r="H325" s="45"/>
      <c r="J325" s="45"/>
    </row>
    <row r="326">
      <c r="A326" s="22" t="s">
        <v>239</v>
      </c>
      <c r="B326" s="21">
        <f t="shared" si="5"/>
        <v>0</v>
      </c>
      <c r="C326" s="21" t="str">
        <f>VLOOKUP(A326, hash!A$2:B$500, 2, 0)</f>
        <v>65baa01d2b367c7ed72fe8b9</v>
      </c>
      <c r="D326" s="23">
        <f t="shared" si="1"/>
        <v>0</v>
      </c>
      <c r="F326" s="45"/>
      <c r="H326" s="45"/>
      <c r="J326" s="45"/>
    </row>
    <row r="327">
      <c r="A327" s="22" t="s">
        <v>629</v>
      </c>
      <c r="B327" s="21">
        <f t="shared" si="5"/>
        <v>0</v>
      </c>
      <c r="C327" s="21" t="str">
        <f>VLOOKUP(A327, hash!A$2:B$500, 2, 0)</f>
        <v>#N/A</v>
      </c>
      <c r="D327" s="23">
        <f t="shared" si="1"/>
        <v>0</v>
      </c>
      <c r="F327" s="45"/>
      <c r="H327" s="45"/>
      <c r="J327" s="45"/>
    </row>
    <row r="328">
      <c r="A328" s="22" t="s">
        <v>240</v>
      </c>
      <c r="B328" s="21">
        <f t="shared" si="5"/>
        <v>0</v>
      </c>
      <c r="C328" s="21" t="str">
        <f>VLOOKUP(A328, hash!A$2:B$500, 2, 0)</f>
        <v>65baa01e2b367c7ed72fe8bb</v>
      </c>
      <c r="D328" s="23">
        <f t="shared" si="1"/>
        <v>0</v>
      </c>
      <c r="F328" s="45"/>
      <c r="H328" s="45"/>
      <c r="J328" s="45"/>
    </row>
    <row r="329">
      <c r="A329" s="22" t="s">
        <v>630</v>
      </c>
      <c r="B329" s="21">
        <f t="shared" si="5"/>
        <v>0</v>
      </c>
      <c r="C329" s="21" t="str">
        <f>VLOOKUP(A329, hash!A$2:B$500, 2, 0)</f>
        <v>#N/A</v>
      </c>
      <c r="D329" s="23">
        <f t="shared" si="1"/>
        <v>0</v>
      </c>
      <c r="F329" s="45"/>
      <c r="H329" s="45"/>
      <c r="J329" s="45"/>
    </row>
    <row r="330">
      <c r="A330" s="22" t="s">
        <v>631</v>
      </c>
      <c r="B330" s="21">
        <f t="shared" si="5"/>
        <v>0</v>
      </c>
      <c r="C330" s="21" t="str">
        <f>VLOOKUP(A330, hash!A$2:B$500, 2, 0)</f>
        <v>#N/A</v>
      </c>
      <c r="D330" s="23">
        <f t="shared" si="1"/>
        <v>0</v>
      </c>
      <c r="F330" s="45"/>
      <c r="H330" s="45"/>
      <c r="J330" s="45"/>
    </row>
    <row r="331">
      <c r="A331" s="22" t="s">
        <v>241</v>
      </c>
      <c r="B331" s="21">
        <f t="shared" si="5"/>
        <v>0</v>
      </c>
      <c r="C331" s="21" t="str">
        <f>VLOOKUP(A331, hash!A$2:B$500, 2, 0)</f>
        <v>65baa03da330104d5ca80be5</v>
      </c>
      <c r="D331" s="23">
        <f t="shared" si="1"/>
        <v>0</v>
      </c>
      <c r="F331" s="45"/>
      <c r="H331" s="45"/>
      <c r="J331" s="45"/>
    </row>
    <row r="332">
      <c r="A332" s="22" t="s">
        <v>632</v>
      </c>
      <c r="B332" s="21">
        <f t="shared" si="5"/>
        <v>0</v>
      </c>
      <c r="C332" s="21" t="str">
        <f>VLOOKUP(A332, hash!A$2:B$500, 2, 0)</f>
        <v>#N/A</v>
      </c>
      <c r="D332" s="23">
        <f t="shared" si="1"/>
        <v>0</v>
      </c>
      <c r="F332" s="45"/>
      <c r="H332" s="45"/>
      <c r="J332" s="45"/>
    </row>
    <row r="333">
      <c r="A333" s="22" t="s">
        <v>633</v>
      </c>
      <c r="B333" s="21">
        <f t="shared" si="5"/>
        <v>0</v>
      </c>
      <c r="C333" s="21" t="str">
        <f>VLOOKUP(A333, hash!A$2:B$500, 2, 0)</f>
        <v>#N/A</v>
      </c>
      <c r="D333" s="23">
        <f t="shared" si="1"/>
        <v>0</v>
      </c>
      <c r="F333" s="45"/>
      <c r="H333" s="45"/>
      <c r="J333" s="45"/>
    </row>
    <row r="334">
      <c r="A334" s="22" t="s">
        <v>242</v>
      </c>
      <c r="B334" s="21">
        <f t="shared" si="5"/>
        <v>0</v>
      </c>
      <c r="C334" s="21" t="str">
        <f>VLOOKUP(A334, hash!A$2:B$500, 2, 0)</f>
        <v>65baadabac6fa639d08b8070</v>
      </c>
      <c r="D334" s="23">
        <f t="shared" si="1"/>
        <v>0</v>
      </c>
      <c r="F334" s="45"/>
      <c r="H334" s="45"/>
      <c r="J334" s="45"/>
    </row>
    <row r="335">
      <c r="A335" s="22" t="s">
        <v>243</v>
      </c>
      <c r="B335" s="21">
        <f t="shared" si="5"/>
        <v>0</v>
      </c>
      <c r="C335" s="21" t="str">
        <f>VLOOKUP(A335, hash!A$2:B$500, 2, 0)</f>
        <v>65baadd90004ffbc54b03ece</v>
      </c>
      <c r="D335" s="23">
        <f t="shared" si="1"/>
        <v>0</v>
      </c>
      <c r="F335" s="45"/>
      <c r="H335" s="45"/>
      <c r="J335" s="45"/>
    </row>
    <row r="336">
      <c r="A336" s="22" t="s">
        <v>244</v>
      </c>
      <c r="B336" s="21">
        <f t="shared" si="5"/>
        <v>0</v>
      </c>
      <c r="C336" s="21" t="str">
        <f>VLOOKUP(A336, hash!A$2:B$500, 2, 0)</f>
        <v>65baadf10004ffbc54b03ed0</v>
      </c>
      <c r="D336" s="23">
        <f t="shared" si="1"/>
        <v>0</v>
      </c>
      <c r="F336" s="45"/>
      <c r="H336" s="45"/>
      <c r="J336" s="45"/>
    </row>
    <row r="337">
      <c r="A337" s="22" t="s">
        <v>245</v>
      </c>
      <c r="B337" s="21">
        <f t="shared" si="5"/>
        <v>0</v>
      </c>
      <c r="C337" s="21" t="str">
        <f>VLOOKUP(A337, hash!A$2:B$500, 2, 0)</f>
        <v>65bab1380004ffbc54b03ee7</v>
      </c>
      <c r="D337" s="23">
        <f t="shared" si="1"/>
        <v>0</v>
      </c>
      <c r="F337" s="45"/>
      <c r="H337" s="45"/>
      <c r="J337" s="45"/>
    </row>
    <row r="338">
      <c r="A338" s="22" t="s">
        <v>246</v>
      </c>
      <c r="B338" s="21">
        <f t="shared" si="5"/>
        <v>0</v>
      </c>
      <c r="C338" s="21" t="str">
        <f>VLOOKUP(A338, hash!A$2:B$500, 2, 0)</f>
        <v>65bab52de7bd7da7ace0d1c3</v>
      </c>
      <c r="D338" s="23">
        <f t="shared" si="1"/>
        <v>0</v>
      </c>
      <c r="F338" s="45"/>
      <c r="H338" s="45"/>
      <c r="J338" s="45"/>
    </row>
    <row r="339">
      <c r="A339" s="22" t="s">
        <v>247</v>
      </c>
      <c r="B339" s="21">
        <f t="shared" si="5"/>
        <v>0</v>
      </c>
      <c r="C339" s="21" t="str">
        <f>VLOOKUP(A339, hash!A$2:B$500, 2, 0)</f>
        <v>65bb2c752930129875dd966e</v>
      </c>
      <c r="D339" s="23">
        <f t="shared" si="1"/>
        <v>0</v>
      </c>
      <c r="F339" s="45"/>
      <c r="H339" s="45"/>
      <c r="J339" s="45"/>
    </row>
    <row r="340">
      <c r="A340" s="22" t="s">
        <v>248</v>
      </c>
      <c r="B340" s="21">
        <f t="shared" si="5"/>
        <v>0</v>
      </c>
      <c r="C340" s="21" t="str">
        <f>VLOOKUP(A340, hash!A$2:B$500, 2, 0)</f>
        <v>65c3d9c7d68ebf8c5aaf9473</v>
      </c>
      <c r="D340" s="23">
        <f t="shared" si="1"/>
        <v>0</v>
      </c>
      <c r="F340" s="45"/>
      <c r="H340" s="45"/>
      <c r="J340" s="45"/>
    </row>
    <row r="341">
      <c r="A341" s="22" t="s">
        <v>249</v>
      </c>
      <c r="B341" s="21">
        <f t="shared" si="5"/>
        <v>0</v>
      </c>
      <c r="C341" s="21" t="str">
        <f>VLOOKUP(A341, hash!A$2:B$500, 2, 0)</f>
        <v>65c3db43dc2e959b628fb2d3</v>
      </c>
      <c r="D341" s="23">
        <f t="shared" si="1"/>
        <v>0</v>
      </c>
      <c r="F341" s="45"/>
      <c r="H341" s="45"/>
      <c r="J341" s="45"/>
    </row>
    <row r="342">
      <c r="A342" s="22" t="s">
        <v>250</v>
      </c>
      <c r="B342" s="21">
        <f t="shared" si="5"/>
        <v>0</v>
      </c>
      <c r="C342" s="21" t="str">
        <f>VLOOKUP(A342, hash!A$2:B$500, 2, 0)</f>
        <v>65c3e17176cb308ec1a40c91</v>
      </c>
      <c r="D342" s="23">
        <f t="shared" si="1"/>
        <v>0</v>
      </c>
      <c r="F342" s="45"/>
      <c r="H342" s="45"/>
      <c r="J342" s="45"/>
    </row>
    <row r="343">
      <c r="A343" s="22" t="s">
        <v>251</v>
      </c>
      <c r="B343" s="21">
        <f t="shared" si="5"/>
        <v>0</v>
      </c>
      <c r="C343" s="21" t="str">
        <f>VLOOKUP(A343, hash!A$2:B$500, 2, 0)</f>
        <v>65c3e474f24067cac00a6560</v>
      </c>
      <c r="D343" s="23">
        <f t="shared" si="1"/>
        <v>0</v>
      </c>
      <c r="F343" s="45"/>
      <c r="H343" s="45"/>
      <c r="J343" s="45"/>
    </row>
    <row r="344">
      <c r="A344" s="22" t="s">
        <v>252</v>
      </c>
      <c r="B344" s="21">
        <f t="shared" si="5"/>
        <v>0</v>
      </c>
      <c r="C344" s="21" t="str">
        <f>VLOOKUP(A344, hash!A$2:B$500, 2, 0)</f>
        <v>65c3e7519c89c663f1bf9f3a</v>
      </c>
      <c r="D344" s="23">
        <f t="shared" si="1"/>
        <v>0</v>
      </c>
      <c r="F344" s="45"/>
      <c r="H344" s="45"/>
      <c r="J344" s="45"/>
    </row>
    <row r="345">
      <c r="A345" s="22" t="s">
        <v>253</v>
      </c>
      <c r="B345" s="21">
        <f t="shared" si="5"/>
        <v>0</v>
      </c>
      <c r="C345" s="21" t="str">
        <f>VLOOKUP(A345, hash!A$2:B$500, 2, 0)</f>
        <v>65c404d5adbf166dfd681f4c</v>
      </c>
      <c r="D345" s="23">
        <f t="shared" si="1"/>
        <v>0</v>
      </c>
      <c r="F345" s="45"/>
      <c r="H345" s="45"/>
      <c r="J345" s="45"/>
    </row>
    <row r="346">
      <c r="A346" s="22" t="s">
        <v>254</v>
      </c>
      <c r="B346" s="21">
        <f t="shared" si="5"/>
        <v>0</v>
      </c>
      <c r="C346" s="21" t="str">
        <f>VLOOKUP(A346, hash!A$2:B$500, 2, 0)</f>
        <v>65c452c7bdf2b49b06b9f1e8</v>
      </c>
      <c r="D346" s="23">
        <f t="shared" si="1"/>
        <v>0</v>
      </c>
      <c r="F346" s="45"/>
      <c r="H346" s="45"/>
      <c r="J346" s="45"/>
    </row>
    <row r="347">
      <c r="A347" s="22" t="s">
        <v>634</v>
      </c>
      <c r="B347" s="21">
        <f t="shared" si="5"/>
        <v>0</v>
      </c>
      <c r="C347" s="21" t="str">
        <f>VLOOKUP(A347, hash!A$2:B$500, 2, 0)</f>
        <v>#N/A</v>
      </c>
      <c r="D347" s="23">
        <f t="shared" si="1"/>
        <v>0</v>
      </c>
      <c r="F347" s="45"/>
      <c r="H347" s="45"/>
      <c r="J347" s="45"/>
    </row>
    <row r="348">
      <c r="A348" s="22" t="s">
        <v>635</v>
      </c>
      <c r="B348" s="21">
        <f t="shared" si="5"/>
        <v>0</v>
      </c>
      <c r="C348" s="21" t="str">
        <f>VLOOKUP(A348, hash!A$2:B$500, 2, 0)</f>
        <v>#N/A</v>
      </c>
      <c r="D348" s="23">
        <f t="shared" si="1"/>
        <v>0</v>
      </c>
      <c r="F348" s="45"/>
      <c r="H348" s="45"/>
      <c r="J348" s="45"/>
    </row>
    <row r="349">
      <c r="A349" s="22" t="s">
        <v>636</v>
      </c>
      <c r="B349" s="21">
        <f t="shared" si="5"/>
        <v>0</v>
      </c>
      <c r="C349" s="21" t="str">
        <f>VLOOKUP(A349, hash!A$2:B$500, 2, 0)</f>
        <v>#N/A</v>
      </c>
      <c r="D349" s="23">
        <f t="shared" si="1"/>
        <v>0</v>
      </c>
      <c r="F349" s="45"/>
      <c r="H349" s="45"/>
      <c r="J349" s="45"/>
    </row>
    <row r="350">
      <c r="A350" s="22" t="s">
        <v>637</v>
      </c>
      <c r="B350" s="21">
        <f t="shared" si="5"/>
        <v>0</v>
      </c>
      <c r="C350" s="21" t="str">
        <f>VLOOKUP(A350, hash!A$2:B$500, 2, 0)</f>
        <v>#N/A</v>
      </c>
      <c r="D350" s="23">
        <f t="shared" si="1"/>
        <v>0</v>
      </c>
      <c r="F350" s="45"/>
      <c r="H350" s="45"/>
      <c r="J350" s="45"/>
    </row>
    <row r="351">
      <c r="A351" s="22" t="s">
        <v>255</v>
      </c>
      <c r="B351" s="21">
        <f t="shared" si="5"/>
        <v>0</v>
      </c>
      <c r="C351" s="21" t="str">
        <f>VLOOKUP(A351, hash!A$2:B$500, 2, 0)</f>
        <v>65cd13d251407ce2e1c4e690</v>
      </c>
      <c r="D351" s="23">
        <f t="shared" si="1"/>
        <v>0</v>
      </c>
      <c r="F351" s="45"/>
      <c r="H351" s="45"/>
      <c r="J351" s="45"/>
    </row>
    <row r="352">
      <c r="A352" s="22" t="s">
        <v>256</v>
      </c>
      <c r="B352" s="21">
        <f t="shared" si="5"/>
        <v>0</v>
      </c>
      <c r="C352" s="21" t="str">
        <f>VLOOKUP(A352, hash!A$2:B$500, 2, 0)</f>
        <v>65cd13f6adf37a1fed1cd455</v>
      </c>
      <c r="D352" s="23">
        <f t="shared" si="1"/>
        <v>0</v>
      </c>
      <c r="F352" s="45"/>
      <c r="H352" s="45"/>
      <c r="J352" s="45"/>
    </row>
    <row r="353">
      <c r="A353" s="22" t="s">
        <v>638</v>
      </c>
      <c r="B353" s="21">
        <f t="shared" si="5"/>
        <v>0</v>
      </c>
      <c r="C353" s="21" t="str">
        <f>VLOOKUP(A353, hash!A$2:B$500, 2, 0)</f>
        <v>#N/A</v>
      </c>
      <c r="D353" s="23">
        <f t="shared" si="1"/>
        <v>0</v>
      </c>
      <c r="F353" s="45"/>
      <c r="H353" s="45"/>
      <c r="J353" s="45"/>
    </row>
    <row r="354">
      <c r="A354" s="22" t="s">
        <v>257</v>
      </c>
      <c r="B354" s="21">
        <f t="shared" si="5"/>
        <v>0</v>
      </c>
      <c r="C354" s="21" t="str">
        <f>VLOOKUP(A354, hash!A$2:B$500, 2, 0)</f>
        <v>65cd2a48c6e20b3c3d4798b8</v>
      </c>
      <c r="D354" s="23">
        <f t="shared" si="1"/>
        <v>0</v>
      </c>
      <c r="F354" s="45"/>
      <c r="H354" s="45"/>
      <c r="J354" s="45"/>
    </row>
    <row r="355">
      <c r="A355" s="22" t="s">
        <v>258</v>
      </c>
      <c r="B355" s="21">
        <f t="shared" si="5"/>
        <v>0</v>
      </c>
      <c r="C355" s="21" t="str">
        <f>VLOOKUP(A355, hash!A$2:B$500, 2, 0)</f>
        <v>65d65a5fe2aa0ab4944e133f</v>
      </c>
      <c r="D355" s="23">
        <f t="shared" si="1"/>
        <v>0</v>
      </c>
      <c r="F355" s="45"/>
      <c r="H355" s="45"/>
      <c r="J355" s="45"/>
    </row>
    <row r="356">
      <c r="A356" s="22" t="s">
        <v>259</v>
      </c>
      <c r="B356" s="21">
        <f t="shared" si="5"/>
        <v>0</v>
      </c>
      <c r="C356" s="21" t="str">
        <f>VLOOKUP(A356, hash!A$2:B$500, 2, 0)</f>
        <v>65d65b94ec98c933c1065a3c</v>
      </c>
      <c r="D356" s="23">
        <f t="shared" si="1"/>
        <v>0</v>
      </c>
      <c r="F356" s="45"/>
      <c r="H356" s="45"/>
      <c r="J356" s="45"/>
    </row>
    <row r="357">
      <c r="A357" s="22" t="s">
        <v>260</v>
      </c>
      <c r="B357" s="21">
        <f t="shared" si="5"/>
        <v>0</v>
      </c>
      <c r="C357" s="21" t="str">
        <f>VLOOKUP(A357, hash!A$2:B$500, 2, 0)</f>
        <v>65d65bdbec98c933c1065a41</v>
      </c>
      <c r="D357" s="23">
        <f t="shared" si="1"/>
        <v>0</v>
      </c>
      <c r="F357" s="45"/>
      <c r="H357" s="45"/>
      <c r="J357" s="45"/>
    </row>
    <row r="358">
      <c r="A358" s="22" t="s">
        <v>261</v>
      </c>
      <c r="B358" s="21">
        <f t="shared" si="5"/>
        <v>0</v>
      </c>
      <c r="C358" s="21" t="str">
        <f>VLOOKUP(A358, hash!A$2:B$500, 2, 0)</f>
        <v>65d65beaec98c933c1065a42</v>
      </c>
      <c r="D358" s="23">
        <f t="shared" si="1"/>
        <v>0</v>
      </c>
      <c r="F358" s="45"/>
      <c r="H358" s="45"/>
      <c r="J358" s="45"/>
    </row>
    <row r="359">
      <c r="A359" s="22" t="s">
        <v>262</v>
      </c>
      <c r="B359" s="21">
        <f t="shared" si="5"/>
        <v>0</v>
      </c>
      <c r="C359" s="21" t="str">
        <f>VLOOKUP(A359, hash!A$2:B$500, 2, 0)</f>
        <v>65d65befec98c933c1065a43</v>
      </c>
      <c r="D359" s="23">
        <f t="shared" si="1"/>
        <v>0</v>
      </c>
      <c r="F359" s="45"/>
      <c r="H359" s="45"/>
      <c r="J359" s="45"/>
    </row>
    <row r="360">
      <c r="A360" s="22" t="s">
        <v>263</v>
      </c>
      <c r="B360" s="21">
        <f t="shared" si="5"/>
        <v>0</v>
      </c>
      <c r="C360" s="21" t="str">
        <f>VLOOKUP(A360, hash!A$2:B$500, 2, 0)</f>
        <v>65fb2f31f305810d3c392009</v>
      </c>
      <c r="D360" s="23">
        <f t="shared" si="1"/>
        <v>0</v>
      </c>
      <c r="F360" s="45"/>
      <c r="H360" s="45"/>
      <c r="J360" s="45"/>
    </row>
    <row r="361">
      <c r="A361" s="22" t="s">
        <v>639</v>
      </c>
      <c r="B361" s="21">
        <f t="shared" si="5"/>
        <v>0</v>
      </c>
      <c r="C361" s="21" t="str">
        <f>VLOOKUP(A361, hash!A$2:B$500, 2, 0)</f>
        <v>#N/A</v>
      </c>
      <c r="D361" s="23">
        <f t="shared" si="1"/>
        <v>0</v>
      </c>
      <c r="F361" s="45"/>
      <c r="H361" s="45"/>
      <c r="J361" s="45"/>
    </row>
    <row r="362">
      <c r="A362" s="22" t="s">
        <v>264</v>
      </c>
      <c r="B362" s="21">
        <f t="shared" si="5"/>
        <v>0</v>
      </c>
      <c r="C362" s="21" t="str">
        <f>VLOOKUP(A362, hash!A$2:B$500, 2, 0)</f>
        <v>661437cbd0884a240a6505ae</v>
      </c>
      <c r="D362" s="23">
        <f t="shared" si="1"/>
        <v>0</v>
      </c>
      <c r="F362" s="45"/>
      <c r="H362" s="45"/>
      <c r="J362" s="45"/>
    </row>
    <row r="363">
      <c r="A363" s="22" t="s">
        <v>265</v>
      </c>
      <c r="B363" s="21">
        <f t="shared" si="5"/>
        <v>0</v>
      </c>
      <c r="C363" s="21" t="str">
        <f>VLOOKUP(A363, hash!A$2:B$500, 2, 0)</f>
        <v>66144853927e0e420e0cbc96</v>
      </c>
      <c r="D363" s="23">
        <f t="shared" si="1"/>
        <v>0</v>
      </c>
      <c r="F363" s="45"/>
      <c r="H363" s="45"/>
      <c r="J363" s="45"/>
    </row>
    <row r="364">
      <c r="A364" s="22" t="s">
        <v>266</v>
      </c>
      <c r="B364" s="21">
        <f t="shared" si="5"/>
        <v>0</v>
      </c>
      <c r="C364" s="21" t="str">
        <f>VLOOKUP(A364, hash!A$2:B$500, 2, 0)</f>
        <v>6614485b927e0e420e0cbc97</v>
      </c>
      <c r="D364" s="23">
        <f t="shared" si="1"/>
        <v>0</v>
      </c>
      <c r="F364" s="45"/>
      <c r="H364" s="45"/>
      <c r="J364" s="45"/>
    </row>
    <row r="365">
      <c r="A365" s="22" t="s">
        <v>267</v>
      </c>
      <c r="B365" s="21">
        <f t="shared" si="5"/>
        <v>0</v>
      </c>
      <c r="C365" s="21" t="str">
        <f>VLOOKUP(A365, hash!A$2:B$500, 2, 0)</f>
        <v>6614485f927e0e420e0cbc99</v>
      </c>
      <c r="D365" s="23">
        <f t="shared" si="1"/>
        <v>0</v>
      </c>
      <c r="F365" s="45"/>
      <c r="H365" s="45"/>
      <c r="J365" s="45"/>
    </row>
    <row r="366">
      <c r="A366" s="22" t="s">
        <v>640</v>
      </c>
      <c r="B366" s="21">
        <f t="shared" si="5"/>
        <v>0</v>
      </c>
      <c r="C366" s="21" t="str">
        <f>VLOOKUP(A366, hash!A$2:B$500, 2, 0)</f>
        <v>#N/A</v>
      </c>
      <c r="D366" s="23">
        <f t="shared" si="1"/>
        <v>0</v>
      </c>
      <c r="F366" s="45"/>
      <c r="H366" s="45"/>
      <c r="J366" s="45"/>
    </row>
    <row r="367">
      <c r="A367" s="22" t="s">
        <v>641</v>
      </c>
      <c r="B367" s="21">
        <f t="shared" si="5"/>
        <v>0</v>
      </c>
      <c r="C367" s="21" t="str">
        <f>VLOOKUP(A367, hash!A$2:B$500, 2, 0)</f>
        <v>#N/A</v>
      </c>
      <c r="D367" s="23">
        <f t="shared" si="1"/>
        <v>0</v>
      </c>
      <c r="F367" s="45"/>
      <c r="H367" s="45"/>
      <c r="J367" s="45"/>
    </row>
    <row r="368">
      <c r="A368" s="22" t="s">
        <v>268</v>
      </c>
      <c r="B368" s="21">
        <f t="shared" si="5"/>
        <v>0</v>
      </c>
      <c r="C368" s="21" t="str">
        <f>VLOOKUP(A368, hash!A$2:B$500, 2, 0)</f>
        <v>662950e951eb7e9e714289d0</v>
      </c>
      <c r="D368" s="23">
        <f t="shared" si="1"/>
        <v>0</v>
      </c>
      <c r="F368" s="45"/>
      <c r="H368" s="45"/>
      <c r="J368" s="45"/>
    </row>
    <row r="369">
      <c r="A369" s="22" t="s">
        <v>269</v>
      </c>
      <c r="B369" s="21">
        <f t="shared" si="5"/>
        <v>0</v>
      </c>
      <c r="C369" s="21" t="str">
        <f>VLOOKUP(A369, hash!A$2:B$500, 2, 0)</f>
        <v>66328a4fa55f727a8c1b9f8b</v>
      </c>
      <c r="D369" s="23">
        <f t="shared" si="1"/>
        <v>0</v>
      </c>
      <c r="F369" s="45"/>
      <c r="H369" s="45"/>
      <c r="J369" s="45"/>
    </row>
    <row r="370">
      <c r="A370" s="22" t="s">
        <v>270</v>
      </c>
      <c r="B370" s="21">
        <f t="shared" si="5"/>
        <v>0</v>
      </c>
      <c r="C370" s="21" t="str">
        <f>VLOOKUP(A370, hash!A$2:B$500, 2, 0)</f>
        <v>66328a501875b701f3af072f</v>
      </c>
      <c r="D370" s="23">
        <f t="shared" si="1"/>
        <v>0</v>
      </c>
      <c r="F370" s="45"/>
      <c r="H370" s="45"/>
      <c r="J370" s="45"/>
    </row>
    <row r="371">
      <c r="A371" s="22" t="s">
        <v>271</v>
      </c>
      <c r="B371" s="21">
        <f t="shared" si="5"/>
        <v>0</v>
      </c>
      <c r="C371" s="21" t="str">
        <f>VLOOKUP(A371, hash!A$2:B$500, 2, 0)</f>
        <v>663a810cfd55cc6d42fc3373</v>
      </c>
      <c r="D371" s="23">
        <f t="shared" si="1"/>
        <v>0</v>
      </c>
      <c r="F371" s="45"/>
      <c r="H371" s="45"/>
      <c r="J371" s="45"/>
    </row>
    <row r="372">
      <c r="A372" s="22" t="s">
        <v>272</v>
      </c>
      <c r="B372" s="21">
        <f t="shared" si="5"/>
        <v>0</v>
      </c>
      <c r="C372" s="21" t="str">
        <f>VLOOKUP(A372, hash!A$2:B$500, 2, 0)</f>
        <v>66450a83df126c7d8f1e547c</v>
      </c>
      <c r="D372" s="23">
        <f t="shared" si="1"/>
        <v>0</v>
      </c>
      <c r="E372" s="14">
        <v>0.0</v>
      </c>
      <c r="F372" s="27">
        <v>0.0</v>
      </c>
      <c r="G372" s="14">
        <v>0.0</v>
      </c>
      <c r="H372" s="27">
        <v>0.0</v>
      </c>
      <c r="I372" s="14">
        <v>0.0</v>
      </c>
      <c r="J372" s="27">
        <v>0.0</v>
      </c>
    </row>
    <row r="373">
      <c r="A373" s="22" t="s">
        <v>273</v>
      </c>
      <c r="B373" s="21">
        <f t="shared" si="5"/>
        <v>0</v>
      </c>
      <c r="C373" s="21" t="str">
        <f>VLOOKUP(A373, hash!A$2:B$500, 2, 0)</f>
        <v>664e3a49317dec867b3ddb30</v>
      </c>
      <c r="D373" s="23">
        <f t="shared" si="1"/>
        <v>0</v>
      </c>
      <c r="F373" s="45"/>
      <c r="H373" s="45"/>
      <c r="J373" s="45"/>
    </row>
    <row r="374">
      <c r="A374" s="22" t="s">
        <v>274</v>
      </c>
      <c r="B374" s="21">
        <f t="shared" si="5"/>
        <v>0</v>
      </c>
      <c r="C374" s="21" t="str">
        <f>VLOOKUP(A374, hash!A$2:B$500, 2, 0)</f>
        <v>664e45f07cadce18e9e94600</v>
      </c>
      <c r="D374" s="23">
        <f t="shared" si="1"/>
        <v>0</v>
      </c>
      <c r="F374" s="45"/>
      <c r="H374" s="45"/>
      <c r="J374" s="45"/>
    </row>
    <row r="375">
      <c r="A375" s="22" t="s">
        <v>275</v>
      </c>
      <c r="B375" s="21">
        <f t="shared" si="5"/>
        <v>0</v>
      </c>
      <c r="C375" s="21" t="str">
        <f>VLOOKUP(A375, hash!A$2:B$500, 2, 0)</f>
        <v>665773d4af4d86d206115ffb</v>
      </c>
      <c r="D375" s="23">
        <f t="shared" si="1"/>
        <v>0</v>
      </c>
      <c r="F375" s="45"/>
      <c r="H375" s="45"/>
      <c r="J375" s="45"/>
    </row>
    <row r="376">
      <c r="A376" s="22" t="s">
        <v>642</v>
      </c>
      <c r="B376" s="21">
        <f t="shared" si="5"/>
        <v>0</v>
      </c>
      <c r="C376" s="21" t="str">
        <f>VLOOKUP(A376, hash!A$2:B$500, 2, 0)</f>
        <v>#N/A</v>
      </c>
      <c r="D376" s="23">
        <f t="shared" si="1"/>
        <v>0</v>
      </c>
      <c r="F376" s="45"/>
      <c r="H376" s="45"/>
      <c r="J376" s="45"/>
    </row>
    <row r="377">
      <c r="A377" s="22" t="s">
        <v>643</v>
      </c>
      <c r="B377" s="21">
        <f t="shared" si="5"/>
        <v>0</v>
      </c>
      <c r="C377" s="21" t="str">
        <f>VLOOKUP(A377, hash!A$2:B$500, 2, 0)</f>
        <v>#N/A</v>
      </c>
      <c r="D377" s="23">
        <f t="shared" si="1"/>
        <v>0</v>
      </c>
      <c r="F377" s="45"/>
      <c r="H377" s="45"/>
      <c r="J377" s="45"/>
    </row>
    <row r="378">
      <c r="A378" s="22" t="s">
        <v>276</v>
      </c>
      <c r="B378" s="21">
        <f t="shared" si="5"/>
        <v>0</v>
      </c>
      <c r="C378" s="21" t="str">
        <f>VLOOKUP(A378, hash!A$2:B$500, 2, 0)</f>
        <v>66cac517e3728ef7a173d5b4</v>
      </c>
      <c r="D378" s="23">
        <f t="shared" si="1"/>
        <v>0</v>
      </c>
      <c r="F378" s="45"/>
      <c r="H378" s="45"/>
      <c r="J378" s="45"/>
    </row>
    <row r="379">
      <c r="A379" s="22" t="s">
        <v>277</v>
      </c>
      <c r="B379" s="21">
        <f t="shared" si="5"/>
        <v>0</v>
      </c>
      <c r="C379" s="21" t="str">
        <f>VLOOKUP(A379, hash!A$2:B$500, 2, 0)</f>
        <v>66d4dfe22c49b6570be6d76d</v>
      </c>
      <c r="D379" s="23">
        <f t="shared" si="1"/>
        <v>0</v>
      </c>
      <c r="E379" s="14">
        <v>0.0</v>
      </c>
      <c r="F379" s="27">
        <v>0.0</v>
      </c>
      <c r="G379" s="14">
        <v>0.0</v>
      </c>
      <c r="H379" s="27">
        <v>0.0</v>
      </c>
      <c r="I379" s="14">
        <v>0.0</v>
      </c>
      <c r="J379" s="27">
        <v>0.0</v>
      </c>
    </row>
    <row r="380">
      <c r="A380" s="22" t="s">
        <v>278</v>
      </c>
      <c r="B380" s="21">
        <f t="shared" si="5"/>
        <v>0</v>
      </c>
      <c r="C380" s="21" t="str">
        <f>VLOOKUP(A380, hash!A$2:B$500, 2, 0)</f>
        <v>66db0378ada861be3f1186a3</v>
      </c>
      <c r="D380" s="23">
        <f t="shared" si="1"/>
        <v>0</v>
      </c>
      <c r="F380" s="45"/>
      <c r="H380" s="45"/>
      <c r="J380" s="45"/>
    </row>
    <row r="381">
      <c r="A381" s="22" t="s">
        <v>279</v>
      </c>
      <c r="B381" s="21">
        <f t="shared" si="5"/>
        <v>0</v>
      </c>
      <c r="C381" s="21" t="str">
        <f>VLOOKUP(A381, hash!A$2:B$500, 2, 0)</f>
        <v>66dfaa6ed25069720af3c493</v>
      </c>
      <c r="D381" s="23">
        <f t="shared" si="1"/>
        <v>0</v>
      </c>
      <c r="F381" s="27"/>
      <c r="H381" s="27"/>
      <c r="J381" s="27"/>
    </row>
    <row r="382">
      <c r="A382" s="22" t="s">
        <v>280</v>
      </c>
      <c r="B382" s="21">
        <f t="shared" si="5"/>
        <v>0</v>
      </c>
      <c r="C382" s="21" t="str">
        <f>VLOOKUP(A382, hash!A$2:B$500, 2, 0)</f>
        <v>66e1e0ef855f2a7e8fb837e2</v>
      </c>
      <c r="D382" s="23">
        <f t="shared" si="1"/>
        <v>0</v>
      </c>
      <c r="F382" s="45"/>
      <c r="H382" s="45"/>
      <c r="J382" s="45"/>
    </row>
    <row r="383">
      <c r="A383" s="22" t="s">
        <v>281</v>
      </c>
      <c r="B383" s="21">
        <f t="shared" si="5"/>
        <v>0</v>
      </c>
      <c r="C383" s="21" t="str">
        <f>VLOOKUP(A383, hash!A$2:B$500, 2, 0)</f>
        <v>66e1e0fe855f2a7e8fb837e3</v>
      </c>
      <c r="D383" s="23">
        <f t="shared" si="1"/>
        <v>0</v>
      </c>
      <c r="F383" s="45"/>
      <c r="H383" s="45"/>
      <c r="J383" s="45"/>
    </row>
    <row r="384">
      <c r="A384" s="22" t="s">
        <v>282</v>
      </c>
      <c r="B384" s="21">
        <f t="shared" si="5"/>
        <v>0</v>
      </c>
      <c r="C384" s="21" t="str">
        <f>VLOOKUP(A384, hash!A$2:B$500, 2, 0)</f>
        <v>66e1e105a61e89c7c68f6e30</v>
      </c>
      <c r="D384" s="23">
        <f t="shared" si="1"/>
        <v>0</v>
      </c>
      <c r="F384" s="45"/>
      <c r="H384" s="45"/>
      <c r="J384" s="45"/>
    </row>
    <row r="385">
      <c r="A385" s="22" t="s">
        <v>283</v>
      </c>
      <c r="B385" s="21">
        <f t="shared" si="5"/>
        <v>0</v>
      </c>
      <c r="C385" s="21" t="str">
        <f>VLOOKUP(A385, hash!A$2:B$500, 2, 0)</f>
        <v>66e1e10bdb315cbd40043fc3</v>
      </c>
      <c r="D385" s="23">
        <f t="shared" si="1"/>
        <v>0</v>
      </c>
      <c r="F385" s="45"/>
      <c r="H385" s="45"/>
      <c r="J385" s="45"/>
    </row>
    <row r="386">
      <c r="A386" s="22" t="s">
        <v>284</v>
      </c>
      <c r="B386" s="21">
        <f t="shared" si="5"/>
        <v>0</v>
      </c>
      <c r="C386" s="21" t="str">
        <f>VLOOKUP(A386, hash!A$2:B$500, 2, 0)</f>
        <v>66e1e111f0db8f5922c91d81</v>
      </c>
      <c r="D386" s="23">
        <f t="shared" si="1"/>
        <v>0</v>
      </c>
      <c r="F386" s="45"/>
      <c r="H386" s="45"/>
      <c r="J386" s="45"/>
    </row>
    <row r="387">
      <c r="A387" s="22" t="s">
        <v>286</v>
      </c>
      <c r="B387" s="21">
        <f t="shared" si="5"/>
        <v>0</v>
      </c>
      <c r="C387" s="21" t="str">
        <f>VLOOKUP(A387, hash!A$2:B$500, 2, 0)</f>
        <v>66e1e1187a8e6dc2aed3a63d</v>
      </c>
      <c r="D387" s="23">
        <f t="shared" si="1"/>
        <v>0</v>
      </c>
      <c r="F387" s="45"/>
      <c r="H387" s="45"/>
      <c r="J387" s="45"/>
    </row>
    <row r="388">
      <c r="A388" s="22" t="s">
        <v>287</v>
      </c>
      <c r="B388" s="21">
        <f t="shared" si="5"/>
        <v>0</v>
      </c>
      <c r="C388" s="21" t="str">
        <f>VLOOKUP(A388, hash!A$2:B$500, 2, 0)</f>
        <v>66e1e119f0db8f5922c91d83</v>
      </c>
      <c r="D388" s="23">
        <f t="shared" si="1"/>
        <v>0</v>
      </c>
      <c r="F388" s="45"/>
      <c r="H388" s="45"/>
      <c r="J388" s="45"/>
    </row>
    <row r="389">
      <c r="A389" s="22" t="s">
        <v>288</v>
      </c>
      <c r="B389" s="21">
        <f t="shared" si="5"/>
        <v>0</v>
      </c>
      <c r="C389" s="21" t="str">
        <f>VLOOKUP(A389, hash!A$2:B$500, 2, 0)</f>
        <v>66e1e11f45950d34f313912f</v>
      </c>
      <c r="D389" s="23">
        <f t="shared" si="1"/>
        <v>0</v>
      </c>
      <c r="E389" s="14">
        <v>0.0</v>
      </c>
      <c r="F389" s="27">
        <v>0.0</v>
      </c>
      <c r="G389" s="14">
        <v>0.0</v>
      </c>
      <c r="H389" s="27">
        <v>0.0</v>
      </c>
      <c r="I389" s="14">
        <v>0.0</v>
      </c>
      <c r="J389" s="27">
        <v>0.0</v>
      </c>
    </row>
    <row r="390">
      <c r="A390" s="22" t="s">
        <v>100</v>
      </c>
      <c r="B390" s="21">
        <f t="shared" si="5"/>
        <v>0</v>
      </c>
      <c r="C390" s="21" t="str">
        <f>VLOOKUP(A390, hash!A$2:B$500, 2, 0)</f>
        <v>66e1e1207a8e6dc2aed3a63e</v>
      </c>
      <c r="D390" s="23">
        <f t="shared" si="1"/>
        <v>0</v>
      </c>
      <c r="F390" s="27"/>
      <c r="H390" s="27"/>
      <c r="J390" s="27"/>
    </row>
    <row r="391">
      <c r="A391" s="22" t="s">
        <v>289</v>
      </c>
      <c r="B391" s="21">
        <f t="shared" si="5"/>
        <v>0</v>
      </c>
      <c r="C391" s="21" t="str">
        <f>VLOOKUP(A391, hash!A$2:B$500, 2, 0)</f>
        <v>66e1e1217a8e6dc2aed3a63f</v>
      </c>
      <c r="D391" s="23">
        <f t="shared" si="1"/>
        <v>0</v>
      </c>
      <c r="F391" s="45"/>
      <c r="H391" s="45"/>
      <c r="J391" s="45"/>
    </row>
    <row r="392">
      <c r="A392" s="22" t="s">
        <v>290</v>
      </c>
      <c r="B392" s="21">
        <f t="shared" si="5"/>
        <v>0</v>
      </c>
      <c r="C392" s="21" t="str">
        <f>VLOOKUP(A392, hash!A$2:B$500, 2, 0)</f>
        <v>66e1e1227a8e6dc2aed3a640</v>
      </c>
      <c r="D392" s="23">
        <f t="shared" si="1"/>
        <v>0</v>
      </c>
      <c r="F392" s="27"/>
      <c r="H392" s="27"/>
      <c r="J392" s="27"/>
    </row>
    <row r="393">
      <c r="A393" s="22" t="s">
        <v>50</v>
      </c>
      <c r="B393" s="21">
        <f t="shared" si="5"/>
        <v>0</v>
      </c>
      <c r="C393" s="21" t="str">
        <f>VLOOKUP(A393, hash!A$2:B$500, 2, 0)</f>
        <v>66e1e1227a8e6dc2aed3a641</v>
      </c>
      <c r="D393" s="23">
        <f t="shared" si="1"/>
        <v>0</v>
      </c>
      <c r="F393" s="45"/>
      <c r="H393" s="45"/>
      <c r="J393" s="45"/>
    </row>
    <row r="394">
      <c r="A394" s="22" t="s">
        <v>291</v>
      </c>
      <c r="B394" s="21">
        <f t="shared" si="5"/>
        <v>0</v>
      </c>
      <c r="C394" s="21" t="str">
        <f>VLOOKUP(A394, hash!A$2:B$500, 2, 0)</f>
        <v>66e1e122e2fbdff8a0c35634</v>
      </c>
      <c r="D394" s="23">
        <f t="shared" si="1"/>
        <v>0</v>
      </c>
      <c r="F394" s="27"/>
      <c r="H394" s="27"/>
      <c r="J394" s="27"/>
    </row>
    <row r="395">
      <c r="A395" s="22" t="s">
        <v>292</v>
      </c>
      <c r="B395" s="21">
        <f t="shared" si="5"/>
        <v>0</v>
      </c>
      <c r="C395" s="21" t="str">
        <f>VLOOKUP(A395, hash!A$2:B$500, 2, 0)</f>
        <v>66e1e1257a8e6dc2aed3a643</v>
      </c>
      <c r="D395" s="23">
        <f t="shared" si="1"/>
        <v>0</v>
      </c>
      <c r="F395" s="45"/>
      <c r="H395" s="45"/>
      <c r="J395" s="45"/>
    </row>
    <row r="396">
      <c r="A396" s="22" t="s">
        <v>294</v>
      </c>
      <c r="B396" s="21">
        <f t="shared" si="5"/>
        <v>0</v>
      </c>
      <c r="C396" s="21" t="str">
        <f>VLOOKUP(A396, hash!A$2:B$500, 2, 0)</f>
        <v>66e1e127e2fbdff8a0c35636</v>
      </c>
      <c r="D396" s="23">
        <f t="shared" si="1"/>
        <v>0</v>
      </c>
      <c r="F396" s="45"/>
      <c r="H396" s="45"/>
      <c r="J396" s="45"/>
    </row>
    <row r="397">
      <c r="A397" s="22" t="s">
        <v>295</v>
      </c>
      <c r="B397" s="21">
        <f t="shared" si="5"/>
        <v>0</v>
      </c>
      <c r="C397" s="21" t="str">
        <f>VLOOKUP(A397, hash!A$2:B$500, 2, 0)</f>
        <v>66e1e128f0db8f5922c91d86</v>
      </c>
      <c r="D397" s="23">
        <f t="shared" si="1"/>
        <v>0</v>
      </c>
      <c r="F397" s="45"/>
      <c r="H397" s="45"/>
      <c r="J397" s="45"/>
    </row>
    <row r="398">
      <c r="A398" s="22" t="s">
        <v>296</v>
      </c>
      <c r="B398" s="21">
        <f t="shared" si="5"/>
        <v>0</v>
      </c>
      <c r="C398" s="21" t="str">
        <f>VLOOKUP(A398, hash!A$2:B$500, 2, 0)</f>
        <v>66e1e129f0db8f5922c91d87</v>
      </c>
      <c r="D398" s="23">
        <f t="shared" si="1"/>
        <v>0</v>
      </c>
      <c r="F398" s="45"/>
      <c r="H398" s="45"/>
      <c r="J398" s="45"/>
    </row>
    <row r="399">
      <c r="A399" s="22" t="s">
        <v>62</v>
      </c>
      <c r="B399" s="21">
        <f t="shared" si="5"/>
        <v>0</v>
      </c>
      <c r="C399" s="21" t="str">
        <f>VLOOKUP(A399, hash!A$2:B$500, 2, 0)</f>
        <v>66e1e12a45950d34f3139132</v>
      </c>
      <c r="D399" s="23">
        <f t="shared" si="1"/>
        <v>0</v>
      </c>
      <c r="F399" s="45"/>
      <c r="H399" s="45"/>
      <c r="J399" s="45"/>
    </row>
    <row r="400">
      <c r="A400" s="22" t="s">
        <v>297</v>
      </c>
      <c r="B400" s="21">
        <f t="shared" si="5"/>
        <v>0</v>
      </c>
      <c r="C400" s="21" t="str">
        <f>VLOOKUP(A400, hash!A$2:B$500, 2, 0)</f>
        <v>66e1e12bf0db8f5922c91d88</v>
      </c>
      <c r="D400" s="23">
        <f t="shared" si="1"/>
        <v>0</v>
      </c>
      <c r="E400" s="14">
        <v>0.0</v>
      </c>
      <c r="F400" s="27">
        <v>0.0</v>
      </c>
      <c r="G400" s="14">
        <v>0.0</v>
      </c>
      <c r="H400" s="27">
        <v>0.0</v>
      </c>
      <c r="I400" s="14">
        <v>0.0</v>
      </c>
      <c r="J400" s="27">
        <v>0.0</v>
      </c>
    </row>
    <row r="401">
      <c r="A401" s="22" t="s">
        <v>299</v>
      </c>
      <c r="B401" s="21">
        <f t="shared" si="5"/>
        <v>0</v>
      </c>
      <c r="C401" s="21" t="str">
        <f>VLOOKUP(A401, hash!A$2:B$500, 2, 0)</f>
        <v>66e1e12c68fa766abf5d11d7</v>
      </c>
      <c r="D401" s="23">
        <f t="shared" si="1"/>
        <v>0</v>
      </c>
      <c r="F401" s="45"/>
      <c r="H401" s="45"/>
      <c r="J401" s="45"/>
    </row>
    <row r="402">
      <c r="A402" s="22" t="s">
        <v>300</v>
      </c>
      <c r="B402" s="21">
        <f t="shared" si="5"/>
        <v>0</v>
      </c>
      <c r="C402" s="21" t="str">
        <f>VLOOKUP(A402, hash!A$2:B$500, 2, 0)</f>
        <v>66e1e12df0db8f5922c91d8a</v>
      </c>
      <c r="D402" s="23">
        <f t="shared" si="1"/>
        <v>0</v>
      </c>
      <c r="E402" s="14">
        <v>0.0</v>
      </c>
      <c r="F402" s="27">
        <v>0.0</v>
      </c>
      <c r="G402" s="14">
        <v>0.0</v>
      </c>
      <c r="H402" s="27">
        <v>0.0</v>
      </c>
      <c r="I402" s="14">
        <v>0.0</v>
      </c>
      <c r="J402" s="27">
        <v>0.0</v>
      </c>
    </row>
    <row r="403">
      <c r="A403" s="22" t="s">
        <v>41</v>
      </c>
      <c r="B403" s="21">
        <f t="shared" si="5"/>
        <v>0</v>
      </c>
      <c r="C403" s="21" t="str">
        <f>VLOOKUP(A403, hash!A$2:B$500, 2, 0)</f>
        <v>66e1e12ef0db8f5922c91d8b</v>
      </c>
      <c r="D403" s="23">
        <f t="shared" si="1"/>
        <v>0</v>
      </c>
      <c r="F403" s="27"/>
      <c r="H403" s="27"/>
      <c r="J403" s="27"/>
    </row>
    <row r="404">
      <c r="A404" s="22" t="s">
        <v>302</v>
      </c>
      <c r="B404" s="21">
        <f t="shared" si="5"/>
        <v>0</v>
      </c>
      <c r="C404" s="21" t="str">
        <f>VLOOKUP(A404, hash!A$2:B$500, 2, 0)</f>
        <v>66e1e12f7a8e6dc2aed3a646</v>
      </c>
      <c r="D404" s="23">
        <f t="shared" si="1"/>
        <v>0</v>
      </c>
      <c r="F404" s="27"/>
      <c r="H404" s="27"/>
      <c r="J404" s="27"/>
    </row>
    <row r="405">
      <c r="A405" s="22" t="s">
        <v>304</v>
      </c>
      <c r="B405" s="21">
        <f t="shared" si="5"/>
        <v>0</v>
      </c>
      <c r="C405" s="21" t="str">
        <f>VLOOKUP(A405, hash!A$2:B$500, 2, 0)</f>
        <v>66e1e139f0db8f5922c91d8d</v>
      </c>
      <c r="D405" s="23">
        <f t="shared" si="1"/>
        <v>0</v>
      </c>
      <c r="F405" s="45"/>
      <c r="H405" s="45"/>
      <c r="J405" s="45"/>
    </row>
    <row r="406">
      <c r="A406" s="22" t="s">
        <v>307</v>
      </c>
      <c r="B406" s="21">
        <f t="shared" si="5"/>
        <v>0</v>
      </c>
      <c r="C406" s="21" t="str">
        <f>VLOOKUP(A406, hash!A$2:B$500, 2, 0)</f>
        <v>66e1e14b7a8e6dc2aed3a649</v>
      </c>
      <c r="D406" s="23">
        <f t="shared" si="1"/>
        <v>0</v>
      </c>
      <c r="F406" s="45"/>
      <c r="H406" s="45"/>
      <c r="J406" s="45"/>
    </row>
    <row r="407">
      <c r="A407" s="22" t="s">
        <v>308</v>
      </c>
      <c r="B407" s="21">
        <f t="shared" si="5"/>
        <v>0</v>
      </c>
      <c r="C407" s="21" t="str">
        <f>VLOOKUP(A407, hash!A$2:B$500, 2, 0)</f>
        <v>66e1e14cf0db8f5922c91d94</v>
      </c>
      <c r="D407" s="23">
        <f t="shared" si="1"/>
        <v>0</v>
      </c>
      <c r="F407" s="45"/>
      <c r="H407" s="45"/>
      <c r="J407" s="45"/>
    </row>
    <row r="408">
      <c r="A408" s="22" t="s">
        <v>309</v>
      </c>
      <c r="B408" s="21">
        <f t="shared" si="5"/>
        <v>0</v>
      </c>
      <c r="C408" s="21" t="str">
        <f>VLOOKUP(A408, hash!A$2:B$500, 2, 0)</f>
        <v>66e1e200bbd279710a4f25a0</v>
      </c>
      <c r="D408" s="23">
        <f t="shared" si="1"/>
        <v>0</v>
      </c>
      <c r="F408" s="27"/>
      <c r="H408" s="27"/>
      <c r="J408" s="27"/>
    </row>
    <row r="409">
      <c r="A409" s="22" t="s">
        <v>38</v>
      </c>
      <c r="B409" s="21">
        <f t="shared" si="5"/>
        <v>0</v>
      </c>
      <c r="C409" s="21" t="str">
        <f>VLOOKUP(A409, hash!A$2:B$500, 2, 0)</f>
        <v>66e1e295c67d6a88d4309dde</v>
      </c>
      <c r="D409" s="23">
        <f t="shared" si="1"/>
        <v>0</v>
      </c>
      <c r="F409" s="45"/>
      <c r="H409" s="45"/>
      <c r="J409" s="45"/>
    </row>
    <row r="410">
      <c r="A410" s="22" t="s">
        <v>310</v>
      </c>
      <c r="B410" s="21">
        <f t="shared" si="5"/>
        <v>0</v>
      </c>
      <c r="C410" s="21" t="str">
        <f>VLOOKUP(A410, hash!A$2:B$500, 2, 0)</f>
        <v>66e1ed7ce62f650d943808d3</v>
      </c>
      <c r="D410" s="23">
        <f t="shared" si="1"/>
        <v>0</v>
      </c>
      <c r="F410" s="45"/>
      <c r="H410" s="45"/>
      <c r="J410" s="45"/>
    </row>
    <row r="411">
      <c r="A411" s="22" t="s">
        <v>311</v>
      </c>
      <c r="B411" s="21">
        <f t="shared" si="5"/>
        <v>0</v>
      </c>
      <c r="C411" s="21" t="str">
        <f>VLOOKUP(A411, hash!A$2:B$500, 2, 0)</f>
        <v>66e1ed80e62f650d943808d4</v>
      </c>
      <c r="D411" s="23">
        <f t="shared" si="1"/>
        <v>0</v>
      </c>
      <c r="F411" s="45"/>
      <c r="H411" s="45"/>
      <c r="J411" s="45"/>
    </row>
    <row r="412">
      <c r="A412" s="22" t="s">
        <v>313</v>
      </c>
      <c r="B412" s="21">
        <f t="shared" si="5"/>
        <v>0</v>
      </c>
      <c r="C412" s="21" t="str">
        <f>VLOOKUP(A412, hash!A$2:B$500, 2, 0)</f>
        <v>66e1ed8677e929b3df889a0a</v>
      </c>
      <c r="D412" s="23">
        <f t="shared" si="1"/>
        <v>0</v>
      </c>
      <c r="F412" s="27"/>
      <c r="H412" s="27"/>
      <c r="J412" s="27"/>
    </row>
    <row r="413">
      <c r="A413" s="22" t="s">
        <v>314</v>
      </c>
      <c r="B413" s="21">
        <f t="shared" si="5"/>
        <v>0</v>
      </c>
      <c r="C413" s="21" t="str">
        <f>VLOOKUP(A413, hash!A$2:B$500, 2, 0)</f>
        <v>66e1ed871129889a3e2c24a9</v>
      </c>
      <c r="D413" s="23">
        <f t="shared" si="1"/>
        <v>0</v>
      </c>
      <c r="F413" s="45"/>
      <c r="H413" s="45"/>
      <c r="J413" s="45"/>
    </row>
    <row r="414">
      <c r="A414" s="22" t="s">
        <v>315</v>
      </c>
      <c r="B414" s="21">
        <f t="shared" si="5"/>
        <v>0</v>
      </c>
      <c r="C414" s="21" t="str">
        <f>VLOOKUP(A414, hash!A$2:B$500, 2, 0)</f>
        <v>66e1ed901129889a3e2c24ac</v>
      </c>
      <c r="D414" s="23">
        <f t="shared" si="1"/>
        <v>0</v>
      </c>
      <c r="F414" s="45"/>
      <c r="H414" s="45"/>
      <c r="J414" s="45"/>
    </row>
    <row r="415">
      <c r="A415" s="22" t="s">
        <v>316</v>
      </c>
      <c r="B415" s="21">
        <f t="shared" si="5"/>
        <v>0</v>
      </c>
      <c r="C415" s="21" t="str">
        <f>VLOOKUP(A415, hash!A$2:B$500, 2, 0)</f>
        <v>66e1ed9207067318cc1e18cb</v>
      </c>
      <c r="D415" s="23">
        <f t="shared" si="1"/>
        <v>0</v>
      </c>
      <c r="F415" s="45"/>
      <c r="H415" s="45"/>
      <c r="J415" s="45"/>
    </row>
    <row r="416">
      <c r="A416" s="22" t="s">
        <v>317</v>
      </c>
      <c r="B416" s="21">
        <f t="shared" si="5"/>
        <v>0</v>
      </c>
      <c r="C416" s="21" t="str">
        <f>VLOOKUP(A416, hash!A$2:B$500, 2, 0)</f>
        <v>66e1ed9207067318cc1e18cc</v>
      </c>
      <c r="D416" s="23">
        <f t="shared" si="1"/>
        <v>0</v>
      </c>
      <c r="F416" s="45"/>
      <c r="H416" s="45"/>
      <c r="J416" s="45"/>
    </row>
    <row r="417">
      <c r="A417" s="22" t="s">
        <v>318</v>
      </c>
      <c r="B417" s="21">
        <f t="shared" si="5"/>
        <v>0</v>
      </c>
      <c r="C417" s="21" t="str">
        <f>VLOOKUP(A417, hash!A$2:B$500, 2, 0)</f>
        <v>66e1ed9407067318cc1e18cd</v>
      </c>
      <c r="D417" s="23">
        <f t="shared" si="1"/>
        <v>0</v>
      </c>
      <c r="F417" s="45"/>
      <c r="H417" s="45"/>
      <c r="J417" s="45"/>
    </row>
    <row r="418">
      <c r="A418" s="22" t="s">
        <v>320</v>
      </c>
      <c r="B418" s="21">
        <f t="shared" si="5"/>
        <v>0</v>
      </c>
      <c r="C418" s="21" t="str">
        <f>VLOOKUP(A418, hash!A$2:B$500, 2, 0)</f>
        <v>66e1ed97e62f650d943808d6</v>
      </c>
      <c r="D418" s="23">
        <f t="shared" si="1"/>
        <v>0</v>
      </c>
      <c r="F418" s="27"/>
      <c r="H418" s="27"/>
      <c r="J418" s="27"/>
    </row>
    <row r="419">
      <c r="A419" s="22" t="s">
        <v>321</v>
      </c>
      <c r="B419" s="21">
        <f t="shared" si="5"/>
        <v>0</v>
      </c>
      <c r="C419" s="21" t="str">
        <f>VLOOKUP(A419, hash!A$2:B$500, 2, 0)</f>
        <v>66e1ed9877e929b3df889a0b</v>
      </c>
      <c r="D419" s="23">
        <f t="shared" si="1"/>
        <v>0</v>
      </c>
      <c r="F419" s="27"/>
      <c r="H419" s="27"/>
      <c r="J419" s="27"/>
    </row>
    <row r="420">
      <c r="A420" s="22" t="s">
        <v>322</v>
      </c>
      <c r="B420" s="21">
        <f t="shared" si="5"/>
        <v>0</v>
      </c>
      <c r="C420" s="21" t="str">
        <f>VLOOKUP(A420, hash!A$2:B$500, 2, 0)</f>
        <v>66e1ed9877e929b3df889a0c</v>
      </c>
      <c r="D420" s="23">
        <f t="shared" si="1"/>
        <v>0</v>
      </c>
      <c r="F420" s="45"/>
      <c r="H420" s="45"/>
      <c r="J420" s="45"/>
    </row>
    <row r="421">
      <c r="A421" s="22" t="s">
        <v>323</v>
      </c>
      <c r="B421" s="21">
        <f t="shared" si="5"/>
        <v>0</v>
      </c>
      <c r="C421" s="21" t="str">
        <f>VLOOKUP(A421, hash!A$2:B$500, 2, 0)</f>
        <v>66e1ed98e62f650d943808d7</v>
      </c>
      <c r="D421" s="23">
        <f t="shared" si="1"/>
        <v>0</v>
      </c>
      <c r="F421" s="45"/>
      <c r="H421" s="45"/>
      <c r="J421" s="45"/>
    </row>
    <row r="422">
      <c r="A422" s="22" t="s">
        <v>324</v>
      </c>
      <c r="B422" s="21">
        <f t="shared" si="5"/>
        <v>0</v>
      </c>
      <c r="C422" s="21" t="str">
        <f>VLOOKUP(A422, hash!A$2:B$500, 2, 0)</f>
        <v>66e1ed9b535f0d0c02349bed</v>
      </c>
      <c r="D422" s="23">
        <f t="shared" si="1"/>
        <v>0</v>
      </c>
      <c r="F422" s="45"/>
      <c r="H422" s="45"/>
      <c r="J422" s="45"/>
    </row>
    <row r="423">
      <c r="A423" s="22" t="s">
        <v>326</v>
      </c>
      <c r="B423" s="21">
        <f t="shared" si="5"/>
        <v>0</v>
      </c>
      <c r="C423" s="21" t="str">
        <f>VLOOKUP(A423, hash!A$2:B$500, 2, 0)</f>
        <v>66e1ed9e07067318cc1e18cf</v>
      </c>
      <c r="D423" s="23">
        <f t="shared" si="1"/>
        <v>0</v>
      </c>
      <c r="F423" s="45"/>
      <c r="H423" s="45"/>
      <c r="J423" s="45"/>
    </row>
    <row r="424">
      <c r="A424" s="22" t="s">
        <v>327</v>
      </c>
      <c r="B424" s="21">
        <f t="shared" si="5"/>
        <v>0</v>
      </c>
      <c r="C424" s="21" t="str">
        <f>VLOOKUP(A424, hash!A$2:B$500, 2, 0)</f>
        <v>66e1ed9f07067318cc1e18d0</v>
      </c>
      <c r="D424" s="23">
        <f t="shared" si="1"/>
        <v>0</v>
      </c>
      <c r="E424" s="14">
        <v>0.0</v>
      </c>
      <c r="F424" s="27">
        <v>0.0</v>
      </c>
      <c r="G424" s="14">
        <v>0.0</v>
      </c>
      <c r="H424" s="27">
        <v>0.0</v>
      </c>
      <c r="I424" s="14">
        <v>0.0</v>
      </c>
      <c r="J424" s="27">
        <v>0.0</v>
      </c>
    </row>
    <row r="425">
      <c r="A425" s="22" t="s">
        <v>328</v>
      </c>
      <c r="B425" s="21">
        <f t="shared" si="5"/>
        <v>0</v>
      </c>
      <c r="C425" s="21" t="str">
        <f>VLOOKUP(A425, hash!A$2:B$500, 2, 0)</f>
        <v>66e1eda007067318cc1e18d1</v>
      </c>
      <c r="D425" s="23">
        <f t="shared" si="1"/>
        <v>0</v>
      </c>
      <c r="F425" s="45"/>
      <c r="H425" s="45"/>
      <c r="J425" s="45"/>
    </row>
    <row r="426">
      <c r="A426" s="22" t="s">
        <v>329</v>
      </c>
      <c r="B426" s="21">
        <f t="shared" si="5"/>
        <v>0</v>
      </c>
      <c r="C426" s="21" t="str">
        <f>VLOOKUP(A426, hash!A$2:B$500, 2, 0)</f>
        <v>66e1eda1535f0d0c02349bee</v>
      </c>
      <c r="D426" s="23">
        <f t="shared" si="1"/>
        <v>0</v>
      </c>
      <c r="F426" s="45"/>
      <c r="H426" s="45"/>
      <c r="J426" s="45"/>
    </row>
    <row r="427">
      <c r="A427" s="22" t="s">
        <v>330</v>
      </c>
      <c r="B427" s="21">
        <f t="shared" si="5"/>
        <v>0</v>
      </c>
      <c r="C427" s="21" t="str">
        <f>VLOOKUP(A427, hash!A$2:B$500, 2, 0)</f>
        <v>66e1eda5535f0d0c02349bef</v>
      </c>
      <c r="D427" s="23">
        <f t="shared" si="1"/>
        <v>0</v>
      </c>
      <c r="F427" s="45"/>
      <c r="H427" s="45"/>
      <c r="J427" s="27"/>
    </row>
    <row r="428">
      <c r="A428" s="22" t="s">
        <v>331</v>
      </c>
      <c r="B428" s="21">
        <f t="shared" si="5"/>
        <v>0</v>
      </c>
      <c r="C428" s="21" t="str">
        <f>VLOOKUP(A428, hash!A$2:B$500, 2, 0)</f>
        <v>66e1eda6535f0d0c02349bf0</v>
      </c>
      <c r="D428" s="23">
        <f t="shared" si="1"/>
        <v>0</v>
      </c>
      <c r="F428" s="45"/>
      <c r="H428" s="45"/>
      <c r="J428" s="45"/>
    </row>
    <row r="429">
      <c r="A429" s="22" t="s">
        <v>97</v>
      </c>
      <c r="B429" s="21">
        <f t="shared" si="5"/>
        <v>0</v>
      </c>
      <c r="C429" s="21" t="str">
        <f>VLOOKUP(A429, hash!A$2:B$500, 2, 0)</f>
        <v>66e1eda71129889a3e2c24ae</v>
      </c>
      <c r="D429" s="23">
        <f t="shared" si="1"/>
        <v>0</v>
      </c>
      <c r="E429" s="14">
        <v>0.0</v>
      </c>
      <c r="F429" s="27">
        <v>0.0</v>
      </c>
      <c r="G429" s="14">
        <v>0.0</v>
      </c>
      <c r="H429" s="27">
        <v>0.0</v>
      </c>
      <c r="I429" s="14">
        <v>0.0</v>
      </c>
      <c r="J429" s="27">
        <v>0.0</v>
      </c>
    </row>
    <row r="430">
      <c r="A430" s="22" t="s">
        <v>332</v>
      </c>
      <c r="B430" s="21">
        <f t="shared" si="5"/>
        <v>0</v>
      </c>
      <c r="C430" s="21" t="str">
        <f>VLOOKUP(A430, hash!A$2:B$500, 2, 0)</f>
        <v>66e1eda81129889a3e2c24af</v>
      </c>
      <c r="D430" s="23">
        <f t="shared" si="1"/>
        <v>0</v>
      </c>
      <c r="F430" s="27"/>
      <c r="H430" s="27"/>
      <c r="J430" s="27"/>
    </row>
    <row r="431">
      <c r="A431" s="22" t="s">
        <v>333</v>
      </c>
      <c r="B431" s="21">
        <f t="shared" si="5"/>
        <v>0</v>
      </c>
      <c r="C431" s="21" t="str">
        <f>VLOOKUP(A431, hash!A$2:B$500, 2, 0)</f>
        <v>66e1eda807067318cc1e18d2</v>
      </c>
      <c r="D431" s="23">
        <f t="shared" si="1"/>
        <v>0</v>
      </c>
      <c r="E431" s="14">
        <v>0.0</v>
      </c>
      <c r="F431" s="27">
        <v>0.0</v>
      </c>
      <c r="G431" s="14">
        <v>0.0</v>
      </c>
      <c r="H431" s="27">
        <v>0.0</v>
      </c>
      <c r="I431" s="14">
        <v>0.0</v>
      </c>
      <c r="J431" s="27">
        <v>0.0</v>
      </c>
    </row>
    <row r="432">
      <c r="A432" s="22" t="s">
        <v>90</v>
      </c>
      <c r="B432" s="21">
        <f t="shared" si="5"/>
        <v>0</v>
      </c>
      <c r="C432" s="21" t="str">
        <f>VLOOKUP(A432, hash!A$2:B$500, 2, 0)</f>
        <v>66e1edab07067318cc1e18d3</v>
      </c>
      <c r="D432" s="23">
        <f t="shared" si="1"/>
        <v>0</v>
      </c>
      <c r="F432" s="45"/>
      <c r="H432" s="45"/>
      <c r="J432" s="45"/>
    </row>
    <row r="433">
      <c r="A433" s="22" t="s">
        <v>334</v>
      </c>
      <c r="B433" s="21">
        <f t="shared" si="5"/>
        <v>0</v>
      </c>
      <c r="C433" s="21" t="str">
        <f>VLOOKUP(A433, hash!A$2:B$500, 2, 0)</f>
        <v>66e1edbc07067318cc1e18d8</v>
      </c>
      <c r="D433" s="23">
        <f t="shared" si="1"/>
        <v>0</v>
      </c>
      <c r="F433" s="45"/>
      <c r="H433" s="45"/>
      <c r="J433" s="45"/>
    </row>
    <row r="434">
      <c r="A434" s="22" t="s">
        <v>335</v>
      </c>
      <c r="B434" s="21">
        <f t="shared" si="5"/>
        <v>0</v>
      </c>
      <c r="C434" s="21" t="str">
        <f>VLOOKUP(A434, hash!A$2:B$500, 2, 0)</f>
        <v>66e1edd11129889a3e2c24ba</v>
      </c>
      <c r="D434" s="23">
        <f t="shared" si="1"/>
        <v>0</v>
      </c>
      <c r="F434" s="45"/>
      <c r="H434" s="45"/>
      <c r="J434" s="45"/>
    </row>
    <row r="435">
      <c r="A435" s="22" t="s">
        <v>336</v>
      </c>
      <c r="B435" s="21">
        <f t="shared" si="5"/>
        <v>0</v>
      </c>
      <c r="C435" s="21" t="str">
        <f>VLOOKUP(A435, hash!A$2:B$500, 2, 0)</f>
        <v>66e1ee9d77e929b3df889a14</v>
      </c>
      <c r="D435" s="23">
        <f t="shared" si="1"/>
        <v>0</v>
      </c>
      <c r="E435" s="14">
        <v>0.0</v>
      </c>
      <c r="F435" s="27">
        <v>0.0</v>
      </c>
      <c r="G435" s="14">
        <v>0.0</v>
      </c>
      <c r="H435" s="27">
        <v>0.0</v>
      </c>
      <c r="I435" s="14">
        <v>0.0</v>
      </c>
      <c r="J435" s="27">
        <v>0.0</v>
      </c>
    </row>
    <row r="436">
      <c r="A436" s="22" t="s">
        <v>337</v>
      </c>
      <c r="B436" s="21">
        <f t="shared" si="5"/>
        <v>0</v>
      </c>
      <c r="C436" s="21" t="str">
        <f>VLOOKUP(A436, hash!A$2:B$500, 2, 0)</f>
        <v>66e1f36e97e3bb4b1a02d659</v>
      </c>
      <c r="D436" s="23">
        <f t="shared" si="1"/>
        <v>0</v>
      </c>
      <c r="F436" s="45"/>
      <c r="H436" s="45"/>
      <c r="J436" s="45"/>
    </row>
    <row r="437">
      <c r="A437" s="22" t="s">
        <v>37</v>
      </c>
      <c r="B437" s="21">
        <f t="shared" si="5"/>
        <v>0</v>
      </c>
      <c r="C437" s="21" t="str">
        <f>VLOOKUP(A437, hash!A$2:B$500, 2, 0)</f>
        <v>66e21e0e9dc93e7d858c34ab</v>
      </c>
      <c r="D437" s="23">
        <f t="shared" si="1"/>
        <v>0</v>
      </c>
      <c r="F437" s="45"/>
      <c r="H437" s="45"/>
      <c r="J437" s="45"/>
    </row>
    <row r="438">
      <c r="A438" s="22" t="s">
        <v>98</v>
      </c>
      <c r="B438" s="21">
        <f t="shared" si="5"/>
        <v>0</v>
      </c>
      <c r="C438" s="21" t="str">
        <f>VLOOKUP(A438, hash!A$2:B$500, 2, 0)</f>
        <v>66e4659d317cf70a1c31109e</v>
      </c>
      <c r="D438" s="23">
        <f t="shared" si="1"/>
        <v>0</v>
      </c>
      <c r="F438" s="45"/>
      <c r="H438" s="45"/>
      <c r="J438" s="45"/>
    </row>
    <row r="439">
      <c r="A439" s="22" t="s">
        <v>338</v>
      </c>
      <c r="B439" s="21">
        <f t="shared" si="5"/>
        <v>0</v>
      </c>
      <c r="C439" s="21" t="str">
        <f>VLOOKUP(A439, hash!A$2:B$500, 2, 0)</f>
        <v>66ea1f306b0b246c2372bbac</v>
      </c>
      <c r="D439" s="23">
        <f t="shared" si="1"/>
        <v>0</v>
      </c>
      <c r="F439" s="45"/>
      <c r="H439" s="45"/>
      <c r="J439" s="45"/>
    </row>
    <row r="440">
      <c r="A440" s="22" t="s">
        <v>35</v>
      </c>
      <c r="B440" s="21">
        <f t="shared" si="5"/>
        <v>0</v>
      </c>
      <c r="C440" s="21" t="str">
        <f>VLOOKUP(A440, hash!A$2:B$500, 2, 0)</f>
        <v>66eb1b4237edf2b32f9fc2ec</v>
      </c>
      <c r="D440" s="23">
        <f t="shared" si="1"/>
        <v>0</v>
      </c>
      <c r="F440" s="45"/>
      <c r="H440" s="45"/>
      <c r="J440" s="45"/>
    </row>
    <row r="441">
      <c r="A441" s="22" t="s">
        <v>339</v>
      </c>
      <c r="B441" s="21">
        <f t="shared" si="5"/>
        <v>0</v>
      </c>
      <c r="C441" s="21" t="str">
        <f>VLOOKUP(A441, hash!A$2:B$500, 2, 0)</f>
        <v>66eb1bdf61b31c87a7ea090e</v>
      </c>
      <c r="D441" s="23">
        <f t="shared" si="1"/>
        <v>0</v>
      </c>
      <c r="F441" s="45"/>
      <c r="H441" s="45"/>
      <c r="J441" s="45"/>
    </row>
    <row r="442">
      <c r="A442" s="22" t="s">
        <v>340</v>
      </c>
      <c r="B442" s="21">
        <f t="shared" si="5"/>
        <v>0</v>
      </c>
      <c r="C442" s="21" t="str">
        <f>VLOOKUP(A442, hash!A$2:B$500, 2, 0)</f>
        <v>66eb1bedcb6c430d242f37c4</v>
      </c>
      <c r="D442" s="23">
        <f t="shared" si="1"/>
        <v>0</v>
      </c>
      <c r="F442" s="45"/>
      <c r="H442" s="45"/>
      <c r="J442" s="45"/>
    </row>
    <row r="443">
      <c r="A443" s="22" t="s">
        <v>341</v>
      </c>
      <c r="B443" s="21">
        <f t="shared" si="5"/>
        <v>0</v>
      </c>
      <c r="C443" s="21" t="str">
        <f>VLOOKUP(A443, hash!A$2:B$500, 2, 0)</f>
        <v>66eb1bf21132636931fb1927</v>
      </c>
      <c r="D443" s="23">
        <f t="shared" si="1"/>
        <v>0</v>
      </c>
      <c r="F443" s="27"/>
      <c r="H443" s="27"/>
      <c r="J443" s="27"/>
    </row>
    <row r="444">
      <c r="A444" s="22" t="s">
        <v>342</v>
      </c>
      <c r="B444" s="21">
        <f t="shared" si="5"/>
        <v>0</v>
      </c>
      <c r="C444" s="21" t="str">
        <f>VLOOKUP(A444, hash!A$2:B$500, 2, 0)</f>
        <v>66eb1bf5cb6c430d242f37c7</v>
      </c>
      <c r="D444" s="23">
        <f t="shared" si="1"/>
        <v>0</v>
      </c>
      <c r="F444" s="45"/>
      <c r="H444" s="45"/>
      <c r="J444" s="45"/>
    </row>
    <row r="445">
      <c r="A445" s="22" t="s">
        <v>343</v>
      </c>
      <c r="B445" s="21">
        <f t="shared" si="5"/>
        <v>0</v>
      </c>
      <c r="C445" s="21" t="str">
        <f>VLOOKUP(A445, hash!A$2:B$500, 2, 0)</f>
        <v>66eb1bf91132636931fb1929</v>
      </c>
      <c r="D445" s="23">
        <f t="shared" si="1"/>
        <v>0</v>
      </c>
      <c r="F445" s="45"/>
      <c r="H445" s="45"/>
      <c r="J445" s="45"/>
    </row>
    <row r="446">
      <c r="A446" s="22" t="s">
        <v>344</v>
      </c>
      <c r="B446" s="21">
        <f t="shared" si="5"/>
        <v>0</v>
      </c>
      <c r="C446" s="21" t="str">
        <f>VLOOKUP(A446, hash!A$2:B$500, 2, 0)</f>
        <v>66eb1bff8647681e6a2afbde</v>
      </c>
      <c r="D446" s="23">
        <f t="shared" si="1"/>
        <v>0</v>
      </c>
      <c r="F446" s="45"/>
      <c r="H446" s="45"/>
      <c r="J446" s="45"/>
    </row>
    <row r="447">
      <c r="A447" s="22" t="s">
        <v>345</v>
      </c>
      <c r="B447" s="21">
        <f t="shared" si="5"/>
        <v>0</v>
      </c>
      <c r="C447" s="21" t="str">
        <f>VLOOKUP(A447, hash!A$2:B$500, 2, 0)</f>
        <v>66eb1c00a52629221738126a</v>
      </c>
      <c r="D447" s="23">
        <f t="shared" si="1"/>
        <v>0</v>
      </c>
      <c r="F447" s="45"/>
      <c r="H447" s="45"/>
      <c r="J447" s="45"/>
    </row>
    <row r="448">
      <c r="A448" s="22" t="s">
        <v>347</v>
      </c>
      <c r="B448" s="21">
        <f t="shared" si="5"/>
        <v>0</v>
      </c>
      <c r="C448" s="21" t="str">
        <f>VLOOKUP(A448, hash!A$2:B$500, 2, 0)</f>
        <v>66eb1c248647681e6a2afbe7</v>
      </c>
      <c r="D448" s="23">
        <f t="shared" si="1"/>
        <v>0</v>
      </c>
      <c r="F448" s="45"/>
      <c r="H448" s="45"/>
      <c r="J448" s="45"/>
    </row>
    <row r="449">
      <c r="A449" s="22" t="s">
        <v>348</v>
      </c>
      <c r="B449" s="21">
        <f t="shared" si="5"/>
        <v>0</v>
      </c>
      <c r="C449" s="21" t="str">
        <f>VLOOKUP(A449, hash!A$2:B$500, 2, 0)</f>
        <v>66eb1c2ba526292217381274</v>
      </c>
      <c r="D449" s="23">
        <f t="shared" si="1"/>
        <v>0</v>
      </c>
      <c r="F449" s="45"/>
      <c r="H449" s="45"/>
      <c r="J449" s="45"/>
    </row>
    <row r="450">
      <c r="A450" s="22" t="s">
        <v>349</v>
      </c>
      <c r="B450" s="21">
        <f t="shared" si="5"/>
        <v>0</v>
      </c>
      <c r="C450" s="21" t="str">
        <f>VLOOKUP(A450, hash!A$2:B$500, 2, 0)</f>
        <v>66eb1c2b8647681e6a2afbe8</v>
      </c>
      <c r="D450" s="23">
        <f t="shared" si="1"/>
        <v>0</v>
      </c>
      <c r="F450" s="45"/>
      <c r="H450" s="45"/>
      <c r="J450" s="45"/>
    </row>
    <row r="451">
      <c r="A451" s="22" t="s">
        <v>350</v>
      </c>
      <c r="B451" s="21">
        <f t="shared" si="5"/>
        <v>0</v>
      </c>
      <c r="C451" s="21" t="str">
        <f>VLOOKUP(A451, hash!A$2:B$500, 2, 0)</f>
        <v>66eb1c33cb6c430d242f37d2</v>
      </c>
      <c r="D451" s="23">
        <f t="shared" si="1"/>
        <v>0</v>
      </c>
      <c r="F451" s="45"/>
      <c r="H451" s="45"/>
      <c r="J451" s="45"/>
    </row>
    <row r="452">
      <c r="A452" s="22" t="s">
        <v>351</v>
      </c>
      <c r="B452" s="21">
        <f t="shared" si="5"/>
        <v>0</v>
      </c>
      <c r="C452" s="21" t="str">
        <f>VLOOKUP(A452, hash!A$2:B$500, 2, 0)</f>
        <v>66eb1c341132636931fb192f</v>
      </c>
      <c r="D452" s="23">
        <f t="shared" si="1"/>
        <v>0</v>
      </c>
      <c r="E452" s="14">
        <v>0.0</v>
      </c>
      <c r="F452" s="27">
        <v>0.0</v>
      </c>
      <c r="G452" s="14">
        <v>0.0</v>
      </c>
      <c r="H452" s="27">
        <v>0.0</v>
      </c>
      <c r="I452" s="14">
        <v>0.0</v>
      </c>
      <c r="J452" s="27">
        <v>0.0</v>
      </c>
    </row>
    <row r="453">
      <c r="A453" s="22" t="s">
        <v>352</v>
      </c>
      <c r="B453" s="21">
        <f t="shared" si="5"/>
        <v>0</v>
      </c>
      <c r="C453" s="21" t="str">
        <f>VLOOKUP(A453, hash!A$2:B$500, 2, 0)</f>
        <v>66eb1c681132636931fb1934</v>
      </c>
      <c r="D453" s="23">
        <f t="shared" si="1"/>
        <v>0</v>
      </c>
      <c r="F453" s="45"/>
      <c r="H453" s="45"/>
      <c r="J453" s="45"/>
    </row>
    <row r="454">
      <c r="A454" s="22" t="s">
        <v>353</v>
      </c>
      <c r="B454" s="21">
        <f t="shared" si="5"/>
        <v>0</v>
      </c>
      <c r="C454" s="21" t="str">
        <f>VLOOKUP(A454, hash!A$2:B$500, 2, 0)</f>
        <v>66eb1c6ecb6c430d242f37d9</v>
      </c>
      <c r="D454" s="23">
        <f t="shared" si="1"/>
        <v>0</v>
      </c>
      <c r="F454" s="45"/>
      <c r="H454" s="45"/>
      <c r="J454" s="45"/>
    </row>
    <row r="455">
      <c r="A455" s="22" t="s">
        <v>354</v>
      </c>
      <c r="B455" s="21">
        <f t="shared" si="5"/>
        <v>0</v>
      </c>
      <c r="C455" s="21" t="str">
        <f>VLOOKUP(A455, hash!A$2:B$500, 2, 0)</f>
        <v>66eb1c79cb6c430d242f37da</v>
      </c>
      <c r="D455" s="23">
        <f t="shared" si="1"/>
        <v>0</v>
      </c>
      <c r="F455" s="45"/>
      <c r="H455" s="45"/>
      <c r="J455" s="45"/>
    </row>
    <row r="456">
      <c r="A456" s="22" t="s">
        <v>355</v>
      </c>
      <c r="B456" s="21">
        <f t="shared" si="5"/>
        <v>0</v>
      </c>
      <c r="C456" s="21" t="str">
        <f>VLOOKUP(A456, hash!A$2:B$500, 2, 0)</f>
        <v>66eb1c7e1132636931fb1938</v>
      </c>
      <c r="D456" s="23">
        <f t="shared" si="1"/>
        <v>0</v>
      </c>
      <c r="F456" s="45"/>
      <c r="H456" s="45"/>
      <c r="J456" s="45"/>
    </row>
    <row r="457">
      <c r="A457" s="22" t="s">
        <v>356</v>
      </c>
      <c r="B457" s="21">
        <f t="shared" si="5"/>
        <v>0</v>
      </c>
      <c r="C457" s="21" t="str">
        <f>VLOOKUP(A457, hash!A$2:B$500, 2, 0)</f>
        <v>66eb1cb28647681e6a2afbec</v>
      </c>
      <c r="D457" s="23">
        <f t="shared" si="1"/>
        <v>0</v>
      </c>
      <c r="F457" s="45"/>
      <c r="H457" s="45"/>
      <c r="J457" s="45"/>
    </row>
    <row r="458">
      <c r="A458" s="22" t="s">
        <v>357</v>
      </c>
      <c r="B458" s="21">
        <f t="shared" si="5"/>
        <v>0</v>
      </c>
      <c r="C458" s="21" t="str">
        <f>VLOOKUP(A458, hash!A$2:B$500, 2, 0)</f>
        <v>66eb1ce18647681e6a2afbed</v>
      </c>
      <c r="D458" s="23">
        <f t="shared" si="1"/>
        <v>0</v>
      </c>
      <c r="F458" s="45"/>
      <c r="H458" s="45"/>
      <c r="J458" s="45"/>
    </row>
    <row r="459">
      <c r="A459" s="22" t="s">
        <v>358</v>
      </c>
      <c r="B459" s="21">
        <f t="shared" si="5"/>
        <v>0</v>
      </c>
      <c r="C459" s="21" t="str">
        <f>VLOOKUP(A459, hash!A$2:B$500, 2, 0)</f>
        <v>66eb26e01132636931fb1948</v>
      </c>
      <c r="D459" s="23">
        <f t="shared" si="1"/>
        <v>0</v>
      </c>
      <c r="F459" s="45"/>
      <c r="H459" s="45"/>
      <c r="J459" s="45"/>
    </row>
    <row r="460">
      <c r="A460" s="22" t="s">
        <v>359</v>
      </c>
      <c r="B460" s="21">
        <f t="shared" si="5"/>
        <v>0</v>
      </c>
      <c r="C460" s="21" t="str">
        <f>VLOOKUP(A460, hash!A$2:B$500, 2, 0)</f>
        <v>66eb2791f5cf341f2cef5f68</v>
      </c>
      <c r="D460" s="23">
        <f t="shared" si="1"/>
        <v>0</v>
      </c>
      <c r="F460" s="45"/>
      <c r="H460" s="45"/>
      <c r="J460" s="45"/>
    </row>
    <row r="461">
      <c r="A461" s="22" t="s">
        <v>360</v>
      </c>
      <c r="B461" s="21">
        <f t="shared" si="5"/>
        <v>0</v>
      </c>
      <c r="C461" s="21" t="str">
        <f>VLOOKUP(A461, hash!A$2:B$500, 2, 0)</f>
        <v>66eb283093ca556f981967dc</v>
      </c>
      <c r="D461" s="23">
        <f t="shared" si="1"/>
        <v>0</v>
      </c>
      <c r="F461" s="45"/>
      <c r="H461" s="45"/>
      <c r="J461" s="45"/>
    </row>
    <row r="462">
      <c r="A462" s="24" t="s">
        <v>361</v>
      </c>
      <c r="B462" s="21">
        <f t="shared" si="5"/>
        <v>0</v>
      </c>
      <c r="C462" s="21" t="str">
        <f>VLOOKUP(A462, hash!A$2:B$500, 2, 0)</f>
        <v>66eb283593ca556f981967de</v>
      </c>
      <c r="D462" s="23">
        <f t="shared" si="1"/>
        <v>0</v>
      </c>
      <c r="F462" s="45"/>
      <c r="H462" s="45"/>
      <c r="J462" s="45"/>
    </row>
    <row r="463">
      <c r="A463" s="22" t="s">
        <v>362</v>
      </c>
      <c r="B463" s="21">
        <f t="shared" si="5"/>
        <v>0</v>
      </c>
      <c r="C463" s="21" t="str">
        <f>VLOOKUP(A463, hash!A$2:B$500, 2, 0)</f>
        <v>66eb28586bd7ab0d5c9d8c1c</v>
      </c>
      <c r="D463" s="23">
        <f t="shared" si="1"/>
        <v>0</v>
      </c>
      <c r="F463" s="45"/>
      <c r="H463" s="45"/>
      <c r="J463" s="45"/>
    </row>
    <row r="464">
      <c r="A464" s="22" t="s">
        <v>644</v>
      </c>
      <c r="B464" s="21">
        <f t="shared" si="5"/>
        <v>0</v>
      </c>
      <c r="C464" s="21" t="str">
        <f>VLOOKUP(A464, hash!A$2:B$500, 2, 0)</f>
        <v>#N/A</v>
      </c>
      <c r="D464" s="23">
        <f t="shared" si="1"/>
        <v>0</v>
      </c>
      <c r="F464" s="45"/>
      <c r="H464" s="45"/>
      <c r="J464" s="45"/>
    </row>
    <row r="465">
      <c r="A465" s="22" t="s">
        <v>363</v>
      </c>
      <c r="B465" s="21">
        <f t="shared" si="5"/>
        <v>0</v>
      </c>
      <c r="C465" s="21" t="str">
        <f>VLOOKUP(A465, hash!A$2:B$500, 2, 0)</f>
        <v>66eb28b493ca556f981967e8</v>
      </c>
      <c r="D465" s="23">
        <f t="shared" si="1"/>
        <v>0</v>
      </c>
      <c r="F465" s="45"/>
      <c r="H465" s="45"/>
      <c r="J465" s="45"/>
    </row>
    <row r="466">
      <c r="A466" s="22" t="s">
        <v>364</v>
      </c>
      <c r="B466" s="21">
        <f t="shared" si="5"/>
        <v>0</v>
      </c>
      <c r="C466" s="21" t="str">
        <f>VLOOKUP(A466, hash!A$2:B$500, 2, 0)</f>
        <v>66eb293393ca556f981967ec</v>
      </c>
      <c r="D466" s="23">
        <f t="shared" si="1"/>
        <v>0</v>
      </c>
      <c r="F466" s="45"/>
      <c r="H466" s="45"/>
      <c r="J466" s="45"/>
    </row>
    <row r="467">
      <c r="A467" s="22" t="s">
        <v>365</v>
      </c>
      <c r="B467" s="21">
        <f t="shared" si="5"/>
        <v>0</v>
      </c>
      <c r="C467" s="21" t="str">
        <f>VLOOKUP(A467, hash!A$2:B$500, 2, 0)</f>
        <v>66eb295cf5cf341f2cef5f6e</v>
      </c>
      <c r="D467" s="23">
        <f t="shared" si="1"/>
        <v>0</v>
      </c>
      <c r="F467" s="45"/>
      <c r="H467" s="45"/>
      <c r="J467" s="45"/>
    </row>
    <row r="468">
      <c r="A468" s="22" t="s">
        <v>366</v>
      </c>
      <c r="B468" s="21">
        <f t="shared" si="5"/>
        <v>0</v>
      </c>
      <c r="C468" s="21" t="str">
        <f>VLOOKUP(A468, hash!A$2:B$500, 2, 0)</f>
        <v>66ec5f65155b01592e9cc06d</v>
      </c>
      <c r="D468" s="23">
        <f t="shared" si="1"/>
        <v>0</v>
      </c>
      <c r="F468" s="45"/>
      <c r="H468" s="45"/>
      <c r="J468" s="45"/>
    </row>
    <row r="469">
      <c r="A469" s="14" t="s">
        <v>613</v>
      </c>
      <c r="B469" s="21">
        <f t="shared" si="5"/>
        <v>808.8422408</v>
      </c>
      <c r="C469" s="21" t="str">
        <f>VLOOKUP(A469, hash!A$2:B$500, 2, 0)</f>
        <v>#N/A</v>
      </c>
      <c r="D469" s="23">
        <f t="shared" si="1"/>
        <v>2.900311824</v>
      </c>
      <c r="E469" s="14">
        <v>1.0</v>
      </c>
      <c r="F469" s="27">
        <v>1.0</v>
      </c>
      <c r="H469" s="27"/>
      <c r="J469" s="27"/>
    </row>
    <row r="470">
      <c r="E470" s="14"/>
      <c r="F470" s="27"/>
      <c r="G470" s="14"/>
      <c r="H470" s="27"/>
      <c r="I470" s="14"/>
      <c r="J470" s="27"/>
    </row>
    <row r="471">
      <c r="A471" s="14"/>
      <c r="E471" s="14"/>
      <c r="F471" s="27"/>
      <c r="G471" s="14"/>
      <c r="H471" s="27"/>
      <c r="I471" s="14"/>
      <c r="J471" s="27"/>
    </row>
    <row r="472">
      <c r="A472" s="14"/>
      <c r="E472" s="14"/>
      <c r="F472" s="27"/>
      <c r="G472" s="14"/>
      <c r="H472" s="27"/>
      <c r="I472" s="14"/>
      <c r="J472" s="27"/>
    </row>
    <row r="473">
      <c r="A473" s="14"/>
      <c r="E473" s="14"/>
      <c r="F473" s="27"/>
      <c r="G473" s="14"/>
      <c r="H473" s="27"/>
      <c r="I473" s="14"/>
      <c r="J473" s="27"/>
    </row>
    <row r="474">
      <c r="A474" s="14"/>
      <c r="E474" s="14"/>
      <c r="F474" s="27"/>
      <c r="G474" s="14"/>
      <c r="H474" s="27"/>
      <c r="I474" s="14"/>
      <c r="J474" s="27"/>
    </row>
    <row r="475">
      <c r="A475" s="14"/>
      <c r="E475" s="14"/>
      <c r="F475" s="27"/>
      <c r="G475" s="14"/>
      <c r="H475" s="27"/>
      <c r="I475" s="14"/>
      <c r="J475" s="27"/>
    </row>
    <row r="476">
      <c r="A476" s="14"/>
      <c r="E476" s="14"/>
      <c r="F476" s="27"/>
      <c r="G476" s="14"/>
      <c r="H476" s="27"/>
      <c r="I476" s="14"/>
      <c r="J476" s="27"/>
    </row>
    <row r="477">
      <c r="A477" s="14"/>
      <c r="E477" s="14"/>
      <c r="F477" s="27"/>
      <c r="G477" s="14"/>
      <c r="H477" s="27"/>
      <c r="I477" s="14"/>
      <c r="J477" s="27"/>
    </row>
    <row r="478">
      <c r="A478" s="14"/>
      <c r="E478" s="14"/>
      <c r="F478" s="27"/>
      <c r="G478" s="14"/>
      <c r="H478" s="27"/>
      <c r="I478" s="14"/>
      <c r="J478" s="27"/>
    </row>
    <row r="479">
      <c r="A479" s="14"/>
      <c r="E479" s="14"/>
      <c r="F479" s="27"/>
      <c r="G479" s="14"/>
      <c r="H479" s="27"/>
      <c r="I479" s="14"/>
      <c r="J479" s="27"/>
    </row>
    <row r="480">
      <c r="A480" s="14"/>
      <c r="E480" s="14"/>
      <c r="F480" s="27"/>
      <c r="G480" s="14"/>
      <c r="H480" s="27"/>
      <c r="I480" s="14"/>
      <c r="J480" s="27"/>
    </row>
    <row r="481">
      <c r="A481" s="14"/>
      <c r="E481" s="14"/>
      <c r="F481" s="27"/>
      <c r="G481" s="14"/>
      <c r="H481" s="27"/>
      <c r="I481" s="14"/>
      <c r="J481" s="27"/>
    </row>
    <row r="482">
      <c r="A482" s="14"/>
      <c r="E482" s="14"/>
      <c r="F482" s="27"/>
      <c r="G482" s="14"/>
      <c r="H482" s="27"/>
      <c r="I482" s="14"/>
      <c r="J482" s="27"/>
    </row>
    <row r="483">
      <c r="A483" s="14"/>
      <c r="E483" s="14"/>
      <c r="F483" s="27"/>
      <c r="G483" s="14"/>
      <c r="H483" s="27"/>
      <c r="I483" s="14"/>
      <c r="J483" s="27"/>
    </row>
    <row r="484">
      <c r="A484" s="14"/>
      <c r="E484" s="14"/>
      <c r="F484" s="27"/>
      <c r="G484" s="14"/>
      <c r="H484" s="27"/>
      <c r="I484" s="14"/>
      <c r="J484" s="27"/>
    </row>
    <row r="485">
      <c r="A485" s="14"/>
      <c r="E485" s="14"/>
      <c r="F485" s="27"/>
      <c r="G485" s="14"/>
      <c r="H485" s="27"/>
      <c r="I485" s="14"/>
      <c r="J485" s="27"/>
    </row>
    <row r="486">
      <c r="A486" s="14"/>
      <c r="E486" s="14"/>
      <c r="F486" s="27"/>
      <c r="G486" s="14"/>
      <c r="H486" s="27"/>
      <c r="I486" s="14"/>
      <c r="J486" s="27"/>
    </row>
    <row r="487">
      <c r="A487" s="14"/>
      <c r="E487" s="14"/>
      <c r="F487" s="27"/>
      <c r="G487" s="14"/>
      <c r="H487" s="27"/>
      <c r="I487" s="14"/>
      <c r="J487" s="27"/>
    </row>
    <row r="488">
      <c r="A488" s="14"/>
      <c r="E488" s="14"/>
      <c r="F488" s="27"/>
      <c r="G488" s="14"/>
      <c r="H488" s="27"/>
      <c r="I488" s="14"/>
      <c r="J488" s="27"/>
    </row>
    <row r="489">
      <c r="A489" s="14"/>
      <c r="E489" s="14"/>
      <c r="F489" s="27"/>
      <c r="G489" s="14"/>
      <c r="H489" s="27"/>
      <c r="I489" s="14"/>
      <c r="J489" s="27"/>
    </row>
    <row r="490">
      <c r="A490" s="14"/>
      <c r="E490" s="14"/>
      <c r="F490" s="27"/>
      <c r="G490" s="14"/>
      <c r="H490" s="27"/>
      <c r="I490" s="14"/>
      <c r="J490" s="27"/>
    </row>
    <row r="491">
      <c r="A491" s="14"/>
      <c r="E491" s="14"/>
      <c r="F491" s="27"/>
      <c r="G491" s="14"/>
      <c r="H491" s="27"/>
      <c r="I491" s="14"/>
      <c r="J491" s="27"/>
    </row>
    <row r="492">
      <c r="A492" s="14"/>
      <c r="E492" s="14"/>
      <c r="F492" s="27"/>
      <c r="G492" s="14"/>
      <c r="H492" s="27"/>
      <c r="I492" s="14"/>
      <c r="J492" s="27"/>
    </row>
    <row r="493">
      <c r="A493" s="14"/>
      <c r="E493" s="14"/>
      <c r="F493" s="27"/>
      <c r="G493" s="14"/>
      <c r="H493" s="27"/>
      <c r="I493" s="14"/>
      <c r="J493" s="27"/>
    </row>
    <row r="494">
      <c r="A494" s="14"/>
      <c r="E494" s="14"/>
      <c r="F494" s="27"/>
      <c r="G494" s="14"/>
      <c r="H494" s="27"/>
      <c r="I494" s="14"/>
      <c r="J494" s="27"/>
    </row>
    <row r="495">
      <c r="A495" s="14"/>
      <c r="E495" s="14"/>
      <c r="F495" s="27"/>
      <c r="G495" s="14"/>
      <c r="H495" s="27"/>
      <c r="I495" s="14"/>
      <c r="J495" s="27"/>
    </row>
    <row r="496">
      <c r="A496" s="14"/>
      <c r="E496" s="14"/>
      <c r="F496" s="27"/>
      <c r="G496" s="14"/>
      <c r="H496" s="27"/>
      <c r="I496" s="14"/>
      <c r="J496" s="27"/>
    </row>
    <row r="497">
      <c r="A497" s="14"/>
      <c r="E497" s="14"/>
      <c r="F497" s="27"/>
      <c r="G497" s="14"/>
      <c r="H497" s="27"/>
      <c r="I497" s="14"/>
      <c r="J497" s="27"/>
    </row>
    <row r="498">
      <c r="A498" s="14"/>
      <c r="E498" s="14"/>
      <c r="F498" s="27"/>
      <c r="G498" s="14"/>
      <c r="H498" s="27"/>
      <c r="I498" s="14"/>
      <c r="J498" s="27"/>
    </row>
    <row r="499">
      <c r="A499" s="14"/>
      <c r="E499" s="14"/>
      <c r="F499" s="27"/>
      <c r="G499" s="14"/>
      <c r="H499" s="27"/>
      <c r="I499" s="14"/>
      <c r="J499" s="27"/>
    </row>
    <row r="500">
      <c r="A500" s="14"/>
      <c r="E500" s="14"/>
      <c r="F500" s="27"/>
      <c r="G500" s="14"/>
      <c r="H500" s="27"/>
      <c r="I500" s="14"/>
      <c r="J500" s="27"/>
    </row>
    <row r="501">
      <c r="A501" s="14"/>
      <c r="E501" s="14"/>
      <c r="F501" s="27"/>
      <c r="G501" s="14"/>
      <c r="H501" s="27"/>
      <c r="I501" s="14"/>
      <c r="J501" s="27"/>
    </row>
    <row r="502">
      <c r="A502" s="14"/>
      <c r="E502" s="14"/>
      <c r="F502" s="27"/>
      <c r="G502" s="14"/>
      <c r="H502" s="27"/>
      <c r="I502" s="14"/>
      <c r="J502" s="27"/>
    </row>
    <row r="503">
      <c r="A503" s="14"/>
      <c r="E503" s="14"/>
      <c r="F503" s="27"/>
      <c r="G503" s="14"/>
      <c r="H503" s="27"/>
      <c r="I503" s="14"/>
      <c r="J503" s="27"/>
    </row>
    <row r="504">
      <c r="A504" s="14"/>
      <c r="E504" s="14"/>
      <c r="F504" s="27"/>
      <c r="G504" s="14"/>
      <c r="H504" s="27"/>
      <c r="I504" s="14"/>
      <c r="J504" s="27"/>
    </row>
    <row r="505">
      <c r="A505" s="14"/>
      <c r="E505" s="14"/>
      <c r="F505" s="27"/>
      <c r="G505" s="14"/>
      <c r="H505" s="27"/>
      <c r="I505" s="14"/>
      <c r="J505" s="27"/>
    </row>
    <row r="506">
      <c r="A506" s="14"/>
      <c r="E506" s="14"/>
      <c r="F506" s="27"/>
      <c r="G506" s="14"/>
      <c r="H506" s="27"/>
      <c r="I506" s="14"/>
      <c r="J506" s="27"/>
    </row>
    <row r="507">
      <c r="A507" s="14"/>
      <c r="E507" s="14"/>
      <c r="F507" s="27"/>
      <c r="G507" s="14"/>
      <c r="H507" s="27"/>
      <c r="I507" s="14"/>
      <c r="J507" s="27"/>
    </row>
    <row r="508">
      <c r="A508" s="14"/>
      <c r="E508" s="14"/>
      <c r="F508" s="27"/>
      <c r="G508" s="14"/>
      <c r="H508" s="27"/>
      <c r="I508" s="14"/>
      <c r="J508" s="27"/>
    </row>
    <row r="509">
      <c r="A509" s="14"/>
      <c r="E509" s="14"/>
      <c r="F509" s="27"/>
      <c r="G509" s="14"/>
      <c r="H509" s="27"/>
      <c r="I509" s="14"/>
      <c r="J509" s="27"/>
    </row>
    <row r="510">
      <c r="A510" s="14"/>
      <c r="E510" s="14"/>
      <c r="F510" s="27"/>
      <c r="G510" s="14"/>
      <c r="H510" s="27"/>
      <c r="I510" s="14"/>
      <c r="J510" s="27"/>
    </row>
    <row r="511">
      <c r="A511" s="14"/>
      <c r="E511" s="14"/>
      <c r="F511" s="27"/>
      <c r="G511" s="14"/>
      <c r="H511" s="27"/>
      <c r="I511" s="14"/>
      <c r="J511" s="27"/>
    </row>
    <row r="512">
      <c r="A512" s="14"/>
      <c r="E512" s="14"/>
      <c r="F512" s="27"/>
      <c r="G512" s="14"/>
      <c r="H512" s="27"/>
      <c r="I512" s="14"/>
      <c r="J512" s="27"/>
    </row>
    <row r="513">
      <c r="A513" s="14"/>
      <c r="E513" s="14"/>
      <c r="F513" s="27"/>
      <c r="G513" s="14"/>
      <c r="H513" s="27"/>
      <c r="I513" s="14"/>
      <c r="J513" s="27"/>
    </row>
    <row r="514">
      <c r="A514" s="14"/>
      <c r="E514" s="14"/>
      <c r="F514" s="27"/>
      <c r="G514" s="14"/>
      <c r="H514" s="27"/>
      <c r="I514" s="14"/>
      <c r="J514" s="27"/>
    </row>
    <row r="515">
      <c r="A515" s="14"/>
      <c r="E515" s="14"/>
      <c r="F515" s="27"/>
      <c r="G515" s="14"/>
      <c r="H515" s="27"/>
      <c r="I515" s="14"/>
      <c r="J515" s="27"/>
    </row>
    <row r="516">
      <c r="A516" s="14"/>
      <c r="E516" s="14"/>
      <c r="F516" s="27"/>
      <c r="G516" s="14"/>
      <c r="H516" s="27"/>
      <c r="I516" s="14"/>
      <c r="J516" s="27"/>
    </row>
    <row r="517">
      <c r="A517" s="14"/>
      <c r="E517" s="14"/>
      <c r="F517" s="27"/>
      <c r="G517" s="14"/>
      <c r="H517" s="27"/>
      <c r="I517" s="14"/>
      <c r="J517" s="27"/>
    </row>
    <row r="518">
      <c r="A518" s="14"/>
      <c r="E518" s="14"/>
      <c r="F518" s="27"/>
      <c r="G518" s="14"/>
      <c r="H518" s="27"/>
      <c r="I518" s="14"/>
      <c r="J518" s="27"/>
    </row>
    <row r="519">
      <c r="A519" s="14"/>
      <c r="E519" s="14"/>
      <c r="F519" s="27"/>
      <c r="G519" s="14"/>
      <c r="H519" s="27"/>
      <c r="I519" s="14"/>
      <c r="J519" s="27"/>
    </row>
    <row r="520">
      <c r="A520" s="14"/>
      <c r="E520" s="14"/>
      <c r="F520" s="27"/>
      <c r="G520" s="14"/>
      <c r="H520" s="27"/>
      <c r="I520" s="14"/>
      <c r="J520" s="27"/>
    </row>
    <row r="521">
      <c r="A521" s="14"/>
      <c r="E521" s="14"/>
      <c r="F521" s="27"/>
      <c r="G521" s="14"/>
      <c r="H521" s="27"/>
      <c r="I521" s="14"/>
      <c r="J521" s="27"/>
    </row>
    <row r="522">
      <c r="A522" s="14"/>
      <c r="E522" s="14"/>
      <c r="F522" s="27"/>
      <c r="G522" s="14"/>
      <c r="H522" s="27"/>
      <c r="I522" s="14"/>
      <c r="J522" s="27"/>
    </row>
    <row r="523">
      <c r="A523" s="14"/>
      <c r="E523" s="14"/>
      <c r="F523" s="27"/>
      <c r="G523" s="14"/>
      <c r="H523" s="27"/>
      <c r="I523" s="14"/>
      <c r="J523" s="27"/>
    </row>
    <row r="524">
      <c r="A524" s="14"/>
      <c r="E524" s="14"/>
      <c r="F524" s="27"/>
      <c r="G524" s="14"/>
      <c r="H524" s="27"/>
      <c r="I524" s="14"/>
      <c r="J524" s="27"/>
    </row>
    <row r="525">
      <c r="A525" s="14"/>
      <c r="E525" s="14"/>
      <c r="F525" s="27"/>
      <c r="G525" s="14"/>
      <c r="H525" s="27"/>
      <c r="I525" s="14"/>
      <c r="J525" s="27"/>
    </row>
    <row r="526">
      <c r="A526" s="14"/>
      <c r="E526" s="14"/>
      <c r="F526" s="27"/>
      <c r="G526" s="14"/>
      <c r="H526" s="27"/>
      <c r="I526" s="14"/>
      <c r="J526" s="27"/>
    </row>
    <row r="527">
      <c r="A527" s="14"/>
      <c r="E527" s="14"/>
      <c r="F527" s="27"/>
      <c r="G527" s="14"/>
      <c r="H527" s="27"/>
      <c r="I527" s="14"/>
      <c r="J527" s="27"/>
    </row>
    <row r="528">
      <c r="A528" s="14"/>
      <c r="E528" s="14"/>
      <c r="F528" s="27"/>
      <c r="G528" s="14"/>
      <c r="H528" s="27"/>
      <c r="I528" s="14"/>
      <c r="J528" s="27"/>
    </row>
    <row r="529">
      <c r="A529" s="14"/>
      <c r="E529" s="14"/>
      <c r="F529" s="27"/>
      <c r="G529" s="14"/>
      <c r="H529" s="27"/>
      <c r="I529" s="14"/>
      <c r="J529" s="27"/>
    </row>
    <row r="530">
      <c r="A530" s="14"/>
      <c r="E530" s="14"/>
      <c r="F530" s="27"/>
      <c r="G530" s="14"/>
      <c r="H530" s="27"/>
      <c r="I530" s="14"/>
      <c r="J530" s="27"/>
    </row>
    <row r="531">
      <c r="A531" s="14"/>
      <c r="E531" s="14"/>
      <c r="F531" s="27"/>
      <c r="G531" s="14"/>
      <c r="H531" s="27"/>
      <c r="I531" s="14"/>
      <c r="J531" s="27"/>
    </row>
    <row r="532">
      <c r="A532" s="14"/>
      <c r="E532" s="14"/>
      <c r="F532" s="27"/>
      <c r="G532" s="14"/>
      <c r="H532" s="27"/>
      <c r="I532" s="14"/>
      <c r="J532" s="27"/>
    </row>
    <row r="533">
      <c r="A533" s="14"/>
      <c r="E533" s="14"/>
      <c r="F533" s="27"/>
      <c r="G533" s="14"/>
      <c r="H533" s="27"/>
      <c r="I533" s="14"/>
      <c r="J533" s="27"/>
    </row>
    <row r="534">
      <c r="A534" s="14"/>
      <c r="E534" s="14"/>
      <c r="F534" s="27"/>
      <c r="G534" s="14"/>
      <c r="H534" s="27"/>
      <c r="I534" s="14"/>
      <c r="J534" s="27"/>
    </row>
    <row r="535">
      <c r="A535" s="14"/>
      <c r="E535" s="14"/>
      <c r="F535" s="27"/>
      <c r="G535" s="14"/>
      <c r="H535" s="27"/>
      <c r="I535" s="14"/>
      <c r="J535" s="27"/>
    </row>
    <row r="536">
      <c r="A536" s="14"/>
      <c r="E536" s="14"/>
      <c r="F536" s="27"/>
      <c r="G536" s="14"/>
      <c r="H536" s="27"/>
      <c r="I536" s="14"/>
      <c r="J536" s="27"/>
    </row>
    <row r="537">
      <c r="A537" s="14"/>
      <c r="E537" s="14"/>
      <c r="F537" s="27"/>
      <c r="G537" s="14"/>
      <c r="H537" s="27"/>
      <c r="I537" s="14"/>
      <c r="J537" s="27"/>
    </row>
    <row r="538">
      <c r="A538" s="14"/>
      <c r="E538" s="14"/>
      <c r="F538" s="27"/>
      <c r="G538" s="14"/>
      <c r="H538" s="27"/>
      <c r="I538" s="14"/>
      <c r="J538" s="27"/>
    </row>
    <row r="539">
      <c r="A539" s="14"/>
      <c r="E539" s="14"/>
      <c r="F539" s="27"/>
      <c r="G539" s="14"/>
      <c r="H539" s="27"/>
      <c r="I539" s="14"/>
      <c r="J539" s="27"/>
    </row>
    <row r="540">
      <c r="A540" s="14"/>
      <c r="E540" s="14"/>
      <c r="F540" s="27"/>
      <c r="G540" s="14"/>
      <c r="H540" s="27"/>
      <c r="I540" s="14"/>
      <c r="J540" s="27"/>
    </row>
    <row r="541">
      <c r="A541" s="14"/>
      <c r="E541" s="14"/>
      <c r="F541" s="27"/>
      <c r="G541" s="14"/>
      <c r="H541" s="27"/>
      <c r="I541" s="14"/>
      <c r="J541" s="27"/>
    </row>
    <row r="542">
      <c r="A542" s="14"/>
      <c r="E542" s="14"/>
      <c r="F542" s="27"/>
      <c r="G542" s="14"/>
      <c r="H542" s="27"/>
      <c r="I542" s="14"/>
      <c r="J542" s="27"/>
    </row>
    <row r="543">
      <c r="A543" s="14"/>
      <c r="E543" s="14"/>
      <c r="F543" s="27"/>
      <c r="G543" s="14"/>
      <c r="H543" s="27"/>
      <c r="I543" s="14"/>
      <c r="J543" s="27"/>
    </row>
    <row r="544">
      <c r="A544" s="14"/>
      <c r="E544" s="14"/>
      <c r="F544" s="27"/>
      <c r="G544" s="14"/>
      <c r="H544" s="27"/>
      <c r="I544" s="14"/>
      <c r="J544" s="27"/>
    </row>
    <row r="545">
      <c r="A545" s="14"/>
      <c r="E545" s="14"/>
      <c r="F545" s="27"/>
      <c r="G545" s="14"/>
      <c r="H545" s="27"/>
      <c r="I545" s="14"/>
      <c r="J545" s="27"/>
    </row>
    <row r="546">
      <c r="A546" s="14"/>
      <c r="E546" s="14"/>
      <c r="F546" s="27"/>
      <c r="G546" s="14"/>
      <c r="H546" s="27"/>
      <c r="I546" s="14"/>
      <c r="J546" s="27"/>
    </row>
    <row r="547">
      <c r="A547" s="14"/>
      <c r="E547" s="14"/>
      <c r="F547" s="27"/>
      <c r="G547" s="14"/>
      <c r="H547" s="27"/>
      <c r="I547" s="14"/>
      <c r="J547" s="27"/>
    </row>
    <row r="548">
      <c r="A548" s="14"/>
      <c r="E548" s="14"/>
      <c r="F548" s="27"/>
      <c r="G548" s="14"/>
      <c r="H548" s="27"/>
      <c r="I548" s="14"/>
      <c r="J548" s="27"/>
    </row>
    <row r="549">
      <c r="A549" s="14"/>
      <c r="E549" s="14"/>
      <c r="F549" s="27"/>
      <c r="G549" s="14"/>
      <c r="H549" s="27"/>
      <c r="I549" s="14"/>
      <c r="J549" s="27"/>
    </row>
    <row r="550">
      <c r="A550" s="14"/>
      <c r="E550" s="14"/>
      <c r="F550" s="27"/>
      <c r="G550" s="14"/>
      <c r="H550" s="27"/>
      <c r="I550" s="14"/>
      <c r="J550" s="27"/>
    </row>
    <row r="551">
      <c r="A551" s="14"/>
      <c r="E551" s="14"/>
      <c r="F551" s="27"/>
      <c r="G551" s="14"/>
      <c r="H551" s="27"/>
      <c r="I551" s="14"/>
      <c r="J551" s="27"/>
    </row>
    <row r="552">
      <c r="A552" s="14"/>
      <c r="E552" s="14"/>
      <c r="F552" s="27"/>
      <c r="G552" s="14"/>
      <c r="H552" s="27"/>
      <c r="I552" s="14"/>
      <c r="J552" s="27"/>
    </row>
    <row r="553">
      <c r="A553" s="14"/>
      <c r="E553" s="14"/>
      <c r="F553" s="27"/>
      <c r="G553" s="14"/>
      <c r="H553" s="27"/>
      <c r="I553" s="14"/>
      <c r="J553" s="27"/>
    </row>
    <row r="554">
      <c r="A554" s="14"/>
      <c r="E554" s="14"/>
      <c r="F554" s="27"/>
      <c r="G554" s="14"/>
      <c r="H554" s="27"/>
      <c r="I554" s="14"/>
      <c r="J554" s="27"/>
    </row>
    <row r="555">
      <c r="A555" s="14"/>
      <c r="E555" s="14"/>
      <c r="F555" s="27"/>
      <c r="G555" s="14"/>
      <c r="H555" s="27"/>
      <c r="I555" s="14"/>
      <c r="J555" s="27"/>
    </row>
    <row r="556">
      <c r="A556" s="14"/>
      <c r="E556" s="14"/>
      <c r="F556" s="27"/>
      <c r="G556" s="14"/>
      <c r="H556" s="27"/>
      <c r="I556" s="14"/>
      <c r="J556" s="27"/>
    </row>
    <row r="557">
      <c r="A557" s="14"/>
      <c r="E557" s="14"/>
      <c r="F557" s="27"/>
      <c r="G557" s="14"/>
      <c r="H557" s="27"/>
      <c r="I557" s="14"/>
      <c r="J557" s="27"/>
    </row>
    <row r="558">
      <c r="A558" s="14"/>
      <c r="E558" s="14"/>
      <c r="F558" s="27"/>
      <c r="G558" s="14"/>
      <c r="H558" s="27"/>
      <c r="I558" s="14"/>
      <c r="J558" s="27"/>
    </row>
    <row r="559">
      <c r="A559" s="14"/>
      <c r="E559" s="14"/>
      <c r="F559" s="27"/>
      <c r="G559" s="14"/>
      <c r="H559" s="27"/>
      <c r="I559" s="14"/>
      <c r="J559" s="27"/>
    </row>
    <row r="560">
      <c r="A560" s="14"/>
      <c r="E560" s="14"/>
      <c r="F560" s="27"/>
      <c r="G560" s="14"/>
      <c r="H560" s="27"/>
      <c r="I560" s="14"/>
      <c r="J560" s="27"/>
    </row>
    <row r="561">
      <c r="A561" s="14"/>
      <c r="E561" s="14"/>
      <c r="F561" s="27"/>
      <c r="G561" s="14"/>
      <c r="H561" s="27"/>
      <c r="I561" s="14"/>
      <c r="J561" s="27"/>
    </row>
    <row r="562">
      <c r="A562" s="14"/>
      <c r="E562" s="14"/>
      <c r="F562" s="27"/>
      <c r="G562" s="14"/>
      <c r="H562" s="27"/>
      <c r="I562" s="14"/>
      <c r="J562" s="27"/>
    </row>
    <row r="563">
      <c r="A563" s="14"/>
      <c r="E563" s="14"/>
      <c r="F563" s="27"/>
      <c r="G563" s="14"/>
      <c r="H563" s="27"/>
      <c r="I563" s="14"/>
      <c r="J563" s="27"/>
    </row>
    <row r="564">
      <c r="A564" s="14"/>
      <c r="E564" s="14"/>
      <c r="F564" s="27"/>
      <c r="G564" s="14"/>
      <c r="H564" s="27"/>
      <c r="I564" s="14"/>
      <c r="J564" s="27"/>
    </row>
    <row r="565">
      <c r="A565" s="14"/>
      <c r="E565" s="14"/>
      <c r="F565" s="27"/>
      <c r="G565" s="14"/>
      <c r="H565" s="27"/>
      <c r="I565" s="14"/>
      <c r="J565" s="27"/>
    </row>
    <row r="566">
      <c r="A566" s="14"/>
      <c r="E566" s="14"/>
      <c r="F566" s="27"/>
      <c r="G566" s="14"/>
      <c r="H566" s="27"/>
      <c r="I566" s="14"/>
      <c r="J566" s="27"/>
    </row>
    <row r="567">
      <c r="A567" s="14"/>
      <c r="E567" s="14"/>
      <c r="F567" s="27"/>
      <c r="G567" s="14"/>
      <c r="H567" s="27"/>
      <c r="I567" s="14"/>
      <c r="J567" s="27"/>
    </row>
    <row r="568">
      <c r="A568" s="14"/>
      <c r="E568" s="14"/>
      <c r="F568" s="27"/>
      <c r="G568" s="14"/>
      <c r="H568" s="27"/>
      <c r="I568" s="14"/>
      <c r="J568" s="27"/>
    </row>
    <row r="569">
      <c r="A569" s="14"/>
      <c r="E569" s="14"/>
      <c r="F569" s="27"/>
      <c r="G569" s="14"/>
      <c r="H569" s="27"/>
      <c r="I569" s="14"/>
      <c r="J569" s="27"/>
    </row>
    <row r="570">
      <c r="A570" s="14"/>
      <c r="E570" s="14"/>
      <c r="F570" s="27"/>
      <c r="G570" s="14"/>
      <c r="H570" s="27"/>
      <c r="I570" s="14"/>
      <c r="J570" s="27"/>
    </row>
    <row r="571">
      <c r="A571" s="14"/>
      <c r="E571" s="14"/>
      <c r="F571" s="27"/>
      <c r="G571" s="14"/>
      <c r="H571" s="27"/>
      <c r="I571" s="14"/>
      <c r="J571" s="27"/>
    </row>
    <row r="572">
      <c r="A572" s="14"/>
      <c r="E572" s="14"/>
      <c r="F572" s="27"/>
      <c r="G572" s="14"/>
      <c r="H572" s="27"/>
      <c r="I572" s="14"/>
      <c r="J572" s="27"/>
    </row>
    <row r="573">
      <c r="A573" s="14"/>
      <c r="E573" s="14"/>
      <c r="F573" s="27"/>
      <c r="G573" s="14"/>
      <c r="H573" s="27"/>
      <c r="I573" s="14"/>
      <c r="J573" s="27"/>
    </row>
    <row r="574">
      <c r="A574" s="14"/>
      <c r="E574" s="14"/>
      <c r="F574" s="27"/>
      <c r="G574" s="14"/>
      <c r="H574" s="27"/>
      <c r="I574" s="14"/>
      <c r="J574" s="27"/>
    </row>
    <row r="575">
      <c r="A575" s="14"/>
      <c r="E575" s="14"/>
      <c r="F575" s="27"/>
      <c r="G575" s="14"/>
      <c r="H575" s="27"/>
      <c r="I575" s="14"/>
      <c r="J575" s="27"/>
    </row>
    <row r="576">
      <c r="A576" s="14"/>
      <c r="E576" s="14"/>
      <c r="F576" s="27"/>
      <c r="G576" s="14"/>
      <c r="H576" s="27"/>
      <c r="I576" s="14"/>
      <c r="J576" s="27"/>
    </row>
    <row r="577">
      <c r="A577" s="14"/>
      <c r="E577" s="14"/>
      <c r="F577" s="27"/>
      <c r="G577" s="14"/>
      <c r="H577" s="27"/>
      <c r="I577" s="14"/>
      <c r="J577" s="27"/>
    </row>
    <row r="578">
      <c r="A578" s="14"/>
      <c r="E578" s="14"/>
      <c r="F578" s="27"/>
      <c r="G578" s="14"/>
      <c r="H578" s="27"/>
      <c r="I578" s="14"/>
      <c r="J578" s="27"/>
    </row>
    <row r="579">
      <c r="A579" s="14"/>
      <c r="E579" s="14"/>
      <c r="F579" s="27"/>
      <c r="G579" s="14"/>
      <c r="H579" s="27"/>
      <c r="I579" s="14"/>
      <c r="J579" s="27"/>
    </row>
    <row r="580">
      <c r="A580" s="14"/>
      <c r="E580" s="14"/>
      <c r="F580" s="27"/>
      <c r="G580" s="14"/>
      <c r="H580" s="27"/>
      <c r="I580" s="14"/>
      <c r="J580" s="27"/>
    </row>
    <row r="581">
      <c r="A581" s="14"/>
      <c r="E581" s="14"/>
      <c r="F581" s="27"/>
      <c r="G581" s="14"/>
      <c r="H581" s="27"/>
      <c r="I581" s="14"/>
      <c r="J581" s="27"/>
    </row>
    <row r="582">
      <c r="A582" s="14"/>
      <c r="E582" s="14"/>
      <c r="F582" s="27"/>
      <c r="G582" s="14"/>
      <c r="H582" s="27"/>
      <c r="I582" s="14"/>
      <c r="J582" s="27"/>
    </row>
    <row r="583">
      <c r="A583" s="14"/>
      <c r="E583" s="14"/>
      <c r="F583" s="27"/>
      <c r="G583" s="14"/>
      <c r="H583" s="27"/>
      <c r="I583" s="14"/>
      <c r="J583" s="27"/>
    </row>
    <row r="584">
      <c r="A584" s="14"/>
      <c r="E584" s="14"/>
      <c r="F584" s="27"/>
      <c r="G584" s="14"/>
      <c r="H584" s="27"/>
      <c r="I584" s="14"/>
      <c r="J584" s="27"/>
    </row>
    <row r="585">
      <c r="A585" s="14"/>
      <c r="E585" s="14"/>
      <c r="F585" s="27"/>
      <c r="G585" s="14"/>
      <c r="H585" s="27"/>
      <c r="I585" s="14"/>
      <c r="J585" s="27"/>
    </row>
    <row r="586">
      <c r="A586" s="14"/>
      <c r="E586" s="14"/>
      <c r="F586" s="27"/>
      <c r="G586" s="14"/>
      <c r="H586" s="27"/>
      <c r="I586" s="14"/>
      <c r="J586" s="27"/>
    </row>
    <row r="587">
      <c r="A587" s="14"/>
      <c r="E587" s="14"/>
      <c r="F587" s="27"/>
      <c r="G587" s="14"/>
      <c r="H587" s="27"/>
      <c r="I587" s="14"/>
      <c r="J587" s="27"/>
    </row>
    <row r="588">
      <c r="A588" s="14"/>
      <c r="E588" s="14"/>
      <c r="F588" s="27"/>
      <c r="G588" s="14"/>
      <c r="H588" s="27"/>
      <c r="I588" s="14"/>
      <c r="J588" s="27"/>
    </row>
    <row r="589">
      <c r="A589" s="14"/>
      <c r="E589" s="14"/>
      <c r="F589" s="27"/>
      <c r="G589" s="14"/>
      <c r="H589" s="27"/>
      <c r="I589" s="14"/>
      <c r="J589" s="27"/>
    </row>
    <row r="590">
      <c r="A590" s="14"/>
      <c r="E590" s="14"/>
      <c r="F590" s="27"/>
      <c r="G590" s="14"/>
      <c r="H590" s="27"/>
      <c r="I590" s="14"/>
      <c r="J590" s="27"/>
    </row>
    <row r="591">
      <c r="A591" s="14"/>
      <c r="E591" s="14"/>
      <c r="F591" s="27"/>
      <c r="G591" s="14"/>
      <c r="H591" s="27"/>
      <c r="I591" s="14"/>
      <c r="J591" s="27"/>
    </row>
    <row r="592">
      <c r="A592" s="14"/>
      <c r="E592" s="14"/>
      <c r="F592" s="27"/>
      <c r="G592" s="14"/>
      <c r="H592" s="27"/>
      <c r="I592" s="14"/>
      <c r="J592" s="27"/>
    </row>
    <row r="593">
      <c r="A593" s="14"/>
      <c r="E593" s="14"/>
      <c r="F593" s="27"/>
      <c r="G593" s="14"/>
      <c r="H593" s="27"/>
      <c r="I593" s="14"/>
      <c r="J593" s="27"/>
    </row>
    <row r="594">
      <c r="A594" s="14"/>
      <c r="E594" s="14"/>
      <c r="F594" s="27"/>
      <c r="G594" s="14"/>
      <c r="H594" s="27"/>
      <c r="I594" s="14"/>
      <c r="J594" s="27"/>
    </row>
    <row r="595">
      <c r="A595" s="14"/>
      <c r="E595" s="14"/>
      <c r="F595" s="27"/>
      <c r="G595" s="14"/>
      <c r="H595" s="27"/>
      <c r="I595" s="14"/>
      <c r="J595" s="27"/>
    </row>
    <row r="596">
      <c r="A596" s="14"/>
      <c r="E596" s="14"/>
      <c r="F596" s="27"/>
      <c r="G596" s="14"/>
      <c r="H596" s="27"/>
      <c r="I596" s="14"/>
      <c r="J596" s="27"/>
    </row>
    <row r="597">
      <c r="A597" s="14"/>
      <c r="E597" s="14"/>
      <c r="F597" s="27"/>
      <c r="G597" s="14"/>
      <c r="H597" s="27"/>
      <c r="I597" s="14"/>
      <c r="J597" s="27"/>
    </row>
    <row r="598">
      <c r="A598" s="14"/>
      <c r="E598" s="14"/>
      <c r="F598" s="27"/>
      <c r="G598" s="14"/>
      <c r="H598" s="27"/>
      <c r="I598" s="14"/>
      <c r="J598" s="27"/>
    </row>
    <row r="599">
      <c r="A599" s="14"/>
      <c r="E599" s="14"/>
      <c r="F599" s="27"/>
      <c r="G599" s="14"/>
      <c r="H599" s="27"/>
      <c r="I599" s="14"/>
      <c r="J599" s="27"/>
    </row>
    <row r="600">
      <c r="A600" s="14"/>
      <c r="E600" s="14"/>
      <c r="F600" s="27"/>
      <c r="G600" s="14"/>
      <c r="H600" s="27"/>
      <c r="I600" s="14"/>
      <c r="J600" s="27"/>
    </row>
    <row r="601">
      <c r="A601" s="14"/>
      <c r="E601" s="14"/>
      <c r="F601" s="27"/>
      <c r="G601" s="14"/>
      <c r="H601" s="27"/>
      <c r="I601" s="14"/>
      <c r="J601" s="27"/>
    </row>
    <row r="602">
      <c r="A602" s="14"/>
      <c r="E602" s="14"/>
      <c r="F602" s="27"/>
      <c r="G602" s="14"/>
      <c r="H602" s="27"/>
      <c r="I602" s="14"/>
      <c r="J602" s="27"/>
    </row>
    <row r="603">
      <c r="A603" s="14"/>
      <c r="E603" s="14"/>
      <c r="F603" s="27"/>
      <c r="G603" s="14"/>
      <c r="H603" s="27"/>
      <c r="I603" s="14"/>
      <c r="J603" s="27"/>
    </row>
    <row r="604">
      <c r="A604" s="14"/>
      <c r="E604" s="14"/>
      <c r="F604" s="27"/>
      <c r="G604" s="14"/>
      <c r="H604" s="27"/>
      <c r="I604" s="14"/>
      <c r="J604" s="27"/>
    </row>
    <row r="605">
      <c r="A605" s="14"/>
      <c r="E605" s="14"/>
      <c r="F605" s="27"/>
      <c r="G605" s="14"/>
      <c r="H605" s="27"/>
      <c r="I605" s="14"/>
      <c r="J605" s="27"/>
    </row>
    <row r="606">
      <c r="A606" s="14"/>
      <c r="E606" s="14"/>
      <c r="F606" s="27"/>
      <c r="G606" s="14"/>
      <c r="H606" s="27"/>
      <c r="I606" s="14"/>
      <c r="J606" s="27"/>
    </row>
    <row r="607">
      <c r="A607" s="14"/>
      <c r="E607" s="14"/>
      <c r="F607" s="27"/>
      <c r="G607" s="14"/>
      <c r="H607" s="27"/>
      <c r="I607" s="14"/>
      <c r="J607" s="27"/>
    </row>
    <row r="608">
      <c r="A608" s="14"/>
      <c r="E608" s="14"/>
      <c r="F608" s="27"/>
      <c r="G608" s="14"/>
      <c r="H608" s="27"/>
      <c r="I608" s="14"/>
      <c r="J608" s="27"/>
    </row>
    <row r="609">
      <c r="A609" s="14"/>
      <c r="E609" s="14"/>
      <c r="F609" s="27"/>
      <c r="G609" s="14"/>
      <c r="H609" s="27"/>
      <c r="I609" s="14"/>
      <c r="J609" s="27"/>
    </row>
    <row r="610">
      <c r="A610" s="14"/>
      <c r="E610" s="14"/>
      <c r="F610" s="27"/>
      <c r="G610" s="14"/>
      <c r="H610" s="27"/>
      <c r="I610" s="14"/>
      <c r="J610" s="27"/>
    </row>
    <row r="611">
      <c r="A611" s="14"/>
      <c r="E611" s="14"/>
      <c r="F611" s="27"/>
      <c r="G611" s="14"/>
      <c r="H611" s="27"/>
      <c r="I611" s="14"/>
      <c r="J611" s="27"/>
    </row>
    <row r="612">
      <c r="A612" s="14"/>
      <c r="E612" s="14"/>
      <c r="F612" s="27"/>
      <c r="G612" s="14"/>
      <c r="H612" s="27"/>
      <c r="I612" s="14"/>
      <c r="J612" s="27"/>
    </row>
    <row r="613">
      <c r="A613" s="14"/>
      <c r="E613" s="14"/>
      <c r="F613" s="27"/>
      <c r="G613" s="14"/>
      <c r="H613" s="27"/>
      <c r="I613" s="14"/>
      <c r="J613" s="27"/>
    </row>
    <row r="614">
      <c r="A614" s="14"/>
      <c r="E614" s="14"/>
      <c r="F614" s="27"/>
      <c r="G614" s="14"/>
      <c r="H614" s="27"/>
      <c r="I614" s="14"/>
      <c r="J614" s="27"/>
    </row>
    <row r="615">
      <c r="A615" s="14"/>
      <c r="E615" s="14"/>
      <c r="F615" s="27"/>
      <c r="G615" s="14"/>
      <c r="H615" s="27"/>
      <c r="I615" s="14"/>
      <c r="J615" s="27"/>
    </row>
    <row r="616">
      <c r="A616" s="14"/>
      <c r="E616" s="14"/>
      <c r="F616" s="27"/>
      <c r="G616" s="14"/>
      <c r="H616" s="27"/>
      <c r="I616" s="14"/>
      <c r="J616" s="27"/>
    </row>
    <row r="617">
      <c r="A617" s="14"/>
      <c r="E617" s="14"/>
      <c r="F617" s="27"/>
      <c r="G617" s="14"/>
      <c r="H617" s="27"/>
      <c r="I617" s="14"/>
      <c r="J617" s="27"/>
    </row>
    <row r="618">
      <c r="A618" s="14"/>
      <c r="E618" s="14"/>
      <c r="F618" s="27"/>
      <c r="G618" s="14"/>
      <c r="H618" s="27"/>
      <c r="I618" s="14"/>
      <c r="J618" s="27"/>
    </row>
    <row r="619">
      <c r="A619" s="14"/>
      <c r="E619" s="14"/>
      <c r="F619" s="27"/>
      <c r="G619" s="14"/>
      <c r="H619" s="27"/>
      <c r="I619" s="14"/>
      <c r="J619" s="27"/>
    </row>
    <row r="620">
      <c r="A620" s="14"/>
      <c r="E620" s="14"/>
      <c r="F620" s="27"/>
      <c r="G620" s="14"/>
      <c r="H620" s="27"/>
      <c r="I620" s="14"/>
      <c r="J620" s="27"/>
    </row>
    <row r="621">
      <c r="A621" s="14"/>
      <c r="E621" s="14"/>
      <c r="F621" s="27"/>
      <c r="G621" s="14"/>
      <c r="H621" s="27"/>
      <c r="I621" s="14"/>
      <c r="J621" s="27"/>
    </row>
    <row r="622">
      <c r="A622" s="14"/>
      <c r="E622" s="14"/>
      <c r="F622" s="27"/>
      <c r="G622" s="14"/>
      <c r="H622" s="27"/>
      <c r="I622" s="14"/>
      <c r="J622" s="27"/>
    </row>
    <row r="623">
      <c r="A623" s="14"/>
      <c r="E623" s="14"/>
      <c r="F623" s="27"/>
      <c r="G623" s="14"/>
      <c r="H623" s="27"/>
      <c r="I623" s="14"/>
      <c r="J623" s="27"/>
    </row>
    <row r="624">
      <c r="A624" s="14"/>
      <c r="E624" s="14"/>
      <c r="F624" s="27"/>
      <c r="G624" s="14"/>
      <c r="H624" s="27"/>
      <c r="I624" s="14"/>
      <c r="J624" s="27"/>
    </row>
    <row r="625">
      <c r="A625" s="14"/>
      <c r="E625" s="14"/>
      <c r="F625" s="27"/>
      <c r="G625" s="14"/>
      <c r="H625" s="27"/>
      <c r="I625" s="14"/>
      <c r="J625" s="27"/>
    </row>
    <row r="626">
      <c r="A626" s="14"/>
      <c r="E626" s="14"/>
      <c r="F626" s="27"/>
      <c r="G626" s="14"/>
      <c r="H626" s="27"/>
      <c r="I626" s="14"/>
      <c r="J626" s="27"/>
    </row>
    <row r="627">
      <c r="A627" s="14"/>
      <c r="E627" s="14"/>
      <c r="F627" s="27"/>
      <c r="G627" s="14"/>
      <c r="H627" s="27"/>
      <c r="I627" s="14"/>
      <c r="J627" s="27"/>
    </row>
    <row r="628">
      <c r="A628" s="14"/>
      <c r="E628" s="14"/>
      <c r="F628" s="27"/>
      <c r="G628" s="14"/>
      <c r="H628" s="27"/>
      <c r="I628" s="14"/>
      <c r="J628" s="27"/>
    </row>
    <row r="629">
      <c r="A629" s="14"/>
      <c r="E629" s="14"/>
      <c r="F629" s="27"/>
      <c r="G629" s="14"/>
      <c r="H629" s="27"/>
      <c r="I629" s="14"/>
      <c r="J629" s="27"/>
    </row>
    <row r="630">
      <c r="A630" s="14"/>
      <c r="E630" s="14"/>
      <c r="F630" s="27"/>
      <c r="G630" s="14"/>
      <c r="H630" s="27"/>
      <c r="I630" s="14"/>
      <c r="J630" s="27"/>
    </row>
    <row r="631">
      <c r="A631" s="14"/>
      <c r="E631" s="14"/>
      <c r="F631" s="27"/>
      <c r="G631" s="14"/>
      <c r="H631" s="27"/>
      <c r="I631" s="14"/>
      <c r="J631" s="27"/>
    </row>
    <row r="632">
      <c r="A632" s="14"/>
      <c r="E632" s="14"/>
      <c r="F632" s="27"/>
      <c r="G632" s="14"/>
      <c r="H632" s="27"/>
      <c r="I632" s="14"/>
      <c r="J632" s="27"/>
    </row>
    <row r="633">
      <c r="A633" s="14"/>
      <c r="E633" s="14"/>
      <c r="F633" s="27"/>
      <c r="G633" s="14"/>
      <c r="H633" s="27"/>
      <c r="I633" s="14"/>
      <c r="J633" s="27"/>
    </row>
    <row r="634">
      <c r="A634" s="14"/>
      <c r="E634" s="14"/>
      <c r="F634" s="27"/>
      <c r="G634" s="14"/>
      <c r="H634" s="27"/>
      <c r="I634" s="14"/>
      <c r="J634" s="27"/>
    </row>
    <row r="635">
      <c r="A635" s="14"/>
      <c r="E635" s="14"/>
      <c r="F635" s="27"/>
      <c r="G635" s="14"/>
      <c r="H635" s="27"/>
      <c r="I635" s="14"/>
      <c r="J635" s="27"/>
    </row>
    <row r="636">
      <c r="A636" s="14"/>
      <c r="E636" s="14"/>
      <c r="F636" s="27"/>
      <c r="G636" s="14"/>
      <c r="H636" s="27"/>
      <c r="I636" s="14"/>
      <c r="J636" s="27"/>
    </row>
    <row r="637">
      <c r="A637" s="14"/>
      <c r="E637" s="14"/>
      <c r="F637" s="27"/>
      <c r="G637" s="14"/>
      <c r="H637" s="27"/>
      <c r="I637" s="14"/>
      <c r="J637" s="27"/>
    </row>
    <row r="638">
      <c r="A638" s="14"/>
      <c r="E638" s="14"/>
      <c r="F638" s="27"/>
      <c r="G638" s="14"/>
      <c r="H638" s="27"/>
      <c r="I638" s="14"/>
      <c r="J638" s="27"/>
    </row>
    <row r="639">
      <c r="A639" s="14"/>
      <c r="E639" s="14"/>
      <c r="F639" s="27"/>
      <c r="G639" s="14"/>
      <c r="H639" s="27"/>
      <c r="I639" s="14"/>
      <c r="J639" s="27"/>
    </row>
    <row r="640">
      <c r="A640" s="14"/>
      <c r="E640" s="14"/>
      <c r="F640" s="27"/>
      <c r="G640" s="14"/>
      <c r="H640" s="27"/>
      <c r="I640" s="14"/>
      <c r="J640" s="27"/>
    </row>
    <row r="641">
      <c r="A641" s="14"/>
      <c r="E641" s="14"/>
      <c r="F641" s="27"/>
      <c r="G641" s="14"/>
      <c r="H641" s="27"/>
      <c r="I641" s="14"/>
      <c r="J641" s="27"/>
    </row>
    <row r="642">
      <c r="A642" s="14"/>
      <c r="E642" s="14"/>
      <c r="F642" s="27"/>
      <c r="G642" s="14"/>
      <c r="H642" s="27"/>
      <c r="I642" s="14"/>
      <c r="J642" s="27"/>
    </row>
    <row r="643">
      <c r="A643" s="14"/>
      <c r="E643" s="14"/>
      <c r="F643" s="27"/>
      <c r="G643" s="14"/>
      <c r="H643" s="27"/>
      <c r="I643" s="14"/>
      <c r="J643" s="27"/>
    </row>
    <row r="644">
      <c r="A644" s="14"/>
      <c r="E644" s="14"/>
      <c r="F644" s="27"/>
      <c r="G644" s="14"/>
      <c r="H644" s="27"/>
      <c r="I644" s="14"/>
      <c r="J644" s="27"/>
    </row>
    <row r="645">
      <c r="A645" s="14"/>
      <c r="E645" s="14"/>
      <c r="F645" s="27"/>
      <c r="G645" s="14"/>
      <c r="H645" s="27"/>
      <c r="I645" s="14"/>
      <c r="J645" s="27"/>
    </row>
    <row r="646">
      <c r="A646" s="14"/>
      <c r="E646" s="14"/>
      <c r="F646" s="27"/>
      <c r="G646" s="14"/>
      <c r="H646" s="27"/>
      <c r="I646" s="14"/>
      <c r="J646" s="27"/>
    </row>
    <row r="647">
      <c r="A647" s="14"/>
      <c r="E647" s="14"/>
      <c r="F647" s="27"/>
      <c r="G647" s="14"/>
      <c r="H647" s="27"/>
      <c r="I647" s="14"/>
      <c r="J647" s="27"/>
    </row>
    <row r="648">
      <c r="A648" s="14"/>
      <c r="E648" s="14"/>
      <c r="F648" s="27"/>
      <c r="G648" s="14"/>
      <c r="H648" s="27"/>
      <c r="I648" s="14"/>
      <c r="J648" s="27"/>
    </row>
    <row r="649">
      <c r="A649" s="14"/>
      <c r="E649" s="14"/>
      <c r="F649" s="27"/>
      <c r="G649" s="14"/>
      <c r="H649" s="27"/>
      <c r="I649" s="14"/>
      <c r="J649" s="27"/>
    </row>
    <row r="650">
      <c r="A650" s="14"/>
      <c r="E650" s="14"/>
      <c r="F650" s="27"/>
      <c r="G650" s="14"/>
      <c r="H650" s="27"/>
      <c r="I650" s="14"/>
      <c r="J650" s="27"/>
    </row>
    <row r="651">
      <c r="A651" s="14"/>
      <c r="E651" s="14"/>
      <c r="F651" s="27"/>
      <c r="G651" s="14"/>
      <c r="H651" s="27"/>
      <c r="I651" s="14"/>
      <c r="J651" s="27"/>
    </row>
    <row r="652">
      <c r="A652" s="14"/>
      <c r="E652" s="14"/>
      <c r="F652" s="27"/>
      <c r="G652" s="14"/>
      <c r="H652" s="27"/>
      <c r="I652" s="14"/>
      <c r="J652" s="27"/>
    </row>
    <row r="653">
      <c r="A653" s="14"/>
      <c r="E653" s="14"/>
      <c r="F653" s="27"/>
      <c r="G653" s="14"/>
      <c r="H653" s="27"/>
      <c r="I653" s="14"/>
      <c r="J653" s="27"/>
    </row>
    <row r="654">
      <c r="A654" s="14"/>
      <c r="E654" s="14"/>
      <c r="F654" s="27"/>
      <c r="G654" s="14"/>
      <c r="H654" s="27"/>
      <c r="I654" s="14"/>
      <c r="J654" s="27"/>
    </row>
    <row r="655">
      <c r="A655" s="14"/>
      <c r="E655" s="14"/>
      <c r="F655" s="27"/>
      <c r="G655" s="14"/>
      <c r="H655" s="27"/>
      <c r="I655" s="14"/>
      <c r="J655" s="27"/>
    </row>
    <row r="656">
      <c r="A656" s="14"/>
      <c r="E656" s="14"/>
      <c r="F656" s="27"/>
      <c r="G656" s="14"/>
      <c r="H656" s="27"/>
      <c r="I656" s="14"/>
      <c r="J656" s="27"/>
    </row>
    <row r="657">
      <c r="A657" s="14"/>
      <c r="E657" s="14"/>
      <c r="F657" s="27"/>
      <c r="G657" s="14"/>
      <c r="H657" s="27"/>
      <c r="I657" s="14"/>
      <c r="J657" s="27"/>
    </row>
    <row r="658">
      <c r="A658" s="14"/>
      <c r="E658" s="14"/>
      <c r="F658" s="27"/>
      <c r="G658" s="14"/>
      <c r="H658" s="27"/>
      <c r="I658" s="14"/>
      <c r="J658" s="27"/>
    </row>
    <row r="659">
      <c r="A659" s="14"/>
      <c r="E659" s="14"/>
      <c r="F659" s="27"/>
      <c r="G659" s="14"/>
      <c r="H659" s="27"/>
      <c r="I659" s="14"/>
      <c r="J659" s="27"/>
    </row>
    <row r="660">
      <c r="A660" s="14"/>
      <c r="E660" s="14"/>
      <c r="F660" s="27"/>
      <c r="G660" s="14"/>
      <c r="H660" s="27"/>
      <c r="I660" s="14"/>
      <c r="J660" s="27"/>
    </row>
    <row r="661">
      <c r="A661" s="14"/>
      <c r="E661" s="14"/>
      <c r="F661" s="27"/>
      <c r="G661" s="14"/>
      <c r="H661" s="27"/>
      <c r="I661" s="14"/>
      <c r="J661" s="27"/>
    </row>
    <row r="662">
      <c r="A662" s="14"/>
      <c r="E662" s="14"/>
      <c r="F662" s="27"/>
      <c r="G662" s="14"/>
      <c r="H662" s="27"/>
      <c r="I662" s="14"/>
      <c r="J662" s="27"/>
    </row>
    <row r="663">
      <c r="A663" s="14"/>
      <c r="E663" s="14"/>
      <c r="F663" s="27"/>
      <c r="G663" s="14"/>
      <c r="H663" s="27"/>
      <c r="I663" s="14"/>
      <c r="J663" s="27"/>
    </row>
    <row r="664">
      <c r="A664" s="14"/>
      <c r="E664" s="14"/>
      <c r="F664" s="27"/>
      <c r="G664" s="14"/>
      <c r="H664" s="27"/>
      <c r="I664" s="14"/>
      <c r="J664" s="27"/>
    </row>
    <row r="665">
      <c r="A665" s="14"/>
      <c r="E665" s="14"/>
      <c r="F665" s="27"/>
      <c r="G665" s="14"/>
      <c r="H665" s="27"/>
      <c r="I665" s="14"/>
      <c r="J665" s="27"/>
    </row>
    <row r="666">
      <c r="A666" s="14"/>
      <c r="E666" s="14"/>
      <c r="F666" s="27"/>
      <c r="G666" s="14"/>
      <c r="H666" s="27"/>
      <c r="I666" s="14"/>
      <c r="J666" s="27"/>
    </row>
    <row r="667">
      <c r="A667" s="14"/>
      <c r="E667" s="14"/>
      <c r="F667" s="27"/>
      <c r="G667" s="14"/>
      <c r="H667" s="27"/>
      <c r="I667" s="14"/>
      <c r="J667" s="27"/>
    </row>
    <row r="668">
      <c r="A668" s="14"/>
      <c r="E668" s="14"/>
      <c r="F668" s="27"/>
      <c r="G668" s="14"/>
      <c r="H668" s="27"/>
      <c r="I668" s="14"/>
      <c r="J668" s="27"/>
    </row>
    <row r="669">
      <c r="A669" s="14"/>
      <c r="E669" s="14"/>
      <c r="F669" s="27"/>
      <c r="G669" s="14"/>
      <c r="H669" s="27"/>
      <c r="I669" s="14"/>
      <c r="J669" s="27"/>
    </row>
    <row r="670">
      <c r="A670" s="14"/>
      <c r="E670" s="14"/>
      <c r="F670" s="27"/>
      <c r="G670" s="14"/>
      <c r="H670" s="27"/>
      <c r="I670" s="14"/>
      <c r="J670" s="27"/>
    </row>
    <row r="671">
      <c r="A671" s="14"/>
      <c r="E671" s="14"/>
      <c r="F671" s="27"/>
      <c r="G671" s="14"/>
      <c r="H671" s="27"/>
      <c r="I671" s="14"/>
      <c r="J671" s="27"/>
    </row>
    <row r="672">
      <c r="A672" s="14"/>
      <c r="E672" s="14"/>
      <c r="F672" s="27"/>
      <c r="G672" s="14"/>
      <c r="H672" s="27"/>
      <c r="I672" s="14"/>
      <c r="J672" s="27"/>
    </row>
    <row r="673">
      <c r="A673" s="14"/>
      <c r="E673" s="14"/>
      <c r="F673" s="27"/>
      <c r="G673" s="14"/>
      <c r="H673" s="27"/>
      <c r="I673" s="14"/>
      <c r="J673" s="27"/>
    </row>
    <row r="674">
      <c r="A674" s="14"/>
      <c r="E674" s="14"/>
      <c r="F674" s="27"/>
      <c r="G674" s="14"/>
      <c r="H674" s="27"/>
      <c r="I674" s="14"/>
      <c r="J674" s="27"/>
    </row>
    <row r="675">
      <c r="A675" s="14"/>
      <c r="E675" s="14"/>
      <c r="F675" s="27"/>
      <c r="G675" s="14"/>
      <c r="H675" s="27"/>
      <c r="I675" s="14"/>
      <c r="J675" s="27"/>
    </row>
    <row r="676">
      <c r="A676" s="14"/>
      <c r="E676" s="14"/>
      <c r="F676" s="27"/>
      <c r="G676" s="14"/>
      <c r="H676" s="27"/>
      <c r="I676" s="14"/>
      <c r="J676" s="27"/>
    </row>
    <row r="677">
      <c r="A677" s="14"/>
      <c r="E677" s="14"/>
      <c r="F677" s="27"/>
      <c r="G677" s="14"/>
      <c r="H677" s="27"/>
      <c r="I677" s="14"/>
      <c r="J677" s="27"/>
    </row>
    <row r="678">
      <c r="A678" s="14"/>
      <c r="E678" s="14"/>
      <c r="F678" s="27"/>
      <c r="G678" s="14"/>
      <c r="H678" s="27"/>
      <c r="I678" s="14"/>
      <c r="J678" s="27"/>
    </row>
    <row r="679">
      <c r="A679" s="14"/>
      <c r="E679" s="14"/>
      <c r="F679" s="27"/>
      <c r="G679" s="14"/>
      <c r="H679" s="27"/>
      <c r="I679" s="14"/>
      <c r="J679" s="27"/>
    </row>
    <row r="680">
      <c r="A680" s="14"/>
      <c r="E680" s="14"/>
      <c r="F680" s="27"/>
      <c r="G680" s="14"/>
      <c r="H680" s="27"/>
      <c r="I680" s="14"/>
      <c r="J680" s="27"/>
    </row>
    <row r="681">
      <c r="A681" s="14"/>
      <c r="E681" s="14"/>
      <c r="F681" s="27"/>
      <c r="G681" s="14"/>
      <c r="H681" s="27"/>
      <c r="I681" s="14"/>
      <c r="J681" s="27"/>
    </row>
    <row r="682">
      <c r="A682" s="14"/>
      <c r="E682" s="14"/>
      <c r="F682" s="27"/>
      <c r="G682" s="14"/>
      <c r="H682" s="27"/>
      <c r="I682" s="14"/>
      <c r="J682" s="27"/>
    </row>
    <row r="683">
      <c r="A683" s="14"/>
      <c r="E683" s="14"/>
      <c r="F683" s="27"/>
      <c r="G683" s="14"/>
      <c r="H683" s="27"/>
      <c r="I683" s="14"/>
      <c r="J683" s="27"/>
    </row>
    <row r="684">
      <c r="A684" s="14"/>
      <c r="E684" s="14"/>
      <c r="F684" s="27"/>
      <c r="G684" s="14"/>
      <c r="H684" s="27"/>
      <c r="I684" s="14"/>
      <c r="J684" s="27"/>
    </row>
    <row r="685">
      <c r="A685" s="14"/>
      <c r="E685" s="14"/>
      <c r="F685" s="27"/>
      <c r="G685" s="14"/>
      <c r="H685" s="27"/>
      <c r="I685" s="14"/>
      <c r="J685" s="27"/>
    </row>
    <row r="686">
      <c r="A686" s="14"/>
      <c r="E686" s="14"/>
      <c r="F686" s="27"/>
      <c r="G686" s="14"/>
      <c r="H686" s="27"/>
      <c r="I686" s="14"/>
      <c r="J686" s="27"/>
    </row>
    <row r="687">
      <c r="A687" s="14"/>
      <c r="E687" s="14"/>
      <c r="F687" s="27"/>
      <c r="G687" s="14"/>
      <c r="H687" s="27"/>
      <c r="I687" s="14"/>
      <c r="J687" s="27"/>
    </row>
    <row r="688">
      <c r="A688" s="14"/>
      <c r="E688" s="14"/>
      <c r="F688" s="27"/>
      <c r="G688" s="14"/>
      <c r="H688" s="27"/>
      <c r="I688" s="14"/>
      <c r="J688" s="27"/>
    </row>
    <row r="689">
      <c r="A689" s="14"/>
      <c r="E689" s="14"/>
      <c r="F689" s="27"/>
      <c r="G689" s="14"/>
      <c r="H689" s="27"/>
      <c r="I689" s="14"/>
      <c r="J689" s="27"/>
    </row>
    <row r="690">
      <c r="A690" s="14"/>
      <c r="E690" s="14"/>
      <c r="F690" s="27"/>
      <c r="G690" s="14"/>
      <c r="H690" s="27"/>
      <c r="I690" s="14"/>
      <c r="J690" s="27"/>
    </row>
    <row r="691">
      <c r="A691" s="14"/>
      <c r="E691" s="14"/>
      <c r="F691" s="27"/>
      <c r="G691" s="14"/>
      <c r="H691" s="27"/>
      <c r="I691" s="14"/>
      <c r="J691" s="27"/>
    </row>
    <row r="692">
      <c r="A692" s="14"/>
      <c r="E692" s="14"/>
      <c r="F692" s="27"/>
      <c r="G692" s="14"/>
      <c r="H692" s="27"/>
      <c r="I692" s="14"/>
      <c r="J692" s="27"/>
    </row>
    <row r="693">
      <c r="A693" s="14"/>
      <c r="E693" s="14"/>
      <c r="F693" s="27"/>
      <c r="G693" s="14"/>
      <c r="H693" s="27"/>
      <c r="I693" s="14"/>
      <c r="J693" s="27"/>
    </row>
    <row r="694">
      <c r="A694" s="14"/>
      <c r="E694" s="14"/>
      <c r="F694" s="27"/>
      <c r="G694" s="14"/>
      <c r="H694" s="27"/>
      <c r="I694" s="14"/>
      <c r="J694" s="27"/>
    </row>
    <row r="695">
      <c r="A695" s="14"/>
      <c r="E695" s="14"/>
      <c r="F695" s="27"/>
      <c r="G695" s="14"/>
      <c r="H695" s="27"/>
      <c r="I695" s="14"/>
      <c r="J695" s="27"/>
    </row>
    <row r="696">
      <c r="A696" s="14"/>
      <c r="E696" s="14"/>
      <c r="F696" s="27"/>
      <c r="G696" s="14"/>
      <c r="H696" s="27"/>
      <c r="I696" s="14"/>
      <c r="J696" s="27"/>
    </row>
    <row r="697">
      <c r="A697" s="14"/>
      <c r="E697" s="14"/>
      <c r="F697" s="27"/>
      <c r="G697" s="14"/>
      <c r="H697" s="27"/>
      <c r="I697" s="14"/>
      <c r="J697" s="27"/>
    </row>
    <row r="698">
      <c r="A698" s="14"/>
      <c r="E698" s="14"/>
      <c r="F698" s="27"/>
      <c r="G698" s="14"/>
      <c r="H698" s="27"/>
      <c r="I698" s="14"/>
      <c r="J698" s="27"/>
    </row>
    <row r="699">
      <c r="A699" s="14"/>
      <c r="E699" s="14"/>
      <c r="F699" s="27"/>
      <c r="G699" s="14"/>
      <c r="H699" s="27"/>
      <c r="I699" s="14"/>
      <c r="J699" s="27"/>
    </row>
    <row r="700">
      <c r="A700" s="14"/>
      <c r="E700" s="14"/>
      <c r="F700" s="27"/>
      <c r="G700" s="14"/>
      <c r="H700" s="27"/>
      <c r="I700" s="14"/>
      <c r="J700" s="27"/>
    </row>
    <row r="701">
      <c r="A701" s="14"/>
      <c r="E701" s="14"/>
      <c r="F701" s="27"/>
      <c r="G701" s="14"/>
      <c r="H701" s="27"/>
      <c r="I701" s="14"/>
      <c r="J701" s="27"/>
    </row>
    <row r="702">
      <c r="A702" s="14"/>
      <c r="E702" s="14"/>
      <c r="F702" s="27"/>
      <c r="G702" s="14"/>
      <c r="H702" s="27"/>
      <c r="I702" s="14"/>
      <c r="J702" s="27"/>
    </row>
    <row r="703">
      <c r="A703" s="14"/>
      <c r="E703" s="14"/>
      <c r="F703" s="27"/>
      <c r="G703" s="14"/>
      <c r="H703" s="27"/>
      <c r="I703" s="14"/>
      <c r="J703" s="27"/>
    </row>
    <row r="704">
      <c r="A704" s="14"/>
      <c r="E704" s="14"/>
      <c r="F704" s="27"/>
      <c r="G704" s="14"/>
      <c r="H704" s="27"/>
      <c r="I704" s="14"/>
      <c r="J704" s="27"/>
    </row>
    <row r="705">
      <c r="A705" s="14"/>
      <c r="E705" s="14"/>
      <c r="F705" s="27"/>
      <c r="G705" s="14"/>
      <c r="H705" s="27"/>
      <c r="I705" s="14"/>
      <c r="J705" s="27"/>
    </row>
    <row r="706">
      <c r="A706" s="14"/>
      <c r="E706" s="14"/>
      <c r="F706" s="27"/>
      <c r="G706" s="14"/>
      <c r="H706" s="27"/>
      <c r="I706" s="14"/>
      <c r="J706" s="27"/>
    </row>
    <row r="707">
      <c r="A707" s="14"/>
      <c r="E707" s="14"/>
      <c r="F707" s="27"/>
      <c r="G707" s="14"/>
      <c r="H707" s="27"/>
      <c r="I707" s="14"/>
      <c r="J707" s="27"/>
    </row>
    <row r="708">
      <c r="A708" s="14"/>
      <c r="E708" s="14"/>
      <c r="F708" s="27"/>
      <c r="G708" s="14"/>
      <c r="H708" s="27"/>
      <c r="I708" s="14"/>
      <c r="J708" s="27"/>
    </row>
    <row r="709">
      <c r="A709" s="14"/>
      <c r="E709" s="14"/>
      <c r="F709" s="27"/>
      <c r="G709" s="14"/>
      <c r="H709" s="27"/>
      <c r="I709" s="14"/>
      <c r="J709" s="27"/>
    </row>
    <row r="710">
      <c r="A710" s="14"/>
      <c r="E710" s="14"/>
      <c r="F710" s="27"/>
      <c r="G710" s="14"/>
      <c r="H710" s="27"/>
      <c r="I710" s="14"/>
      <c r="J710" s="27"/>
    </row>
    <row r="711">
      <c r="A711" s="14"/>
      <c r="E711" s="14"/>
      <c r="F711" s="27"/>
      <c r="G711" s="14"/>
      <c r="H711" s="27"/>
      <c r="I711" s="14"/>
      <c r="J711" s="27"/>
    </row>
    <row r="712">
      <c r="A712" s="14"/>
      <c r="E712" s="14"/>
      <c r="F712" s="27"/>
      <c r="G712" s="14"/>
      <c r="H712" s="27"/>
      <c r="I712" s="14"/>
      <c r="J712" s="27"/>
    </row>
    <row r="713">
      <c r="A713" s="14"/>
      <c r="E713" s="14"/>
      <c r="F713" s="27"/>
      <c r="G713" s="14"/>
      <c r="H713" s="27"/>
      <c r="I713" s="14"/>
      <c r="J713" s="27"/>
    </row>
    <row r="714">
      <c r="A714" s="14"/>
      <c r="E714" s="14"/>
      <c r="F714" s="27"/>
      <c r="G714" s="14"/>
      <c r="H714" s="27"/>
      <c r="I714" s="14"/>
      <c r="J714" s="27"/>
    </row>
    <row r="715">
      <c r="A715" s="14"/>
      <c r="E715" s="14"/>
      <c r="F715" s="27"/>
      <c r="G715" s="14"/>
      <c r="H715" s="27"/>
      <c r="I715" s="14"/>
      <c r="J715" s="27"/>
    </row>
    <row r="716">
      <c r="A716" s="14"/>
      <c r="E716" s="14"/>
      <c r="F716" s="27"/>
      <c r="G716" s="14"/>
      <c r="H716" s="27"/>
      <c r="I716" s="14"/>
      <c r="J716" s="27"/>
    </row>
    <row r="717">
      <c r="A717" s="14"/>
      <c r="E717" s="14"/>
      <c r="F717" s="27"/>
      <c r="G717" s="14"/>
      <c r="H717" s="27"/>
      <c r="I717" s="14"/>
      <c r="J717" s="27"/>
    </row>
    <row r="718">
      <c r="A718" s="14"/>
      <c r="E718" s="14"/>
      <c r="F718" s="27"/>
      <c r="G718" s="14"/>
      <c r="H718" s="27"/>
      <c r="I718" s="14"/>
      <c r="J718" s="27"/>
    </row>
    <row r="719">
      <c r="A719" s="14"/>
      <c r="E719" s="14"/>
      <c r="F719" s="27"/>
      <c r="G719" s="14"/>
      <c r="H719" s="27"/>
      <c r="I719" s="14"/>
      <c r="J719" s="27"/>
    </row>
    <row r="720">
      <c r="A720" s="14"/>
      <c r="E720" s="14"/>
      <c r="F720" s="27"/>
      <c r="G720" s="14"/>
      <c r="H720" s="27"/>
      <c r="I720" s="14"/>
      <c r="J720" s="27"/>
    </row>
    <row r="721">
      <c r="A721" s="14"/>
      <c r="E721" s="14"/>
      <c r="F721" s="27"/>
      <c r="G721" s="14"/>
      <c r="H721" s="27"/>
      <c r="I721" s="14"/>
      <c r="J721" s="27"/>
    </row>
    <row r="722">
      <c r="A722" s="14"/>
      <c r="E722" s="14"/>
      <c r="F722" s="27"/>
      <c r="G722" s="14"/>
      <c r="H722" s="27"/>
      <c r="I722" s="14"/>
      <c r="J722" s="27"/>
    </row>
    <row r="723">
      <c r="A723" s="14"/>
      <c r="E723" s="14"/>
      <c r="F723" s="27"/>
      <c r="G723" s="14"/>
      <c r="H723" s="27"/>
      <c r="I723" s="14"/>
      <c r="J723" s="27"/>
    </row>
    <row r="724">
      <c r="A724" s="14"/>
      <c r="E724" s="14"/>
      <c r="F724" s="27"/>
      <c r="G724" s="14"/>
      <c r="H724" s="27"/>
      <c r="I724" s="14"/>
      <c r="J724" s="27"/>
    </row>
    <row r="725">
      <c r="A725" s="14"/>
      <c r="E725" s="14"/>
      <c r="F725" s="27"/>
      <c r="G725" s="14"/>
      <c r="H725" s="27"/>
      <c r="I725" s="14"/>
      <c r="J725" s="27"/>
    </row>
    <row r="726">
      <c r="A726" s="14"/>
      <c r="E726" s="14"/>
      <c r="F726" s="27"/>
      <c r="G726" s="14"/>
      <c r="H726" s="27"/>
      <c r="I726" s="14"/>
      <c r="J726" s="27"/>
    </row>
    <row r="727">
      <c r="A727" s="14"/>
      <c r="E727" s="14"/>
      <c r="F727" s="27"/>
      <c r="G727" s="14"/>
      <c r="H727" s="27"/>
      <c r="I727" s="14"/>
      <c r="J727" s="27"/>
    </row>
    <row r="728">
      <c r="A728" s="14"/>
      <c r="E728" s="14"/>
      <c r="F728" s="27"/>
      <c r="G728" s="14"/>
      <c r="H728" s="27"/>
      <c r="I728" s="14"/>
      <c r="J728" s="27"/>
    </row>
    <row r="729">
      <c r="A729" s="14"/>
      <c r="E729" s="14"/>
      <c r="F729" s="27"/>
      <c r="G729" s="14"/>
      <c r="H729" s="27"/>
      <c r="I729" s="14"/>
      <c r="J729" s="27"/>
    </row>
    <row r="730">
      <c r="A730" s="14"/>
      <c r="E730" s="14"/>
      <c r="F730" s="27"/>
      <c r="G730" s="14"/>
      <c r="H730" s="27"/>
      <c r="I730" s="14"/>
      <c r="J730" s="27"/>
    </row>
    <row r="731">
      <c r="A731" s="14"/>
      <c r="E731" s="14"/>
      <c r="F731" s="27"/>
      <c r="G731" s="14"/>
      <c r="H731" s="27"/>
      <c r="I731" s="14"/>
      <c r="J731" s="27"/>
    </row>
    <row r="732">
      <c r="A732" s="14"/>
      <c r="E732" s="14"/>
      <c r="F732" s="27"/>
      <c r="G732" s="14"/>
      <c r="H732" s="27"/>
      <c r="I732" s="14"/>
      <c r="J732" s="27"/>
    </row>
    <row r="733">
      <c r="A733" s="14"/>
      <c r="E733" s="14"/>
      <c r="F733" s="27"/>
      <c r="G733" s="14"/>
      <c r="H733" s="27"/>
      <c r="I733" s="14"/>
      <c r="J733" s="27"/>
    </row>
    <row r="734">
      <c r="A734" s="14"/>
      <c r="E734" s="14"/>
      <c r="F734" s="27"/>
      <c r="G734" s="14"/>
      <c r="H734" s="27"/>
      <c r="I734" s="14"/>
      <c r="J734" s="27"/>
    </row>
    <row r="735">
      <c r="A735" s="14"/>
      <c r="E735" s="14"/>
      <c r="F735" s="27"/>
      <c r="G735" s="14"/>
      <c r="H735" s="27"/>
      <c r="I735" s="14"/>
      <c r="J735" s="27"/>
    </row>
    <row r="736">
      <c r="A736" s="14"/>
      <c r="E736" s="14"/>
      <c r="F736" s="27"/>
      <c r="G736" s="14"/>
      <c r="H736" s="27"/>
      <c r="I736" s="14"/>
      <c r="J736" s="27"/>
    </row>
    <row r="737">
      <c r="A737" s="14"/>
      <c r="E737" s="14"/>
      <c r="F737" s="27"/>
      <c r="G737" s="14"/>
      <c r="H737" s="27"/>
      <c r="I737" s="14"/>
      <c r="J737" s="27"/>
    </row>
    <row r="738">
      <c r="A738" s="14"/>
      <c r="E738" s="14"/>
      <c r="F738" s="27"/>
      <c r="G738" s="14"/>
      <c r="H738" s="27"/>
      <c r="I738" s="14"/>
      <c r="J738" s="27"/>
    </row>
    <row r="739">
      <c r="A739" s="14"/>
      <c r="E739" s="14"/>
      <c r="F739" s="27"/>
      <c r="G739" s="14"/>
      <c r="H739" s="27"/>
      <c r="I739" s="14"/>
      <c r="J739" s="27"/>
    </row>
    <row r="740">
      <c r="A740" s="14"/>
      <c r="E740" s="14"/>
      <c r="F740" s="27"/>
      <c r="G740" s="14"/>
      <c r="H740" s="27"/>
      <c r="I740" s="14"/>
      <c r="J740" s="27"/>
    </row>
    <row r="741">
      <c r="A741" s="14"/>
      <c r="E741" s="14"/>
      <c r="F741" s="27"/>
      <c r="G741" s="14"/>
      <c r="H741" s="27"/>
      <c r="I741" s="14"/>
      <c r="J741" s="27"/>
    </row>
    <row r="742">
      <c r="A742" s="14"/>
      <c r="E742" s="14"/>
      <c r="F742" s="27"/>
      <c r="G742" s="14"/>
      <c r="H742" s="27"/>
      <c r="I742" s="14"/>
      <c r="J742" s="27"/>
    </row>
    <row r="743">
      <c r="A743" s="14"/>
      <c r="E743" s="14"/>
      <c r="F743" s="27"/>
      <c r="G743" s="14"/>
      <c r="H743" s="27"/>
      <c r="I743" s="14"/>
      <c r="J743" s="27"/>
    </row>
    <row r="744">
      <c r="A744" s="14"/>
      <c r="E744" s="14"/>
      <c r="F744" s="27"/>
      <c r="G744" s="14"/>
      <c r="H744" s="27"/>
      <c r="I744" s="14"/>
      <c r="J744" s="27"/>
    </row>
    <row r="745">
      <c r="A745" s="14"/>
      <c r="E745" s="14"/>
      <c r="F745" s="27"/>
      <c r="G745" s="14"/>
      <c r="H745" s="27"/>
      <c r="I745" s="14"/>
      <c r="J745" s="27"/>
    </row>
    <row r="746">
      <c r="A746" s="14"/>
      <c r="E746" s="14"/>
      <c r="F746" s="27"/>
      <c r="G746" s="14"/>
      <c r="H746" s="27"/>
      <c r="I746" s="14"/>
      <c r="J746" s="27"/>
    </row>
    <row r="747">
      <c r="A747" s="14"/>
      <c r="E747" s="14"/>
      <c r="F747" s="27"/>
      <c r="G747" s="14"/>
      <c r="H747" s="27"/>
      <c r="I747" s="14"/>
      <c r="J747" s="27"/>
    </row>
    <row r="748">
      <c r="A748" s="14"/>
      <c r="E748" s="14"/>
      <c r="F748" s="27"/>
      <c r="G748" s="14"/>
      <c r="H748" s="27"/>
      <c r="I748" s="14"/>
      <c r="J748" s="27"/>
    </row>
    <row r="749">
      <c r="A749" s="14"/>
      <c r="E749" s="14"/>
      <c r="F749" s="27"/>
      <c r="G749" s="14"/>
      <c r="H749" s="27"/>
      <c r="I749" s="14"/>
      <c r="J749" s="27"/>
    </row>
    <row r="750">
      <c r="A750" s="14"/>
      <c r="E750" s="14"/>
      <c r="F750" s="27"/>
      <c r="G750" s="14"/>
      <c r="H750" s="27"/>
      <c r="I750" s="14"/>
      <c r="J750" s="27"/>
    </row>
    <row r="751">
      <c r="A751" s="14"/>
      <c r="E751" s="14"/>
      <c r="F751" s="27"/>
      <c r="G751" s="14"/>
      <c r="H751" s="27"/>
      <c r="I751" s="14"/>
      <c r="J751" s="27"/>
    </row>
    <row r="752">
      <c r="A752" s="14"/>
      <c r="E752" s="14"/>
      <c r="F752" s="27"/>
      <c r="G752" s="14"/>
      <c r="H752" s="27"/>
      <c r="I752" s="14"/>
      <c r="J752" s="27"/>
    </row>
    <row r="753">
      <c r="A753" s="14"/>
      <c r="E753" s="14"/>
      <c r="F753" s="27"/>
      <c r="G753" s="14"/>
      <c r="H753" s="27"/>
      <c r="I753" s="14"/>
      <c r="J753" s="27"/>
    </row>
    <row r="754">
      <c r="A754" s="14"/>
      <c r="E754" s="14"/>
      <c r="F754" s="27"/>
      <c r="G754" s="14"/>
      <c r="H754" s="27"/>
      <c r="I754" s="14"/>
      <c r="J754" s="27"/>
    </row>
    <row r="755">
      <c r="A755" s="14"/>
      <c r="E755" s="14"/>
      <c r="F755" s="27"/>
      <c r="G755" s="14"/>
      <c r="H755" s="27"/>
      <c r="I755" s="14"/>
      <c r="J755" s="27"/>
    </row>
    <row r="756">
      <c r="A756" s="14"/>
      <c r="E756" s="14"/>
      <c r="F756" s="27"/>
      <c r="G756" s="14"/>
      <c r="H756" s="27"/>
      <c r="I756" s="14"/>
      <c r="J756" s="27"/>
    </row>
    <row r="757">
      <c r="A757" s="14"/>
      <c r="E757" s="14"/>
      <c r="F757" s="27"/>
      <c r="G757" s="14"/>
      <c r="H757" s="27"/>
      <c r="I757" s="14"/>
      <c r="J757" s="27"/>
    </row>
    <row r="758">
      <c r="A758" s="14"/>
      <c r="E758" s="14"/>
      <c r="F758" s="27"/>
      <c r="G758" s="14"/>
      <c r="H758" s="27"/>
      <c r="I758" s="14"/>
      <c r="J758" s="27"/>
    </row>
    <row r="759">
      <c r="A759" s="14"/>
      <c r="E759" s="14"/>
      <c r="F759" s="27"/>
      <c r="G759" s="14"/>
      <c r="H759" s="27"/>
      <c r="I759" s="14"/>
      <c r="J759" s="27"/>
    </row>
    <row r="760">
      <c r="A760" s="14"/>
      <c r="E760" s="14"/>
      <c r="F760" s="27"/>
      <c r="G760" s="14"/>
      <c r="H760" s="27"/>
      <c r="I760" s="14"/>
      <c r="J760" s="27"/>
    </row>
    <row r="761">
      <c r="A761" s="14"/>
      <c r="E761" s="14"/>
      <c r="F761" s="27"/>
      <c r="G761" s="14"/>
      <c r="H761" s="27"/>
      <c r="I761" s="14"/>
      <c r="J761" s="27"/>
    </row>
    <row r="762">
      <c r="A762" s="14"/>
      <c r="E762" s="14"/>
      <c r="F762" s="27"/>
      <c r="G762" s="14"/>
      <c r="H762" s="27"/>
      <c r="I762" s="14"/>
      <c r="J762" s="27"/>
    </row>
    <row r="763">
      <c r="A763" s="14"/>
      <c r="E763" s="14"/>
      <c r="F763" s="27"/>
      <c r="G763" s="14"/>
      <c r="H763" s="27"/>
      <c r="I763" s="14"/>
      <c r="J763" s="27"/>
    </row>
    <row r="764">
      <c r="A764" s="14"/>
      <c r="E764" s="14"/>
      <c r="F764" s="27"/>
      <c r="G764" s="14"/>
      <c r="H764" s="27"/>
      <c r="I764" s="14"/>
      <c r="J764" s="27"/>
    </row>
    <row r="765">
      <c r="A765" s="14"/>
      <c r="E765" s="14"/>
      <c r="F765" s="27"/>
      <c r="G765" s="14"/>
      <c r="H765" s="27"/>
      <c r="I765" s="14"/>
      <c r="J765" s="27"/>
    </row>
    <row r="766">
      <c r="A766" s="14"/>
      <c r="E766" s="14"/>
      <c r="F766" s="27"/>
      <c r="G766" s="14"/>
      <c r="H766" s="27"/>
      <c r="I766" s="14"/>
      <c r="J766" s="27"/>
    </row>
    <row r="767">
      <c r="A767" s="14"/>
      <c r="E767" s="14"/>
      <c r="F767" s="27"/>
      <c r="G767" s="14"/>
      <c r="H767" s="27"/>
      <c r="I767" s="14"/>
      <c r="J767" s="27"/>
    </row>
    <row r="768">
      <c r="A768" s="14"/>
      <c r="E768" s="14"/>
      <c r="F768" s="27"/>
      <c r="G768" s="14"/>
      <c r="H768" s="27"/>
      <c r="I768" s="14"/>
      <c r="J768" s="27"/>
    </row>
    <row r="769">
      <c r="A769" s="14"/>
      <c r="E769" s="14"/>
      <c r="F769" s="27"/>
      <c r="G769" s="14"/>
      <c r="H769" s="27"/>
      <c r="I769" s="14"/>
      <c r="J769" s="27"/>
    </row>
    <row r="770">
      <c r="A770" s="14"/>
      <c r="E770" s="14"/>
      <c r="F770" s="27"/>
      <c r="G770" s="14"/>
      <c r="H770" s="27"/>
      <c r="I770" s="14"/>
      <c r="J770" s="27"/>
    </row>
    <row r="771">
      <c r="A771" s="14"/>
      <c r="E771" s="14"/>
      <c r="F771" s="27"/>
      <c r="G771" s="14"/>
      <c r="H771" s="27"/>
      <c r="I771" s="14"/>
      <c r="J771" s="27"/>
    </row>
    <row r="772">
      <c r="A772" s="14"/>
      <c r="E772" s="14"/>
      <c r="F772" s="27"/>
      <c r="G772" s="14"/>
      <c r="H772" s="27"/>
      <c r="I772" s="14"/>
      <c r="J772" s="27"/>
    </row>
    <row r="773">
      <c r="A773" s="14"/>
      <c r="E773" s="14"/>
      <c r="F773" s="27"/>
      <c r="G773" s="14"/>
      <c r="H773" s="27"/>
      <c r="I773" s="14"/>
      <c r="J773" s="27"/>
    </row>
    <row r="774">
      <c r="A774" s="14"/>
      <c r="E774" s="14"/>
      <c r="F774" s="27"/>
      <c r="G774" s="14"/>
      <c r="H774" s="27"/>
      <c r="I774" s="14"/>
      <c r="J774" s="27"/>
    </row>
    <row r="775">
      <c r="A775" s="14"/>
      <c r="E775" s="14"/>
      <c r="F775" s="27"/>
      <c r="G775" s="14"/>
      <c r="H775" s="27"/>
      <c r="I775" s="14"/>
      <c r="J775" s="27"/>
    </row>
    <row r="776">
      <c r="A776" s="14"/>
      <c r="E776" s="14"/>
      <c r="F776" s="27"/>
      <c r="G776" s="14"/>
      <c r="H776" s="27"/>
      <c r="I776" s="14"/>
      <c r="J776" s="27"/>
    </row>
    <row r="777">
      <c r="A777" s="14"/>
      <c r="E777" s="14"/>
      <c r="F777" s="27"/>
      <c r="G777" s="14"/>
      <c r="H777" s="27"/>
      <c r="I777" s="14"/>
      <c r="J777" s="27"/>
    </row>
    <row r="778">
      <c r="A778" s="14"/>
      <c r="E778" s="14"/>
      <c r="F778" s="27"/>
      <c r="G778" s="14"/>
      <c r="H778" s="27"/>
      <c r="I778" s="14"/>
      <c r="J778" s="27"/>
    </row>
    <row r="779">
      <c r="A779" s="14"/>
      <c r="E779" s="14"/>
      <c r="F779" s="27"/>
      <c r="G779" s="14"/>
      <c r="H779" s="27"/>
      <c r="I779" s="14"/>
      <c r="J779" s="27"/>
    </row>
    <row r="780">
      <c r="A780" s="14"/>
      <c r="E780" s="14"/>
      <c r="F780" s="27"/>
      <c r="G780" s="14"/>
      <c r="H780" s="27"/>
      <c r="I780" s="14"/>
      <c r="J780" s="27"/>
    </row>
    <row r="781">
      <c r="A781" s="14"/>
      <c r="E781" s="14"/>
      <c r="F781" s="27"/>
      <c r="G781" s="14"/>
      <c r="H781" s="27"/>
      <c r="I781" s="14"/>
      <c r="J781" s="27"/>
    </row>
    <row r="782">
      <c r="A782" s="14"/>
      <c r="E782" s="14"/>
      <c r="F782" s="27"/>
      <c r="G782" s="14"/>
      <c r="H782" s="27"/>
      <c r="I782" s="14"/>
      <c r="J782" s="27"/>
    </row>
    <row r="783">
      <c r="A783" s="14"/>
      <c r="E783" s="14"/>
      <c r="F783" s="27"/>
      <c r="G783" s="14"/>
      <c r="H783" s="27"/>
      <c r="I783" s="14"/>
      <c r="J783" s="27"/>
    </row>
    <row r="784">
      <c r="A784" s="14"/>
      <c r="E784" s="14"/>
      <c r="F784" s="27"/>
      <c r="G784" s="14"/>
      <c r="H784" s="27"/>
      <c r="I784" s="14"/>
      <c r="J784" s="27"/>
    </row>
    <row r="785">
      <c r="A785" s="14"/>
      <c r="E785" s="14"/>
      <c r="F785" s="27"/>
      <c r="G785" s="14"/>
      <c r="H785" s="27"/>
      <c r="I785" s="14"/>
      <c r="J785" s="27"/>
    </row>
    <row r="786">
      <c r="A786" s="14"/>
      <c r="E786" s="14"/>
      <c r="F786" s="27"/>
      <c r="G786" s="14"/>
      <c r="H786" s="27"/>
      <c r="I786" s="14"/>
      <c r="J786" s="27"/>
    </row>
    <row r="787">
      <c r="A787" s="14"/>
      <c r="E787" s="14"/>
      <c r="F787" s="27"/>
      <c r="G787" s="14"/>
      <c r="H787" s="27"/>
      <c r="I787" s="14"/>
      <c r="J787" s="27"/>
    </row>
    <row r="788">
      <c r="A788" s="14"/>
      <c r="E788" s="14"/>
      <c r="F788" s="27"/>
      <c r="G788" s="14"/>
      <c r="H788" s="27"/>
      <c r="I788" s="14"/>
      <c r="J788" s="27"/>
    </row>
    <row r="789">
      <c r="A789" s="14"/>
      <c r="E789" s="14"/>
      <c r="F789" s="27"/>
      <c r="G789" s="14"/>
      <c r="H789" s="27"/>
      <c r="I789" s="14"/>
      <c r="J789" s="27"/>
    </row>
    <row r="790">
      <c r="A790" s="14"/>
      <c r="E790" s="14"/>
      <c r="F790" s="27"/>
      <c r="G790" s="14"/>
      <c r="H790" s="27"/>
      <c r="I790" s="14"/>
      <c r="J790" s="27"/>
    </row>
    <row r="791">
      <c r="A791" s="14"/>
      <c r="E791" s="14"/>
      <c r="F791" s="27"/>
      <c r="G791" s="14"/>
      <c r="H791" s="27"/>
      <c r="I791" s="14"/>
      <c r="J791" s="27"/>
    </row>
    <row r="792">
      <c r="A792" s="14"/>
      <c r="E792" s="14"/>
      <c r="F792" s="27"/>
      <c r="G792" s="14"/>
      <c r="H792" s="27"/>
      <c r="I792" s="14"/>
      <c r="J792" s="27"/>
    </row>
    <row r="793">
      <c r="A793" s="14"/>
      <c r="E793" s="14"/>
      <c r="F793" s="27"/>
      <c r="G793" s="14"/>
      <c r="H793" s="27"/>
      <c r="I793" s="14"/>
      <c r="J793" s="27"/>
    </row>
    <row r="794">
      <c r="A794" s="14"/>
      <c r="E794" s="14"/>
      <c r="F794" s="27"/>
      <c r="G794" s="14"/>
      <c r="H794" s="27"/>
      <c r="I794" s="14"/>
      <c r="J794" s="27"/>
    </row>
    <row r="795">
      <c r="A795" s="14"/>
      <c r="E795" s="14"/>
      <c r="F795" s="27"/>
      <c r="G795" s="14"/>
      <c r="H795" s="27"/>
      <c r="I795" s="14"/>
      <c r="J795" s="27"/>
    </row>
    <row r="796">
      <c r="A796" s="14"/>
      <c r="E796" s="14"/>
      <c r="F796" s="27"/>
      <c r="G796" s="14"/>
      <c r="H796" s="27"/>
      <c r="I796" s="14"/>
      <c r="J796" s="27"/>
    </row>
    <row r="797">
      <c r="A797" s="14"/>
      <c r="E797" s="14"/>
      <c r="F797" s="27"/>
      <c r="G797" s="14"/>
      <c r="H797" s="27"/>
      <c r="I797" s="14"/>
      <c r="J797" s="27"/>
    </row>
    <row r="798">
      <c r="A798" s="14"/>
      <c r="E798" s="14"/>
      <c r="F798" s="27"/>
      <c r="G798" s="14"/>
      <c r="H798" s="27"/>
      <c r="I798" s="14"/>
      <c r="J798" s="27"/>
    </row>
    <row r="799">
      <c r="A799" s="14"/>
      <c r="E799" s="14"/>
      <c r="F799" s="27"/>
      <c r="G799" s="14"/>
      <c r="H799" s="27"/>
      <c r="I799" s="14"/>
      <c r="J799" s="27"/>
    </row>
    <row r="800">
      <c r="A800" s="14"/>
      <c r="E800" s="14"/>
      <c r="F800" s="27"/>
      <c r="G800" s="14"/>
      <c r="H800" s="27"/>
      <c r="I800" s="14"/>
      <c r="J800" s="27"/>
    </row>
    <row r="801">
      <c r="A801" s="14"/>
      <c r="E801" s="14"/>
      <c r="F801" s="27"/>
      <c r="G801" s="14"/>
      <c r="H801" s="27"/>
      <c r="I801" s="14"/>
      <c r="J801" s="27"/>
    </row>
    <row r="802">
      <c r="A802" s="14"/>
      <c r="E802" s="14"/>
      <c r="F802" s="27"/>
      <c r="G802" s="14"/>
      <c r="H802" s="27"/>
      <c r="I802" s="14"/>
      <c r="J802" s="27"/>
    </row>
    <row r="803">
      <c r="A803" s="14"/>
      <c r="E803" s="14"/>
      <c r="F803" s="27"/>
      <c r="G803" s="14"/>
      <c r="H803" s="27"/>
      <c r="I803" s="14"/>
      <c r="J803" s="27"/>
    </row>
    <row r="804">
      <c r="A804" s="14"/>
      <c r="E804" s="14"/>
      <c r="F804" s="27"/>
      <c r="G804" s="14"/>
      <c r="H804" s="27"/>
      <c r="I804" s="14"/>
      <c r="J804" s="27"/>
    </row>
    <row r="805">
      <c r="A805" s="14"/>
      <c r="E805" s="14"/>
      <c r="F805" s="27"/>
      <c r="G805" s="14"/>
      <c r="H805" s="27"/>
      <c r="I805" s="14"/>
      <c r="J805" s="27"/>
    </row>
    <row r="806">
      <c r="A806" s="14"/>
      <c r="E806" s="14"/>
      <c r="F806" s="27"/>
      <c r="G806" s="14"/>
      <c r="H806" s="27"/>
      <c r="I806" s="14"/>
      <c r="J806" s="27"/>
    </row>
    <row r="807">
      <c r="A807" s="14"/>
      <c r="E807" s="14"/>
      <c r="F807" s="27"/>
      <c r="G807" s="14"/>
      <c r="H807" s="27"/>
      <c r="I807" s="14"/>
      <c r="J807" s="27"/>
    </row>
    <row r="808">
      <c r="A808" s="14"/>
      <c r="E808" s="14"/>
      <c r="F808" s="27"/>
      <c r="G808" s="14"/>
      <c r="H808" s="27"/>
      <c r="I808" s="14"/>
      <c r="J808" s="27"/>
    </row>
    <row r="809">
      <c r="A809" s="14"/>
      <c r="E809" s="14"/>
      <c r="F809" s="27"/>
      <c r="G809" s="14"/>
      <c r="H809" s="27"/>
      <c r="I809" s="14"/>
      <c r="J809" s="27"/>
    </row>
    <row r="810">
      <c r="A810" s="14"/>
      <c r="E810" s="14"/>
      <c r="F810" s="27"/>
      <c r="G810" s="14"/>
      <c r="H810" s="27"/>
      <c r="I810" s="14"/>
      <c r="J810" s="27"/>
    </row>
    <row r="811">
      <c r="A811" s="14"/>
      <c r="E811" s="14"/>
      <c r="F811" s="27"/>
      <c r="G811" s="14"/>
      <c r="H811" s="27"/>
      <c r="I811" s="14"/>
      <c r="J811" s="27"/>
    </row>
    <row r="812">
      <c r="A812" s="14"/>
      <c r="E812" s="14"/>
      <c r="F812" s="27"/>
      <c r="G812" s="14"/>
      <c r="H812" s="27"/>
      <c r="I812" s="14"/>
      <c r="J812" s="27"/>
    </row>
    <row r="813">
      <c r="A813" s="14"/>
      <c r="E813" s="14"/>
      <c r="F813" s="27"/>
      <c r="G813" s="14"/>
      <c r="H813" s="27"/>
      <c r="I813" s="14"/>
      <c r="J813" s="27"/>
    </row>
    <row r="814">
      <c r="A814" s="14"/>
      <c r="E814" s="14"/>
      <c r="F814" s="27"/>
      <c r="G814" s="14"/>
      <c r="H814" s="27"/>
      <c r="I814" s="14"/>
      <c r="J814" s="27"/>
    </row>
    <row r="815">
      <c r="A815" s="14"/>
      <c r="E815" s="14"/>
      <c r="F815" s="27"/>
      <c r="G815" s="14"/>
      <c r="H815" s="27"/>
      <c r="I815" s="14"/>
      <c r="J815" s="27"/>
    </row>
    <row r="816">
      <c r="A816" s="14"/>
      <c r="E816" s="14"/>
      <c r="F816" s="27"/>
      <c r="G816" s="14"/>
      <c r="H816" s="27"/>
      <c r="I816" s="14"/>
      <c r="J816" s="27"/>
    </row>
    <row r="817">
      <c r="A817" s="14"/>
      <c r="E817" s="14"/>
      <c r="F817" s="27"/>
      <c r="G817" s="14"/>
      <c r="H817" s="27"/>
      <c r="I817" s="14"/>
      <c r="J817" s="27"/>
    </row>
    <row r="818">
      <c r="A818" s="14"/>
      <c r="E818" s="14"/>
      <c r="F818" s="27"/>
      <c r="G818" s="14"/>
      <c r="H818" s="27"/>
      <c r="I818" s="14"/>
      <c r="J818" s="27"/>
    </row>
    <row r="819">
      <c r="A819" s="14"/>
      <c r="E819" s="14"/>
      <c r="F819" s="27"/>
      <c r="G819" s="14"/>
      <c r="H819" s="27"/>
      <c r="I819" s="14"/>
      <c r="J819" s="27"/>
    </row>
    <row r="820">
      <c r="A820" s="14"/>
      <c r="E820" s="14"/>
      <c r="F820" s="27"/>
      <c r="G820" s="14"/>
      <c r="H820" s="27"/>
      <c r="I820" s="14"/>
      <c r="J820" s="27"/>
    </row>
    <row r="821">
      <c r="A821" s="14"/>
      <c r="E821" s="14"/>
      <c r="F821" s="27"/>
      <c r="G821" s="14"/>
      <c r="H821" s="27"/>
      <c r="I821" s="14"/>
      <c r="J821" s="27"/>
    </row>
    <row r="822">
      <c r="A822" s="14"/>
      <c r="E822" s="14"/>
      <c r="F822" s="27"/>
      <c r="G822" s="14"/>
      <c r="H822" s="27"/>
      <c r="I822" s="14"/>
      <c r="J822" s="27"/>
    </row>
    <row r="823">
      <c r="A823" s="14"/>
      <c r="E823" s="14"/>
      <c r="F823" s="27"/>
      <c r="G823" s="14"/>
      <c r="H823" s="27"/>
      <c r="I823" s="14"/>
      <c r="J823" s="27"/>
    </row>
    <row r="824">
      <c r="A824" s="14"/>
      <c r="E824" s="14"/>
      <c r="F824" s="27"/>
      <c r="G824" s="14"/>
      <c r="H824" s="27"/>
      <c r="I824" s="14"/>
      <c r="J824" s="27"/>
    </row>
    <row r="825">
      <c r="A825" s="14"/>
      <c r="E825" s="14"/>
      <c r="F825" s="27"/>
      <c r="G825" s="14"/>
      <c r="H825" s="27"/>
      <c r="I825" s="14"/>
      <c r="J825" s="27"/>
    </row>
    <row r="826">
      <c r="A826" s="14"/>
      <c r="E826" s="14"/>
      <c r="F826" s="27"/>
      <c r="G826" s="14"/>
      <c r="H826" s="27"/>
      <c r="I826" s="14"/>
      <c r="J826" s="27"/>
    </row>
    <row r="827">
      <c r="A827" s="14"/>
      <c r="E827" s="14"/>
      <c r="F827" s="27"/>
      <c r="G827" s="14"/>
      <c r="H827" s="27"/>
      <c r="I827" s="14"/>
      <c r="J827" s="27"/>
    </row>
    <row r="828">
      <c r="A828" s="14"/>
      <c r="E828" s="14"/>
      <c r="F828" s="27"/>
      <c r="G828" s="14"/>
      <c r="H828" s="27"/>
      <c r="I828" s="14"/>
      <c r="J828" s="27"/>
    </row>
    <row r="829">
      <c r="A829" s="14"/>
      <c r="E829" s="14"/>
      <c r="F829" s="27"/>
      <c r="G829" s="14"/>
      <c r="H829" s="27"/>
      <c r="I829" s="14"/>
      <c r="J829" s="27"/>
    </row>
    <row r="830">
      <c r="A830" s="14"/>
      <c r="E830" s="14"/>
      <c r="F830" s="27"/>
      <c r="G830" s="14"/>
      <c r="H830" s="27"/>
      <c r="I830" s="14"/>
      <c r="J830" s="27"/>
    </row>
    <row r="831">
      <c r="A831" s="14"/>
      <c r="E831" s="14"/>
      <c r="F831" s="27"/>
      <c r="G831" s="14"/>
      <c r="H831" s="27"/>
      <c r="I831" s="14"/>
      <c r="J831" s="27"/>
    </row>
    <row r="832">
      <c r="A832" s="14"/>
      <c r="E832" s="14"/>
      <c r="F832" s="27"/>
      <c r="G832" s="14"/>
      <c r="H832" s="27"/>
      <c r="I832" s="14"/>
      <c r="J832" s="27"/>
    </row>
    <row r="833">
      <c r="A833" s="14"/>
      <c r="E833" s="14"/>
      <c r="F833" s="27"/>
      <c r="G833" s="14"/>
      <c r="H833" s="27"/>
      <c r="I833" s="14"/>
      <c r="J833" s="27"/>
    </row>
    <row r="834">
      <c r="A834" s="14"/>
      <c r="E834" s="14"/>
      <c r="F834" s="27"/>
      <c r="G834" s="14"/>
      <c r="H834" s="27"/>
      <c r="I834" s="14"/>
      <c r="J834" s="27"/>
    </row>
    <row r="835">
      <c r="A835" s="14"/>
      <c r="E835" s="14"/>
      <c r="F835" s="27"/>
      <c r="G835" s="14"/>
      <c r="H835" s="27"/>
      <c r="I835" s="14"/>
      <c r="J835" s="27"/>
    </row>
    <row r="836">
      <c r="A836" s="14"/>
      <c r="E836" s="14"/>
      <c r="F836" s="27"/>
      <c r="G836" s="14"/>
      <c r="H836" s="27"/>
      <c r="I836" s="14"/>
      <c r="J836" s="27"/>
    </row>
    <row r="837">
      <c r="A837" s="14"/>
      <c r="E837" s="14"/>
      <c r="F837" s="27"/>
      <c r="G837" s="14"/>
      <c r="H837" s="27"/>
      <c r="I837" s="14"/>
      <c r="J837" s="27"/>
    </row>
    <row r="838">
      <c r="A838" s="14"/>
      <c r="E838" s="14"/>
      <c r="F838" s="27"/>
      <c r="G838" s="14"/>
      <c r="H838" s="27"/>
      <c r="I838" s="14"/>
      <c r="J838" s="27"/>
    </row>
    <row r="839">
      <c r="A839" s="14"/>
      <c r="E839" s="14"/>
      <c r="F839" s="27"/>
      <c r="G839" s="14"/>
      <c r="H839" s="27"/>
      <c r="I839" s="14"/>
      <c r="J839" s="27"/>
    </row>
    <row r="840">
      <c r="A840" s="14"/>
      <c r="E840" s="14"/>
      <c r="F840" s="27"/>
      <c r="G840" s="14"/>
      <c r="H840" s="27"/>
      <c r="I840" s="14"/>
      <c r="J840" s="27"/>
    </row>
    <row r="841">
      <c r="A841" s="14"/>
      <c r="E841" s="14"/>
      <c r="F841" s="27"/>
      <c r="G841" s="14"/>
      <c r="H841" s="27"/>
      <c r="I841" s="14"/>
      <c r="J841" s="27"/>
    </row>
    <row r="842">
      <c r="A842" s="14"/>
      <c r="E842" s="14"/>
      <c r="F842" s="27"/>
      <c r="G842" s="14"/>
      <c r="H842" s="27"/>
      <c r="I842" s="14"/>
      <c r="J842" s="27"/>
    </row>
    <row r="843">
      <c r="A843" s="14"/>
      <c r="E843" s="14"/>
      <c r="F843" s="27"/>
      <c r="G843" s="14"/>
      <c r="H843" s="27"/>
      <c r="I843" s="14"/>
      <c r="J843" s="27"/>
    </row>
    <row r="844">
      <c r="A844" s="14"/>
      <c r="E844" s="14"/>
      <c r="F844" s="27"/>
      <c r="G844" s="14"/>
      <c r="H844" s="27"/>
      <c r="I844" s="14"/>
      <c r="J844" s="27"/>
    </row>
    <row r="845">
      <c r="A845" s="14"/>
      <c r="E845" s="14"/>
      <c r="F845" s="27"/>
      <c r="G845" s="14"/>
      <c r="H845" s="27"/>
      <c r="I845" s="14"/>
      <c r="J845" s="27"/>
    </row>
    <row r="846">
      <c r="A846" s="14"/>
      <c r="E846" s="14"/>
      <c r="F846" s="27"/>
      <c r="G846" s="14"/>
      <c r="H846" s="27"/>
      <c r="I846" s="14"/>
      <c r="J846" s="27"/>
    </row>
    <row r="847">
      <c r="A847" s="14"/>
      <c r="E847" s="14"/>
      <c r="F847" s="27"/>
      <c r="G847" s="14"/>
      <c r="H847" s="27"/>
      <c r="I847" s="14"/>
      <c r="J847" s="27"/>
    </row>
    <row r="848">
      <c r="A848" s="14"/>
      <c r="E848" s="14"/>
      <c r="F848" s="27"/>
      <c r="G848" s="14"/>
      <c r="H848" s="27"/>
      <c r="I848" s="14"/>
      <c r="J848" s="27"/>
    </row>
    <row r="849">
      <c r="A849" s="14"/>
      <c r="E849" s="14"/>
      <c r="F849" s="27"/>
      <c r="G849" s="14"/>
      <c r="H849" s="27"/>
      <c r="I849" s="14"/>
      <c r="J849" s="27"/>
    </row>
    <row r="850">
      <c r="A850" s="14"/>
      <c r="E850" s="14"/>
      <c r="F850" s="27"/>
      <c r="G850" s="14"/>
      <c r="H850" s="27"/>
      <c r="I850" s="14"/>
      <c r="J850" s="27"/>
    </row>
    <row r="851">
      <c r="A851" s="14"/>
      <c r="E851" s="14"/>
      <c r="F851" s="27"/>
      <c r="G851" s="14"/>
      <c r="H851" s="27"/>
      <c r="I851" s="14"/>
      <c r="J851" s="27"/>
    </row>
    <row r="852">
      <c r="A852" s="14"/>
      <c r="E852" s="14"/>
      <c r="F852" s="27"/>
      <c r="G852" s="14"/>
      <c r="H852" s="27"/>
      <c r="I852" s="14"/>
      <c r="J852" s="27"/>
    </row>
    <row r="853">
      <c r="A853" s="14"/>
      <c r="E853" s="14"/>
      <c r="F853" s="27"/>
      <c r="G853" s="14"/>
      <c r="H853" s="27"/>
      <c r="I853" s="14"/>
      <c r="J853" s="27"/>
    </row>
    <row r="854">
      <c r="A854" s="14"/>
      <c r="E854" s="14"/>
      <c r="F854" s="27"/>
      <c r="G854" s="14"/>
      <c r="H854" s="27"/>
      <c r="I854" s="14"/>
      <c r="J854" s="27"/>
    </row>
    <row r="855">
      <c r="A855" s="14"/>
      <c r="E855" s="14"/>
      <c r="F855" s="27"/>
      <c r="G855" s="14"/>
      <c r="H855" s="27"/>
      <c r="I855" s="14"/>
      <c r="J855" s="27"/>
    </row>
    <row r="856">
      <c r="A856" s="14"/>
      <c r="E856" s="14"/>
      <c r="F856" s="27"/>
      <c r="G856" s="14"/>
      <c r="H856" s="27"/>
      <c r="I856" s="14"/>
      <c r="J856" s="27"/>
    </row>
    <row r="857">
      <c r="A857" s="14"/>
      <c r="E857" s="14"/>
      <c r="F857" s="27"/>
      <c r="G857" s="14"/>
      <c r="H857" s="27"/>
      <c r="I857" s="14"/>
      <c r="J857" s="27"/>
    </row>
    <row r="858">
      <c r="A858" s="14"/>
      <c r="E858" s="14"/>
      <c r="F858" s="27"/>
      <c r="G858" s="14"/>
      <c r="H858" s="27"/>
      <c r="I858" s="14"/>
      <c r="J858" s="27"/>
    </row>
    <row r="859">
      <c r="A859" s="14"/>
      <c r="E859" s="14"/>
      <c r="F859" s="27"/>
      <c r="G859" s="14"/>
      <c r="H859" s="27"/>
      <c r="I859" s="14"/>
      <c r="J859" s="27"/>
    </row>
    <row r="860">
      <c r="A860" s="14"/>
      <c r="E860" s="14"/>
      <c r="F860" s="27"/>
      <c r="G860" s="14"/>
      <c r="H860" s="27"/>
      <c r="I860" s="14"/>
      <c r="J860" s="27"/>
    </row>
    <row r="861">
      <c r="A861" s="14"/>
      <c r="E861" s="14"/>
      <c r="F861" s="27"/>
      <c r="G861" s="14"/>
      <c r="H861" s="27"/>
      <c r="I861" s="14"/>
      <c r="J861" s="27"/>
    </row>
    <row r="862">
      <c r="A862" s="14"/>
      <c r="E862" s="14"/>
      <c r="F862" s="27"/>
      <c r="G862" s="14"/>
      <c r="H862" s="27"/>
      <c r="I862" s="14"/>
      <c r="J862" s="27"/>
    </row>
    <row r="863">
      <c r="A863" s="14"/>
      <c r="E863" s="14"/>
      <c r="F863" s="27"/>
      <c r="G863" s="14"/>
      <c r="H863" s="27"/>
      <c r="I863" s="14"/>
      <c r="J863" s="27"/>
    </row>
    <row r="864">
      <c r="A864" s="14"/>
      <c r="E864" s="14"/>
      <c r="F864" s="27"/>
      <c r="G864" s="14"/>
      <c r="H864" s="27"/>
      <c r="I864" s="14"/>
      <c r="J864" s="27"/>
    </row>
    <row r="865">
      <c r="A865" s="14"/>
      <c r="E865" s="14"/>
      <c r="F865" s="27"/>
      <c r="G865" s="14"/>
      <c r="H865" s="27"/>
      <c r="I865" s="14"/>
      <c r="J865" s="27"/>
    </row>
    <row r="866">
      <c r="A866" s="14"/>
      <c r="E866" s="14"/>
      <c r="F866" s="27"/>
      <c r="G866" s="14"/>
      <c r="H866" s="27"/>
      <c r="I866" s="14"/>
      <c r="J866" s="27"/>
    </row>
    <row r="867">
      <c r="A867" s="14"/>
      <c r="E867" s="14"/>
      <c r="F867" s="27"/>
      <c r="G867" s="14"/>
      <c r="H867" s="27"/>
      <c r="I867" s="14"/>
      <c r="J867" s="27"/>
    </row>
    <row r="868">
      <c r="A868" s="14"/>
      <c r="E868" s="14"/>
      <c r="F868" s="27"/>
      <c r="G868" s="14"/>
      <c r="H868" s="27"/>
      <c r="I868" s="14"/>
      <c r="J868" s="27"/>
    </row>
    <row r="869">
      <c r="A869" s="14"/>
      <c r="E869" s="14"/>
      <c r="F869" s="27"/>
      <c r="G869" s="14"/>
      <c r="H869" s="27"/>
      <c r="I869" s="14"/>
      <c r="J869" s="27"/>
    </row>
    <row r="870">
      <c r="A870" s="14"/>
      <c r="E870" s="14"/>
      <c r="F870" s="27"/>
      <c r="G870" s="14"/>
      <c r="H870" s="27"/>
      <c r="I870" s="14"/>
      <c r="J870" s="27"/>
    </row>
    <row r="871">
      <c r="A871" s="14"/>
      <c r="E871" s="14"/>
      <c r="F871" s="27"/>
      <c r="G871" s="14"/>
      <c r="H871" s="27"/>
      <c r="I871" s="14"/>
      <c r="J871" s="27"/>
    </row>
    <row r="872">
      <c r="A872" s="14"/>
      <c r="E872" s="14"/>
      <c r="F872" s="27"/>
      <c r="G872" s="14"/>
      <c r="H872" s="27"/>
      <c r="I872" s="14"/>
      <c r="J872" s="27"/>
    </row>
    <row r="873">
      <c r="A873" s="14"/>
      <c r="E873" s="14"/>
      <c r="F873" s="27"/>
      <c r="G873" s="14"/>
      <c r="H873" s="27"/>
      <c r="I873" s="14"/>
      <c r="J873" s="27"/>
    </row>
    <row r="874">
      <c r="A874" s="14"/>
      <c r="E874" s="14"/>
      <c r="F874" s="27"/>
      <c r="G874" s="14"/>
      <c r="H874" s="27"/>
      <c r="I874" s="14"/>
      <c r="J874" s="27"/>
    </row>
    <row r="875">
      <c r="A875" s="14"/>
      <c r="E875" s="14"/>
      <c r="F875" s="27"/>
      <c r="G875" s="14"/>
      <c r="H875" s="27"/>
      <c r="I875" s="14"/>
      <c r="J875" s="27"/>
    </row>
    <row r="876">
      <c r="A876" s="14"/>
      <c r="E876" s="14"/>
      <c r="F876" s="27"/>
      <c r="G876" s="14"/>
      <c r="H876" s="27"/>
      <c r="I876" s="14"/>
      <c r="J876" s="27"/>
    </row>
    <row r="877">
      <c r="A877" s="14"/>
      <c r="E877" s="14"/>
      <c r="F877" s="27"/>
      <c r="G877" s="14"/>
      <c r="H877" s="27"/>
      <c r="I877" s="14"/>
      <c r="J877" s="27"/>
    </row>
    <row r="878">
      <c r="A878" s="14"/>
      <c r="E878" s="14"/>
      <c r="F878" s="27"/>
      <c r="G878" s="14"/>
      <c r="H878" s="27"/>
      <c r="I878" s="14"/>
      <c r="J878" s="27"/>
    </row>
    <row r="879">
      <c r="A879" s="14"/>
      <c r="E879" s="14"/>
      <c r="F879" s="27"/>
      <c r="G879" s="14"/>
      <c r="H879" s="27"/>
      <c r="I879" s="14"/>
      <c r="J879" s="27"/>
    </row>
    <row r="880">
      <c r="A880" s="14"/>
      <c r="E880" s="14"/>
      <c r="F880" s="27"/>
      <c r="G880" s="14"/>
      <c r="H880" s="27"/>
      <c r="I880" s="14"/>
      <c r="J880" s="27"/>
    </row>
    <row r="881">
      <c r="A881" s="14"/>
      <c r="E881" s="14"/>
      <c r="F881" s="27"/>
      <c r="G881" s="14"/>
      <c r="H881" s="27"/>
      <c r="I881" s="14"/>
      <c r="J881" s="27"/>
    </row>
    <row r="882">
      <c r="A882" s="14"/>
      <c r="E882" s="14"/>
      <c r="F882" s="27"/>
      <c r="G882" s="14"/>
      <c r="H882" s="27"/>
      <c r="I882" s="14"/>
      <c r="J882" s="27"/>
    </row>
    <row r="883">
      <c r="A883" s="14"/>
      <c r="E883" s="14"/>
      <c r="F883" s="27"/>
      <c r="G883" s="14"/>
      <c r="H883" s="27"/>
      <c r="I883" s="14"/>
      <c r="J883" s="27"/>
    </row>
    <row r="884">
      <c r="A884" s="14"/>
      <c r="E884" s="14"/>
      <c r="F884" s="27"/>
      <c r="G884" s="14"/>
      <c r="H884" s="27"/>
      <c r="I884" s="14"/>
      <c r="J884" s="27"/>
    </row>
    <row r="885">
      <c r="A885" s="14"/>
      <c r="E885" s="14"/>
      <c r="F885" s="27"/>
      <c r="G885" s="14"/>
      <c r="H885" s="27"/>
      <c r="I885" s="14"/>
      <c r="J885" s="27"/>
    </row>
    <row r="886">
      <c r="A886" s="14"/>
      <c r="E886" s="14"/>
      <c r="F886" s="27"/>
      <c r="G886" s="14"/>
      <c r="H886" s="27"/>
      <c r="I886" s="14"/>
      <c r="J886" s="27"/>
    </row>
    <row r="887">
      <c r="A887" s="14"/>
      <c r="E887" s="14"/>
      <c r="F887" s="27"/>
      <c r="G887" s="14"/>
      <c r="H887" s="27"/>
      <c r="I887" s="14"/>
      <c r="J887" s="27"/>
    </row>
    <row r="888">
      <c r="A888" s="14"/>
      <c r="E888" s="14"/>
      <c r="F888" s="27"/>
      <c r="G888" s="14"/>
      <c r="H888" s="27"/>
      <c r="I888" s="14"/>
      <c r="J888" s="27"/>
    </row>
    <row r="889">
      <c r="A889" s="14"/>
      <c r="E889" s="14"/>
      <c r="F889" s="27"/>
      <c r="G889" s="14"/>
      <c r="H889" s="27"/>
      <c r="I889" s="14"/>
      <c r="J889" s="27"/>
    </row>
    <row r="890">
      <c r="A890" s="14"/>
      <c r="E890" s="14"/>
      <c r="F890" s="27"/>
      <c r="G890" s="14"/>
      <c r="H890" s="27"/>
      <c r="I890" s="14"/>
      <c r="J890" s="27"/>
    </row>
    <row r="891">
      <c r="A891" s="14"/>
      <c r="E891" s="14"/>
      <c r="F891" s="27"/>
      <c r="G891" s="14"/>
      <c r="H891" s="27"/>
      <c r="I891" s="14"/>
      <c r="J891" s="27"/>
    </row>
    <row r="892">
      <c r="A892" s="14"/>
      <c r="E892" s="14"/>
      <c r="F892" s="27"/>
      <c r="G892" s="14"/>
      <c r="H892" s="27"/>
      <c r="I892" s="14"/>
      <c r="J892" s="27"/>
    </row>
    <row r="893">
      <c r="A893" s="14"/>
      <c r="E893" s="14"/>
      <c r="F893" s="27"/>
      <c r="G893" s="14"/>
      <c r="H893" s="27"/>
      <c r="I893" s="14"/>
      <c r="J893" s="27"/>
    </row>
    <row r="894">
      <c r="A894" s="14"/>
      <c r="E894" s="14"/>
      <c r="F894" s="27"/>
      <c r="G894" s="14"/>
      <c r="H894" s="27"/>
      <c r="I894" s="14"/>
      <c r="J894" s="27"/>
    </row>
    <row r="895">
      <c r="A895" s="14"/>
      <c r="E895" s="14"/>
      <c r="F895" s="27"/>
      <c r="G895" s="14"/>
      <c r="H895" s="27"/>
      <c r="I895" s="14"/>
      <c r="J895" s="27"/>
    </row>
    <row r="896">
      <c r="A896" s="14"/>
      <c r="E896" s="14"/>
      <c r="F896" s="27"/>
      <c r="G896" s="14"/>
      <c r="H896" s="27"/>
      <c r="I896" s="14"/>
      <c r="J896" s="27"/>
    </row>
    <row r="897">
      <c r="A897" s="14"/>
      <c r="E897" s="14"/>
      <c r="F897" s="27"/>
      <c r="G897" s="14"/>
      <c r="H897" s="27"/>
      <c r="I897" s="14"/>
      <c r="J897" s="27"/>
    </row>
    <row r="898">
      <c r="A898" s="14"/>
      <c r="E898" s="14"/>
      <c r="F898" s="27"/>
      <c r="G898" s="14"/>
      <c r="H898" s="27"/>
      <c r="I898" s="14"/>
      <c r="J898" s="27"/>
    </row>
    <row r="899">
      <c r="A899" s="14"/>
      <c r="E899" s="14"/>
      <c r="F899" s="27"/>
      <c r="G899" s="14"/>
      <c r="H899" s="27"/>
      <c r="I899" s="14"/>
      <c r="J899" s="27"/>
    </row>
    <row r="900">
      <c r="A900" s="14"/>
      <c r="E900" s="14"/>
      <c r="F900" s="27"/>
      <c r="G900" s="14"/>
      <c r="H900" s="27"/>
      <c r="I900" s="14"/>
      <c r="J900" s="27"/>
    </row>
    <row r="901">
      <c r="A901" s="14"/>
      <c r="E901" s="14"/>
      <c r="F901" s="27"/>
      <c r="G901" s="14"/>
      <c r="H901" s="27"/>
      <c r="I901" s="14"/>
      <c r="J901" s="27"/>
    </row>
    <row r="902">
      <c r="A902" s="14"/>
      <c r="E902" s="14"/>
      <c r="F902" s="27"/>
      <c r="G902" s="14"/>
      <c r="H902" s="27"/>
      <c r="I902" s="14"/>
      <c r="J902" s="27"/>
    </row>
    <row r="903">
      <c r="A903" s="14"/>
      <c r="E903" s="14"/>
      <c r="F903" s="27"/>
      <c r="G903" s="14"/>
      <c r="H903" s="27"/>
      <c r="I903" s="14"/>
      <c r="J903" s="27"/>
    </row>
    <row r="904">
      <c r="A904" s="14"/>
      <c r="E904" s="14"/>
      <c r="F904" s="27"/>
      <c r="G904" s="14"/>
      <c r="H904" s="27"/>
      <c r="I904" s="14"/>
      <c r="J904" s="27"/>
    </row>
    <row r="905">
      <c r="A905" s="14"/>
      <c r="E905" s="14"/>
      <c r="F905" s="27"/>
      <c r="G905" s="14"/>
      <c r="H905" s="27"/>
      <c r="I905" s="14"/>
      <c r="J905" s="27"/>
    </row>
    <row r="906">
      <c r="A906" s="14"/>
      <c r="E906" s="14"/>
      <c r="F906" s="27"/>
      <c r="G906" s="14"/>
      <c r="H906" s="27"/>
      <c r="I906" s="14"/>
      <c r="J906" s="27"/>
    </row>
    <row r="907">
      <c r="A907" s="14"/>
      <c r="E907" s="14"/>
      <c r="F907" s="27"/>
      <c r="G907" s="14"/>
      <c r="H907" s="27"/>
      <c r="I907" s="14"/>
      <c r="J907" s="27"/>
    </row>
    <row r="908">
      <c r="A908" s="14"/>
      <c r="E908" s="14"/>
      <c r="F908" s="27"/>
      <c r="G908" s="14"/>
      <c r="H908" s="27"/>
      <c r="I908" s="14"/>
      <c r="J908" s="27"/>
    </row>
    <row r="909">
      <c r="A909" s="14"/>
      <c r="E909" s="14"/>
      <c r="F909" s="27"/>
      <c r="G909" s="14"/>
      <c r="H909" s="27"/>
      <c r="I909" s="14"/>
      <c r="J909" s="27"/>
    </row>
    <row r="910">
      <c r="A910" s="14"/>
      <c r="E910" s="14"/>
      <c r="F910" s="27"/>
      <c r="G910" s="14"/>
      <c r="H910" s="27"/>
      <c r="I910" s="14"/>
      <c r="J910" s="27"/>
    </row>
    <row r="911">
      <c r="A911" s="14"/>
      <c r="E911" s="14"/>
      <c r="F911" s="27"/>
      <c r="G911" s="14"/>
      <c r="H911" s="27"/>
      <c r="I911" s="14"/>
      <c r="J911" s="27"/>
    </row>
    <row r="912">
      <c r="A912" s="14"/>
      <c r="E912" s="14"/>
      <c r="F912" s="27"/>
      <c r="G912" s="14"/>
      <c r="H912" s="27"/>
      <c r="I912" s="14"/>
      <c r="J912" s="27"/>
    </row>
    <row r="913">
      <c r="A913" s="14"/>
      <c r="E913" s="14"/>
      <c r="F913" s="27"/>
      <c r="G913" s="14"/>
      <c r="H913" s="27"/>
      <c r="I913" s="14"/>
      <c r="J913" s="27"/>
    </row>
    <row r="914">
      <c r="A914" s="14"/>
      <c r="E914" s="14"/>
      <c r="F914" s="27"/>
      <c r="G914" s="14"/>
      <c r="H914" s="27"/>
      <c r="I914" s="14"/>
      <c r="J914" s="27"/>
    </row>
    <row r="915">
      <c r="A915" s="14"/>
      <c r="E915" s="14"/>
      <c r="F915" s="27"/>
      <c r="G915" s="14"/>
      <c r="H915" s="27"/>
      <c r="I915" s="14"/>
      <c r="J915" s="27"/>
    </row>
    <row r="916">
      <c r="A916" s="14"/>
      <c r="E916" s="14"/>
      <c r="F916" s="27"/>
      <c r="G916" s="14"/>
      <c r="H916" s="27"/>
      <c r="I916" s="14"/>
      <c r="J916" s="27"/>
    </row>
    <row r="917">
      <c r="A917" s="14"/>
      <c r="E917" s="14"/>
      <c r="F917" s="27"/>
      <c r="G917" s="14"/>
      <c r="H917" s="27"/>
      <c r="I917" s="14"/>
      <c r="J917" s="27"/>
    </row>
    <row r="918">
      <c r="A918" s="14"/>
      <c r="E918" s="14"/>
      <c r="F918" s="27"/>
      <c r="G918" s="14"/>
      <c r="H918" s="27"/>
      <c r="I918" s="14"/>
      <c r="J918" s="27"/>
    </row>
    <row r="919">
      <c r="A919" s="14"/>
      <c r="E919" s="14"/>
      <c r="F919" s="27"/>
      <c r="G919" s="14"/>
      <c r="H919" s="27"/>
      <c r="I919" s="14"/>
      <c r="J919" s="27"/>
    </row>
    <row r="920">
      <c r="A920" s="14"/>
      <c r="E920" s="14"/>
      <c r="F920" s="27"/>
      <c r="G920" s="14"/>
      <c r="H920" s="27"/>
      <c r="I920" s="14"/>
      <c r="J920" s="27"/>
    </row>
    <row r="921">
      <c r="A921" s="14"/>
      <c r="E921" s="14"/>
      <c r="F921" s="27"/>
      <c r="G921" s="14"/>
      <c r="H921" s="27"/>
      <c r="I921" s="14"/>
      <c r="J921" s="27"/>
    </row>
    <row r="922">
      <c r="A922" s="14"/>
      <c r="E922" s="14"/>
      <c r="F922" s="27"/>
      <c r="G922" s="14"/>
      <c r="H922" s="27"/>
      <c r="I922" s="14"/>
      <c r="J922" s="27"/>
    </row>
    <row r="923">
      <c r="A923" s="14"/>
      <c r="E923" s="14"/>
      <c r="F923" s="27"/>
      <c r="G923" s="14"/>
      <c r="H923" s="27"/>
      <c r="I923" s="14"/>
      <c r="J923" s="27"/>
    </row>
    <row r="924">
      <c r="A924" s="14"/>
      <c r="E924" s="14"/>
      <c r="F924" s="27"/>
      <c r="G924" s="14"/>
      <c r="H924" s="27"/>
      <c r="I924" s="14"/>
      <c r="J924" s="27"/>
    </row>
    <row r="925">
      <c r="A925" s="14"/>
      <c r="E925" s="14"/>
      <c r="F925" s="27"/>
      <c r="G925" s="14"/>
      <c r="H925" s="27"/>
      <c r="I925" s="14"/>
      <c r="J925" s="27"/>
    </row>
    <row r="926">
      <c r="A926" s="14"/>
      <c r="E926" s="14"/>
      <c r="F926" s="27"/>
      <c r="G926" s="14"/>
      <c r="H926" s="27"/>
      <c r="I926" s="14"/>
      <c r="J926" s="27"/>
    </row>
    <row r="927">
      <c r="A927" s="14"/>
      <c r="E927" s="14"/>
      <c r="F927" s="27"/>
      <c r="G927" s="14"/>
      <c r="H927" s="27"/>
      <c r="I927" s="14"/>
      <c r="J927" s="27"/>
    </row>
    <row r="928">
      <c r="A928" s="14"/>
      <c r="E928" s="14"/>
      <c r="F928" s="27"/>
      <c r="G928" s="14"/>
      <c r="H928" s="27"/>
      <c r="I928" s="14"/>
      <c r="J928" s="27"/>
    </row>
    <row r="929">
      <c r="A929" s="14"/>
      <c r="E929" s="14"/>
      <c r="F929" s="27"/>
      <c r="G929" s="14"/>
      <c r="H929" s="27"/>
      <c r="I929" s="14"/>
      <c r="J929" s="27"/>
    </row>
    <row r="930">
      <c r="A930" s="14"/>
      <c r="E930" s="14"/>
      <c r="F930" s="27"/>
      <c r="G930" s="14"/>
      <c r="H930" s="27"/>
      <c r="I930" s="14"/>
      <c r="J930" s="27"/>
    </row>
    <row r="931">
      <c r="A931" s="14"/>
      <c r="E931" s="14"/>
      <c r="F931" s="27"/>
      <c r="G931" s="14"/>
      <c r="H931" s="27"/>
      <c r="I931" s="14"/>
      <c r="J931" s="27"/>
    </row>
    <row r="932">
      <c r="A932" s="14"/>
      <c r="E932" s="14"/>
      <c r="F932" s="27"/>
      <c r="G932" s="14"/>
      <c r="H932" s="27"/>
      <c r="I932" s="14"/>
      <c r="J932" s="27"/>
    </row>
    <row r="933">
      <c r="A933" s="14"/>
      <c r="E933" s="14"/>
      <c r="F933" s="27"/>
      <c r="G933" s="14"/>
      <c r="H933" s="27"/>
      <c r="I933" s="14"/>
      <c r="J933" s="27"/>
    </row>
    <row r="934">
      <c r="A934" s="14"/>
      <c r="E934" s="14"/>
      <c r="F934" s="27"/>
      <c r="G934" s="14"/>
      <c r="H934" s="27"/>
      <c r="I934" s="14"/>
      <c r="J934" s="27"/>
    </row>
    <row r="935">
      <c r="A935" s="14"/>
      <c r="E935" s="14"/>
      <c r="F935" s="27"/>
      <c r="G935" s="14"/>
      <c r="H935" s="27"/>
      <c r="I935" s="14"/>
      <c r="J935" s="27"/>
    </row>
    <row r="936">
      <c r="A936" s="14"/>
      <c r="E936" s="14"/>
      <c r="F936" s="27"/>
      <c r="G936" s="14"/>
      <c r="H936" s="27"/>
      <c r="I936" s="14"/>
      <c r="J936" s="27"/>
    </row>
    <row r="937">
      <c r="A937" s="14"/>
      <c r="E937" s="14"/>
      <c r="F937" s="27"/>
      <c r="G937" s="14"/>
      <c r="H937" s="27"/>
      <c r="I937" s="14"/>
      <c r="J937" s="27"/>
    </row>
    <row r="938">
      <c r="A938" s="14"/>
      <c r="E938" s="14"/>
      <c r="F938" s="27"/>
      <c r="G938" s="14"/>
      <c r="H938" s="27"/>
      <c r="I938" s="14"/>
      <c r="J938" s="27"/>
    </row>
    <row r="939">
      <c r="A939" s="14"/>
      <c r="E939" s="14"/>
      <c r="F939" s="27"/>
      <c r="G939" s="14"/>
      <c r="H939" s="27"/>
      <c r="I939" s="14"/>
      <c r="J939" s="27"/>
    </row>
    <row r="940">
      <c r="A940" s="14"/>
      <c r="E940" s="14"/>
      <c r="F940" s="27"/>
      <c r="G940" s="14"/>
      <c r="H940" s="27"/>
      <c r="I940" s="14"/>
      <c r="J940" s="27"/>
    </row>
    <row r="941">
      <c r="A941" s="14"/>
      <c r="E941" s="14"/>
      <c r="F941" s="27"/>
      <c r="G941" s="14"/>
      <c r="H941" s="27"/>
      <c r="I941" s="14"/>
      <c r="J941" s="27"/>
    </row>
    <row r="942">
      <c r="A942" s="14"/>
      <c r="E942" s="14"/>
      <c r="F942" s="27"/>
      <c r="G942" s="14"/>
      <c r="H942" s="27"/>
      <c r="I942" s="14"/>
      <c r="J942" s="27"/>
    </row>
    <row r="943">
      <c r="A943" s="14"/>
      <c r="E943" s="14"/>
      <c r="F943" s="27"/>
      <c r="G943" s="14"/>
      <c r="H943" s="27"/>
      <c r="I943" s="14"/>
      <c r="J943" s="27"/>
    </row>
    <row r="944">
      <c r="A944" s="14"/>
      <c r="E944" s="14"/>
      <c r="F944" s="27"/>
      <c r="G944" s="14"/>
      <c r="H944" s="27"/>
      <c r="I944" s="14"/>
      <c r="J944" s="27"/>
    </row>
    <row r="945">
      <c r="A945" s="14"/>
      <c r="E945" s="14"/>
      <c r="F945" s="27"/>
      <c r="G945" s="14"/>
      <c r="H945" s="27"/>
      <c r="I945" s="14"/>
      <c r="J945" s="27"/>
    </row>
    <row r="946">
      <c r="A946" s="14"/>
      <c r="E946" s="14"/>
      <c r="F946" s="27"/>
      <c r="G946" s="14"/>
      <c r="H946" s="27"/>
      <c r="I946" s="14"/>
      <c r="J946" s="27"/>
    </row>
    <row r="947">
      <c r="A947" s="14"/>
      <c r="E947" s="14"/>
      <c r="F947" s="27"/>
      <c r="G947" s="14"/>
      <c r="H947" s="27"/>
      <c r="I947" s="14"/>
      <c r="J947" s="27"/>
    </row>
    <row r="948">
      <c r="A948" s="14"/>
      <c r="E948" s="14"/>
      <c r="F948" s="27"/>
      <c r="G948" s="14"/>
      <c r="H948" s="27"/>
      <c r="I948" s="14"/>
      <c r="J948" s="27"/>
    </row>
    <row r="949">
      <c r="A949" s="14"/>
      <c r="E949" s="14"/>
      <c r="F949" s="27"/>
      <c r="G949" s="14"/>
      <c r="H949" s="27"/>
      <c r="I949" s="14"/>
      <c r="J949" s="27"/>
    </row>
    <row r="950">
      <c r="A950" s="14"/>
      <c r="E950" s="14"/>
      <c r="F950" s="27"/>
      <c r="G950" s="14"/>
      <c r="H950" s="27"/>
      <c r="I950" s="14"/>
      <c r="J950" s="27"/>
    </row>
    <row r="951">
      <c r="A951" s="14"/>
      <c r="E951" s="14"/>
      <c r="F951" s="27"/>
      <c r="G951" s="14"/>
      <c r="H951" s="27"/>
      <c r="I951" s="14"/>
      <c r="J951" s="27"/>
    </row>
    <row r="952">
      <c r="A952" s="14"/>
      <c r="E952" s="14"/>
      <c r="F952" s="27"/>
      <c r="G952" s="14"/>
      <c r="H952" s="27"/>
      <c r="I952" s="14"/>
      <c r="J952" s="27"/>
    </row>
    <row r="953">
      <c r="A953" s="14"/>
      <c r="E953" s="14"/>
      <c r="F953" s="27"/>
      <c r="G953" s="14"/>
      <c r="H953" s="27"/>
      <c r="I953" s="14"/>
      <c r="J953" s="27"/>
    </row>
    <row r="954">
      <c r="A954" s="14"/>
      <c r="E954" s="14"/>
      <c r="F954" s="27"/>
      <c r="G954" s="14"/>
      <c r="H954" s="27"/>
      <c r="I954" s="14"/>
      <c r="J954" s="27"/>
    </row>
    <row r="955">
      <c r="A955" s="14"/>
      <c r="E955" s="14"/>
      <c r="F955" s="27"/>
      <c r="G955" s="14"/>
      <c r="H955" s="27"/>
      <c r="I955" s="14"/>
      <c r="J955" s="27"/>
    </row>
    <row r="956">
      <c r="A956" s="14"/>
      <c r="E956" s="14"/>
      <c r="F956" s="27"/>
      <c r="G956" s="14"/>
      <c r="H956" s="27"/>
      <c r="I956" s="14"/>
      <c r="J956" s="27"/>
    </row>
    <row r="957">
      <c r="A957" s="14"/>
      <c r="E957" s="14"/>
      <c r="F957" s="27"/>
      <c r="G957" s="14"/>
      <c r="H957" s="27"/>
      <c r="I957" s="14"/>
      <c r="J957" s="27"/>
    </row>
    <row r="958">
      <c r="A958" s="14"/>
      <c r="E958" s="14"/>
      <c r="F958" s="27"/>
      <c r="G958" s="14"/>
      <c r="H958" s="27"/>
      <c r="I958" s="14"/>
      <c r="J958" s="27"/>
    </row>
    <row r="959">
      <c r="A959" s="14"/>
      <c r="E959" s="14"/>
      <c r="F959" s="27"/>
      <c r="G959" s="14"/>
      <c r="H959" s="27"/>
      <c r="I959" s="14"/>
      <c r="J959" s="27"/>
    </row>
    <row r="960">
      <c r="A960" s="14"/>
      <c r="E960" s="14"/>
      <c r="F960" s="27"/>
      <c r="G960" s="14"/>
      <c r="H960" s="27"/>
      <c r="I960" s="14"/>
      <c r="J960" s="27"/>
    </row>
    <row r="961">
      <c r="A961" s="14"/>
      <c r="E961" s="14"/>
      <c r="F961" s="27"/>
      <c r="G961" s="14"/>
      <c r="H961" s="27"/>
      <c r="I961" s="14"/>
      <c r="J961" s="27"/>
    </row>
    <row r="962">
      <c r="A962" s="14"/>
      <c r="E962" s="14"/>
      <c r="F962" s="27"/>
      <c r="G962" s="14"/>
      <c r="H962" s="27"/>
      <c r="I962" s="14"/>
      <c r="J962" s="27"/>
    </row>
    <row r="963">
      <c r="A963" s="14"/>
      <c r="E963" s="14"/>
      <c r="F963" s="27"/>
      <c r="G963" s="14"/>
      <c r="H963" s="27"/>
      <c r="I963" s="14"/>
      <c r="J963" s="27"/>
    </row>
    <row r="964">
      <c r="A964" s="14"/>
      <c r="E964" s="14"/>
      <c r="F964" s="27"/>
      <c r="G964" s="14"/>
      <c r="H964" s="27"/>
      <c r="I964" s="14"/>
      <c r="J964" s="27"/>
    </row>
    <row r="965">
      <c r="A965" s="14"/>
      <c r="E965" s="14"/>
      <c r="F965" s="27"/>
      <c r="G965" s="14"/>
      <c r="H965" s="27"/>
      <c r="I965" s="14"/>
      <c r="J965" s="27"/>
    </row>
    <row r="966">
      <c r="A966" s="14"/>
      <c r="E966" s="14"/>
      <c r="F966" s="27"/>
      <c r="G966" s="14"/>
      <c r="H966" s="27"/>
      <c r="I966" s="14"/>
      <c r="J966" s="27"/>
    </row>
    <row r="967">
      <c r="A967" s="14"/>
      <c r="E967" s="14"/>
      <c r="F967" s="27"/>
      <c r="G967" s="14"/>
      <c r="H967" s="27"/>
      <c r="I967" s="14"/>
      <c r="J967" s="27"/>
    </row>
    <row r="968">
      <c r="A968" s="14"/>
      <c r="E968" s="14"/>
      <c r="F968" s="27"/>
      <c r="G968" s="14"/>
      <c r="H968" s="27"/>
      <c r="I968" s="14"/>
      <c r="J968" s="27"/>
    </row>
    <row r="969">
      <c r="A969" s="14"/>
      <c r="E969" s="14"/>
      <c r="F969" s="27"/>
      <c r="G969" s="14"/>
      <c r="H969" s="27"/>
      <c r="I969" s="14"/>
      <c r="J969" s="27"/>
    </row>
    <row r="970">
      <c r="A970" s="14"/>
      <c r="E970" s="14"/>
      <c r="F970" s="27"/>
      <c r="G970" s="14"/>
      <c r="H970" s="27"/>
      <c r="I970" s="14"/>
      <c r="J970" s="27"/>
    </row>
    <row r="971">
      <c r="A971" s="14"/>
      <c r="E971" s="14"/>
      <c r="F971" s="27"/>
      <c r="G971" s="14"/>
      <c r="H971" s="27"/>
      <c r="I971" s="14"/>
      <c r="J971" s="27"/>
    </row>
    <row r="972">
      <c r="A972" s="14"/>
      <c r="E972" s="14"/>
      <c r="F972" s="27"/>
      <c r="G972" s="14"/>
      <c r="H972" s="27"/>
      <c r="I972" s="14"/>
      <c r="J972" s="27"/>
    </row>
    <row r="973">
      <c r="A973" s="14"/>
      <c r="E973" s="14"/>
      <c r="F973" s="27"/>
      <c r="G973" s="14"/>
      <c r="H973" s="27"/>
      <c r="I973" s="14"/>
      <c r="J973" s="27"/>
    </row>
    <row r="974">
      <c r="A974" s="14"/>
      <c r="E974" s="14"/>
      <c r="F974" s="27"/>
      <c r="G974" s="14"/>
      <c r="H974" s="27"/>
      <c r="I974" s="14"/>
      <c r="J974" s="27"/>
    </row>
    <row r="975">
      <c r="A975" s="14"/>
      <c r="E975" s="14"/>
      <c r="F975" s="27"/>
      <c r="G975" s="14"/>
      <c r="H975" s="27"/>
      <c r="I975" s="14"/>
      <c r="J975" s="27"/>
    </row>
    <row r="976">
      <c r="A976" s="14"/>
      <c r="E976" s="14"/>
      <c r="F976" s="27"/>
      <c r="G976" s="14"/>
      <c r="H976" s="27"/>
      <c r="I976" s="14"/>
      <c r="J976" s="27"/>
    </row>
    <row r="977">
      <c r="A977" s="14"/>
      <c r="E977" s="14"/>
      <c r="F977" s="27"/>
      <c r="G977" s="14"/>
      <c r="H977" s="27"/>
      <c r="I977" s="14"/>
      <c r="J977" s="27"/>
    </row>
    <row r="978">
      <c r="A978" s="14"/>
      <c r="E978" s="14"/>
      <c r="F978" s="27"/>
      <c r="G978" s="14"/>
      <c r="H978" s="27"/>
      <c r="I978" s="14"/>
      <c r="J978" s="27"/>
    </row>
    <row r="979">
      <c r="A979" s="14"/>
      <c r="E979" s="14"/>
      <c r="F979" s="27"/>
      <c r="G979" s="14"/>
      <c r="H979" s="27"/>
      <c r="I979" s="14"/>
      <c r="J979" s="27"/>
    </row>
    <row r="980">
      <c r="A980" s="14"/>
      <c r="E980" s="14"/>
      <c r="F980" s="27"/>
      <c r="G980" s="14"/>
      <c r="H980" s="27"/>
      <c r="I980" s="14"/>
      <c r="J980" s="27"/>
    </row>
    <row r="981">
      <c r="A981" s="14"/>
      <c r="E981" s="14"/>
      <c r="F981" s="27"/>
      <c r="G981" s="14"/>
      <c r="H981" s="27"/>
      <c r="I981" s="14"/>
      <c r="J981" s="27"/>
    </row>
    <row r="982">
      <c r="A982" s="14"/>
      <c r="E982" s="14"/>
      <c r="F982" s="27"/>
      <c r="G982" s="14"/>
      <c r="H982" s="27"/>
      <c r="I982" s="14"/>
      <c r="J982" s="27"/>
    </row>
    <row r="983">
      <c r="A983" s="14"/>
      <c r="E983" s="14"/>
      <c r="F983" s="27"/>
      <c r="G983" s="14"/>
      <c r="H983" s="27"/>
      <c r="I983" s="14"/>
      <c r="J983" s="27"/>
    </row>
    <row r="984">
      <c r="A984" s="14"/>
      <c r="E984" s="14"/>
      <c r="F984" s="27"/>
      <c r="G984" s="14"/>
      <c r="H984" s="27"/>
      <c r="I984" s="14"/>
      <c r="J984" s="27"/>
    </row>
    <row r="985">
      <c r="A985" s="14"/>
      <c r="E985" s="14"/>
      <c r="F985" s="27"/>
      <c r="G985" s="14"/>
      <c r="H985" s="27"/>
      <c r="I985" s="14"/>
      <c r="J985" s="27"/>
    </row>
    <row r="986">
      <c r="A986" s="14"/>
      <c r="E986" s="14"/>
      <c r="F986" s="27"/>
      <c r="G986" s="14"/>
      <c r="H986" s="27"/>
      <c r="I986" s="14"/>
      <c r="J986" s="27"/>
    </row>
    <row r="987">
      <c r="A987" s="14"/>
      <c r="E987" s="14"/>
      <c r="F987" s="27"/>
      <c r="G987" s="14"/>
      <c r="H987" s="27"/>
      <c r="I987" s="14"/>
      <c r="J987" s="27"/>
    </row>
    <row r="988">
      <c r="A988" s="14"/>
      <c r="E988" s="14"/>
      <c r="F988" s="27"/>
      <c r="G988" s="14"/>
      <c r="H988" s="27"/>
      <c r="I988" s="14"/>
      <c r="J988" s="27"/>
    </row>
    <row r="989">
      <c r="A989" s="14"/>
      <c r="E989" s="14"/>
      <c r="F989" s="27"/>
      <c r="G989" s="14"/>
      <c r="H989" s="27"/>
      <c r="I989" s="14"/>
      <c r="J989" s="27"/>
    </row>
    <row r="990">
      <c r="A990" s="14"/>
      <c r="E990" s="14"/>
      <c r="F990" s="27"/>
      <c r="G990" s="14"/>
      <c r="H990" s="27"/>
      <c r="I990" s="14"/>
      <c r="J990" s="27"/>
    </row>
    <row r="991">
      <c r="A991" s="14"/>
      <c r="E991" s="14"/>
      <c r="F991" s="27"/>
      <c r="G991" s="14"/>
      <c r="H991" s="27"/>
      <c r="I991" s="14"/>
      <c r="J991" s="27"/>
    </row>
    <row r="992">
      <c r="A992" s="14"/>
      <c r="E992" s="14"/>
      <c r="F992" s="27"/>
      <c r="G992" s="14"/>
      <c r="H992" s="27"/>
      <c r="I992" s="14"/>
      <c r="J992" s="27"/>
    </row>
    <row r="993">
      <c r="A993" s="14"/>
      <c r="E993" s="14"/>
      <c r="F993" s="27"/>
      <c r="G993" s="14"/>
      <c r="H993" s="27"/>
      <c r="I993" s="14"/>
      <c r="J993" s="27"/>
    </row>
    <row r="994">
      <c r="A994" s="14"/>
      <c r="E994" s="14"/>
      <c r="F994" s="27"/>
      <c r="G994" s="14"/>
      <c r="H994" s="27"/>
      <c r="I994" s="14"/>
      <c r="J994" s="27"/>
    </row>
    <row r="995">
      <c r="A995" s="14"/>
      <c r="E995" s="14"/>
      <c r="F995" s="27"/>
      <c r="G995" s="14"/>
      <c r="H995" s="27"/>
      <c r="I995" s="14"/>
      <c r="J995" s="27"/>
    </row>
    <row r="996">
      <c r="A996" s="14"/>
      <c r="E996" s="14"/>
      <c r="F996" s="27"/>
      <c r="G996" s="14"/>
      <c r="H996" s="27"/>
      <c r="I996" s="14"/>
      <c r="J996" s="27"/>
    </row>
    <row r="997">
      <c r="A997" s="14"/>
      <c r="E997" s="14"/>
      <c r="F997" s="27"/>
      <c r="G997" s="14"/>
      <c r="H997" s="27"/>
      <c r="I997" s="14"/>
      <c r="J997" s="27"/>
    </row>
    <row r="998">
      <c r="A998" s="14"/>
      <c r="E998" s="14"/>
      <c r="F998" s="27"/>
      <c r="G998" s="14"/>
      <c r="H998" s="27"/>
      <c r="I998" s="14"/>
      <c r="J998" s="27"/>
    </row>
    <row r="999">
      <c r="A999" s="14"/>
      <c r="E999" s="14"/>
      <c r="F999" s="27"/>
      <c r="G999" s="14"/>
      <c r="H999" s="27"/>
      <c r="I999" s="14"/>
      <c r="J999" s="27"/>
    </row>
    <row r="1000">
      <c r="A1000" s="14"/>
      <c r="E1000" s="14"/>
      <c r="F1000" s="27"/>
      <c r="G1000" s="14"/>
      <c r="H1000" s="27"/>
      <c r="I1000" s="14"/>
      <c r="J1000" s="27"/>
    </row>
    <row r="1001">
      <c r="A1001" s="14"/>
      <c r="E1001" s="14"/>
      <c r="F1001" s="27"/>
      <c r="G1001" s="14"/>
      <c r="H1001" s="27"/>
      <c r="I1001" s="14"/>
      <c r="J1001" s="27"/>
    </row>
    <row r="1002">
      <c r="A1002" s="14"/>
      <c r="E1002" s="14"/>
      <c r="F1002" s="27"/>
      <c r="G1002" s="14"/>
      <c r="H1002" s="27"/>
      <c r="I1002" s="14"/>
      <c r="J1002" s="27"/>
    </row>
    <row r="1003">
      <c r="A1003" s="14"/>
      <c r="E1003" s="14"/>
      <c r="F1003" s="27"/>
      <c r="G1003" s="14"/>
      <c r="H1003" s="27"/>
      <c r="I1003" s="14"/>
      <c r="J1003" s="27"/>
    </row>
    <row r="1004">
      <c r="A1004" s="14"/>
      <c r="E1004" s="14"/>
      <c r="F1004" s="27"/>
      <c r="G1004" s="14"/>
      <c r="H1004" s="27"/>
      <c r="I1004" s="14"/>
      <c r="J1004" s="27"/>
    </row>
    <row r="1005">
      <c r="A1005" s="14"/>
      <c r="E1005" s="14"/>
      <c r="F1005" s="27"/>
      <c r="G1005" s="14"/>
      <c r="H1005" s="27"/>
      <c r="I1005" s="14"/>
      <c r="J1005" s="27"/>
    </row>
    <row r="1006">
      <c r="A1006" s="14"/>
      <c r="E1006" s="14"/>
      <c r="F1006" s="27"/>
      <c r="G1006" s="14"/>
      <c r="H1006" s="27"/>
      <c r="I1006" s="14"/>
      <c r="J1006" s="27"/>
    </row>
    <row r="1007">
      <c r="A1007" s="14"/>
      <c r="E1007" s="14"/>
      <c r="F1007" s="27"/>
      <c r="G1007" s="14"/>
      <c r="H1007" s="27"/>
      <c r="I1007" s="14"/>
      <c r="J1007" s="27"/>
    </row>
    <row r="1008">
      <c r="A1008" s="14"/>
      <c r="E1008" s="14"/>
      <c r="F1008" s="27"/>
      <c r="G1008" s="14"/>
      <c r="H1008" s="27"/>
      <c r="I1008" s="14"/>
      <c r="J1008" s="27"/>
    </row>
    <row r="1009">
      <c r="A1009" s="14"/>
      <c r="E1009" s="14"/>
      <c r="F1009" s="27"/>
      <c r="G1009" s="14"/>
      <c r="H1009" s="27"/>
      <c r="I1009" s="14"/>
      <c r="J1009" s="27"/>
    </row>
    <row r="1010">
      <c r="A1010" s="14"/>
      <c r="E1010" s="14"/>
      <c r="F1010" s="27"/>
      <c r="G1010" s="14"/>
      <c r="H1010" s="27"/>
      <c r="I1010" s="14"/>
      <c r="J1010" s="27"/>
    </row>
    <row r="1011">
      <c r="A1011" s="14"/>
      <c r="E1011" s="14"/>
      <c r="F1011" s="27"/>
      <c r="G1011" s="14"/>
      <c r="H1011" s="27"/>
      <c r="I1011" s="14"/>
      <c r="J1011" s="27"/>
    </row>
    <row r="1012">
      <c r="A1012" s="14"/>
      <c r="E1012" s="14"/>
      <c r="F1012" s="27"/>
      <c r="G1012" s="14"/>
      <c r="H1012" s="27"/>
      <c r="I1012" s="14"/>
      <c r="J1012" s="27"/>
    </row>
    <row r="1013">
      <c r="A1013" s="14"/>
      <c r="E1013" s="14"/>
      <c r="F1013" s="27"/>
      <c r="G1013" s="14"/>
      <c r="H1013" s="27"/>
      <c r="I1013" s="14"/>
      <c r="J1013" s="27"/>
    </row>
    <row r="1014">
      <c r="A1014" s="14"/>
      <c r="E1014" s="14"/>
      <c r="F1014" s="27"/>
      <c r="G1014" s="14"/>
      <c r="H1014" s="27"/>
      <c r="I1014" s="14"/>
      <c r="J1014" s="27"/>
    </row>
    <row r="1015">
      <c r="A1015" s="14"/>
      <c r="E1015" s="14"/>
      <c r="F1015" s="27"/>
      <c r="G1015" s="14"/>
      <c r="H1015" s="27"/>
      <c r="I1015" s="14"/>
      <c r="J1015" s="27"/>
    </row>
    <row r="1016">
      <c r="A1016" s="14"/>
      <c r="E1016" s="14"/>
      <c r="F1016" s="27"/>
      <c r="G1016" s="14"/>
      <c r="H1016" s="27"/>
      <c r="I1016" s="14"/>
      <c r="J1016" s="27"/>
    </row>
    <row r="1017">
      <c r="A1017" s="14"/>
      <c r="E1017" s="14"/>
      <c r="F1017" s="27"/>
      <c r="G1017" s="14"/>
      <c r="H1017" s="27"/>
      <c r="I1017" s="14"/>
      <c r="J1017" s="27"/>
    </row>
    <row r="1018">
      <c r="A1018" s="14"/>
      <c r="E1018" s="14"/>
      <c r="F1018" s="27"/>
      <c r="G1018" s="14"/>
      <c r="H1018" s="27"/>
      <c r="I1018" s="14"/>
      <c r="J1018" s="27"/>
    </row>
    <row r="1019">
      <c r="A1019" s="14"/>
      <c r="E1019" s="14"/>
      <c r="F1019" s="27"/>
      <c r="G1019" s="14"/>
      <c r="H1019" s="27"/>
      <c r="I1019" s="14"/>
      <c r="J1019" s="27"/>
    </row>
    <row r="1020">
      <c r="A1020" s="14"/>
      <c r="E1020" s="14"/>
      <c r="F1020" s="27"/>
      <c r="G1020" s="14"/>
      <c r="H1020" s="27"/>
      <c r="I1020" s="14"/>
      <c r="J1020" s="27"/>
    </row>
    <row r="1021">
      <c r="A1021" s="14"/>
      <c r="E1021" s="14"/>
      <c r="F1021" s="27"/>
      <c r="G1021" s="14"/>
      <c r="H1021" s="27"/>
      <c r="I1021" s="14"/>
      <c r="J1021" s="27"/>
    </row>
    <row r="1022">
      <c r="A1022" s="14"/>
      <c r="E1022" s="14"/>
      <c r="F1022" s="27"/>
      <c r="G1022" s="14"/>
      <c r="H1022" s="27"/>
      <c r="I1022" s="14"/>
      <c r="J1022" s="27"/>
    </row>
    <row r="1023">
      <c r="A1023" s="14"/>
      <c r="E1023" s="14"/>
      <c r="F1023" s="27"/>
      <c r="G1023" s="14"/>
      <c r="H1023" s="27"/>
      <c r="I1023" s="14"/>
      <c r="J1023" s="27"/>
    </row>
    <row r="1024">
      <c r="A1024" s="14"/>
      <c r="E1024" s="14"/>
      <c r="F1024" s="27"/>
      <c r="G1024" s="14"/>
      <c r="H1024" s="27"/>
      <c r="I1024" s="14"/>
      <c r="J1024" s="27"/>
    </row>
    <row r="1025">
      <c r="A1025" s="14"/>
      <c r="E1025" s="14"/>
      <c r="F1025" s="27"/>
      <c r="G1025" s="14"/>
      <c r="H1025" s="27"/>
      <c r="I1025" s="14"/>
      <c r="J1025" s="27"/>
    </row>
    <row r="1026">
      <c r="A1026" s="14"/>
      <c r="E1026" s="14"/>
      <c r="F1026" s="27"/>
      <c r="G1026" s="14"/>
      <c r="H1026" s="27"/>
      <c r="I1026" s="14"/>
      <c r="J1026" s="27"/>
    </row>
    <row r="1027">
      <c r="A1027" s="14"/>
      <c r="E1027" s="14"/>
      <c r="F1027" s="27"/>
      <c r="G1027" s="14"/>
      <c r="H1027" s="27"/>
      <c r="I1027" s="14"/>
      <c r="J1027" s="27"/>
    </row>
    <row r="1028">
      <c r="A1028" s="14"/>
      <c r="E1028" s="14"/>
      <c r="F1028" s="27"/>
      <c r="G1028" s="14"/>
      <c r="H1028" s="27"/>
      <c r="I1028" s="14"/>
      <c r="J1028" s="27"/>
    </row>
    <row r="1029">
      <c r="A1029" s="14"/>
      <c r="E1029" s="14"/>
      <c r="F1029" s="27"/>
      <c r="G1029" s="14"/>
      <c r="H1029" s="27"/>
      <c r="I1029" s="14"/>
      <c r="J1029" s="27"/>
    </row>
    <row r="1030">
      <c r="A1030" s="14"/>
      <c r="E1030" s="14"/>
      <c r="F1030" s="27"/>
      <c r="G1030" s="14"/>
      <c r="H1030" s="27"/>
      <c r="I1030" s="14"/>
      <c r="J1030" s="27"/>
    </row>
    <row r="1031">
      <c r="A1031" s="14"/>
      <c r="E1031" s="14"/>
      <c r="F1031" s="27"/>
      <c r="G1031" s="14"/>
      <c r="H1031" s="27"/>
      <c r="I1031" s="14"/>
      <c r="J1031" s="27"/>
    </row>
    <row r="1032">
      <c r="A1032" s="14"/>
      <c r="E1032" s="14"/>
      <c r="F1032" s="27"/>
      <c r="G1032" s="14"/>
      <c r="H1032" s="27"/>
      <c r="I1032" s="14"/>
      <c r="J1032" s="27"/>
    </row>
    <row r="1033">
      <c r="A1033" s="14"/>
      <c r="E1033" s="14"/>
      <c r="F1033" s="27"/>
      <c r="G1033" s="14"/>
      <c r="H1033" s="27"/>
      <c r="I1033" s="14"/>
      <c r="J1033" s="27"/>
    </row>
    <row r="1034">
      <c r="A1034" s="14"/>
      <c r="E1034" s="14"/>
      <c r="F1034" s="27"/>
      <c r="G1034" s="14"/>
      <c r="H1034" s="27"/>
      <c r="I1034" s="14"/>
      <c r="J1034" s="27"/>
    </row>
    <row r="1035">
      <c r="A1035" s="14"/>
      <c r="E1035" s="14"/>
      <c r="F1035" s="27"/>
      <c r="G1035" s="14"/>
      <c r="H1035" s="27"/>
      <c r="I1035" s="14"/>
      <c r="J1035" s="27"/>
    </row>
    <row r="1036">
      <c r="A1036" s="14"/>
      <c r="E1036" s="14"/>
      <c r="F1036" s="27"/>
      <c r="G1036" s="14"/>
      <c r="H1036" s="27"/>
      <c r="I1036" s="14"/>
      <c r="J1036" s="27"/>
    </row>
    <row r="1037">
      <c r="A1037" s="14"/>
      <c r="E1037" s="14"/>
      <c r="F1037" s="27"/>
      <c r="G1037" s="14"/>
      <c r="H1037" s="27"/>
      <c r="I1037" s="14"/>
      <c r="J1037" s="27"/>
    </row>
    <row r="1038">
      <c r="A1038" s="14"/>
      <c r="E1038" s="14"/>
      <c r="F1038" s="27"/>
      <c r="G1038" s="14"/>
      <c r="H1038" s="27"/>
      <c r="I1038" s="14"/>
      <c r="J1038" s="27"/>
    </row>
    <row r="1039">
      <c r="A1039" s="14"/>
      <c r="E1039" s="14"/>
      <c r="F1039" s="27"/>
      <c r="G1039" s="14"/>
      <c r="H1039" s="27"/>
      <c r="I1039" s="14"/>
      <c r="J1039" s="27"/>
    </row>
    <row r="1040">
      <c r="A1040" s="14"/>
      <c r="E1040" s="14"/>
      <c r="F1040" s="27"/>
      <c r="G1040" s="14"/>
      <c r="H1040" s="27"/>
      <c r="I1040" s="14"/>
      <c r="J1040" s="27"/>
    </row>
    <row r="1041">
      <c r="A1041" s="14"/>
      <c r="E1041" s="14"/>
      <c r="F1041" s="27"/>
      <c r="G1041" s="14"/>
      <c r="H1041" s="27"/>
      <c r="I1041" s="14"/>
      <c r="J1041" s="27"/>
    </row>
    <row r="1042">
      <c r="A1042" s="14"/>
      <c r="E1042" s="14"/>
      <c r="F1042" s="27"/>
      <c r="G1042" s="14"/>
      <c r="H1042" s="27"/>
      <c r="I1042" s="14"/>
      <c r="J1042" s="27"/>
    </row>
    <row r="1043">
      <c r="A1043" s="14"/>
      <c r="E1043" s="14"/>
      <c r="F1043" s="27"/>
      <c r="G1043" s="14"/>
      <c r="H1043" s="27"/>
      <c r="I1043" s="14"/>
      <c r="J1043" s="27"/>
    </row>
    <row r="1044">
      <c r="A1044" s="14"/>
      <c r="E1044" s="14"/>
      <c r="F1044" s="27"/>
      <c r="G1044" s="14"/>
      <c r="H1044" s="27"/>
      <c r="I1044" s="14"/>
      <c r="J1044" s="27"/>
    </row>
    <row r="1045">
      <c r="A1045" s="14"/>
      <c r="E1045" s="14"/>
      <c r="F1045" s="27"/>
      <c r="G1045" s="14"/>
      <c r="H1045" s="27"/>
      <c r="I1045" s="14"/>
      <c r="J1045" s="27"/>
    </row>
    <row r="1046">
      <c r="A1046" s="14"/>
      <c r="E1046" s="14"/>
      <c r="F1046" s="27"/>
      <c r="G1046" s="14"/>
      <c r="H1046" s="27"/>
      <c r="I1046" s="14"/>
      <c r="J1046" s="27"/>
    </row>
    <row r="1047">
      <c r="A1047" s="14"/>
      <c r="E1047" s="14"/>
      <c r="F1047" s="27"/>
      <c r="G1047" s="14"/>
      <c r="H1047" s="27"/>
      <c r="I1047" s="14"/>
      <c r="J1047" s="27"/>
    </row>
    <row r="1048">
      <c r="A1048" s="14"/>
      <c r="E1048" s="14"/>
      <c r="F1048" s="27"/>
      <c r="G1048" s="14"/>
      <c r="H1048" s="27"/>
      <c r="I1048" s="14"/>
      <c r="J1048" s="27"/>
    </row>
    <row r="1049">
      <c r="A1049" s="14"/>
      <c r="E1049" s="14"/>
      <c r="F1049" s="27"/>
      <c r="G1049" s="14"/>
      <c r="H1049" s="27"/>
      <c r="I1049" s="14"/>
      <c r="J1049" s="27"/>
    </row>
    <row r="1050">
      <c r="A1050" s="14"/>
      <c r="E1050" s="14"/>
      <c r="F1050" s="27"/>
      <c r="G1050" s="14"/>
      <c r="H1050" s="27"/>
      <c r="I1050" s="14"/>
      <c r="J1050" s="27"/>
    </row>
    <row r="1051">
      <c r="A1051" s="14"/>
      <c r="E1051" s="14"/>
      <c r="F1051" s="27"/>
      <c r="G1051" s="14"/>
      <c r="H1051" s="27"/>
      <c r="I1051" s="14"/>
      <c r="J1051" s="27"/>
    </row>
    <row r="1052">
      <c r="A1052" s="14"/>
      <c r="E1052" s="14"/>
      <c r="F1052" s="27"/>
      <c r="G1052" s="14"/>
      <c r="H1052" s="27"/>
      <c r="I1052" s="14"/>
      <c r="J1052" s="27"/>
    </row>
    <row r="1053">
      <c r="A1053" s="14"/>
      <c r="E1053" s="14"/>
      <c r="F1053" s="27"/>
      <c r="G1053" s="14"/>
      <c r="H1053" s="27"/>
      <c r="I1053" s="14"/>
      <c r="J1053" s="27"/>
    </row>
    <row r="1054">
      <c r="A1054" s="14"/>
      <c r="E1054" s="14"/>
      <c r="F1054" s="27"/>
      <c r="G1054" s="14"/>
      <c r="H1054" s="27"/>
      <c r="I1054" s="14"/>
      <c r="J1054" s="27"/>
    </row>
    <row r="1055">
      <c r="A1055" s="14"/>
      <c r="E1055" s="14"/>
      <c r="F1055" s="27"/>
      <c r="G1055" s="14"/>
      <c r="H1055" s="27"/>
      <c r="I1055" s="14"/>
      <c r="J1055" s="27"/>
    </row>
    <row r="1056">
      <c r="A1056" s="14"/>
      <c r="E1056" s="14"/>
      <c r="F1056" s="27"/>
      <c r="G1056" s="14"/>
      <c r="H1056" s="27"/>
      <c r="I1056" s="14"/>
      <c r="J1056" s="27"/>
    </row>
    <row r="1057">
      <c r="A1057" s="14"/>
      <c r="E1057" s="14"/>
      <c r="F1057" s="27"/>
      <c r="G1057" s="14"/>
      <c r="H1057" s="27"/>
      <c r="I1057" s="14"/>
      <c r="J1057" s="27"/>
    </row>
    <row r="1058">
      <c r="A1058" s="14"/>
      <c r="E1058" s="14"/>
      <c r="F1058" s="27"/>
      <c r="G1058" s="14"/>
      <c r="H1058" s="27"/>
      <c r="I1058" s="14"/>
      <c r="J1058" s="27"/>
    </row>
    <row r="1059">
      <c r="A1059" s="14"/>
      <c r="E1059" s="14"/>
      <c r="F1059" s="27"/>
      <c r="G1059" s="14"/>
      <c r="H1059" s="27"/>
      <c r="I1059" s="14"/>
      <c r="J1059" s="27"/>
    </row>
    <row r="1060">
      <c r="A1060" s="14"/>
      <c r="E1060" s="14"/>
      <c r="F1060" s="27"/>
      <c r="G1060" s="14"/>
      <c r="H1060" s="27"/>
      <c r="I1060" s="14"/>
      <c r="J1060" s="27"/>
    </row>
    <row r="1061">
      <c r="A1061" s="14"/>
      <c r="E1061" s="14"/>
      <c r="F1061" s="27"/>
      <c r="G1061" s="14"/>
      <c r="H1061" s="27"/>
      <c r="I1061" s="14"/>
      <c r="J1061" s="27"/>
    </row>
    <row r="1062">
      <c r="A1062" s="14"/>
      <c r="E1062" s="14"/>
      <c r="F1062" s="27"/>
      <c r="G1062" s="14"/>
      <c r="H1062" s="27"/>
      <c r="I1062" s="14"/>
      <c r="J1062" s="27"/>
    </row>
    <row r="1063">
      <c r="A1063" s="14"/>
      <c r="E1063" s="14"/>
      <c r="F1063" s="27"/>
      <c r="G1063" s="14"/>
      <c r="H1063" s="27"/>
      <c r="I1063" s="14"/>
      <c r="J1063" s="27"/>
    </row>
    <row r="1064">
      <c r="A1064" s="14"/>
      <c r="E1064" s="14"/>
      <c r="F1064" s="27"/>
      <c r="G1064" s="14"/>
      <c r="H1064" s="27"/>
      <c r="I1064" s="14"/>
      <c r="J1064" s="27"/>
    </row>
    <row r="1065">
      <c r="A1065" s="14"/>
      <c r="E1065" s="14"/>
      <c r="F1065" s="27"/>
      <c r="G1065" s="14"/>
      <c r="H1065" s="27"/>
      <c r="I1065" s="14"/>
      <c r="J1065" s="27"/>
    </row>
    <row r="1066">
      <c r="A1066" s="14"/>
      <c r="E1066" s="14"/>
      <c r="F1066" s="27"/>
      <c r="G1066" s="14"/>
      <c r="H1066" s="27"/>
      <c r="I1066" s="14"/>
      <c r="J1066" s="27"/>
    </row>
    <row r="1067">
      <c r="A1067" s="14"/>
      <c r="E1067" s="14"/>
      <c r="F1067" s="27"/>
      <c r="G1067" s="14"/>
      <c r="H1067" s="27"/>
      <c r="I1067" s="14"/>
      <c r="J1067" s="27"/>
    </row>
    <row r="1068">
      <c r="A1068" s="14"/>
      <c r="E1068" s="14"/>
      <c r="F1068" s="27"/>
      <c r="G1068" s="14"/>
      <c r="H1068" s="27"/>
      <c r="I1068" s="14"/>
      <c r="J1068" s="27"/>
    </row>
    <row r="1069">
      <c r="A1069" s="14"/>
      <c r="E1069" s="14"/>
      <c r="F1069" s="27"/>
      <c r="G1069" s="14"/>
      <c r="H1069" s="27"/>
      <c r="I1069" s="14"/>
      <c r="J1069" s="27"/>
    </row>
    <row r="1070">
      <c r="A1070" s="14"/>
      <c r="E1070" s="14"/>
      <c r="F1070" s="27"/>
      <c r="G1070" s="14"/>
      <c r="H1070" s="27"/>
      <c r="I1070" s="14"/>
      <c r="J1070" s="27"/>
    </row>
    <row r="1071">
      <c r="A1071" s="14"/>
      <c r="E1071" s="14"/>
      <c r="F1071" s="27"/>
      <c r="G1071" s="14"/>
      <c r="H1071" s="27"/>
      <c r="I1071" s="14"/>
      <c r="J1071" s="27"/>
    </row>
    <row r="1072">
      <c r="A1072" s="14"/>
      <c r="E1072" s="14"/>
      <c r="F1072" s="27"/>
      <c r="G1072" s="14"/>
      <c r="H1072" s="27"/>
      <c r="I1072" s="14"/>
      <c r="J1072" s="27"/>
    </row>
    <row r="1073">
      <c r="A1073" s="14"/>
      <c r="E1073" s="14"/>
      <c r="F1073" s="27"/>
      <c r="G1073" s="14"/>
      <c r="H1073" s="27"/>
      <c r="I1073" s="14"/>
      <c r="J1073" s="27"/>
    </row>
    <row r="1074">
      <c r="A1074" s="14"/>
      <c r="E1074" s="14"/>
      <c r="F1074" s="27"/>
      <c r="G1074" s="14"/>
      <c r="H1074" s="27"/>
      <c r="I1074" s="14"/>
      <c r="J1074" s="27"/>
    </row>
    <row r="1075">
      <c r="A1075" s="14"/>
      <c r="E1075" s="14"/>
      <c r="F1075" s="27"/>
      <c r="G1075" s="14"/>
      <c r="H1075" s="27"/>
      <c r="I1075" s="14"/>
      <c r="J1075" s="27"/>
    </row>
    <row r="1076">
      <c r="A1076" s="14"/>
      <c r="E1076" s="14"/>
      <c r="F1076" s="27"/>
      <c r="G1076" s="14"/>
      <c r="H1076" s="27"/>
      <c r="I1076" s="14"/>
      <c r="J1076" s="27"/>
    </row>
    <row r="1077">
      <c r="A1077" s="14"/>
      <c r="E1077" s="14"/>
      <c r="F1077" s="27"/>
      <c r="G1077" s="14"/>
      <c r="H1077" s="27"/>
      <c r="I1077" s="14"/>
      <c r="J1077" s="27"/>
    </row>
    <row r="1078">
      <c r="A1078" s="14"/>
      <c r="E1078" s="14"/>
      <c r="F1078" s="27"/>
      <c r="G1078" s="14"/>
      <c r="H1078" s="27"/>
      <c r="I1078" s="14"/>
      <c r="J1078" s="27"/>
    </row>
    <row r="1079">
      <c r="A1079" s="14"/>
      <c r="E1079" s="14"/>
      <c r="F1079" s="27"/>
      <c r="G1079" s="14"/>
      <c r="H1079" s="27"/>
      <c r="I1079" s="14"/>
      <c r="J1079" s="27"/>
    </row>
    <row r="1080">
      <c r="A1080" s="14"/>
      <c r="E1080" s="14"/>
      <c r="F1080" s="27"/>
      <c r="G1080" s="14"/>
      <c r="H1080" s="27"/>
      <c r="I1080" s="14"/>
      <c r="J1080" s="27"/>
    </row>
    <row r="1081">
      <c r="A1081" s="14"/>
      <c r="E1081" s="14"/>
      <c r="F1081" s="27"/>
      <c r="G1081" s="14"/>
      <c r="H1081" s="27"/>
      <c r="I1081" s="14"/>
      <c r="J1081" s="27"/>
    </row>
    <row r="1082">
      <c r="A1082" s="14"/>
      <c r="E1082" s="14"/>
      <c r="F1082" s="27"/>
      <c r="G1082" s="14"/>
      <c r="H1082" s="27"/>
      <c r="I1082" s="14"/>
      <c r="J1082" s="27"/>
    </row>
    <row r="1083">
      <c r="A1083" s="14"/>
      <c r="E1083" s="14"/>
      <c r="F1083" s="27"/>
      <c r="G1083" s="14"/>
      <c r="H1083" s="27"/>
      <c r="I1083" s="14"/>
      <c r="J1083" s="27"/>
    </row>
    <row r="1084">
      <c r="A1084" s="14"/>
      <c r="E1084" s="14"/>
      <c r="F1084" s="27"/>
      <c r="G1084" s="14"/>
      <c r="H1084" s="27"/>
      <c r="I1084" s="14"/>
      <c r="J1084" s="27"/>
    </row>
    <row r="1085">
      <c r="A1085" s="14"/>
      <c r="E1085" s="14"/>
      <c r="F1085" s="27"/>
      <c r="G1085" s="14"/>
      <c r="H1085" s="27"/>
      <c r="I1085" s="14"/>
      <c r="J1085" s="27"/>
    </row>
    <row r="1086">
      <c r="A1086" s="14"/>
      <c r="E1086" s="14"/>
      <c r="F1086" s="27"/>
      <c r="G1086" s="14"/>
      <c r="H1086" s="27"/>
      <c r="I1086" s="14"/>
      <c r="J1086" s="27"/>
    </row>
    <row r="1087">
      <c r="A1087" s="14"/>
      <c r="E1087" s="14"/>
      <c r="F1087" s="27"/>
      <c r="G1087" s="14"/>
      <c r="H1087" s="27"/>
      <c r="I1087" s="14"/>
      <c r="J1087" s="27"/>
    </row>
    <row r="1088">
      <c r="A1088" s="14"/>
      <c r="E1088" s="14"/>
      <c r="F1088" s="27"/>
      <c r="G1088" s="14"/>
      <c r="H1088" s="27"/>
      <c r="I1088" s="14"/>
      <c r="J1088" s="27"/>
    </row>
    <row r="1089">
      <c r="A1089" s="14"/>
      <c r="E1089" s="14"/>
      <c r="F1089" s="27"/>
      <c r="G1089" s="14"/>
      <c r="H1089" s="27"/>
      <c r="I1089" s="14"/>
      <c r="J1089" s="27"/>
    </row>
    <row r="1090">
      <c r="A1090" s="14"/>
      <c r="E1090" s="14"/>
      <c r="F1090" s="27"/>
      <c r="G1090" s="14"/>
      <c r="H1090" s="27"/>
      <c r="I1090" s="14"/>
      <c r="J1090" s="27"/>
    </row>
    <row r="1091">
      <c r="A1091" s="14"/>
      <c r="E1091" s="14"/>
      <c r="F1091" s="27"/>
      <c r="G1091" s="14"/>
      <c r="H1091" s="27"/>
      <c r="I1091" s="14"/>
      <c r="J1091" s="27"/>
    </row>
    <row r="1092">
      <c r="A1092" s="14"/>
      <c r="E1092" s="14"/>
      <c r="F1092" s="27"/>
      <c r="G1092" s="14"/>
      <c r="H1092" s="27"/>
      <c r="I1092" s="14"/>
      <c r="J1092" s="27"/>
    </row>
    <row r="1093">
      <c r="A1093" s="14"/>
      <c r="E1093" s="14"/>
      <c r="F1093" s="27"/>
      <c r="G1093" s="14"/>
      <c r="H1093" s="27"/>
      <c r="I1093" s="14"/>
      <c r="J1093" s="27"/>
    </row>
    <row r="1094">
      <c r="A1094" s="14"/>
      <c r="E1094" s="14"/>
      <c r="F1094" s="27"/>
      <c r="G1094" s="14"/>
      <c r="H1094" s="27"/>
      <c r="I1094" s="14"/>
      <c r="J1094" s="27"/>
    </row>
    <row r="1095">
      <c r="A1095" s="14"/>
      <c r="E1095" s="14"/>
      <c r="F1095" s="27"/>
      <c r="G1095" s="14"/>
      <c r="H1095" s="27"/>
      <c r="I1095" s="14"/>
      <c r="J1095" s="27"/>
    </row>
    <row r="1096">
      <c r="A1096" s="14"/>
      <c r="E1096" s="14"/>
      <c r="F1096" s="27"/>
      <c r="G1096" s="14"/>
      <c r="H1096" s="27"/>
      <c r="I1096" s="14"/>
      <c r="J1096" s="27"/>
    </row>
    <row r="1097">
      <c r="A1097" s="14"/>
      <c r="E1097" s="14"/>
      <c r="F1097" s="27"/>
      <c r="G1097" s="14"/>
      <c r="H1097" s="27"/>
      <c r="I1097" s="14"/>
      <c r="J1097" s="27"/>
    </row>
    <row r="1098">
      <c r="A1098" s="14"/>
      <c r="E1098" s="14"/>
      <c r="F1098" s="27"/>
      <c r="G1098" s="14"/>
      <c r="H1098" s="27"/>
      <c r="I1098" s="14"/>
      <c r="J1098" s="27"/>
    </row>
    <row r="1099">
      <c r="A1099" s="14"/>
      <c r="E1099" s="14"/>
      <c r="F1099" s="27"/>
      <c r="G1099" s="14"/>
      <c r="H1099" s="27"/>
      <c r="I1099" s="14"/>
      <c r="J1099" s="27"/>
    </row>
    <row r="1100">
      <c r="A1100" s="14"/>
      <c r="E1100" s="14"/>
      <c r="F1100" s="27"/>
      <c r="G1100" s="14"/>
      <c r="H1100" s="27"/>
      <c r="I1100" s="14"/>
      <c r="J1100" s="27"/>
    </row>
    <row r="1101">
      <c r="A1101" s="14"/>
      <c r="E1101" s="14"/>
      <c r="F1101" s="27"/>
      <c r="G1101" s="14"/>
      <c r="H1101" s="27"/>
      <c r="I1101" s="14"/>
      <c r="J1101" s="27"/>
    </row>
    <row r="1102">
      <c r="A1102" s="14"/>
      <c r="E1102" s="14"/>
      <c r="F1102" s="27"/>
      <c r="G1102" s="14"/>
      <c r="H1102" s="27"/>
      <c r="I1102" s="14"/>
      <c r="J1102" s="27"/>
    </row>
    <row r="1103">
      <c r="A1103" s="14"/>
      <c r="E1103" s="14"/>
      <c r="F1103" s="27"/>
      <c r="G1103" s="14"/>
      <c r="H1103" s="27"/>
      <c r="I1103" s="14"/>
      <c r="J1103" s="27"/>
    </row>
    <row r="1104">
      <c r="A1104" s="14"/>
      <c r="E1104" s="14"/>
      <c r="F1104" s="27"/>
      <c r="G1104" s="14"/>
      <c r="H1104" s="27"/>
      <c r="I1104" s="14"/>
      <c r="J1104" s="27"/>
    </row>
    <row r="1105">
      <c r="A1105" s="14"/>
      <c r="E1105" s="14"/>
      <c r="F1105" s="27"/>
      <c r="G1105" s="14"/>
      <c r="H1105" s="27"/>
      <c r="I1105" s="14"/>
      <c r="J1105" s="27"/>
    </row>
    <row r="1106">
      <c r="A1106" s="14"/>
      <c r="E1106" s="14"/>
      <c r="F1106" s="27"/>
      <c r="G1106" s="14"/>
      <c r="H1106" s="27"/>
      <c r="I1106" s="14"/>
      <c r="J1106" s="27"/>
    </row>
    <row r="1107">
      <c r="A1107" s="14"/>
      <c r="E1107" s="14"/>
      <c r="F1107" s="27"/>
      <c r="G1107" s="14"/>
      <c r="H1107" s="27"/>
      <c r="I1107" s="14"/>
      <c r="J1107" s="27"/>
    </row>
    <row r="1108">
      <c r="A1108" s="14"/>
      <c r="E1108" s="14"/>
      <c r="F1108" s="27"/>
      <c r="G1108" s="14"/>
      <c r="H1108" s="27"/>
      <c r="I1108" s="14"/>
      <c r="J1108" s="27"/>
    </row>
    <row r="1109">
      <c r="A1109" s="14"/>
      <c r="E1109" s="14"/>
      <c r="F1109" s="27"/>
      <c r="G1109" s="14"/>
      <c r="H1109" s="27"/>
      <c r="I1109" s="14"/>
      <c r="J1109" s="27"/>
    </row>
    <row r="1110">
      <c r="A1110" s="14"/>
      <c r="E1110" s="14"/>
      <c r="F1110" s="27"/>
      <c r="G1110" s="14"/>
      <c r="H1110" s="27"/>
      <c r="I1110" s="14"/>
      <c r="J1110" s="27"/>
    </row>
    <row r="1111">
      <c r="A1111" s="14"/>
      <c r="E1111" s="14"/>
      <c r="F1111" s="27"/>
      <c r="G1111" s="14"/>
      <c r="H1111" s="27"/>
      <c r="I1111" s="14"/>
      <c r="J1111" s="27"/>
    </row>
    <row r="1112">
      <c r="A1112" s="14"/>
      <c r="E1112" s="14"/>
      <c r="F1112" s="27"/>
      <c r="G1112" s="14"/>
      <c r="H1112" s="27"/>
      <c r="I1112" s="14"/>
      <c r="J1112" s="27"/>
    </row>
    <row r="1113">
      <c r="A1113" s="14"/>
      <c r="E1113" s="14"/>
      <c r="F1113" s="27"/>
      <c r="G1113" s="14"/>
      <c r="H1113" s="27"/>
      <c r="I1113" s="14"/>
      <c r="J1113" s="27"/>
    </row>
    <row r="1114">
      <c r="A1114" s="14"/>
      <c r="E1114" s="14"/>
      <c r="F1114" s="27"/>
      <c r="G1114" s="14"/>
      <c r="H1114" s="27"/>
      <c r="I1114" s="14"/>
      <c r="J1114" s="27"/>
    </row>
    <row r="1115">
      <c r="A1115" s="14"/>
      <c r="E1115" s="14"/>
      <c r="F1115" s="27"/>
      <c r="G1115" s="14"/>
      <c r="H1115" s="27"/>
      <c r="I1115" s="14"/>
      <c r="J1115" s="27"/>
    </row>
    <row r="1116">
      <c r="A1116" s="14"/>
      <c r="E1116" s="14"/>
      <c r="F1116" s="27"/>
      <c r="G1116" s="14"/>
      <c r="H1116" s="27"/>
      <c r="I1116" s="14"/>
      <c r="J1116" s="27"/>
    </row>
    <row r="1117">
      <c r="A1117" s="14"/>
      <c r="E1117" s="14"/>
      <c r="F1117" s="27"/>
      <c r="G1117" s="14"/>
      <c r="H1117" s="27"/>
      <c r="I1117" s="14"/>
      <c r="J1117" s="27"/>
    </row>
    <row r="1118">
      <c r="A1118" s="14"/>
      <c r="E1118" s="14"/>
      <c r="F1118" s="27"/>
      <c r="G1118" s="14"/>
      <c r="H1118" s="27"/>
      <c r="I1118" s="14"/>
      <c r="J1118" s="27"/>
    </row>
    <row r="1119">
      <c r="A1119" s="14"/>
      <c r="E1119" s="14"/>
      <c r="F1119" s="27"/>
      <c r="G1119" s="14"/>
      <c r="H1119" s="27"/>
      <c r="I1119" s="14"/>
      <c r="J1119" s="27"/>
    </row>
    <row r="1120">
      <c r="A1120" s="14"/>
      <c r="E1120" s="14"/>
      <c r="F1120" s="27"/>
      <c r="G1120" s="14"/>
      <c r="H1120" s="27"/>
      <c r="I1120" s="14"/>
      <c r="J1120" s="27"/>
    </row>
    <row r="1121">
      <c r="A1121" s="14"/>
      <c r="E1121" s="14"/>
      <c r="F1121" s="27"/>
      <c r="G1121" s="14"/>
      <c r="H1121" s="27"/>
      <c r="I1121" s="14"/>
      <c r="J1121" s="27"/>
    </row>
    <row r="1122">
      <c r="A1122" s="14"/>
      <c r="E1122" s="14"/>
      <c r="F1122" s="27"/>
      <c r="G1122" s="14"/>
      <c r="H1122" s="27"/>
      <c r="I1122" s="14"/>
      <c r="J1122" s="27"/>
    </row>
    <row r="1123">
      <c r="A1123" s="14"/>
      <c r="E1123" s="14"/>
      <c r="F1123" s="27"/>
      <c r="G1123" s="14"/>
      <c r="H1123" s="27"/>
      <c r="I1123" s="14"/>
      <c r="J1123" s="27"/>
    </row>
    <row r="1124">
      <c r="A1124" s="14"/>
      <c r="E1124" s="14"/>
      <c r="F1124" s="27"/>
      <c r="G1124" s="14"/>
      <c r="H1124" s="27"/>
      <c r="I1124" s="14"/>
      <c r="J1124" s="27"/>
    </row>
    <row r="1125">
      <c r="A1125" s="14"/>
      <c r="E1125" s="14"/>
      <c r="F1125" s="27"/>
      <c r="G1125" s="14"/>
      <c r="H1125" s="27"/>
      <c r="I1125" s="14"/>
      <c r="J1125" s="27"/>
    </row>
    <row r="1126">
      <c r="A1126" s="14"/>
      <c r="E1126" s="14"/>
      <c r="F1126" s="27"/>
      <c r="G1126" s="14"/>
      <c r="H1126" s="27"/>
      <c r="I1126" s="14"/>
      <c r="J1126" s="27"/>
    </row>
    <row r="1127">
      <c r="A1127" s="14"/>
      <c r="E1127" s="14"/>
      <c r="F1127" s="27"/>
      <c r="G1127" s="14"/>
      <c r="H1127" s="27"/>
      <c r="I1127" s="14"/>
      <c r="J1127" s="27"/>
    </row>
    <row r="1128">
      <c r="A1128" s="14"/>
      <c r="E1128" s="14"/>
      <c r="F1128" s="27"/>
      <c r="G1128" s="14"/>
      <c r="H1128" s="27"/>
      <c r="I1128" s="14"/>
      <c r="J1128" s="27"/>
    </row>
    <row r="1129">
      <c r="A1129" s="14"/>
      <c r="E1129" s="14"/>
      <c r="F1129" s="27"/>
      <c r="G1129" s="14"/>
      <c r="H1129" s="27"/>
      <c r="I1129" s="14"/>
      <c r="J1129" s="27"/>
    </row>
    <row r="1130">
      <c r="A1130" s="14"/>
      <c r="E1130" s="14"/>
      <c r="F1130" s="27"/>
      <c r="G1130" s="14"/>
      <c r="H1130" s="27"/>
      <c r="I1130" s="14"/>
      <c r="J1130" s="27"/>
    </row>
    <row r="1131">
      <c r="A1131" s="14"/>
      <c r="E1131" s="14"/>
      <c r="F1131" s="27"/>
      <c r="G1131" s="14"/>
      <c r="H1131" s="27"/>
      <c r="I1131" s="14"/>
      <c r="J1131" s="27"/>
    </row>
    <row r="1132">
      <c r="A1132" s="14"/>
      <c r="E1132" s="14"/>
      <c r="F1132" s="27"/>
      <c r="G1132" s="14"/>
      <c r="H1132" s="27"/>
      <c r="I1132" s="14"/>
      <c r="J1132" s="27"/>
    </row>
    <row r="1133">
      <c r="A1133" s="14"/>
      <c r="E1133" s="14"/>
      <c r="F1133" s="27"/>
      <c r="G1133" s="14"/>
      <c r="H1133" s="27"/>
      <c r="I1133" s="14"/>
      <c r="J1133" s="27"/>
    </row>
    <row r="1134">
      <c r="A1134" s="14"/>
      <c r="E1134" s="14"/>
      <c r="F1134" s="27"/>
      <c r="G1134" s="14"/>
      <c r="H1134" s="27"/>
      <c r="I1134" s="14"/>
      <c r="J1134" s="27"/>
    </row>
    <row r="1135">
      <c r="A1135" s="14"/>
      <c r="E1135" s="14"/>
      <c r="F1135" s="27"/>
      <c r="G1135" s="14"/>
      <c r="H1135" s="27"/>
      <c r="I1135" s="14"/>
      <c r="J1135" s="27"/>
    </row>
    <row r="1136">
      <c r="A1136" s="14"/>
      <c r="E1136" s="14"/>
      <c r="F1136" s="27"/>
      <c r="G1136" s="14"/>
      <c r="H1136" s="27"/>
      <c r="I1136" s="14"/>
      <c r="J1136" s="27"/>
    </row>
    <row r="1137">
      <c r="A1137" s="14"/>
      <c r="E1137" s="14"/>
      <c r="F1137" s="27"/>
      <c r="G1137" s="14"/>
      <c r="H1137" s="27"/>
      <c r="I1137" s="14"/>
      <c r="J1137" s="27"/>
    </row>
    <row r="1138">
      <c r="A1138" s="14"/>
      <c r="E1138" s="14"/>
      <c r="F1138" s="27"/>
      <c r="G1138" s="14"/>
      <c r="H1138" s="27"/>
      <c r="I1138" s="14"/>
      <c r="J1138" s="27"/>
    </row>
    <row r="1139">
      <c r="A1139" s="14"/>
      <c r="E1139" s="14"/>
      <c r="F1139" s="27"/>
      <c r="G1139" s="14"/>
      <c r="H1139" s="27"/>
      <c r="I1139" s="14"/>
      <c r="J1139" s="27"/>
    </row>
    <row r="1140">
      <c r="A1140" s="14"/>
      <c r="E1140" s="14"/>
      <c r="F1140" s="27"/>
      <c r="G1140" s="14"/>
      <c r="H1140" s="27"/>
      <c r="I1140" s="14"/>
      <c r="J1140" s="27"/>
    </row>
    <row r="1141">
      <c r="A1141" s="14"/>
      <c r="E1141" s="14"/>
      <c r="F1141" s="27"/>
      <c r="G1141" s="14"/>
      <c r="H1141" s="27"/>
      <c r="I1141" s="14"/>
      <c r="J1141" s="27"/>
    </row>
    <row r="1142">
      <c r="A1142" s="14"/>
      <c r="E1142" s="14"/>
      <c r="F1142" s="27"/>
      <c r="G1142" s="14"/>
      <c r="H1142" s="27"/>
      <c r="I1142" s="14"/>
      <c r="J1142" s="27"/>
    </row>
    <row r="1143">
      <c r="A1143" s="14"/>
      <c r="E1143" s="14"/>
      <c r="F1143" s="27"/>
      <c r="G1143" s="14"/>
      <c r="H1143" s="27"/>
      <c r="I1143" s="14"/>
      <c r="J1143" s="27"/>
    </row>
    <row r="1144">
      <c r="A1144" s="14"/>
      <c r="E1144" s="14"/>
      <c r="F1144" s="27"/>
      <c r="G1144" s="14"/>
      <c r="H1144" s="27"/>
      <c r="I1144" s="14"/>
      <c r="J1144" s="27"/>
    </row>
    <row r="1145">
      <c r="A1145" s="14"/>
      <c r="E1145" s="14"/>
      <c r="F1145" s="27"/>
      <c r="G1145" s="14"/>
      <c r="H1145" s="27"/>
      <c r="I1145" s="14"/>
      <c r="J1145" s="27"/>
    </row>
    <row r="1146">
      <c r="A1146" s="14"/>
      <c r="E1146" s="14"/>
      <c r="F1146" s="27"/>
      <c r="G1146" s="14"/>
      <c r="H1146" s="27"/>
      <c r="I1146" s="14"/>
      <c r="J1146" s="27"/>
    </row>
    <row r="1147">
      <c r="A1147" s="14"/>
      <c r="E1147" s="14"/>
      <c r="F1147" s="27"/>
      <c r="G1147" s="14"/>
      <c r="H1147" s="27"/>
      <c r="I1147" s="14"/>
      <c r="J1147" s="27"/>
    </row>
    <row r="1148">
      <c r="A1148" s="14"/>
      <c r="E1148" s="14"/>
      <c r="F1148" s="27"/>
      <c r="G1148" s="14"/>
      <c r="H1148" s="27"/>
      <c r="I1148" s="14"/>
      <c r="J1148" s="27"/>
    </row>
    <row r="1149">
      <c r="A1149" s="14"/>
      <c r="E1149" s="14"/>
      <c r="F1149" s="27"/>
      <c r="G1149" s="14"/>
      <c r="H1149" s="27"/>
      <c r="I1149" s="14"/>
      <c r="J1149" s="27"/>
    </row>
    <row r="1150">
      <c r="A1150" s="14"/>
      <c r="E1150" s="14"/>
      <c r="F1150" s="27"/>
      <c r="G1150" s="14"/>
      <c r="H1150" s="27"/>
      <c r="I1150" s="14"/>
      <c r="J1150" s="27"/>
    </row>
    <row r="1151">
      <c r="A1151" s="14"/>
      <c r="E1151" s="14"/>
      <c r="F1151" s="27"/>
      <c r="G1151" s="14"/>
      <c r="H1151" s="27"/>
      <c r="I1151" s="14"/>
      <c r="J1151" s="27"/>
    </row>
    <row r="1152">
      <c r="A1152" s="14"/>
      <c r="E1152" s="14"/>
      <c r="F1152" s="27"/>
      <c r="G1152" s="14"/>
      <c r="H1152" s="27"/>
      <c r="I1152" s="14"/>
      <c r="J1152" s="27"/>
    </row>
    <row r="1153">
      <c r="A1153" s="14"/>
      <c r="E1153" s="14"/>
      <c r="F1153" s="27"/>
      <c r="G1153" s="14"/>
      <c r="H1153" s="27"/>
      <c r="I1153" s="14"/>
      <c r="J1153" s="27"/>
    </row>
    <row r="1154">
      <c r="A1154" s="14"/>
      <c r="E1154" s="14"/>
      <c r="F1154" s="27"/>
      <c r="G1154" s="14"/>
      <c r="H1154" s="27"/>
      <c r="I1154" s="14"/>
      <c r="J1154" s="27"/>
    </row>
    <row r="1155">
      <c r="A1155" s="14"/>
      <c r="E1155" s="14"/>
      <c r="F1155" s="27"/>
      <c r="G1155" s="14"/>
      <c r="H1155" s="27"/>
      <c r="I1155" s="14"/>
      <c r="J1155" s="27"/>
    </row>
    <row r="1156">
      <c r="A1156" s="14"/>
      <c r="E1156" s="14"/>
      <c r="F1156" s="27"/>
      <c r="G1156" s="14"/>
      <c r="H1156" s="27"/>
      <c r="I1156" s="14"/>
      <c r="J1156" s="27"/>
    </row>
    <row r="1157">
      <c r="A1157" s="14"/>
      <c r="E1157" s="14"/>
      <c r="F1157" s="27"/>
      <c r="G1157" s="14"/>
      <c r="H1157" s="27"/>
      <c r="I1157" s="14"/>
      <c r="J1157" s="27"/>
    </row>
    <row r="1158">
      <c r="A1158" s="14"/>
      <c r="E1158" s="14"/>
      <c r="F1158" s="27"/>
      <c r="G1158" s="14"/>
      <c r="H1158" s="27"/>
      <c r="I1158" s="14"/>
      <c r="J1158" s="27"/>
    </row>
    <row r="1159">
      <c r="A1159" s="14"/>
      <c r="E1159" s="14"/>
      <c r="F1159" s="27"/>
      <c r="G1159" s="14"/>
      <c r="H1159" s="27"/>
      <c r="I1159" s="14"/>
      <c r="J1159" s="27"/>
    </row>
    <row r="1160">
      <c r="A1160" s="14"/>
      <c r="E1160" s="14"/>
      <c r="F1160" s="27"/>
      <c r="G1160" s="14"/>
      <c r="H1160" s="27"/>
      <c r="I1160" s="14"/>
      <c r="J1160" s="27"/>
    </row>
    <row r="1161">
      <c r="A1161" s="14"/>
      <c r="E1161" s="14"/>
      <c r="F1161" s="27"/>
      <c r="G1161" s="14"/>
      <c r="H1161" s="27"/>
      <c r="I1161" s="14"/>
      <c r="J1161" s="27"/>
    </row>
    <row r="1162">
      <c r="A1162" s="14"/>
      <c r="E1162" s="14"/>
      <c r="F1162" s="27"/>
      <c r="G1162" s="14"/>
      <c r="H1162" s="27"/>
      <c r="I1162" s="14"/>
      <c r="J1162" s="27"/>
    </row>
    <row r="1163">
      <c r="A1163" s="14"/>
      <c r="E1163" s="14"/>
      <c r="F1163" s="27"/>
      <c r="G1163" s="14"/>
      <c r="H1163" s="27"/>
      <c r="I1163" s="14"/>
      <c r="J1163" s="27"/>
    </row>
    <row r="1164">
      <c r="A1164" s="14"/>
      <c r="E1164" s="14"/>
      <c r="F1164" s="27"/>
      <c r="G1164" s="14"/>
      <c r="H1164" s="27"/>
      <c r="I1164" s="14"/>
      <c r="J1164" s="27"/>
    </row>
    <row r="1165">
      <c r="A1165" s="14"/>
      <c r="E1165" s="14"/>
      <c r="F1165" s="27"/>
      <c r="G1165" s="14"/>
      <c r="H1165" s="27"/>
      <c r="I1165" s="14"/>
      <c r="J1165" s="27"/>
    </row>
    <row r="1166">
      <c r="A1166" s="14"/>
      <c r="E1166" s="14"/>
      <c r="F1166" s="27"/>
      <c r="G1166" s="14"/>
      <c r="H1166" s="27"/>
      <c r="I1166" s="14"/>
      <c r="J1166" s="27"/>
    </row>
    <row r="1167">
      <c r="A1167" s="14"/>
      <c r="E1167" s="14"/>
      <c r="F1167" s="27"/>
      <c r="G1167" s="14"/>
      <c r="H1167" s="27"/>
      <c r="I1167" s="14"/>
      <c r="J1167" s="27"/>
    </row>
    <row r="1168">
      <c r="A1168" s="14"/>
      <c r="E1168" s="14"/>
      <c r="F1168" s="27"/>
      <c r="G1168" s="14"/>
      <c r="H1168" s="27"/>
      <c r="I1168" s="14"/>
      <c r="J1168" s="27"/>
    </row>
    <row r="1169">
      <c r="A1169" s="14"/>
      <c r="E1169" s="14"/>
      <c r="F1169" s="27"/>
      <c r="G1169" s="14"/>
      <c r="H1169" s="27"/>
      <c r="I1169" s="14"/>
      <c r="J1169" s="27"/>
    </row>
    <row r="1170">
      <c r="A1170" s="14"/>
      <c r="E1170" s="14"/>
      <c r="F1170" s="27"/>
      <c r="G1170" s="14"/>
      <c r="H1170" s="27"/>
      <c r="I1170" s="14"/>
      <c r="J1170" s="27"/>
    </row>
    <row r="1171">
      <c r="A1171" s="14"/>
      <c r="E1171" s="14"/>
      <c r="F1171" s="27"/>
      <c r="G1171" s="14"/>
      <c r="H1171" s="27"/>
      <c r="I1171" s="14"/>
      <c r="J1171" s="27"/>
    </row>
    <row r="1172">
      <c r="A1172" s="14"/>
      <c r="E1172" s="14"/>
      <c r="F1172" s="27"/>
      <c r="G1172" s="14"/>
      <c r="H1172" s="27"/>
      <c r="I1172" s="14"/>
      <c r="J1172" s="27"/>
    </row>
    <row r="1173">
      <c r="A1173" s="14"/>
      <c r="E1173" s="14"/>
      <c r="F1173" s="27"/>
      <c r="G1173" s="14"/>
      <c r="H1173" s="27"/>
      <c r="I1173" s="14"/>
      <c r="J1173" s="27"/>
    </row>
    <row r="1174">
      <c r="A1174" s="14"/>
      <c r="E1174" s="14"/>
      <c r="F1174" s="27"/>
      <c r="G1174" s="14"/>
      <c r="H1174" s="27"/>
      <c r="I1174" s="14"/>
      <c r="J1174" s="27"/>
    </row>
    <row r="1175">
      <c r="A1175" s="14"/>
      <c r="E1175" s="14"/>
      <c r="F1175" s="27"/>
      <c r="G1175" s="14"/>
      <c r="H1175" s="27"/>
      <c r="I1175" s="14"/>
      <c r="J1175" s="27"/>
    </row>
    <row r="1176">
      <c r="A1176" s="14"/>
      <c r="E1176" s="14"/>
      <c r="F1176" s="27"/>
      <c r="G1176" s="14"/>
      <c r="H1176" s="27"/>
      <c r="I1176" s="14"/>
      <c r="J1176" s="27"/>
    </row>
    <row r="1177">
      <c r="A1177" s="14"/>
      <c r="E1177" s="14"/>
      <c r="F1177" s="27"/>
      <c r="G1177" s="14"/>
      <c r="H1177" s="27"/>
      <c r="I1177" s="14"/>
      <c r="J1177" s="27"/>
    </row>
    <row r="1178">
      <c r="A1178" s="14"/>
      <c r="E1178" s="14"/>
      <c r="F1178" s="27"/>
      <c r="G1178" s="14"/>
      <c r="H1178" s="27"/>
      <c r="I1178" s="14"/>
      <c r="J1178" s="27"/>
    </row>
    <row r="1179">
      <c r="A1179" s="14"/>
      <c r="E1179" s="14"/>
      <c r="F1179" s="27"/>
      <c r="G1179" s="14"/>
      <c r="H1179" s="27"/>
      <c r="I1179" s="14"/>
      <c r="J1179" s="27"/>
    </row>
    <row r="1180">
      <c r="A1180" s="14"/>
      <c r="E1180" s="14"/>
      <c r="F1180" s="27"/>
      <c r="G1180" s="14"/>
      <c r="H1180" s="27"/>
      <c r="I1180" s="14"/>
      <c r="J1180" s="27"/>
    </row>
    <row r="1181">
      <c r="A1181" s="14"/>
      <c r="E1181" s="14"/>
      <c r="F1181" s="27"/>
      <c r="G1181" s="14"/>
      <c r="H1181" s="27"/>
      <c r="I1181" s="14"/>
      <c r="J1181" s="27"/>
    </row>
    <row r="1182">
      <c r="A1182" s="14"/>
      <c r="E1182" s="14"/>
      <c r="F1182" s="27"/>
      <c r="G1182" s="14"/>
      <c r="H1182" s="27"/>
      <c r="I1182" s="14"/>
      <c r="J1182" s="27"/>
    </row>
    <row r="1183">
      <c r="A1183" s="14"/>
      <c r="E1183" s="14"/>
      <c r="F1183" s="27"/>
      <c r="G1183" s="14"/>
      <c r="H1183" s="27"/>
      <c r="I1183" s="14"/>
      <c r="J1183" s="27"/>
    </row>
    <row r="1184">
      <c r="A1184" s="14"/>
      <c r="E1184" s="14"/>
      <c r="F1184" s="27"/>
      <c r="G1184" s="14"/>
      <c r="H1184" s="27"/>
      <c r="I1184" s="14"/>
      <c r="J1184" s="27"/>
    </row>
    <row r="1185">
      <c r="A1185" s="14"/>
      <c r="E1185" s="14"/>
      <c r="F1185" s="27"/>
      <c r="G1185" s="14"/>
      <c r="H1185" s="27"/>
      <c r="I1185" s="14"/>
      <c r="J1185" s="27"/>
    </row>
    <row r="1186">
      <c r="A1186" s="14"/>
      <c r="E1186" s="14"/>
      <c r="F1186" s="27"/>
      <c r="G1186" s="14"/>
      <c r="H1186" s="27"/>
      <c r="I1186" s="14"/>
      <c r="J1186" s="27"/>
    </row>
    <row r="1187">
      <c r="A1187" s="14"/>
      <c r="E1187" s="14"/>
      <c r="F1187" s="27"/>
      <c r="G1187" s="14"/>
      <c r="H1187" s="27"/>
      <c r="I1187" s="14"/>
      <c r="J1187" s="27"/>
    </row>
    <row r="1188">
      <c r="A1188" s="14"/>
      <c r="E1188" s="14"/>
      <c r="F1188" s="27"/>
      <c r="G1188" s="14"/>
      <c r="H1188" s="27"/>
      <c r="I1188" s="14"/>
      <c r="J1188" s="27"/>
    </row>
    <row r="1189">
      <c r="A1189" s="14"/>
      <c r="E1189" s="14"/>
      <c r="F1189" s="27"/>
      <c r="G1189" s="14"/>
      <c r="H1189" s="27"/>
      <c r="I1189" s="14"/>
      <c r="J1189" s="27"/>
    </row>
    <row r="1190">
      <c r="A1190" s="14"/>
      <c r="E1190" s="14"/>
      <c r="F1190" s="27"/>
      <c r="G1190" s="14"/>
      <c r="H1190" s="27"/>
      <c r="I1190" s="14"/>
      <c r="J1190" s="27"/>
    </row>
    <row r="1191">
      <c r="A1191" s="14"/>
      <c r="E1191" s="14"/>
      <c r="F1191" s="27"/>
      <c r="G1191" s="14"/>
      <c r="H1191" s="27"/>
      <c r="I1191" s="14"/>
      <c r="J1191" s="27"/>
    </row>
    <row r="1192">
      <c r="A1192" s="14"/>
      <c r="E1192" s="14"/>
      <c r="F1192" s="27"/>
      <c r="G1192" s="14"/>
      <c r="H1192" s="27"/>
      <c r="I1192" s="14"/>
      <c r="J1192" s="27"/>
    </row>
    <row r="1193">
      <c r="A1193" s="14"/>
      <c r="E1193" s="14"/>
      <c r="F1193" s="27"/>
      <c r="G1193" s="14"/>
      <c r="H1193" s="27"/>
      <c r="I1193" s="14"/>
      <c r="J1193" s="27"/>
    </row>
    <row r="1194">
      <c r="A1194" s="14"/>
      <c r="E1194" s="14"/>
      <c r="F1194" s="27"/>
      <c r="G1194" s="14"/>
      <c r="H1194" s="27"/>
      <c r="I1194" s="14"/>
      <c r="J1194" s="27"/>
    </row>
    <row r="1195">
      <c r="A1195" s="14"/>
      <c r="E1195" s="14"/>
      <c r="F1195" s="27"/>
      <c r="G1195" s="14"/>
      <c r="H1195" s="27"/>
      <c r="I1195" s="14"/>
      <c r="J1195" s="27"/>
    </row>
    <row r="1196">
      <c r="A1196" s="14"/>
      <c r="E1196" s="14"/>
      <c r="F1196" s="27"/>
      <c r="G1196" s="14"/>
      <c r="H1196" s="27"/>
      <c r="I1196" s="14"/>
      <c r="J1196" s="27"/>
    </row>
    <row r="1197">
      <c r="A1197" s="14"/>
      <c r="E1197" s="14"/>
      <c r="F1197" s="27"/>
      <c r="G1197" s="14"/>
      <c r="H1197" s="27"/>
      <c r="I1197" s="14"/>
      <c r="J1197" s="27"/>
    </row>
    <row r="1198">
      <c r="A1198" s="14"/>
      <c r="E1198" s="14"/>
      <c r="F1198" s="27"/>
      <c r="G1198" s="14"/>
      <c r="H1198" s="27"/>
      <c r="I1198" s="14"/>
      <c r="J1198" s="27"/>
    </row>
    <row r="1199">
      <c r="A1199" s="14"/>
      <c r="E1199" s="14"/>
      <c r="F1199" s="27"/>
      <c r="G1199" s="14"/>
      <c r="H1199" s="27"/>
      <c r="I1199" s="14"/>
      <c r="J1199" s="27"/>
    </row>
    <row r="1200">
      <c r="A1200" s="14"/>
      <c r="E1200" s="14"/>
      <c r="F1200" s="27"/>
      <c r="G1200" s="14"/>
      <c r="H1200" s="27"/>
      <c r="I1200" s="14"/>
      <c r="J1200" s="27"/>
    </row>
    <row r="1201">
      <c r="A1201" s="14"/>
      <c r="E1201" s="14"/>
      <c r="F1201" s="27"/>
      <c r="G1201" s="14"/>
      <c r="H1201" s="27"/>
      <c r="I1201" s="14"/>
      <c r="J1201" s="27"/>
    </row>
    <row r="1202">
      <c r="A1202" s="14"/>
      <c r="E1202" s="14"/>
      <c r="F1202" s="27"/>
      <c r="G1202" s="14"/>
      <c r="H1202" s="27"/>
      <c r="I1202" s="14"/>
      <c r="J1202" s="27"/>
    </row>
    <row r="1203">
      <c r="A1203" s="14"/>
      <c r="E1203" s="14"/>
      <c r="F1203" s="27"/>
      <c r="G1203" s="14"/>
      <c r="H1203" s="27"/>
      <c r="I1203" s="14"/>
      <c r="J1203" s="27"/>
    </row>
    <row r="1204">
      <c r="A1204" s="14"/>
      <c r="E1204" s="14"/>
      <c r="F1204" s="27"/>
      <c r="G1204" s="14"/>
      <c r="H1204" s="27"/>
      <c r="I1204" s="14"/>
      <c r="J1204" s="27"/>
    </row>
    <row r="1205">
      <c r="A1205" s="14"/>
      <c r="E1205" s="14"/>
      <c r="F1205" s="27"/>
      <c r="G1205" s="14"/>
      <c r="H1205" s="27"/>
      <c r="I1205" s="14"/>
      <c r="J1205" s="27"/>
    </row>
    <row r="1206">
      <c r="A1206" s="14"/>
      <c r="E1206" s="14"/>
      <c r="F1206" s="27"/>
      <c r="G1206" s="14"/>
      <c r="H1206" s="27"/>
      <c r="I1206" s="14"/>
      <c r="J1206" s="27"/>
    </row>
    <row r="1207">
      <c r="A1207" s="14"/>
      <c r="E1207" s="14"/>
      <c r="F1207" s="27"/>
      <c r="G1207" s="14"/>
      <c r="H1207" s="27"/>
      <c r="I1207" s="14"/>
      <c r="J1207" s="27"/>
    </row>
    <row r="1208">
      <c r="A1208" s="14"/>
      <c r="E1208" s="14"/>
      <c r="F1208" s="27"/>
      <c r="G1208" s="14"/>
      <c r="H1208" s="27"/>
      <c r="I1208" s="14"/>
      <c r="J1208" s="27"/>
    </row>
    <row r="1209">
      <c r="A1209" s="14"/>
      <c r="E1209" s="14"/>
      <c r="F1209" s="27"/>
      <c r="G1209" s="14"/>
      <c r="H1209" s="27"/>
      <c r="I1209" s="14"/>
      <c r="J1209" s="27"/>
    </row>
    <row r="1210">
      <c r="A1210" s="14"/>
      <c r="E1210" s="14"/>
      <c r="F1210" s="27"/>
      <c r="G1210" s="14"/>
      <c r="H1210" s="27"/>
      <c r="I1210" s="14"/>
      <c r="J1210" s="27"/>
    </row>
    <row r="1211">
      <c r="A1211" s="14"/>
      <c r="E1211" s="14"/>
      <c r="F1211" s="27"/>
      <c r="G1211" s="14"/>
      <c r="H1211" s="27"/>
      <c r="I1211" s="14"/>
      <c r="J1211" s="27"/>
    </row>
    <row r="1212">
      <c r="A1212" s="14"/>
      <c r="E1212" s="14"/>
      <c r="F1212" s="27"/>
      <c r="G1212" s="14"/>
      <c r="H1212" s="27"/>
      <c r="I1212" s="14"/>
      <c r="J1212" s="27"/>
    </row>
    <row r="1213">
      <c r="A1213" s="14"/>
      <c r="E1213" s="14"/>
      <c r="F1213" s="27"/>
      <c r="G1213" s="14"/>
      <c r="H1213" s="27"/>
      <c r="I1213" s="14"/>
      <c r="J1213" s="27"/>
    </row>
    <row r="1214">
      <c r="A1214" s="14"/>
      <c r="E1214" s="14"/>
      <c r="F1214" s="27"/>
      <c r="G1214" s="14"/>
      <c r="H1214" s="27"/>
      <c r="I1214" s="14"/>
      <c r="J1214" s="27"/>
    </row>
    <row r="1215">
      <c r="A1215" s="14"/>
      <c r="E1215" s="14"/>
      <c r="F1215" s="27"/>
      <c r="G1215" s="14"/>
      <c r="H1215" s="27"/>
      <c r="I1215" s="14"/>
      <c r="J1215" s="27"/>
    </row>
    <row r="1216">
      <c r="A1216" s="14"/>
      <c r="E1216" s="14"/>
      <c r="F1216" s="27"/>
      <c r="G1216" s="14"/>
      <c r="H1216" s="27"/>
      <c r="I1216" s="14"/>
      <c r="J1216" s="27"/>
    </row>
    <row r="1217">
      <c r="A1217" s="14"/>
      <c r="E1217" s="14"/>
      <c r="F1217" s="27"/>
      <c r="G1217" s="14"/>
      <c r="H1217" s="27"/>
      <c r="I1217" s="14"/>
      <c r="J1217" s="27"/>
    </row>
    <row r="1218">
      <c r="A1218" s="14"/>
      <c r="E1218" s="14"/>
      <c r="F1218" s="27"/>
      <c r="G1218" s="14"/>
      <c r="H1218" s="27"/>
      <c r="I1218" s="14"/>
      <c r="J1218" s="27"/>
    </row>
    <row r="1219">
      <c r="A1219" s="14"/>
      <c r="E1219" s="14"/>
      <c r="F1219" s="27"/>
      <c r="G1219" s="14"/>
      <c r="H1219" s="27"/>
      <c r="I1219" s="14"/>
      <c r="J1219" s="27"/>
    </row>
    <row r="1220">
      <c r="A1220" s="14"/>
      <c r="E1220" s="14"/>
      <c r="F1220" s="27"/>
      <c r="G1220" s="14"/>
      <c r="H1220" s="27"/>
      <c r="I1220" s="14"/>
      <c r="J1220" s="27"/>
    </row>
    <row r="1221">
      <c r="A1221" s="14"/>
      <c r="E1221" s="14"/>
      <c r="F1221" s="27"/>
      <c r="G1221" s="14"/>
      <c r="H1221" s="27"/>
      <c r="I1221" s="14"/>
      <c r="J1221" s="27"/>
    </row>
    <row r="1222">
      <c r="A1222" s="14"/>
      <c r="E1222" s="14"/>
      <c r="F1222" s="27"/>
      <c r="G1222" s="14"/>
      <c r="H1222" s="27"/>
      <c r="I1222" s="14"/>
      <c r="J1222" s="27"/>
    </row>
    <row r="1223">
      <c r="A1223" s="14"/>
      <c r="E1223" s="14"/>
      <c r="F1223" s="27"/>
      <c r="G1223" s="14"/>
      <c r="H1223" s="27"/>
      <c r="I1223" s="14"/>
      <c r="J1223" s="27"/>
    </row>
    <row r="1224">
      <c r="A1224" s="14"/>
      <c r="E1224" s="14"/>
      <c r="F1224" s="27"/>
      <c r="G1224" s="14"/>
      <c r="H1224" s="27"/>
      <c r="I1224" s="14"/>
      <c r="J1224" s="27"/>
    </row>
    <row r="1225">
      <c r="A1225" s="14"/>
      <c r="E1225" s="14"/>
      <c r="F1225" s="27"/>
      <c r="G1225" s="14"/>
      <c r="H1225" s="27"/>
      <c r="I1225" s="14"/>
      <c r="J1225" s="27"/>
    </row>
    <row r="1226">
      <c r="A1226" s="14"/>
      <c r="E1226" s="14"/>
      <c r="F1226" s="27"/>
      <c r="G1226" s="14"/>
      <c r="H1226" s="27"/>
      <c r="I1226" s="14"/>
      <c r="J1226" s="27"/>
    </row>
    <row r="1227">
      <c r="A1227" s="14"/>
      <c r="E1227" s="14"/>
      <c r="F1227" s="27"/>
      <c r="G1227" s="14"/>
      <c r="H1227" s="27"/>
      <c r="I1227" s="14"/>
      <c r="J1227" s="27"/>
    </row>
    <row r="1228">
      <c r="A1228" s="14"/>
      <c r="E1228" s="14"/>
      <c r="F1228" s="27"/>
      <c r="G1228" s="14"/>
      <c r="H1228" s="27"/>
      <c r="I1228" s="14"/>
      <c r="J1228" s="27"/>
    </row>
    <row r="1229">
      <c r="A1229" s="14"/>
      <c r="E1229" s="14"/>
      <c r="F1229" s="27"/>
      <c r="G1229" s="14"/>
      <c r="H1229" s="27"/>
      <c r="I1229" s="14"/>
      <c r="J1229" s="27"/>
    </row>
    <row r="1230">
      <c r="A1230" s="14"/>
      <c r="E1230" s="14"/>
      <c r="F1230" s="27"/>
      <c r="G1230" s="14"/>
      <c r="H1230" s="27"/>
      <c r="I1230" s="14"/>
      <c r="J1230" s="27"/>
    </row>
    <row r="1231">
      <c r="A1231" s="14"/>
      <c r="E1231" s="14"/>
      <c r="F1231" s="27"/>
      <c r="G1231" s="14"/>
      <c r="H1231" s="27"/>
      <c r="I1231" s="14"/>
      <c r="J1231" s="27"/>
    </row>
    <row r="1232">
      <c r="A1232" s="14"/>
      <c r="E1232" s="14"/>
      <c r="F1232" s="27"/>
      <c r="G1232" s="14"/>
      <c r="H1232" s="27"/>
      <c r="I1232" s="14"/>
      <c r="J1232" s="27"/>
    </row>
    <row r="1233">
      <c r="A1233" s="14"/>
      <c r="E1233" s="14"/>
      <c r="F1233" s="27"/>
      <c r="G1233" s="14"/>
      <c r="H1233" s="27"/>
      <c r="I1233" s="14"/>
      <c r="J1233" s="27"/>
    </row>
    <row r="1234">
      <c r="A1234" s="14"/>
      <c r="E1234" s="14"/>
      <c r="F1234" s="27"/>
      <c r="G1234" s="14"/>
      <c r="H1234" s="27"/>
      <c r="I1234" s="14"/>
      <c r="J1234" s="27"/>
    </row>
    <row r="1235">
      <c r="A1235" s="14"/>
      <c r="E1235" s="14"/>
      <c r="F1235" s="27"/>
      <c r="G1235" s="14"/>
      <c r="H1235" s="27"/>
      <c r="I1235" s="14"/>
      <c r="J1235" s="27"/>
    </row>
    <row r="1236">
      <c r="A1236" s="14"/>
      <c r="E1236" s="14"/>
      <c r="F1236" s="27"/>
      <c r="G1236" s="14"/>
      <c r="H1236" s="27"/>
      <c r="I1236" s="14"/>
      <c r="J1236" s="27"/>
    </row>
    <row r="1237">
      <c r="A1237" s="14"/>
      <c r="E1237" s="14"/>
      <c r="F1237" s="27"/>
      <c r="G1237" s="14"/>
      <c r="H1237" s="27"/>
      <c r="I1237" s="14"/>
      <c r="J1237" s="27"/>
    </row>
    <row r="1238">
      <c r="A1238" s="14"/>
      <c r="E1238" s="14"/>
      <c r="F1238" s="27"/>
      <c r="G1238" s="14"/>
      <c r="H1238" s="27"/>
      <c r="I1238" s="14"/>
      <c r="J1238" s="27"/>
    </row>
    <row r="1239">
      <c r="A1239" s="14"/>
      <c r="E1239" s="14"/>
      <c r="F1239" s="27"/>
      <c r="G1239" s="14"/>
      <c r="H1239" s="27"/>
      <c r="I1239" s="14"/>
      <c r="J1239" s="27"/>
    </row>
    <row r="1240">
      <c r="A1240" s="14"/>
      <c r="E1240" s="14"/>
      <c r="F1240" s="27"/>
      <c r="G1240" s="14"/>
      <c r="H1240" s="27"/>
      <c r="I1240" s="14"/>
      <c r="J1240" s="27"/>
    </row>
    <row r="1241">
      <c r="A1241" s="14"/>
      <c r="E1241" s="14"/>
      <c r="F1241" s="27"/>
      <c r="G1241" s="14"/>
      <c r="H1241" s="27"/>
      <c r="I1241" s="14"/>
      <c r="J1241" s="27"/>
    </row>
    <row r="1242">
      <c r="A1242" s="14"/>
      <c r="E1242" s="14"/>
      <c r="F1242" s="27"/>
      <c r="G1242" s="14"/>
      <c r="H1242" s="27"/>
      <c r="I1242" s="14"/>
      <c r="J1242" s="27"/>
    </row>
    <row r="1243">
      <c r="A1243" s="14"/>
      <c r="E1243" s="14"/>
      <c r="F1243" s="27"/>
      <c r="G1243" s="14"/>
      <c r="H1243" s="27"/>
      <c r="I1243" s="14"/>
      <c r="J1243" s="27"/>
    </row>
    <row r="1244">
      <c r="A1244" s="14"/>
      <c r="E1244" s="14"/>
      <c r="F1244" s="27"/>
      <c r="G1244" s="14"/>
      <c r="H1244" s="27"/>
      <c r="I1244" s="14"/>
      <c r="J1244" s="27"/>
    </row>
    <row r="1245">
      <c r="A1245" s="14"/>
      <c r="E1245" s="14"/>
      <c r="F1245" s="27"/>
      <c r="G1245" s="14"/>
      <c r="H1245" s="27"/>
      <c r="I1245" s="14"/>
      <c r="J1245" s="27"/>
    </row>
    <row r="1246">
      <c r="A1246" s="14"/>
      <c r="E1246" s="14"/>
      <c r="F1246" s="27"/>
      <c r="G1246" s="14"/>
      <c r="H1246" s="27"/>
      <c r="I1246" s="14"/>
      <c r="J1246" s="27"/>
    </row>
    <row r="1247">
      <c r="A1247" s="14"/>
      <c r="E1247" s="14"/>
      <c r="F1247" s="27"/>
      <c r="G1247" s="14"/>
      <c r="H1247" s="27"/>
      <c r="I1247" s="14"/>
      <c r="J1247" s="27"/>
    </row>
    <row r="1248">
      <c r="A1248" s="14"/>
      <c r="E1248" s="14"/>
      <c r="F1248" s="27"/>
      <c r="G1248" s="14"/>
      <c r="H1248" s="27"/>
      <c r="I1248" s="14"/>
      <c r="J1248" s="27"/>
    </row>
    <row r="1249">
      <c r="A1249" s="14"/>
      <c r="E1249" s="14"/>
      <c r="F1249" s="27"/>
      <c r="G1249" s="14"/>
      <c r="H1249" s="27"/>
      <c r="I1249" s="14"/>
      <c r="J1249" s="27"/>
    </row>
    <row r="1250">
      <c r="A1250" s="14"/>
      <c r="E1250" s="14"/>
      <c r="F1250" s="27"/>
      <c r="G1250" s="14"/>
      <c r="H1250" s="27"/>
      <c r="I1250" s="14"/>
      <c r="J1250" s="27"/>
    </row>
    <row r="1251">
      <c r="A1251" s="14"/>
      <c r="E1251" s="14"/>
      <c r="F1251" s="27"/>
      <c r="G1251" s="14"/>
      <c r="H1251" s="27"/>
      <c r="I1251" s="14"/>
      <c r="J1251" s="27"/>
    </row>
    <row r="1252">
      <c r="A1252" s="14"/>
      <c r="E1252" s="14"/>
      <c r="F1252" s="27"/>
      <c r="G1252" s="14"/>
      <c r="H1252" s="27"/>
      <c r="I1252" s="14"/>
      <c r="J1252" s="27"/>
    </row>
    <row r="1253">
      <c r="A1253" s="14"/>
      <c r="E1253" s="14"/>
      <c r="F1253" s="27"/>
      <c r="G1253" s="14"/>
      <c r="H1253" s="27"/>
      <c r="I1253" s="14"/>
      <c r="J1253" s="27"/>
    </row>
    <row r="1254">
      <c r="A1254" s="14"/>
      <c r="E1254" s="14"/>
      <c r="F1254" s="27"/>
      <c r="G1254" s="14"/>
      <c r="H1254" s="27"/>
      <c r="I1254" s="14"/>
      <c r="J1254" s="27"/>
    </row>
    <row r="1255">
      <c r="A1255" s="14"/>
      <c r="E1255" s="14"/>
      <c r="F1255" s="27"/>
      <c r="G1255" s="14"/>
      <c r="H1255" s="27"/>
      <c r="I1255" s="14"/>
      <c r="J1255" s="27"/>
    </row>
    <row r="1256">
      <c r="A1256" s="14"/>
      <c r="E1256" s="14"/>
      <c r="F1256" s="27"/>
      <c r="G1256" s="14"/>
      <c r="H1256" s="27"/>
      <c r="I1256" s="14"/>
      <c r="J1256" s="27"/>
    </row>
    <row r="1257">
      <c r="A1257" s="14"/>
      <c r="E1257" s="14"/>
      <c r="F1257" s="27"/>
      <c r="G1257" s="14"/>
      <c r="H1257" s="27"/>
      <c r="I1257" s="14"/>
      <c r="J1257" s="27"/>
    </row>
    <row r="1258">
      <c r="A1258" s="14"/>
      <c r="E1258" s="14"/>
      <c r="F1258" s="27"/>
      <c r="G1258" s="14"/>
      <c r="H1258" s="27"/>
      <c r="I1258" s="14"/>
      <c r="J1258" s="27"/>
    </row>
    <row r="1259">
      <c r="A1259" s="14"/>
      <c r="E1259" s="14"/>
      <c r="F1259" s="27"/>
      <c r="G1259" s="14"/>
      <c r="H1259" s="27"/>
      <c r="I1259" s="14"/>
      <c r="J1259" s="27"/>
    </row>
    <row r="1260">
      <c r="A1260" s="14"/>
      <c r="E1260" s="14"/>
      <c r="F1260" s="27"/>
      <c r="G1260" s="14"/>
      <c r="H1260" s="27"/>
      <c r="I1260" s="14"/>
      <c r="J1260" s="27"/>
    </row>
    <row r="1261">
      <c r="A1261" s="14"/>
      <c r="E1261" s="14"/>
      <c r="F1261" s="27"/>
      <c r="G1261" s="14"/>
      <c r="H1261" s="27"/>
      <c r="I1261" s="14"/>
      <c r="J1261" s="27"/>
    </row>
    <row r="1262">
      <c r="A1262" s="14"/>
      <c r="E1262" s="14"/>
      <c r="F1262" s="27"/>
      <c r="G1262" s="14"/>
      <c r="H1262" s="27"/>
      <c r="I1262" s="14"/>
      <c r="J1262" s="27"/>
    </row>
    <row r="1263">
      <c r="A1263" s="14"/>
      <c r="E1263" s="14"/>
      <c r="F1263" s="27"/>
      <c r="G1263" s="14"/>
      <c r="H1263" s="27"/>
      <c r="I1263" s="14"/>
      <c r="J1263" s="27"/>
    </row>
    <row r="1264">
      <c r="A1264" s="14"/>
      <c r="E1264" s="14"/>
      <c r="F1264" s="27"/>
      <c r="G1264" s="14"/>
      <c r="H1264" s="27"/>
      <c r="I1264" s="14"/>
      <c r="J1264" s="27"/>
    </row>
    <row r="1265">
      <c r="A1265" s="14"/>
      <c r="E1265" s="14"/>
      <c r="F1265" s="27"/>
      <c r="G1265" s="14"/>
      <c r="H1265" s="27"/>
      <c r="I1265" s="14"/>
      <c r="J1265" s="27"/>
    </row>
    <row r="1266">
      <c r="A1266" s="14"/>
      <c r="E1266" s="14"/>
      <c r="F1266" s="27"/>
      <c r="G1266" s="14"/>
      <c r="H1266" s="27"/>
      <c r="I1266" s="14"/>
      <c r="J1266" s="27"/>
    </row>
    <row r="1267">
      <c r="A1267" s="14"/>
      <c r="E1267" s="14"/>
      <c r="F1267" s="27"/>
      <c r="G1267" s="14"/>
      <c r="H1267" s="27"/>
      <c r="I1267" s="14"/>
      <c r="J1267" s="27"/>
    </row>
    <row r="1268">
      <c r="A1268" s="14"/>
      <c r="E1268" s="14"/>
      <c r="F1268" s="27"/>
      <c r="G1268" s="14"/>
      <c r="H1268" s="27"/>
      <c r="I1268" s="14"/>
      <c r="J1268" s="27"/>
    </row>
    <row r="1269">
      <c r="A1269" s="14"/>
      <c r="E1269" s="14"/>
      <c r="F1269" s="27"/>
      <c r="G1269" s="14"/>
      <c r="H1269" s="27"/>
      <c r="I1269" s="14"/>
      <c r="J1269" s="27"/>
    </row>
    <row r="1270">
      <c r="A1270" s="14"/>
      <c r="E1270" s="14"/>
      <c r="F1270" s="27"/>
      <c r="G1270" s="14"/>
      <c r="H1270" s="27"/>
      <c r="I1270" s="14"/>
      <c r="J1270" s="27"/>
    </row>
    <row r="1271">
      <c r="A1271" s="14"/>
      <c r="E1271" s="14"/>
      <c r="F1271" s="27"/>
      <c r="G1271" s="14"/>
      <c r="H1271" s="27"/>
      <c r="I1271" s="14"/>
      <c r="J1271" s="27"/>
    </row>
    <row r="1272">
      <c r="A1272" s="14"/>
      <c r="E1272" s="14"/>
      <c r="F1272" s="27"/>
      <c r="G1272" s="14"/>
      <c r="H1272" s="27"/>
      <c r="I1272" s="14"/>
      <c r="J1272" s="27"/>
    </row>
    <row r="1273">
      <c r="A1273" s="14"/>
      <c r="E1273" s="14"/>
      <c r="F1273" s="27"/>
      <c r="G1273" s="14"/>
      <c r="H1273" s="27"/>
      <c r="I1273" s="14"/>
      <c r="J1273" s="27"/>
    </row>
    <row r="1274">
      <c r="A1274" s="14"/>
      <c r="E1274" s="14"/>
      <c r="F1274" s="27"/>
      <c r="G1274" s="14"/>
      <c r="H1274" s="27"/>
      <c r="I1274" s="14"/>
      <c r="J1274" s="27"/>
    </row>
    <row r="1275">
      <c r="A1275" s="14"/>
      <c r="E1275" s="14"/>
      <c r="F1275" s="27"/>
      <c r="G1275" s="14"/>
      <c r="H1275" s="27"/>
      <c r="I1275" s="14"/>
      <c r="J1275" s="27"/>
    </row>
    <row r="1276">
      <c r="A1276" s="14"/>
      <c r="E1276" s="14"/>
      <c r="F1276" s="27"/>
      <c r="G1276" s="14"/>
      <c r="H1276" s="27"/>
      <c r="I1276" s="14"/>
      <c r="J1276" s="27"/>
    </row>
    <row r="1277">
      <c r="A1277" s="14"/>
      <c r="E1277" s="14"/>
      <c r="F1277" s="27"/>
      <c r="G1277" s="14"/>
      <c r="H1277" s="27"/>
      <c r="I1277" s="14"/>
      <c r="J1277" s="27"/>
    </row>
    <row r="1278">
      <c r="A1278" s="14"/>
      <c r="E1278" s="14"/>
      <c r="F1278" s="27"/>
      <c r="G1278" s="14"/>
      <c r="H1278" s="27"/>
      <c r="I1278" s="14"/>
      <c r="J1278" s="27"/>
    </row>
    <row r="1279">
      <c r="A1279" s="14"/>
      <c r="E1279" s="14"/>
      <c r="F1279" s="27"/>
      <c r="G1279" s="14"/>
      <c r="H1279" s="27"/>
      <c r="I1279" s="14"/>
      <c r="J1279" s="27"/>
    </row>
    <row r="1280">
      <c r="A1280" s="14"/>
      <c r="E1280" s="14"/>
      <c r="F1280" s="27"/>
      <c r="G1280" s="14"/>
      <c r="H1280" s="27"/>
      <c r="I1280" s="14"/>
      <c r="J1280" s="27"/>
    </row>
    <row r="1281">
      <c r="A1281" s="14"/>
      <c r="E1281" s="14"/>
      <c r="F1281" s="27"/>
      <c r="G1281" s="14"/>
      <c r="H1281" s="27"/>
      <c r="I1281" s="14"/>
      <c r="J1281" s="27"/>
    </row>
    <row r="1282">
      <c r="A1282" s="14"/>
      <c r="E1282" s="14"/>
      <c r="F1282" s="27"/>
      <c r="G1282" s="14"/>
      <c r="H1282" s="27"/>
      <c r="I1282" s="14"/>
      <c r="J1282" s="27"/>
    </row>
    <row r="1283">
      <c r="A1283" s="14"/>
      <c r="E1283" s="14"/>
      <c r="F1283" s="27"/>
      <c r="G1283" s="14"/>
      <c r="H1283" s="27"/>
      <c r="I1283" s="14"/>
      <c r="J1283" s="27"/>
    </row>
    <row r="1284">
      <c r="A1284" s="14"/>
      <c r="E1284" s="14"/>
      <c r="F1284" s="27"/>
      <c r="G1284" s="14"/>
      <c r="H1284" s="27"/>
      <c r="I1284" s="14"/>
      <c r="J1284" s="27"/>
    </row>
    <row r="1285">
      <c r="A1285" s="14"/>
      <c r="E1285" s="14"/>
      <c r="F1285" s="27"/>
      <c r="G1285" s="14"/>
      <c r="H1285" s="27"/>
      <c r="I1285" s="14"/>
      <c r="J1285" s="27"/>
    </row>
    <row r="1286">
      <c r="A1286" s="14"/>
      <c r="E1286" s="14"/>
      <c r="F1286" s="27"/>
      <c r="G1286" s="14"/>
      <c r="H1286" s="27"/>
      <c r="I1286" s="14"/>
      <c r="J1286" s="27"/>
    </row>
    <row r="1287">
      <c r="A1287" s="14"/>
      <c r="E1287" s="14"/>
      <c r="F1287" s="27"/>
      <c r="G1287" s="14"/>
      <c r="H1287" s="27"/>
      <c r="I1287" s="14"/>
      <c r="J1287" s="27"/>
    </row>
    <row r="1288">
      <c r="A1288" s="14"/>
      <c r="E1288" s="14"/>
      <c r="F1288" s="27"/>
      <c r="G1288" s="14"/>
      <c r="H1288" s="27"/>
      <c r="I1288" s="14"/>
      <c r="J1288" s="27"/>
    </row>
    <row r="1289">
      <c r="A1289" s="14"/>
      <c r="E1289" s="14"/>
      <c r="F1289" s="27"/>
      <c r="G1289" s="14"/>
      <c r="H1289" s="27"/>
      <c r="I1289" s="14"/>
      <c r="J1289" s="27"/>
    </row>
    <row r="1290">
      <c r="A1290" s="14"/>
      <c r="E1290" s="14"/>
      <c r="F1290" s="27"/>
      <c r="G1290" s="14"/>
      <c r="H1290" s="27"/>
      <c r="I1290" s="14"/>
      <c r="J1290" s="27"/>
    </row>
    <row r="1291">
      <c r="A1291" s="14"/>
      <c r="E1291" s="14"/>
      <c r="F1291" s="27"/>
      <c r="G1291" s="14"/>
      <c r="H1291" s="27"/>
      <c r="I1291" s="14"/>
      <c r="J1291" s="27"/>
    </row>
    <row r="1292">
      <c r="A1292" s="14"/>
      <c r="E1292" s="14"/>
      <c r="F1292" s="27"/>
      <c r="G1292" s="14"/>
      <c r="H1292" s="27"/>
      <c r="I1292" s="14"/>
      <c r="J1292" s="27"/>
    </row>
    <row r="1293">
      <c r="A1293" s="14"/>
      <c r="E1293" s="14"/>
      <c r="F1293" s="27"/>
      <c r="G1293" s="14"/>
      <c r="H1293" s="27"/>
      <c r="I1293" s="14"/>
      <c r="J1293" s="27"/>
    </row>
    <row r="1294">
      <c r="A1294" s="14"/>
      <c r="E1294" s="14"/>
      <c r="F1294" s="27"/>
      <c r="G1294" s="14"/>
      <c r="H1294" s="27"/>
      <c r="I1294" s="14"/>
      <c r="J1294" s="27"/>
    </row>
    <row r="1295">
      <c r="A1295" s="14"/>
      <c r="E1295" s="14"/>
      <c r="F1295" s="27"/>
      <c r="G1295" s="14"/>
      <c r="H1295" s="27"/>
      <c r="I1295" s="14"/>
      <c r="J1295" s="27"/>
    </row>
    <row r="1296">
      <c r="A1296" s="14"/>
      <c r="E1296" s="14"/>
      <c r="F1296" s="27"/>
      <c r="G1296" s="14"/>
      <c r="H1296" s="27"/>
      <c r="I1296" s="14"/>
      <c r="J1296" s="27"/>
    </row>
    <row r="1297">
      <c r="A1297" s="14"/>
      <c r="E1297" s="14"/>
      <c r="F1297" s="27"/>
      <c r="G1297" s="14"/>
      <c r="H1297" s="27"/>
      <c r="I1297" s="14"/>
      <c r="J1297" s="27"/>
    </row>
    <row r="1298">
      <c r="A1298" s="14"/>
      <c r="E1298" s="14"/>
      <c r="F1298" s="27"/>
      <c r="G1298" s="14"/>
      <c r="H1298" s="27"/>
      <c r="I1298" s="14"/>
      <c r="J1298" s="27"/>
    </row>
    <row r="1299">
      <c r="A1299" s="14"/>
      <c r="E1299" s="14"/>
      <c r="F1299" s="27"/>
      <c r="G1299" s="14"/>
      <c r="H1299" s="27"/>
      <c r="I1299" s="14"/>
      <c r="J1299" s="27"/>
    </row>
    <row r="1300">
      <c r="A1300" s="14"/>
      <c r="E1300" s="14"/>
      <c r="F1300" s="27"/>
      <c r="G1300" s="14"/>
      <c r="H1300" s="27"/>
      <c r="I1300" s="14"/>
      <c r="J1300" s="27"/>
    </row>
    <row r="1301">
      <c r="A1301" s="14"/>
      <c r="E1301" s="14"/>
      <c r="F1301" s="27"/>
      <c r="G1301" s="14"/>
      <c r="H1301" s="27"/>
      <c r="I1301" s="14"/>
      <c r="J1301" s="27"/>
    </row>
    <row r="1302">
      <c r="A1302" s="14"/>
      <c r="E1302" s="14"/>
      <c r="F1302" s="27"/>
      <c r="G1302" s="14"/>
      <c r="H1302" s="27"/>
      <c r="I1302" s="14"/>
      <c r="J1302" s="27"/>
    </row>
    <row r="1303">
      <c r="A1303" s="14"/>
      <c r="E1303" s="14"/>
      <c r="F1303" s="27"/>
      <c r="G1303" s="14"/>
      <c r="H1303" s="27"/>
      <c r="I1303" s="14"/>
      <c r="J1303" s="27"/>
    </row>
    <row r="1304">
      <c r="A1304" s="14"/>
      <c r="E1304" s="14"/>
      <c r="F1304" s="27"/>
      <c r="G1304" s="14"/>
      <c r="H1304" s="27"/>
      <c r="I1304" s="14"/>
      <c r="J1304" s="27"/>
    </row>
    <row r="1305">
      <c r="A1305" s="14"/>
      <c r="E1305" s="14"/>
      <c r="F1305" s="27"/>
      <c r="G1305" s="14"/>
      <c r="H1305" s="27"/>
      <c r="I1305" s="14"/>
      <c r="J1305" s="27"/>
    </row>
    <row r="1306">
      <c r="A1306" s="14"/>
      <c r="E1306" s="14"/>
      <c r="F1306" s="27"/>
      <c r="G1306" s="14"/>
      <c r="H1306" s="27"/>
      <c r="I1306" s="14"/>
      <c r="J1306" s="27"/>
    </row>
    <row r="1307">
      <c r="A1307" s="14"/>
      <c r="E1307" s="14"/>
      <c r="F1307" s="27"/>
      <c r="G1307" s="14"/>
      <c r="H1307" s="27"/>
      <c r="I1307" s="14"/>
      <c r="J1307" s="27"/>
    </row>
    <row r="1308">
      <c r="A1308" s="14"/>
      <c r="E1308" s="14"/>
      <c r="F1308" s="27"/>
      <c r="G1308" s="14"/>
      <c r="H1308" s="27"/>
      <c r="I1308" s="14"/>
      <c r="J1308" s="27"/>
    </row>
    <row r="1309">
      <c r="A1309" s="14"/>
      <c r="E1309" s="14"/>
      <c r="F1309" s="27"/>
      <c r="G1309" s="14"/>
      <c r="H1309" s="27"/>
      <c r="I1309" s="14"/>
      <c r="J1309" s="27"/>
    </row>
    <row r="1310">
      <c r="A1310" s="14"/>
      <c r="E1310" s="14"/>
      <c r="F1310" s="27"/>
      <c r="G1310" s="14"/>
      <c r="H1310" s="27"/>
      <c r="I1310" s="14"/>
      <c r="J1310" s="27"/>
    </row>
    <row r="1311">
      <c r="A1311" s="14"/>
      <c r="E1311" s="14"/>
      <c r="F1311" s="27"/>
      <c r="G1311" s="14"/>
      <c r="H1311" s="27"/>
      <c r="I1311" s="14"/>
      <c r="J1311" s="27"/>
    </row>
    <row r="1312">
      <c r="A1312" s="14"/>
      <c r="E1312" s="14"/>
      <c r="F1312" s="27"/>
      <c r="G1312" s="14"/>
      <c r="H1312" s="27"/>
      <c r="I1312" s="14"/>
      <c r="J1312" s="27"/>
    </row>
    <row r="1313">
      <c r="A1313" s="14"/>
      <c r="E1313" s="14"/>
      <c r="F1313" s="27"/>
      <c r="G1313" s="14"/>
      <c r="H1313" s="27"/>
      <c r="I1313" s="14"/>
      <c r="J1313" s="27"/>
    </row>
    <row r="1314">
      <c r="A1314" s="14"/>
      <c r="E1314" s="14"/>
      <c r="F1314" s="27"/>
      <c r="G1314" s="14"/>
      <c r="H1314" s="27"/>
      <c r="I1314" s="14"/>
      <c r="J1314" s="27"/>
    </row>
    <row r="1315">
      <c r="A1315" s="14"/>
      <c r="E1315" s="14"/>
      <c r="F1315" s="27"/>
      <c r="G1315" s="14"/>
      <c r="H1315" s="27"/>
      <c r="I1315" s="14"/>
      <c r="J1315" s="27"/>
    </row>
    <row r="1316">
      <c r="A1316" s="14"/>
      <c r="E1316" s="14"/>
      <c r="F1316" s="27"/>
      <c r="G1316" s="14"/>
      <c r="H1316" s="27"/>
      <c r="I1316" s="14"/>
      <c r="J1316" s="27"/>
    </row>
    <row r="1317">
      <c r="A1317" s="14"/>
      <c r="E1317" s="14"/>
      <c r="F1317" s="27"/>
      <c r="G1317" s="14"/>
      <c r="H1317" s="27"/>
      <c r="I1317" s="14"/>
      <c r="J1317" s="27"/>
    </row>
    <row r="1318">
      <c r="A1318" s="14"/>
      <c r="E1318" s="14"/>
      <c r="F1318" s="27"/>
      <c r="G1318" s="14"/>
      <c r="H1318" s="27"/>
      <c r="I1318" s="14"/>
      <c r="J1318" s="27"/>
    </row>
    <row r="1319">
      <c r="A1319" s="14"/>
      <c r="E1319" s="14"/>
      <c r="F1319" s="27"/>
      <c r="G1319" s="14"/>
      <c r="H1319" s="27"/>
      <c r="I1319" s="14"/>
      <c r="J1319" s="27"/>
    </row>
    <row r="1320">
      <c r="A1320" s="14"/>
      <c r="E1320" s="14"/>
      <c r="F1320" s="27"/>
      <c r="G1320" s="14"/>
      <c r="H1320" s="27"/>
      <c r="I1320" s="14"/>
      <c r="J1320" s="27"/>
    </row>
    <row r="1321">
      <c r="A1321" s="14"/>
      <c r="E1321" s="14"/>
      <c r="F1321" s="27"/>
      <c r="G1321" s="14"/>
      <c r="H1321" s="27"/>
      <c r="I1321" s="14"/>
      <c r="J1321" s="27"/>
    </row>
    <row r="1322">
      <c r="A1322" s="14"/>
      <c r="E1322" s="14"/>
      <c r="F1322" s="27"/>
      <c r="G1322" s="14"/>
      <c r="H1322" s="27"/>
      <c r="I1322" s="14"/>
      <c r="J1322" s="27"/>
    </row>
    <row r="1323">
      <c r="A1323" s="14"/>
      <c r="E1323" s="14"/>
      <c r="F1323" s="27"/>
      <c r="G1323" s="14"/>
      <c r="H1323" s="27"/>
      <c r="I1323" s="14"/>
      <c r="J1323" s="27"/>
    </row>
    <row r="1324">
      <c r="A1324" s="14"/>
      <c r="E1324" s="14"/>
      <c r="F1324" s="27"/>
      <c r="G1324" s="14"/>
      <c r="H1324" s="27"/>
      <c r="I1324" s="14"/>
      <c r="J1324" s="27"/>
    </row>
    <row r="1325">
      <c r="A1325" s="14"/>
      <c r="E1325" s="14"/>
      <c r="F1325" s="27"/>
      <c r="G1325" s="14"/>
      <c r="H1325" s="27"/>
      <c r="I1325" s="14"/>
      <c r="J1325" s="27"/>
    </row>
    <row r="1326">
      <c r="A1326" s="14"/>
      <c r="E1326" s="14"/>
      <c r="F1326" s="27"/>
      <c r="G1326" s="14"/>
      <c r="H1326" s="27"/>
      <c r="I1326" s="14"/>
      <c r="J1326" s="27"/>
    </row>
    <row r="1327">
      <c r="A1327" s="14"/>
      <c r="E1327" s="14"/>
      <c r="F1327" s="27"/>
      <c r="G1327" s="14"/>
      <c r="H1327" s="27"/>
      <c r="I1327" s="14"/>
      <c r="J1327" s="27"/>
    </row>
    <row r="1328">
      <c r="A1328" s="14"/>
      <c r="E1328" s="14"/>
      <c r="F1328" s="27"/>
      <c r="G1328" s="14"/>
      <c r="H1328" s="27"/>
      <c r="I1328" s="14"/>
      <c r="J1328" s="27"/>
    </row>
    <row r="1329">
      <c r="A1329" s="14"/>
      <c r="E1329" s="14"/>
      <c r="F1329" s="27"/>
      <c r="G1329" s="14"/>
      <c r="H1329" s="27"/>
      <c r="I1329" s="14"/>
      <c r="J1329" s="27"/>
    </row>
    <row r="1330">
      <c r="A1330" s="14"/>
      <c r="E1330" s="14"/>
      <c r="F1330" s="27"/>
      <c r="G1330" s="14"/>
      <c r="H1330" s="27"/>
      <c r="I1330" s="14"/>
      <c r="J1330" s="27"/>
    </row>
    <row r="1331">
      <c r="A1331" s="14"/>
      <c r="E1331" s="14"/>
      <c r="F1331" s="27"/>
      <c r="G1331" s="14"/>
      <c r="H1331" s="27"/>
      <c r="I1331" s="14"/>
      <c r="J1331" s="27"/>
    </row>
    <row r="1332">
      <c r="A1332" s="14"/>
      <c r="E1332" s="14"/>
      <c r="F1332" s="27"/>
      <c r="G1332" s="14"/>
      <c r="H1332" s="27"/>
      <c r="I1332" s="14"/>
      <c r="J1332" s="27"/>
    </row>
    <row r="1333">
      <c r="A1333" s="14"/>
      <c r="E1333" s="14"/>
      <c r="F1333" s="27"/>
      <c r="G1333" s="14"/>
      <c r="H1333" s="27"/>
      <c r="I1333" s="14"/>
      <c r="J1333" s="27"/>
    </row>
    <row r="1334">
      <c r="A1334" s="14"/>
      <c r="E1334" s="14"/>
      <c r="F1334" s="27"/>
      <c r="G1334" s="14"/>
      <c r="H1334" s="27"/>
      <c r="I1334" s="14"/>
      <c r="J1334" s="27"/>
    </row>
    <row r="1335">
      <c r="A1335" s="14"/>
      <c r="E1335" s="14"/>
      <c r="F1335" s="27"/>
      <c r="G1335" s="14"/>
      <c r="H1335" s="27"/>
      <c r="I1335" s="14"/>
      <c r="J1335" s="27"/>
    </row>
    <row r="1336">
      <c r="A1336" s="14"/>
      <c r="E1336" s="14"/>
      <c r="F1336" s="27"/>
      <c r="G1336" s="14"/>
      <c r="H1336" s="27"/>
      <c r="I1336" s="14"/>
      <c r="J1336" s="27"/>
    </row>
    <row r="1337">
      <c r="A1337" s="14"/>
      <c r="E1337" s="14"/>
      <c r="F1337" s="27"/>
      <c r="G1337" s="14"/>
      <c r="H1337" s="27"/>
      <c r="I1337" s="14"/>
      <c r="J1337" s="27"/>
    </row>
    <row r="1338">
      <c r="A1338" s="14"/>
      <c r="E1338" s="14"/>
      <c r="F1338" s="27"/>
      <c r="G1338" s="14"/>
      <c r="H1338" s="27"/>
      <c r="I1338" s="14"/>
      <c r="J1338" s="27"/>
    </row>
    <row r="1339">
      <c r="A1339" s="14"/>
      <c r="E1339" s="14"/>
      <c r="F1339" s="27"/>
      <c r="G1339" s="14"/>
      <c r="H1339" s="27"/>
      <c r="I1339" s="14"/>
      <c r="J1339" s="27"/>
    </row>
    <row r="1340">
      <c r="A1340" s="14"/>
      <c r="E1340" s="14"/>
      <c r="F1340" s="27"/>
      <c r="G1340" s="14"/>
      <c r="H1340" s="27"/>
      <c r="I1340" s="14"/>
      <c r="J1340" s="27"/>
    </row>
    <row r="1341">
      <c r="A1341" s="14"/>
      <c r="E1341" s="14"/>
      <c r="F1341" s="27"/>
      <c r="G1341" s="14"/>
      <c r="H1341" s="27"/>
      <c r="I1341" s="14"/>
      <c r="J1341" s="27"/>
    </row>
    <row r="1342">
      <c r="A1342" s="14"/>
      <c r="E1342" s="14"/>
      <c r="F1342" s="27"/>
      <c r="G1342" s="14"/>
      <c r="H1342" s="27"/>
      <c r="I1342" s="14"/>
      <c r="J1342" s="27"/>
    </row>
    <row r="1343">
      <c r="A1343" s="14"/>
      <c r="E1343" s="14"/>
      <c r="F1343" s="27"/>
      <c r="G1343" s="14"/>
      <c r="H1343" s="27"/>
      <c r="I1343" s="14"/>
      <c r="J1343" s="27"/>
    </row>
    <row r="1344">
      <c r="A1344" s="14"/>
      <c r="E1344" s="14"/>
      <c r="F1344" s="27"/>
      <c r="G1344" s="14"/>
      <c r="H1344" s="27"/>
      <c r="I1344" s="14"/>
      <c r="J1344" s="27"/>
    </row>
    <row r="1345">
      <c r="A1345" s="14"/>
      <c r="E1345" s="14"/>
      <c r="F1345" s="27"/>
      <c r="G1345" s="14"/>
      <c r="H1345" s="27"/>
      <c r="I1345" s="14"/>
      <c r="J1345" s="27"/>
    </row>
    <row r="1346">
      <c r="A1346" s="14"/>
      <c r="E1346" s="14"/>
      <c r="F1346" s="27"/>
      <c r="G1346" s="14"/>
      <c r="H1346" s="27"/>
      <c r="I1346" s="14"/>
      <c r="J1346" s="27"/>
    </row>
    <row r="1347">
      <c r="A1347" s="14"/>
      <c r="E1347" s="14"/>
      <c r="F1347" s="27"/>
      <c r="G1347" s="14"/>
      <c r="H1347" s="27"/>
      <c r="I1347" s="14"/>
      <c r="J1347" s="27"/>
    </row>
    <row r="1348">
      <c r="A1348" s="14"/>
      <c r="E1348" s="14"/>
      <c r="F1348" s="27"/>
      <c r="G1348" s="14"/>
      <c r="H1348" s="27"/>
      <c r="I1348" s="14"/>
      <c r="J1348" s="27"/>
    </row>
    <row r="1349">
      <c r="A1349" s="14"/>
      <c r="E1349" s="14"/>
      <c r="F1349" s="27"/>
      <c r="G1349" s="14"/>
      <c r="H1349" s="27"/>
      <c r="I1349" s="14"/>
      <c r="J1349" s="27"/>
    </row>
    <row r="1350">
      <c r="A1350" s="14"/>
      <c r="E1350" s="14"/>
      <c r="F1350" s="27"/>
      <c r="G1350" s="14"/>
      <c r="H1350" s="27"/>
      <c r="I1350" s="14"/>
      <c r="J1350" s="27"/>
    </row>
    <row r="1351">
      <c r="A1351" s="14"/>
      <c r="E1351" s="14"/>
      <c r="F1351" s="27"/>
      <c r="G1351" s="14"/>
      <c r="H1351" s="27"/>
      <c r="I1351" s="14"/>
      <c r="J1351" s="27"/>
    </row>
    <row r="1352">
      <c r="A1352" s="14"/>
      <c r="E1352" s="14"/>
      <c r="F1352" s="27"/>
      <c r="G1352" s="14"/>
      <c r="H1352" s="27"/>
      <c r="I1352" s="14"/>
      <c r="J1352" s="27"/>
    </row>
    <row r="1353">
      <c r="A1353" s="14"/>
      <c r="E1353" s="14"/>
      <c r="F1353" s="27"/>
      <c r="G1353" s="14"/>
      <c r="H1353" s="27"/>
      <c r="I1353" s="14"/>
      <c r="J1353" s="27"/>
    </row>
    <row r="1354">
      <c r="A1354" s="14"/>
      <c r="E1354" s="14"/>
      <c r="F1354" s="27"/>
      <c r="G1354" s="14"/>
      <c r="H1354" s="27"/>
      <c r="I1354" s="14"/>
      <c r="J1354" s="27"/>
    </row>
    <row r="1355">
      <c r="A1355" s="14"/>
      <c r="E1355" s="14"/>
      <c r="F1355" s="27"/>
      <c r="G1355" s="14"/>
      <c r="H1355" s="27"/>
      <c r="I1355" s="14"/>
      <c r="J1355" s="27"/>
    </row>
    <row r="1356">
      <c r="A1356" s="14"/>
      <c r="E1356" s="14"/>
      <c r="F1356" s="27"/>
      <c r="G1356" s="14"/>
      <c r="H1356" s="27"/>
      <c r="I1356" s="14"/>
      <c r="J1356" s="27"/>
    </row>
    <row r="1357">
      <c r="A1357" s="14"/>
      <c r="E1357" s="14"/>
      <c r="F1357" s="27"/>
      <c r="G1357" s="14"/>
      <c r="H1357" s="27"/>
      <c r="I1357" s="14"/>
      <c r="J1357" s="27"/>
    </row>
    <row r="1358">
      <c r="A1358" s="14"/>
      <c r="E1358" s="14"/>
      <c r="F1358" s="27"/>
      <c r="G1358" s="14"/>
      <c r="H1358" s="27"/>
      <c r="I1358" s="14"/>
      <c r="J1358" s="27"/>
    </row>
    <row r="1359">
      <c r="A1359" s="14"/>
      <c r="E1359" s="14"/>
      <c r="F1359" s="27"/>
      <c r="G1359" s="14"/>
      <c r="H1359" s="27"/>
      <c r="I1359" s="14"/>
      <c r="J1359" s="27"/>
    </row>
    <row r="1360">
      <c r="A1360" s="14"/>
      <c r="E1360" s="14"/>
      <c r="F1360" s="27"/>
      <c r="G1360" s="14"/>
      <c r="H1360" s="27"/>
      <c r="I1360" s="14"/>
      <c r="J1360" s="27"/>
    </row>
    <row r="1361">
      <c r="A1361" s="14"/>
      <c r="E1361" s="14"/>
      <c r="F1361" s="27"/>
      <c r="G1361" s="14"/>
      <c r="H1361" s="27"/>
      <c r="I1361" s="14"/>
      <c r="J1361" s="27"/>
    </row>
    <row r="1362">
      <c r="A1362" s="14"/>
      <c r="E1362" s="14"/>
      <c r="F1362" s="27"/>
      <c r="G1362" s="14"/>
      <c r="H1362" s="27"/>
      <c r="I1362" s="14"/>
      <c r="J1362" s="27"/>
    </row>
    <row r="1363">
      <c r="A1363" s="14"/>
      <c r="E1363" s="14"/>
      <c r="F1363" s="27"/>
      <c r="G1363" s="14"/>
      <c r="H1363" s="27"/>
      <c r="I1363" s="14"/>
      <c r="J1363" s="27"/>
    </row>
    <row r="1364">
      <c r="A1364" s="14"/>
      <c r="E1364" s="14"/>
      <c r="F1364" s="27"/>
      <c r="G1364" s="14"/>
      <c r="H1364" s="27"/>
      <c r="I1364" s="14"/>
      <c r="J1364" s="27"/>
    </row>
    <row r="1365">
      <c r="A1365" s="14"/>
      <c r="E1365" s="14"/>
      <c r="F1365" s="27"/>
      <c r="G1365" s="14"/>
      <c r="H1365" s="27"/>
      <c r="I1365" s="14"/>
      <c r="J1365" s="27"/>
    </row>
    <row r="1366">
      <c r="A1366" s="14"/>
      <c r="E1366" s="14"/>
      <c r="F1366" s="27"/>
      <c r="G1366" s="14"/>
      <c r="H1366" s="27"/>
      <c r="I1366" s="14"/>
      <c r="J1366" s="27"/>
    </row>
    <row r="1367">
      <c r="A1367" s="14"/>
      <c r="E1367" s="14"/>
      <c r="F1367" s="27"/>
      <c r="G1367" s="14"/>
      <c r="H1367" s="27"/>
      <c r="I1367" s="14"/>
      <c r="J1367" s="27"/>
    </row>
    <row r="1368">
      <c r="A1368" s="14"/>
      <c r="E1368" s="14"/>
      <c r="F1368" s="27"/>
      <c r="G1368" s="14"/>
      <c r="H1368" s="27"/>
      <c r="I1368" s="14"/>
      <c r="J1368" s="27"/>
    </row>
    <row r="1369">
      <c r="A1369" s="14"/>
      <c r="E1369" s="14"/>
      <c r="F1369" s="27"/>
      <c r="G1369" s="14"/>
      <c r="H1369" s="27"/>
      <c r="I1369" s="14"/>
      <c r="J1369" s="27"/>
    </row>
    <row r="1370">
      <c r="A1370" s="14"/>
      <c r="E1370" s="14"/>
      <c r="F1370" s="27"/>
      <c r="G1370" s="14"/>
      <c r="H1370" s="27"/>
      <c r="I1370" s="14"/>
      <c r="J1370" s="27"/>
    </row>
    <row r="1371">
      <c r="A1371" s="14"/>
      <c r="E1371" s="14"/>
      <c r="F1371" s="27"/>
      <c r="G1371" s="14"/>
      <c r="H1371" s="27"/>
      <c r="I1371" s="14"/>
      <c r="J1371" s="27"/>
    </row>
    <row r="1372">
      <c r="A1372" s="14"/>
      <c r="E1372" s="14"/>
      <c r="F1372" s="27"/>
      <c r="G1372" s="14"/>
      <c r="H1372" s="27"/>
      <c r="I1372" s="14"/>
      <c r="J1372" s="27"/>
    </row>
    <row r="1373">
      <c r="A1373" s="14"/>
      <c r="E1373" s="14"/>
      <c r="F1373" s="27"/>
      <c r="G1373" s="14"/>
      <c r="H1373" s="27"/>
      <c r="I1373" s="14"/>
      <c r="J1373" s="27"/>
    </row>
    <row r="1374">
      <c r="A1374" s="14"/>
      <c r="E1374" s="14"/>
      <c r="F1374" s="27"/>
      <c r="G1374" s="14"/>
      <c r="H1374" s="27"/>
      <c r="I1374" s="14"/>
      <c r="J1374" s="27"/>
    </row>
    <row r="1375">
      <c r="A1375" s="14"/>
      <c r="E1375" s="14"/>
      <c r="F1375" s="27"/>
      <c r="G1375" s="14"/>
      <c r="H1375" s="27"/>
      <c r="I1375" s="14"/>
      <c r="J1375" s="27"/>
    </row>
    <row r="1376">
      <c r="A1376" s="14"/>
      <c r="E1376" s="14"/>
      <c r="F1376" s="27"/>
      <c r="G1376" s="14"/>
      <c r="H1376" s="27"/>
      <c r="I1376" s="14"/>
      <c r="J1376" s="27"/>
    </row>
    <row r="1377">
      <c r="A1377" s="14"/>
      <c r="E1377" s="14"/>
      <c r="F1377" s="27"/>
      <c r="G1377" s="14"/>
      <c r="H1377" s="27"/>
      <c r="I1377" s="14"/>
      <c r="J1377" s="27"/>
    </row>
    <row r="1378">
      <c r="A1378" s="14"/>
      <c r="E1378" s="14"/>
      <c r="F1378" s="27"/>
      <c r="G1378" s="14"/>
      <c r="H1378" s="27"/>
      <c r="I1378" s="14"/>
      <c r="J1378" s="27"/>
    </row>
    <row r="1379">
      <c r="A1379" s="14"/>
      <c r="E1379" s="14"/>
      <c r="F1379" s="27"/>
      <c r="G1379" s="14"/>
      <c r="H1379" s="27"/>
      <c r="I1379" s="14"/>
      <c r="J1379" s="27"/>
    </row>
    <row r="1380">
      <c r="A1380" s="14"/>
      <c r="E1380" s="14"/>
      <c r="F1380" s="27"/>
      <c r="G1380" s="14"/>
      <c r="H1380" s="27"/>
      <c r="I1380" s="14"/>
      <c r="J1380" s="27"/>
    </row>
    <row r="1381">
      <c r="A1381" s="14"/>
      <c r="E1381" s="14"/>
      <c r="F1381" s="27"/>
      <c r="G1381" s="14"/>
      <c r="H1381" s="27"/>
      <c r="I1381" s="14"/>
      <c r="J1381" s="27"/>
    </row>
    <row r="1382">
      <c r="A1382" s="14"/>
      <c r="E1382" s="14"/>
      <c r="F1382" s="27"/>
      <c r="G1382" s="14"/>
      <c r="H1382" s="27"/>
      <c r="I1382" s="14"/>
      <c r="J1382" s="27"/>
    </row>
    <row r="1383">
      <c r="A1383" s="14"/>
      <c r="E1383" s="14"/>
      <c r="F1383" s="27"/>
      <c r="G1383" s="14"/>
      <c r="H1383" s="27"/>
      <c r="I1383" s="14"/>
      <c r="J1383" s="27"/>
    </row>
    <row r="1384">
      <c r="A1384" s="14"/>
      <c r="E1384" s="14"/>
      <c r="F1384" s="27"/>
      <c r="G1384" s="14"/>
      <c r="H1384" s="27"/>
      <c r="I1384" s="14"/>
      <c r="J1384" s="27"/>
    </row>
    <row r="1385">
      <c r="A1385" s="14"/>
      <c r="E1385" s="14"/>
      <c r="F1385" s="27"/>
      <c r="G1385" s="14"/>
      <c r="H1385" s="27"/>
      <c r="I1385" s="14"/>
      <c r="J1385" s="27"/>
    </row>
    <row r="1386">
      <c r="A1386" s="14"/>
      <c r="E1386" s="14"/>
      <c r="F1386" s="27"/>
      <c r="G1386" s="14"/>
      <c r="H1386" s="27"/>
      <c r="I1386" s="14"/>
      <c r="J1386" s="27"/>
    </row>
    <row r="1387">
      <c r="A1387" s="14"/>
      <c r="E1387" s="14"/>
      <c r="F1387" s="27"/>
      <c r="G1387" s="14"/>
      <c r="H1387" s="27"/>
      <c r="I1387" s="14"/>
      <c r="J1387" s="27"/>
    </row>
    <row r="1388">
      <c r="A1388" s="14"/>
      <c r="E1388" s="14"/>
      <c r="F1388" s="27"/>
      <c r="G1388" s="14"/>
      <c r="H1388" s="27"/>
      <c r="I1388" s="14"/>
      <c r="J1388" s="27"/>
    </row>
    <row r="1389">
      <c r="A1389" s="14"/>
      <c r="E1389" s="14"/>
      <c r="F1389" s="27"/>
      <c r="G1389" s="14"/>
      <c r="H1389" s="27"/>
      <c r="I1389" s="14"/>
      <c r="J1389" s="27"/>
    </row>
    <row r="1390">
      <c r="A1390" s="14"/>
      <c r="E1390" s="14"/>
      <c r="F1390" s="27"/>
      <c r="G1390" s="14"/>
      <c r="H1390" s="27"/>
      <c r="I1390" s="14"/>
      <c r="J1390" s="27"/>
    </row>
    <row r="1391">
      <c r="A1391" s="14"/>
      <c r="E1391" s="14"/>
      <c r="F1391" s="27"/>
      <c r="G1391" s="14"/>
      <c r="H1391" s="27"/>
      <c r="I1391" s="14"/>
      <c r="J1391" s="27"/>
    </row>
    <row r="1392">
      <c r="A1392" s="14"/>
      <c r="E1392" s="14"/>
      <c r="F1392" s="27"/>
      <c r="G1392" s="14"/>
      <c r="H1392" s="27"/>
      <c r="I1392" s="14"/>
      <c r="J1392" s="27"/>
    </row>
    <row r="1393">
      <c r="A1393" s="14"/>
      <c r="E1393" s="14"/>
      <c r="F1393" s="27"/>
      <c r="G1393" s="14"/>
      <c r="H1393" s="27"/>
      <c r="I1393" s="14"/>
      <c r="J1393" s="27"/>
    </row>
    <row r="1394">
      <c r="A1394" s="14"/>
      <c r="E1394" s="14"/>
      <c r="F1394" s="27"/>
      <c r="G1394" s="14"/>
      <c r="H1394" s="27"/>
      <c r="I1394" s="14"/>
      <c r="J1394" s="27"/>
    </row>
    <row r="1395">
      <c r="A1395" s="14"/>
      <c r="E1395" s="14"/>
      <c r="F1395" s="27"/>
      <c r="G1395" s="14"/>
      <c r="H1395" s="27"/>
      <c r="I1395" s="14"/>
      <c r="J1395" s="27"/>
    </row>
    <row r="1396">
      <c r="A1396" s="14"/>
      <c r="E1396" s="14"/>
      <c r="F1396" s="27"/>
      <c r="G1396" s="14"/>
      <c r="H1396" s="27"/>
      <c r="I1396" s="14"/>
      <c r="J1396" s="27"/>
    </row>
    <row r="1397">
      <c r="A1397" s="14"/>
      <c r="E1397" s="14"/>
      <c r="F1397" s="27"/>
      <c r="G1397" s="14"/>
      <c r="H1397" s="27"/>
      <c r="I1397" s="14"/>
      <c r="J1397" s="27"/>
    </row>
    <row r="1398">
      <c r="A1398" s="14"/>
      <c r="E1398" s="14"/>
      <c r="F1398" s="27"/>
      <c r="G1398" s="14"/>
      <c r="H1398" s="27"/>
      <c r="I1398" s="14"/>
      <c r="J1398" s="27"/>
    </row>
    <row r="1399">
      <c r="A1399" s="14"/>
      <c r="E1399" s="14"/>
      <c r="F1399" s="27"/>
      <c r="G1399" s="14"/>
      <c r="H1399" s="27"/>
      <c r="I1399" s="14"/>
      <c r="J1399" s="27"/>
    </row>
    <row r="1400">
      <c r="A1400" s="14"/>
      <c r="E1400" s="14"/>
      <c r="F1400" s="27"/>
      <c r="G1400" s="14"/>
      <c r="H1400" s="27"/>
      <c r="I1400" s="14"/>
      <c r="J1400" s="27"/>
    </row>
    <row r="1401">
      <c r="A1401" s="14"/>
      <c r="E1401" s="14"/>
      <c r="F1401" s="27"/>
      <c r="G1401" s="14"/>
      <c r="H1401" s="27"/>
      <c r="I1401" s="14"/>
      <c r="J1401" s="27"/>
    </row>
    <row r="1402">
      <c r="A1402" s="14"/>
      <c r="E1402" s="14"/>
      <c r="F1402" s="27"/>
      <c r="G1402" s="14"/>
      <c r="H1402" s="27"/>
      <c r="I1402" s="14"/>
      <c r="J1402" s="27"/>
    </row>
    <row r="1403">
      <c r="A1403" s="14"/>
      <c r="E1403" s="14"/>
      <c r="F1403" s="27"/>
      <c r="G1403" s="14"/>
      <c r="H1403" s="27"/>
      <c r="I1403" s="14"/>
      <c r="J1403" s="27"/>
    </row>
    <row r="1404">
      <c r="A1404" s="14"/>
      <c r="E1404" s="14"/>
      <c r="F1404" s="27"/>
      <c r="G1404" s="14"/>
      <c r="H1404" s="27"/>
      <c r="I1404" s="14"/>
      <c r="J1404" s="27"/>
    </row>
    <row r="1405">
      <c r="A1405" s="14"/>
      <c r="E1405" s="14"/>
      <c r="F1405" s="27"/>
      <c r="G1405" s="14"/>
      <c r="H1405" s="27"/>
      <c r="I1405" s="14"/>
      <c r="J1405" s="27"/>
    </row>
    <row r="1406">
      <c r="A1406" s="14"/>
      <c r="E1406" s="14"/>
      <c r="F1406" s="27"/>
      <c r="G1406" s="14"/>
      <c r="H1406" s="27"/>
      <c r="I1406" s="14"/>
      <c r="J1406" s="27"/>
    </row>
    <row r="1407">
      <c r="A1407" s="14"/>
      <c r="E1407" s="14"/>
      <c r="F1407" s="27"/>
      <c r="G1407" s="14"/>
      <c r="H1407" s="27"/>
      <c r="I1407" s="14"/>
      <c r="J1407" s="27"/>
    </row>
    <row r="1408">
      <c r="A1408" s="14"/>
      <c r="E1408" s="14"/>
      <c r="F1408" s="27"/>
      <c r="G1408" s="14"/>
      <c r="H1408" s="27"/>
      <c r="I1408" s="14"/>
      <c r="J1408" s="27"/>
    </row>
    <row r="1409">
      <c r="A1409" s="14"/>
      <c r="E1409" s="14"/>
      <c r="F1409" s="27"/>
      <c r="G1409" s="14"/>
      <c r="H1409" s="27"/>
      <c r="I1409" s="14"/>
      <c r="J1409" s="27"/>
    </row>
    <row r="1410">
      <c r="A1410" s="14"/>
      <c r="E1410" s="14"/>
      <c r="F1410" s="27"/>
      <c r="G1410" s="14"/>
      <c r="H1410" s="27"/>
      <c r="I1410" s="14"/>
      <c r="J1410" s="27"/>
    </row>
    <row r="1411">
      <c r="A1411" s="14"/>
      <c r="E1411" s="14"/>
      <c r="F1411" s="27"/>
      <c r="G1411" s="14"/>
      <c r="H1411" s="27"/>
      <c r="I1411" s="14"/>
      <c r="J1411" s="27"/>
    </row>
    <row r="1412">
      <c r="A1412" s="14"/>
      <c r="E1412" s="14"/>
      <c r="F1412" s="27"/>
      <c r="G1412" s="14"/>
      <c r="H1412" s="27"/>
      <c r="I1412" s="14"/>
      <c r="J1412" s="27"/>
    </row>
    <row r="1413">
      <c r="A1413" s="14"/>
      <c r="E1413" s="14"/>
      <c r="F1413" s="27"/>
      <c r="G1413" s="14"/>
      <c r="H1413" s="27"/>
      <c r="I1413" s="14"/>
      <c r="J1413" s="27"/>
    </row>
    <row r="1414">
      <c r="A1414" s="14"/>
      <c r="E1414" s="14"/>
      <c r="F1414" s="27"/>
      <c r="G1414" s="14"/>
      <c r="H1414" s="27"/>
      <c r="I1414" s="14"/>
      <c r="J1414" s="27"/>
    </row>
    <row r="1415">
      <c r="A1415" s="14"/>
      <c r="E1415" s="14"/>
      <c r="F1415" s="27"/>
      <c r="G1415" s="14"/>
      <c r="H1415" s="27"/>
      <c r="I1415" s="14"/>
      <c r="J1415" s="27"/>
    </row>
    <row r="1416">
      <c r="A1416" s="14"/>
      <c r="E1416" s="14"/>
      <c r="F1416" s="27"/>
      <c r="G1416" s="14"/>
      <c r="H1416" s="27"/>
      <c r="I1416" s="14"/>
      <c r="J1416" s="27"/>
    </row>
    <row r="1417">
      <c r="A1417" s="14"/>
      <c r="E1417" s="14"/>
      <c r="F1417" s="27"/>
      <c r="G1417" s="14"/>
      <c r="H1417" s="27"/>
      <c r="I1417" s="14"/>
      <c r="J1417" s="27"/>
    </row>
    <row r="1418">
      <c r="A1418" s="14"/>
      <c r="E1418" s="14"/>
      <c r="F1418" s="27"/>
      <c r="G1418" s="14"/>
      <c r="H1418" s="27"/>
      <c r="I1418" s="14"/>
      <c r="J1418" s="27"/>
    </row>
    <row r="1419">
      <c r="A1419" s="14"/>
      <c r="E1419" s="14"/>
      <c r="F1419" s="27"/>
      <c r="G1419" s="14"/>
      <c r="H1419" s="27"/>
      <c r="I1419" s="14"/>
      <c r="J1419" s="27"/>
    </row>
    <row r="1420">
      <c r="A1420" s="14"/>
      <c r="E1420" s="14"/>
      <c r="F1420" s="27"/>
      <c r="G1420" s="14"/>
      <c r="H1420" s="27"/>
      <c r="I1420" s="14"/>
      <c r="J1420" s="27"/>
    </row>
    <row r="1421">
      <c r="A1421" s="14"/>
      <c r="E1421" s="14"/>
      <c r="F1421" s="27"/>
      <c r="G1421" s="14"/>
      <c r="H1421" s="27"/>
      <c r="I1421" s="14"/>
      <c r="J1421" s="27"/>
    </row>
    <row r="1422">
      <c r="A1422" s="14"/>
      <c r="E1422" s="14"/>
      <c r="F1422" s="27"/>
      <c r="G1422" s="14"/>
      <c r="H1422" s="27"/>
      <c r="I1422" s="14"/>
      <c r="J1422" s="27"/>
    </row>
    <row r="1423">
      <c r="A1423" s="14"/>
      <c r="E1423" s="14"/>
      <c r="F1423" s="27"/>
      <c r="G1423" s="14"/>
      <c r="H1423" s="27"/>
      <c r="I1423" s="14"/>
      <c r="J1423" s="27"/>
    </row>
    <row r="1424">
      <c r="A1424" s="14"/>
      <c r="E1424" s="14"/>
      <c r="F1424" s="27"/>
      <c r="G1424" s="14"/>
      <c r="H1424" s="27"/>
      <c r="I1424" s="14"/>
      <c r="J1424" s="27"/>
    </row>
    <row r="1425">
      <c r="A1425" s="14"/>
      <c r="E1425" s="14"/>
      <c r="F1425" s="27"/>
      <c r="G1425" s="14"/>
      <c r="H1425" s="27"/>
      <c r="I1425" s="14"/>
      <c r="J1425" s="27"/>
    </row>
    <row r="1426">
      <c r="A1426" s="14"/>
      <c r="E1426" s="14"/>
      <c r="F1426" s="27"/>
      <c r="G1426" s="14"/>
      <c r="H1426" s="27"/>
      <c r="I1426" s="14"/>
      <c r="J1426" s="27"/>
    </row>
    <row r="1427">
      <c r="A1427" s="14"/>
      <c r="E1427" s="14"/>
      <c r="F1427" s="27"/>
      <c r="G1427" s="14"/>
      <c r="H1427" s="27"/>
      <c r="I1427" s="14"/>
      <c r="J1427" s="27"/>
    </row>
    <row r="1428">
      <c r="A1428" s="14"/>
      <c r="E1428" s="14"/>
      <c r="F1428" s="27"/>
      <c r="G1428" s="14"/>
      <c r="H1428" s="27"/>
      <c r="I1428" s="14"/>
      <c r="J1428" s="27"/>
    </row>
    <row r="1429">
      <c r="A1429" s="14"/>
      <c r="E1429" s="14"/>
      <c r="F1429" s="27"/>
      <c r="G1429" s="14"/>
      <c r="H1429" s="27"/>
      <c r="I1429" s="14"/>
      <c r="J1429" s="27"/>
    </row>
    <row r="1430">
      <c r="A1430" s="14"/>
      <c r="E1430" s="14"/>
      <c r="F1430" s="27"/>
      <c r="G1430" s="14"/>
      <c r="H1430" s="27"/>
      <c r="I1430" s="14"/>
      <c r="J1430" s="27"/>
    </row>
    <row r="1431">
      <c r="A1431" s="14"/>
      <c r="E1431" s="14"/>
      <c r="F1431" s="27"/>
      <c r="G1431" s="14"/>
      <c r="H1431" s="27"/>
      <c r="I1431" s="14"/>
      <c r="J1431" s="27"/>
    </row>
    <row r="1432">
      <c r="A1432" s="14"/>
      <c r="E1432" s="14"/>
      <c r="F1432" s="27"/>
      <c r="G1432" s="14"/>
      <c r="H1432" s="27"/>
      <c r="I1432" s="14"/>
      <c r="J1432" s="27"/>
    </row>
    <row r="1433">
      <c r="A1433" s="14"/>
      <c r="E1433" s="14"/>
      <c r="F1433" s="27"/>
      <c r="G1433" s="14"/>
      <c r="H1433" s="27"/>
      <c r="I1433" s="14"/>
      <c r="J1433" s="27"/>
    </row>
    <row r="1434">
      <c r="A1434" s="14"/>
      <c r="E1434" s="14"/>
      <c r="F1434" s="27"/>
      <c r="G1434" s="14"/>
      <c r="H1434" s="27"/>
      <c r="I1434" s="14"/>
      <c r="J1434" s="27"/>
    </row>
    <row r="1435">
      <c r="A1435" s="14"/>
      <c r="E1435" s="14"/>
      <c r="F1435" s="27"/>
      <c r="G1435" s="14"/>
      <c r="H1435" s="27"/>
      <c r="I1435" s="14"/>
      <c r="J1435" s="27"/>
    </row>
    <row r="1436">
      <c r="A1436" s="14"/>
      <c r="E1436" s="14"/>
      <c r="F1436" s="27"/>
      <c r="G1436" s="14"/>
      <c r="H1436" s="27"/>
      <c r="I1436" s="14"/>
      <c r="J1436" s="27"/>
    </row>
    <row r="1437">
      <c r="A1437" s="14"/>
      <c r="E1437" s="14"/>
      <c r="F1437" s="27"/>
      <c r="G1437" s="14"/>
      <c r="H1437" s="27"/>
      <c r="I1437" s="14"/>
      <c r="J1437" s="27"/>
    </row>
    <row r="1438">
      <c r="A1438" s="14"/>
      <c r="E1438" s="14"/>
      <c r="F1438" s="27"/>
      <c r="G1438" s="14"/>
      <c r="H1438" s="27"/>
      <c r="I1438" s="14"/>
      <c r="J1438" s="27"/>
    </row>
    <row r="1439">
      <c r="A1439" s="14"/>
      <c r="E1439" s="14"/>
      <c r="F1439" s="27"/>
      <c r="G1439" s="14"/>
      <c r="H1439" s="27"/>
      <c r="I1439" s="14"/>
      <c r="J1439" s="27"/>
    </row>
    <row r="1440">
      <c r="A1440" s="14"/>
      <c r="E1440" s="14"/>
      <c r="F1440" s="27"/>
      <c r="G1440" s="14"/>
      <c r="H1440" s="27"/>
      <c r="I1440" s="14"/>
      <c r="J1440" s="27"/>
    </row>
    <row r="1441">
      <c r="A1441" s="14"/>
      <c r="E1441" s="14"/>
      <c r="F1441" s="27"/>
      <c r="G1441" s="14"/>
      <c r="H1441" s="27"/>
      <c r="I1441" s="14"/>
      <c r="J1441" s="27"/>
    </row>
    <row r="1442">
      <c r="A1442" s="14"/>
      <c r="E1442" s="14"/>
      <c r="F1442" s="27"/>
      <c r="G1442" s="14"/>
      <c r="H1442" s="27"/>
      <c r="I1442" s="14"/>
      <c r="J1442" s="27"/>
    </row>
    <row r="1443">
      <c r="A1443" s="14"/>
      <c r="E1443" s="14"/>
      <c r="F1443" s="27"/>
      <c r="G1443" s="14"/>
      <c r="H1443" s="27"/>
      <c r="I1443" s="14"/>
      <c r="J1443" s="27"/>
    </row>
    <row r="1444">
      <c r="A1444" s="14"/>
      <c r="E1444" s="14"/>
      <c r="F1444" s="27"/>
      <c r="G1444" s="14"/>
      <c r="H1444" s="27"/>
      <c r="I1444" s="14"/>
      <c r="J1444" s="27"/>
    </row>
    <row r="1445">
      <c r="A1445" s="14"/>
      <c r="E1445" s="14"/>
      <c r="F1445" s="27"/>
      <c r="G1445" s="14"/>
      <c r="H1445" s="27"/>
      <c r="I1445" s="14"/>
      <c r="J1445" s="27"/>
    </row>
    <row r="1446">
      <c r="A1446" s="14"/>
      <c r="E1446" s="14"/>
      <c r="F1446" s="27"/>
      <c r="G1446" s="14"/>
      <c r="H1446" s="27"/>
      <c r="I1446" s="14"/>
      <c r="J1446" s="27"/>
    </row>
    <row r="1447">
      <c r="A1447" s="14"/>
      <c r="E1447" s="14"/>
      <c r="F1447" s="27"/>
      <c r="G1447" s="14"/>
      <c r="H1447" s="27"/>
      <c r="I1447" s="14"/>
      <c r="J1447" s="27"/>
    </row>
    <row r="1448">
      <c r="A1448" s="14"/>
      <c r="E1448" s="14"/>
      <c r="F1448" s="27"/>
      <c r="G1448" s="14"/>
      <c r="H1448" s="27"/>
      <c r="I1448" s="14"/>
      <c r="J1448" s="27"/>
    </row>
    <row r="1449">
      <c r="A1449" s="14"/>
      <c r="E1449" s="14"/>
      <c r="F1449" s="27"/>
      <c r="G1449" s="14"/>
      <c r="H1449" s="27"/>
      <c r="I1449" s="14"/>
      <c r="J1449" s="27"/>
    </row>
    <row r="1450">
      <c r="A1450" s="14"/>
      <c r="E1450" s="14"/>
      <c r="F1450" s="27"/>
      <c r="G1450" s="14"/>
      <c r="H1450" s="27"/>
      <c r="I1450" s="14"/>
      <c r="J1450" s="27"/>
    </row>
    <row r="1451">
      <c r="A1451" s="14"/>
      <c r="E1451" s="14"/>
      <c r="F1451" s="27"/>
      <c r="G1451" s="14"/>
      <c r="H1451" s="27"/>
      <c r="I1451" s="14"/>
      <c r="J1451" s="27"/>
    </row>
    <row r="1452">
      <c r="A1452" s="14"/>
      <c r="E1452" s="14"/>
      <c r="F1452" s="27"/>
      <c r="G1452" s="14"/>
      <c r="H1452" s="27"/>
      <c r="I1452" s="14"/>
      <c r="J1452" s="27"/>
    </row>
    <row r="1453">
      <c r="A1453" s="14"/>
      <c r="E1453" s="14"/>
      <c r="F1453" s="27"/>
      <c r="G1453" s="14"/>
      <c r="H1453" s="27"/>
      <c r="I1453" s="14"/>
      <c r="J1453" s="27"/>
    </row>
    <row r="1454">
      <c r="A1454" s="14"/>
      <c r="E1454" s="14"/>
      <c r="F1454" s="27"/>
      <c r="G1454" s="14"/>
      <c r="H1454" s="27"/>
      <c r="I1454" s="14"/>
      <c r="J1454" s="27"/>
    </row>
    <row r="1455">
      <c r="A1455" s="14"/>
      <c r="E1455" s="14"/>
      <c r="F1455" s="27"/>
      <c r="G1455" s="14"/>
      <c r="H1455" s="27"/>
      <c r="I1455" s="14"/>
      <c r="J1455" s="27"/>
    </row>
    <row r="1456">
      <c r="A1456" s="14"/>
      <c r="E1456" s="14"/>
      <c r="F1456" s="27"/>
      <c r="G1456" s="14"/>
      <c r="H1456" s="27"/>
      <c r="I1456" s="14"/>
      <c r="J1456" s="27"/>
    </row>
    <row r="1457">
      <c r="A1457" s="14"/>
      <c r="E1457" s="14"/>
      <c r="F1457" s="27"/>
      <c r="G1457" s="14"/>
      <c r="H1457" s="27"/>
      <c r="I1457" s="14"/>
      <c r="J1457" s="27"/>
    </row>
    <row r="1458">
      <c r="A1458" s="14"/>
      <c r="E1458" s="14"/>
      <c r="F1458" s="27"/>
      <c r="G1458" s="14"/>
      <c r="H1458" s="27"/>
      <c r="I1458" s="14"/>
      <c r="J1458" s="27"/>
    </row>
    <row r="1459">
      <c r="A1459" s="14"/>
      <c r="E1459" s="14"/>
      <c r="F1459" s="27"/>
      <c r="G1459" s="14"/>
      <c r="H1459" s="27"/>
      <c r="I1459" s="14"/>
      <c r="J1459" s="27"/>
    </row>
    <row r="1460">
      <c r="A1460" s="14"/>
      <c r="E1460" s="14"/>
      <c r="F1460" s="27"/>
      <c r="G1460" s="14"/>
      <c r="H1460" s="27"/>
      <c r="I1460" s="14"/>
      <c r="J1460" s="27"/>
    </row>
    <row r="1461">
      <c r="A1461" s="14"/>
      <c r="E1461" s="14"/>
      <c r="F1461" s="27"/>
      <c r="G1461" s="14"/>
      <c r="H1461" s="27"/>
      <c r="I1461" s="14"/>
      <c r="J1461" s="27"/>
    </row>
    <row r="1462">
      <c r="A1462" s="14"/>
      <c r="E1462" s="14"/>
      <c r="F1462" s="27"/>
      <c r="G1462" s="14"/>
      <c r="H1462" s="27"/>
      <c r="I1462" s="14"/>
      <c r="J1462" s="27"/>
    </row>
    <row r="1463">
      <c r="A1463" s="14"/>
      <c r="E1463" s="14"/>
      <c r="F1463" s="27"/>
      <c r="G1463" s="14"/>
      <c r="H1463" s="27"/>
      <c r="I1463" s="14"/>
      <c r="J1463" s="27"/>
    </row>
    <row r="1464">
      <c r="A1464" s="14"/>
      <c r="E1464" s="14"/>
      <c r="F1464" s="27"/>
      <c r="G1464" s="14"/>
      <c r="H1464" s="27"/>
      <c r="I1464" s="14"/>
      <c r="J1464" s="27"/>
    </row>
    <row r="1465">
      <c r="A1465" s="14"/>
      <c r="E1465" s="14"/>
      <c r="F1465" s="27"/>
      <c r="G1465" s="14"/>
      <c r="H1465" s="27"/>
      <c r="I1465" s="14"/>
      <c r="J1465" s="27"/>
    </row>
    <row r="1466">
      <c r="A1466" s="14"/>
      <c r="E1466" s="14"/>
      <c r="F1466" s="27"/>
      <c r="G1466" s="14"/>
      <c r="H1466" s="27"/>
      <c r="I1466" s="14"/>
      <c r="J1466" s="27"/>
    </row>
    <row r="1467">
      <c r="A1467" s="14"/>
      <c r="E1467" s="14"/>
      <c r="F1467" s="27"/>
      <c r="G1467" s="14"/>
      <c r="H1467" s="27"/>
      <c r="I1467" s="14"/>
      <c r="J1467" s="27"/>
    </row>
    <row r="1468">
      <c r="A1468" s="14"/>
      <c r="E1468" s="14"/>
      <c r="F1468" s="27"/>
      <c r="G1468" s="14"/>
      <c r="H1468" s="27"/>
      <c r="I1468" s="14"/>
      <c r="J1468" s="27"/>
    </row>
    <row r="1469">
      <c r="A1469" s="14"/>
      <c r="E1469" s="14"/>
      <c r="F1469" s="27"/>
      <c r="G1469" s="14"/>
      <c r="H1469" s="27"/>
      <c r="I1469" s="14"/>
      <c r="J1469" s="27"/>
    </row>
  </sheetData>
  <conditionalFormatting sqref="L1:L16 M1:M7 N1:R16 M9:M16">
    <cfRule type="notContainsBlanks" dxfId="0" priority="1">
      <formula>LEN(TRIM(L1))&gt;0</formula>
    </cfRule>
  </conditionalFormatting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4" t="s">
        <v>1</v>
      </c>
      <c r="B1" s="14" t="s">
        <v>499</v>
      </c>
      <c r="C1" s="14" t="s">
        <v>500</v>
      </c>
      <c r="D1" s="20" t="s">
        <v>501</v>
      </c>
      <c r="E1" s="14" t="s">
        <v>502</v>
      </c>
      <c r="F1" s="27" t="s">
        <v>503</v>
      </c>
      <c r="G1" s="14" t="s">
        <v>504</v>
      </c>
      <c r="H1" s="27" t="s">
        <v>505</v>
      </c>
      <c r="I1" s="14" t="s">
        <v>506</v>
      </c>
      <c r="J1" s="27" t="s">
        <v>507</v>
      </c>
      <c r="L1" s="14" t="s">
        <v>508</v>
      </c>
      <c r="M1" s="21">
        <f t="array" ref="M1">sum(large(D2:D1000,column(indirect("$A$1:" &amp;ADDRESS( 1, 12)))))/12</f>
        <v>18.41666667</v>
      </c>
    </row>
    <row r="2">
      <c r="A2" s="22" t="s">
        <v>558</v>
      </c>
      <c r="B2" s="21">
        <f t="shared" ref="B2:B43" si="1">D2/M$1*2000</f>
        <v>3040.723982</v>
      </c>
      <c r="C2" s="21" t="str">
        <f>VLOOKUP(A2, hash!A$2:B$500, 2, 0)</f>
        <v>#N/A</v>
      </c>
      <c r="D2" s="23">
        <f t="shared" ref="D2:D43" si="2">SUM(E2:J2)</f>
        <v>28</v>
      </c>
      <c r="E2" s="14">
        <v>7.0</v>
      </c>
      <c r="F2" s="27">
        <v>7.0</v>
      </c>
      <c r="G2" s="14">
        <v>7.0</v>
      </c>
      <c r="H2" s="27">
        <v>4.0</v>
      </c>
      <c r="I2" s="14">
        <v>3.0</v>
      </c>
      <c r="J2" s="27"/>
    </row>
    <row r="3">
      <c r="A3" s="22" t="s">
        <v>11</v>
      </c>
      <c r="B3" s="21">
        <f t="shared" si="1"/>
        <v>2606.334842</v>
      </c>
      <c r="C3" s="21" t="str">
        <f>VLOOKUP(A3, hash!A$2:B$500, 2, 0)</f>
        <v>6502005e1d8cbbbd315ad52c</v>
      </c>
      <c r="D3" s="23">
        <f t="shared" si="2"/>
        <v>24</v>
      </c>
      <c r="E3" s="14">
        <v>7.0</v>
      </c>
      <c r="F3" s="27">
        <v>7.0</v>
      </c>
      <c r="G3" s="14">
        <v>7.0</v>
      </c>
      <c r="H3" s="27">
        <v>3.0</v>
      </c>
      <c r="I3" s="14">
        <v>0.0</v>
      </c>
      <c r="J3" s="45"/>
    </row>
    <row r="4">
      <c r="A4" s="22" t="s">
        <v>566</v>
      </c>
      <c r="B4" s="21">
        <f t="shared" si="1"/>
        <v>2389.140271</v>
      </c>
      <c r="C4" s="21" t="str">
        <f>VLOOKUP(A4, hash!A$2:B$500, 2, 0)</f>
        <v>#N/A</v>
      </c>
      <c r="D4" s="23">
        <f t="shared" si="2"/>
        <v>22</v>
      </c>
      <c r="E4" s="14">
        <v>7.0</v>
      </c>
      <c r="F4" s="27">
        <v>7.0</v>
      </c>
      <c r="G4" s="14">
        <v>7.0</v>
      </c>
      <c r="H4" s="45"/>
      <c r="I4" s="14">
        <v>1.0</v>
      </c>
      <c r="J4" s="45"/>
    </row>
    <row r="5">
      <c r="A5" s="22" t="s">
        <v>562</v>
      </c>
      <c r="B5" s="21">
        <f t="shared" si="1"/>
        <v>2171.945701</v>
      </c>
      <c r="C5" s="21" t="str">
        <f>VLOOKUP(A5, hash!A$2:B$500, 2, 0)</f>
        <v>#N/A</v>
      </c>
      <c r="D5" s="23">
        <f t="shared" si="2"/>
        <v>20</v>
      </c>
      <c r="E5" s="14">
        <v>7.0</v>
      </c>
      <c r="F5" s="27">
        <v>5.0</v>
      </c>
      <c r="G5" s="14">
        <v>7.0</v>
      </c>
      <c r="H5" s="27">
        <v>1.0</v>
      </c>
      <c r="J5" s="27"/>
    </row>
    <row r="6">
      <c r="A6" s="22" t="s">
        <v>9</v>
      </c>
      <c r="B6" s="21">
        <f t="shared" si="1"/>
        <v>1954.751131</v>
      </c>
      <c r="C6" s="21" t="str">
        <f>VLOOKUP(A6, hash!A$2:B$500, 2, 0)</f>
        <v>66e1e1237a8e6dc2aed3a642</v>
      </c>
      <c r="D6" s="23">
        <f t="shared" si="2"/>
        <v>18</v>
      </c>
      <c r="E6" s="14">
        <v>7.0</v>
      </c>
      <c r="F6" s="27">
        <v>7.0</v>
      </c>
      <c r="G6" s="14">
        <v>0.0</v>
      </c>
      <c r="H6" s="27">
        <v>3.0</v>
      </c>
      <c r="I6" s="14">
        <v>1.0</v>
      </c>
      <c r="J6" s="27">
        <v>0.0</v>
      </c>
    </row>
    <row r="7">
      <c r="A7" s="22" t="s">
        <v>560</v>
      </c>
      <c r="B7" s="21">
        <f t="shared" si="1"/>
        <v>1954.751131</v>
      </c>
      <c r="C7" s="21" t="str">
        <f>VLOOKUP(A7, hash!A$2:B$500, 2, 0)</f>
        <v>#N/A</v>
      </c>
      <c r="D7" s="23">
        <f t="shared" si="2"/>
        <v>18</v>
      </c>
      <c r="E7" s="14">
        <v>7.0</v>
      </c>
      <c r="F7" s="27">
        <v>7.0</v>
      </c>
      <c r="G7" s="14">
        <v>0.0</v>
      </c>
      <c r="H7" s="45"/>
      <c r="I7" s="14">
        <v>4.0</v>
      </c>
      <c r="J7" s="27">
        <v>0.0</v>
      </c>
    </row>
    <row r="8">
      <c r="A8" s="22" t="s">
        <v>18</v>
      </c>
      <c r="B8" s="21">
        <f t="shared" si="1"/>
        <v>1737.556561</v>
      </c>
      <c r="C8" s="21" t="str">
        <f>VLOOKUP(A8, hash!A$2:B$500, 2, 0)</f>
        <v>6502003d1d8cbbbd315ad525</v>
      </c>
      <c r="D8" s="23">
        <f t="shared" si="2"/>
        <v>16</v>
      </c>
      <c r="E8" s="14">
        <v>7.0</v>
      </c>
      <c r="F8" s="27">
        <v>7.0</v>
      </c>
      <c r="G8" s="14">
        <v>2.0</v>
      </c>
      <c r="H8" s="45"/>
      <c r="J8" s="45"/>
    </row>
    <row r="9">
      <c r="A9" s="22" t="s">
        <v>10</v>
      </c>
      <c r="B9" s="21">
        <f t="shared" si="1"/>
        <v>1628.959276</v>
      </c>
      <c r="C9" s="21" t="str">
        <f>VLOOKUP(A9, hash!A$2:B$500, 2, 0)</f>
        <v>632220270aa8ba2dbc57c0a4</v>
      </c>
      <c r="D9" s="23">
        <f t="shared" si="2"/>
        <v>15</v>
      </c>
      <c r="E9" s="14">
        <v>7.0</v>
      </c>
      <c r="F9" s="27">
        <v>7.0</v>
      </c>
      <c r="H9" s="45"/>
      <c r="I9" s="14">
        <v>1.0</v>
      </c>
      <c r="J9" s="45"/>
    </row>
    <row r="10">
      <c r="A10" s="22" t="s">
        <v>434</v>
      </c>
      <c r="B10" s="21">
        <f t="shared" si="1"/>
        <v>1628.959276</v>
      </c>
      <c r="C10" s="21" t="str">
        <f>VLOOKUP(A10, hash!A$2:B$500, 2, 0)</f>
        <v>63222083cfccb655ce1f3a74</v>
      </c>
      <c r="D10" s="23">
        <f t="shared" si="2"/>
        <v>15</v>
      </c>
      <c r="E10" s="14">
        <v>7.0</v>
      </c>
      <c r="F10" s="27">
        <v>7.0</v>
      </c>
      <c r="G10" s="14">
        <v>0.0</v>
      </c>
      <c r="H10" s="45"/>
      <c r="I10" s="14">
        <v>1.0</v>
      </c>
      <c r="J10" s="27">
        <v>0.0</v>
      </c>
    </row>
    <row r="11">
      <c r="A11" s="22" t="s">
        <v>565</v>
      </c>
      <c r="B11" s="21">
        <f t="shared" si="1"/>
        <v>1628.959276</v>
      </c>
      <c r="C11" s="21" t="str">
        <f>VLOOKUP(A11, hash!A$2:B$500, 2, 0)</f>
        <v>#N/A</v>
      </c>
      <c r="D11" s="23">
        <f t="shared" si="2"/>
        <v>15</v>
      </c>
      <c r="E11" s="14">
        <v>7.0</v>
      </c>
      <c r="F11" s="27">
        <v>7.0</v>
      </c>
      <c r="G11" s="14">
        <v>1.0</v>
      </c>
      <c r="H11" s="27">
        <v>0.0</v>
      </c>
      <c r="I11" s="14">
        <v>0.0</v>
      </c>
      <c r="J11" s="27">
        <v>0.0</v>
      </c>
    </row>
    <row r="12">
      <c r="A12" s="22" t="s">
        <v>15</v>
      </c>
      <c r="B12" s="21">
        <f t="shared" si="1"/>
        <v>1628.959276</v>
      </c>
      <c r="C12" s="21" t="str">
        <f>VLOOKUP(A12, hash!A$2:B$500, 2, 0)</f>
        <v>65020037540ba7cc68909a9b</v>
      </c>
      <c r="D12" s="23">
        <f t="shared" si="2"/>
        <v>15</v>
      </c>
      <c r="E12" s="14">
        <v>7.0</v>
      </c>
      <c r="F12" s="27">
        <v>7.0</v>
      </c>
      <c r="G12" s="14">
        <v>0.0</v>
      </c>
      <c r="H12" s="27">
        <v>1.0</v>
      </c>
      <c r="J12" s="45"/>
    </row>
    <row r="13">
      <c r="A13" s="22" t="s">
        <v>92</v>
      </c>
      <c r="B13" s="21">
        <f t="shared" si="1"/>
        <v>1628.959276</v>
      </c>
      <c r="C13" s="21" t="str">
        <f>VLOOKUP(A13, hash!A$2:B$500, 2, 0)</f>
        <v>66e1e12ae2fbdff8a0c35638</v>
      </c>
      <c r="D13" s="23">
        <f t="shared" si="2"/>
        <v>15</v>
      </c>
      <c r="E13" s="14">
        <v>7.0</v>
      </c>
      <c r="F13" s="27">
        <v>7.0</v>
      </c>
      <c r="G13" s="14">
        <v>0.0</v>
      </c>
      <c r="H13" s="45"/>
      <c r="I13" s="14">
        <v>1.0</v>
      </c>
      <c r="J13" s="45"/>
    </row>
    <row r="14">
      <c r="A14" s="22" t="s">
        <v>60</v>
      </c>
      <c r="B14" s="21">
        <f t="shared" si="1"/>
        <v>1628.959276</v>
      </c>
      <c r="C14" s="21" t="str">
        <f>VLOOKUP(A14, hash!A$2:B$500, 2, 0)</f>
        <v>66e1e105db315cbd40043fc1</v>
      </c>
      <c r="D14" s="23">
        <f t="shared" si="2"/>
        <v>15</v>
      </c>
      <c r="E14" s="14">
        <v>7.0</v>
      </c>
      <c r="F14" s="27">
        <v>7.0</v>
      </c>
      <c r="H14" s="45"/>
      <c r="J14" s="27">
        <v>1.0</v>
      </c>
    </row>
    <row r="15">
      <c r="A15" s="22" t="s">
        <v>563</v>
      </c>
      <c r="B15" s="21">
        <f t="shared" si="1"/>
        <v>1520.361991</v>
      </c>
      <c r="C15" s="21" t="str">
        <f>VLOOKUP(A15, hash!A$2:B$500, 2, 0)</f>
        <v>#N/A</v>
      </c>
      <c r="D15" s="23">
        <f t="shared" si="2"/>
        <v>14</v>
      </c>
      <c r="E15" s="14">
        <v>7.0</v>
      </c>
      <c r="F15" s="27">
        <v>7.0</v>
      </c>
      <c r="G15" s="14">
        <v>0.0</v>
      </c>
      <c r="H15" s="27">
        <v>0.0</v>
      </c>
      <c r="I15" s="14">
        <v>0.0</v>
      </c>
      <c r="J15" s="45"/>
    </row>
    <row r="16">
      <c r="A16" s="22" t="s">
        <v>431</v>
      </c>
      <c r="B16" s="21">
        <f t="shared" si="1"/>
        <v>1520.361991</v>
      </c>
      <c r="C16" s="21" t="str">
        <f>VLOOKUP(A16, hash!A$2:B$500, 2, 0)</f>
        <v>6322202a0aa8ba2dbc57c0a5</v>
      </c>
      <c r="D16" s="23">
        <f t="shared" si="2"/>
        <v>14</v>
      </c>
      <c r="E16" s="14">
        <v>7.0</v>
      </c>
      <c r="F16" s="27">
        <v>7.0</v>
      </c>
      <c r="G16" s="14">
        <v>0.0</v>
      </c>
      <c r="H16" s="45"/>
      <c r="J16" s="45"/>
    </row>
    <row r="17">
      <c r="A17" s="22" t="s">
        <v>571</v>
      </c>
      <c r="B17" s="21">
        <f t="shared" si="1"/>
        <v>1411.764706</v>
      </c>
      <c r="C17" s="21" t="str">
        <f>VLOOKUP(A17, hash!A$2:B$500, 2, 0)</f>
        <v>#N/A</v>
      </c>
      <c r="D17" s="23">
        <f t="shared" si="2"/>
        <v>13</v>
      </c>
      <c r="E17" s="14">
        <v>7.0</v>
      </c>
      <c r="F17" s="27">
        <v>6.0</v>
      </c>
      <c r="G17" s="14">
        <v>0.0</v>
      </c>
      <c r="H17" s="45"/>
      <c r="I17" s="14">
        <v>0.0</v>
      </c>
      <c r="J17" s="45"/>
    </row>
    <row r="18">
      <c r="A18" s="22" t="s">
        <v>569</v>
      </c>
      <c r="B18" s="21">
        <f t="shared" si="1"/>
        <v>1411.764706</v>
      </c>
      <c r="C18" s="21" t="str">
        <f>VLOOKUP(A18, hash!A$2:B$500, 2, 0)</f>
        <v>#N/A</v>
      </c>
      <c r="D18" s="23">
        <f t="shared" si="2"/>
        <v>13</v>
      </c>
      <c r="E18" s="14">
        <v>7.0</v>
      </c>
      <c r="F18" s="27">
        <v>6.0</v>
      </c>
      <c r="H18" s="45"/>
      <c r="I18" s="14">
        <v>0.0</v>
      </c>
      <c r="J18" s="45"/>
    </row>
    <row r="19">
      <c r="A19" s="22" t="s">
        <v>432</v>
      </c>
      <c r="B19" s="21">
        <f t="shared" si="1"/>
        <v>977.3755656</v>
      </c>
      <c r="C19" s="21" t="str">
        <f>VLOOKUP(A19, hash!A$2:B$500, 2, 0)</f>
        <v>632220620aa8ba2dbc57c0ab</v>
      </c>
      <c r="D19" s="23">
        <f t="shared" si="2"/>
        <v>9</v>
      </c>
      <c r="F19" s="27">
        <v>7.0</v>
      </c>
      <c r="G19" s="14">
        <v>2.0</v>
      </c>
      <c r="H19" s="45"/>
      <c r="I19" s="14">
        <v>0.0</v>
      </c>
      <c r="J19" s="27">
        <v>0.0</v>
      </c>
    </row>
    <row r="20">
      <c r="A20" s="22" t="s">
        <v>430</v>
      </c>
      <c r="B20" s="21">
        <f t="shared" si="1"/>
        <v>1628.959276</v>
      </c>
      <c r="C20" s="21" t="str">
        <f>VLOOKUP(A20, hash!A$2:B$500, 2, 0)</f>
        <v>63222011e6a618b2a0444361</v>
      </c>
      <c r="D20" s="23">
        <f t="shared" si="2"/>
        <v>15</v>
      </c>
      <c r="E20" s="14">
        <v>7.0</v>
      </c>
      <c r="F20" s="27">
        <v>7.0</v>
      </c>
      <c r="H20" s="27">
        <v>0.0</v>
      </c>
      <c r="I20" s="14">
        <v>1.0</v>
      </c>
      <c r="J20" s="45"/>
    </row>
    <row r="21">
      <c r="A21" s="22" t="s">
        <v>24</v>
      </c>
      <c r="B21" s="21">
        <f t="shared" si="1"/>
        <v>1628.959276</v>
      </c>
      <c r="C21" s="21" t="str">
        <f>VLOOKUP(A21, hash!A$2:B$500, 2, 0)</f>
        <v>66e1e1277a8e6dc2aed3a645</v>
      </c>
      <c r="D21" s="23">
        <f t="shared" si="2"/>
        <v>15</v>
      </c>
      <c r="E21" s="14">
        <v>7.0</v>
      </c>
      <c r="F21" s="27">
        <v>7.0</v>
      </c>
      <c r="G21" s="14">
        <v>0.0</v>
      </c>
      <c r="H21" s="27">
        <v>1.0</v>
      </c>
      <c r="J21" s="45"/>
    </row>
    <row r="22">
      <c r="A22" s="22" t="s">
        <v>29</v>
      </c>
      <c r="B22" s="21">
        <f t="shared" si="1"/>
        <v>1628.959276</v>
      </c>
      <c r="C22" s="21" t="str">
        <f>VLOOKUP(A22, hash!A$2:B$500, 2, 0)</f>
        <v>66e1e1659bdd593ffcd624e6</v>
      </c>
      <c r="D22" s="23">
        <f t="shared" si="2"/>
        <v>15</v>
      </c>
      <c r="E22" s="14">
        <v>7.0</v>
      </c>
      <c r="F22" s="27">
        <v>7.0</v>
      </c>
      <c r="H22" s="45"/>
      <c r="I22" s="14">
        <v>1.0</v>
      </c>
      <c r="J22" s="45"/>
    </row>
    <row r="23">
      <c r="A23" s="22" t="s">
        <v>573</v>
      </c>
      <c r="B23" s="21">
        <f t="shared" si="1"/>
        <v>977.3755656</v>
      </c>
      <c r="C23" s="21" t="str">
        <f>VLOOKUP(A23, hash!A$2:B$500, 2, 0)</f>
        <v>#N/A</v>
      </c>
      <c r="D23" s="23">
        <f t="shared" si="2"/>
        <v>9</v>
      </c>
      <c r="F23" s="27">
        <v>7.0</v>
      </c>
      <c r="G23" s="14">
        <v>0.0</v>
      </c>
      <c r="H23" s="27">
        <v>0.0</v>
      </c>
      <c r="I23" s="14">
        <v>2.0</v>
      </c>
      <c r="J23" s="45"/>
    </row>
    <row r="24">
      <c r="A24" s="22" t="s">
        <v>34</v>
      </c>
      <c r="B24" s="21">
        <f t="shared" si="1"/>
        <v>868.7782805</v>
      </c>
      <c r="C24" s="21" t="str">
        <f>VLOOKUP(A24, hash!A$2:B$500, 2, 0)</f>
        <v>63222c2fed58d92b843f7cbf</v>
      </c>
      <c r="D24" s="23">
        <f t="shared" si="2"/>
        <v>8</v>
      </c>
      <c r="F24" s="27">
        <v>7.0</v>
      </c>
      <c r="G24" s="14">
        <v>0.0</v>
      </c>
      <c r="H24" s="27">
        <v>1.0</v>
      </c>
      <c r="I24" s="14">
        <v>0.0</v>
      </c>
      <c r="J24" s="45"/>
    </row>
    <row r="25">
      <c r="A25" s="22" t="s">
        <v>39</v>
      </c>
      <c r="B25" s="21">
        <f t="shared" si="1"/>
        <v>868.7782805</v>
      </c>
      <c r="C25" s="21" t="str">
        <f>VLOOKUP(A25, hash!A$2:B$500, 2, 0)</f>
        <v>6594377be0f4f63927a8ce26</v>
      </c>
      <c r="D25" s="23">
        <f t="shared" si="2"/>
        <v>8</v>
      </c>
      <c r="F25" s="27">
        <v>7.0</v>
      </c>
      <c r="H25" s="27">
        <v>0.0</v>
      </c>
      <c r="I25" s="14">
        <v>1.0</v>
      </c>
      <c r="J25" s="45"/>
    </row>
    <row r="26">
      <c r="A26" s="22" t="s">
        <v>30</v>
      </c>
      <c r="B26" s="21">
        <f t="shared" si="1"/>
        <v>1085.972851</v>
      </c>
      <c r="C26" s="21" t="str">
        <f>VLOOKUP(A26, hash!A$2:B$500, 2, 0)</f>
        <v>6322236ef382c17890e6a3e1</v>
      </c>
      <c r="D26" s="23">
        <f t="shared" si="2"/>
        <v>10</v>
      </c>
      <c r="E26" s="14">
        <v>7.0</v>
      </c>
      <c r="F26" s="27">
        <v>3.0</v>
      </c>
      <c r="G26" s="14" t="s">
        <v>27</v>
      </c>
      <c r="H26" s="45"/>
      <c r="J26" s="45"/>
    </row>
    <row r="27">
      <c r="A27" s="22" t="s">
        <v>23</v>
      </c>
      <c r="B27" s="21">
        <f t="shared" si="1"/>
        <v>760.1809955</v>
      </c>
      <c r="C27" s="21" t="str">
        <f>VLOOKUP(A27, hash!A$2:B$500, 2, 0)</f>
        <v>65020bfe097ac3c9d063264f</v>
      </c>
      <c r="D27" s="23">
        <f t="shared" si="2"/>
        <v>7</v>
      </c>
      <c r="E27" s="14">
        <v>7.0</v>
      </c>
      <c r="F27" s="45"/>
      <c r="H27" s="27">
        <v>0.0</v>
      </c>
      <c r="I27" s="14">
        <v>0.0</v>
      </c>
      <c r="J27" s="45"/>
    </row>
    <row r="28">
      <c r="A28" s="22" t="s">
        <v>99</v>
      </c>
      <c r="B28" s="21">
        <f t="shared" si="1"/>
        <v>760.1809955</v>
      </c>
      <c r="C28" s="21" t="str">
        <f>VLOOKUP(A28, hash!A$2:B$500, 2, 0)</f>
        <v>66e1e1107315471e09f2b5b1</v>
      </c>
      <c r="D28" s="23">
        <f t="shared" si="2"/>
        <v>7</v>
      </c>
      <c r="E28" s="14">
        <v>7.0</v>
      </c>
      <c r="F28" s="45"/>
      <c r="H28" s="45"/>
      <c r="J28" s="45"/>
    </row>
    <row r="29">
      <c r="A29" s="22" t="s">
        <v>19</v>
      </c>
      <c r="B29" s="21">
        <f t="shared" si="1"/>
        <v>760.1809955</v>
      </c>
      <c r="C29" s="21" t="str">
        <f>VLOOKUP(A29, hash!A$2:B$500, 2, 0)</f>
        <v>6502007357ae167867eac223</v>
      </c>
      <c r="D29" s="23">
        <f t="shared" si="2"/>
        <v>7</v>
      </c>
      <c r="F29" s="27">
        <v>7.0</v>
      </c>
      <c r="G29" s="14">
        <v>0.0</v>
      </c>
      <c r="H29" s="45"/>
      <c r="J29" s="27">
        <v>0.0</v>
      </c>
    </row>
    <row r="30">
      <c r="A30" s="22" t="s">
        <v>33</v>
      </c>
      <c r="B30" s="21">
        <f t="shared" si="1"/>
        <v>760.1809955</v>
      </c>
      <c r="C30" s="21" t="str">
        <f>VLOOKUP(A30, hash!A$2:B$500, 2, 0)</f>
        <v>66e1e126f0db8f5922c91d85</v>
      </c>
      <c r="D30" s="23">
        <f t="shared" si="2"/>
        <v>7</v>
      </c>
      <c r="F30" s="27">
        <v>7.0</v>
      </c>
      <c r="H30" s="45"/>
      <c r="J30" s="45"/>
    </row>
    <row r="31">
      <c r="A31" s="22" t="s">
        <v>572</v>
      </c>
      <c r="B31" s="21">
        <f t="shared" si="1"/>
        <v>760.1809955</v>
      </c>
      <c r="C31" s="21" t="str">
        <f>VLOOKUP(A31, hash!A$2:B$500, 2, 0)</f>
        <v>#N/A</v>
      </c>
      <c r="D31" s="23">
        <f t="shared" si="2"/>
        <v>7</v>
      </c>
      <c r="F31" s="27">
        <v>7.0</v>
      </c>
      <c r="G31" s="14">
        <v>0.0</v>
      </c>
      <c r="H31" s="45"/>
      <c r="I31" s="14">
        <v>0.0</v>
      </c>
      <c r="J31" s="27">
        <v>0.0</v>
      </c>
    </row>
    <row r="32">
      <c r="A32" s="22" t="s">
        <v>433</v>
      </c>
      <c r="B32" s="21">
        <f t="shared" si="1"/>
        <v>651.5837104</v>
      </c>
      <c r="C32" s="21" t="str">
        <f>VLOOKUP(A32, hash!A$2:B$500, 2, 0)</f>
        <v>6322203581b57daeeb478dd2</v>
      </c>
      <c r="D32" s="23">
        <f t="shared" si="2"/>
        <v>6</v>
      </c>
      <c r="F32" s="27">
        <v>6.0</v>
      </c>
      <c r="H32" s="45"/>
      <c r="J32" s="45"/>
    </row>
    <row r="33">
      <c r="A33" s="22" t="s">
        <v>42</v>
      </c>
      <c r="B33" s="21">
        <f t="shared" si="1"/>
        <v>651.5837104</v>
      </c>
      <c r="C33" s="21" t="str">
        <f>VLOOKUP(A33, hash!A$2:B$500, 2, 0)</f>
        <v>66e1e102a61e89c7c68f6e2f</v>
      </c>
      <c r="D33" s="23">
        <f t="shared" si="2"/>
        <v>6</v>
      </c>
      <c r="F33" s="27">
        <v>5.0</v>
      </c>
      <c r="H33" s="45"/>
      <c r="I33" s="14">
        <v>1.0</v>
      </c>
      <c r="J33" s="45"/>
    </row>
    <row r="34">
      <c r="A34" s="24" t="s">
        <v>13</v>
      </c>
      <c r="B34" s="21">
        <f t="shared" si="1"/>
        <v>1085.972851</v>
      </c>
      <c r="C34" s="21" t="str">
        <f>VLOOKUP(A34, hash!A$2:B$500, 2, 0)</f>
        <v>65020be78f2b101294bb3da8</v>
      </c>
      <c r="D34" s="23">
        <f t="shared" si="2"/>
        <v>10</v>
      </c>
      <c r="F34" s="27">
        <v>7.0</v>
      </c>
      <c r="G34" s="14">
        <v>0.0</v>
      </c>
      <c r="H34" s="27">
        <v>2.0</v>
      </c>
      <c r="I34" s="14">
        <v>1.0</v>
      </c>
      <c r="J34" s="27">
        <v>0.0</v>
      </c>
    </row>
    <row r="35">
      <c r="A35" s="22" t="s">
        <v>63</v>
      </c>
      <c r="B35" s="21">
        <f t="shared" si="1"/>
        <v>1085.972851</v>
      </c>
      <c r="C35" s="21" t="str">
        <f>VLOOKUP(A35, hash!A$2:B$500, 2, 0)</f>
        <v>66e1e12cf0db8f5922c91d89</v>
      </c>
      <c r="D35" s="23">
        <f t="shared" si="2"/>
        <v>10</v>
      </c>
      <c r="F35" s="27">
        <v>7.0</v>
      </c>
      <c r="H35" s="45"/>
      <c r="I35" s="14">
        <v>1.0</v>
      </c>
      <c r="J35" s="27">
        <v>2.0</v>
      </c>
    </row>
    <row r="36">
      <c r="A36" s="22" t="s">
        <v>21</v>
      </c>
      <c r="B36" s="21">
        <f t="shared" si="1"/>
        <v>217.1945701</v>
      </c>
      <c r="C36" s="21" t="str">
        <f>VLOOKUP(A36, hash!A$2:B$500, 2, 0)</f>
        <v>63222da0116f680d68804fa7</v>
      </c>
      <c r="D36" s="23">
        <f t="shared" si="2"/>
        <v>2</v>
      </c>
      <c r="E36" s="14">
        <v>0.0</v>
      </c>
      <c r="F36" s="27">
        <v>2.0</v>
      </c>
      <c r="H36" s="27">
        <v>0.0</v>
      </c>
      <c r="J36" s="45"/>
    </row>
    <row r="37">
      <c r="A37" s="22" t="s">
        <v>568</v>
      </c>
      <c r="B37" s="21">
        <f t="shared" si="1"/>
        <v>868.7782805</v>
      </c>
      <c r="C37" s="21" t="str">
        <f>VLOOKUP(A37, hash!A$2:B$500, 2, 0)</f>
        <v>#N/A</v>
      </c>
      <c r="D37" s="23">
        <f t="shared" si="2"/>
        <v>8</v>
      </c>
      <c r="F37" s="27">
        <v>7.0</v>
      </c>
      <c r="H37" s="45"/>
      <c r="I37" s="14">
        <v>1.0</v>
      </c>
      <c r="J37" s="27"/>
    </row>
    <row r="38">
      <c r="A38" s="22" t="s">
        <v>436</v>
      </c>
      <c r="B38" s="21">
        <f t="shared" si="1"/>
        <v>108.5972851</v>
      </c>
      <c r="C38" s="21" t="str">
        <f>VLOOKUP(A38, hash!A$2:B$500, 2, 0)</f>
        <v>63222dd4a729a8363c093b6d</v>
      </c>
      <c r="D38" s="23">
        <f t="shared" si="2"/>
        <v>1</v>
      </c>
      <c r="F38" s="45"/>
      <c r="G38" s="14">
        <v>0.0</v>
      </c>
      <c r="H38" s="27">
        <v>0.0</v>
      </c>
      <c r="I38" s="14">
        <v>1.0</v>
      </c>
      <c r="J38" s="27">
        <v>0.0</v>
      </c>
    </row>
    <row r="39">
      <c r="A39" s="22" t="s">
        <v>93</v>
      </c>
      <c r="B39" s="21">
        <f t="shared" si="1"/>
        <v>108.5972851</v>
      </c>
      <c r="C39" s="21" t="str">
        <f>VLOOKUP(A39, hash!A$2:B$500, 2, 0)</f>
        <v>65020bd203dd812a55d3a200</v>
      </c>
      <c r="D39" s="23">
        <f t="shared" si="2"/>
        <v>1</v>
      </c>
      <c r="F39" s="45"/>
      <c r="H39" s="45"/>
      <c r="I39" s="14">
        <v>1.0</v>
      </c>
      <c r="J39" s="45"/>
    </row>
    <row r="40">
      <c r="A40" s="22" t="s">
        <v>14</v>
      </c>
      <c r="B40" s="21">
        <f t="shared" si="1"/>
        <v>760.1809955</v>
      </c>
      <c r="C40" s="21" t="str">
        <f>VLOOKUP(A40, hash!A$2:B$500, 2, 0)</f>
        <v>66e1e10f7a8e6dc2aed3a63c</v>
      </c>
      <c r="D40" s="23">
        <f t="shared" si="2"/>
        <v>7</v>
      </c>
      <c r="F40" s="27">
        <v>6.0</v>
      </c>
      <c r="H40" s="45"/>
      <c r="I40" s="14">
        <v>1.0</v>
      </c>
      <c r="J40" s="45"/>
    </row>
    <row r="41">
      <c r="A41" s="22" t="s">
        <v>44</v>
      </c>
      <c r="B41" s="21">
        <f t="shared" si="1"/>
        <v>108.5972851</v>
      </c>
      <c r="C41" s="21" t="str">
        <f>VLOOKUP(A41, hash!A$2:B$500, 2, 0)</f>
        <v>66e1e125f0db8f5922c91d84</v>
      </c>
      <c r="D41" s="23">
        <f t="shared" si="2"/>
        <v>1</v>
      </c>
      <c r="F41" s="45"/>
      <c r="G41" s="14">
        <v>1.0</v>
      </c>
      <c r="H41" s="45"/>
      <c r="J41" s="45"/>
    </row>
    <row r="42">
      <c r="A42" s="22" t="s">
        <v>57</v>
      </c>
      <c r="B42" s="21">
        <f t="shared" si="1"/>
        <v>108.5972851</v>
      </c>
      <c r="C42" s="21" t="str">
        <f>VLOOKUP(A42, hash!A$2:B$500, 2, 0)</f>
        <v>66e1e13168fa766abf5d11d8</v>
      </c>
      <c r="D42" s="23">
        <f t="shared" si="2"/>
        <v>1</v>
      </c>
      <c r="F42" s="27">
        <v>0.0</v>
      </c>
      <c r="H42" s="45"/>
      <c r="I42" s="14">
        <v>1.0</v>
      </c>
      <c r="J42" s="27">
        <v>0.0</v>
      </c>
    </row>
    <row r="43">
      <c r="A43" s="22" t="s">
        <v>61</v>
      </c>
      <c r="B43" s="21">
        <f t="shared" si="1"/>
        <v>108.5972851</v>
      </c>
      <c r="C43" s="21" t="str">
        <f>VLOOKUP(A43, hash!A$2:B$500, 2, 0)</f>
        <v>65020c0f8f2b101294bb3dae</v>
      </c>
      <c r="D43" s="23">
        <f t="shared" si="2"/>
        <v>1</v>
      </c>
      <c r="E43" s="14">
        <v>1.0</v>
      </c>
      <c r="F43" s="45"/>
      <c r="H43" s="45"/>
      <c r="J43" s="45"/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 ht="15.75" customHeight="1">
      <c r="A1" s="46" t="s">
        <v>654</v>
      </c>
      <c r="B1" s="14" t="s">
        <v>655</v>
      </c>
      <c r="C1" s="14" t="s">
        <v>500</v>
      </c>
      <c r="D1" s="20" t="s">
        <v>501</v>
      </c>
      <c r="E1" s="14" t="s">
        <v>502</v>
      </c>
      <c r="F1" s="14" t="s">
        <v>503</v>
      </c>
      <c r="G1" s="14" t="s">
        <v>504</v>
      </c>
      <c r="H1" s="14" t="s">
        <v>505</v>
      </c>
      <c r="I1" s="14" t="s">
        <v>506</v>
      </c>
      <c r="J1" s="14" t="s">
        <v>507</v>
      </c>
      <c r="L1" s="14" t="s">
        <v>508</v>
      </c>
      <c r="M1" s="21">
        <f t="array" ref="M1">sum(large(D2:D985,column(indirect("$A$1:" &amp;ADDRESS( 1, 12)))))/12</f>
        <v>2.083333333</v>
      </c>
    </row>
    <row r="2">
      <c r="A2" s="22" t="s">
        <v>8</v>
      </c>
      <c r="B2" s="21">
        <f t="shared" ref="B2:B467" si="1">D2/M$1*2000</f>
        <v>2880</v>
      </c>
      <c r="C2" s="21" t="str">
        <f>VLOOKUP(A2, hash!A$2:B$500, 2, 0)</f>
        <v>6322202c0aa8ba2dbc57c0a6</v>
      </c>
      <c r="D2" s="23">
        <f t="shared" ref="D2:D467" si="2">SUM(E2:J2)</f>
        <v>3</v>
      </c>
      <c r="E2" s="14">
        <v>1.0</v>
      </c>
      <c r="F2" s="14">
        <v>0.0</v>
      </c>
      <c r="G2" s="14">
        <v>1.0</v>
      </c>
      <c r="I2" s="14">
        <v>1.0</v>
      </c>
      <c r="J2" s="14">
        <v>0.0</v>
      </c>
    </row>
    <row r="3">
      <c r="A3" s="22" t="s">
        <v>11</v>
      </c>
      <c r="B3" s="21">
        <f t="shared" si="1"/>
        <v>1920</v>
      </c>
      <c r="C3" s="21" t="str">
        <f>VLOOKUP(A3, hash!A$2:B$500, 2, 0)</f>
        <v>6502005e1d8cbbbd315ad52c</v>
      </c>
      <c r="D3" s="23">
        <f t="shared" si="2"/>
        <v>2</v>
      </c>
      <c r="E3" s="14">
        <v>1.0</v>
      </c>
      <c r="F3" s="14">
        <v>0.0</v>
      </c>
      <c r="G3" s="14">
        <v>1.0</v>
      </c>
    </row>
    <row r="4">
      <c r="A4" s="22" t="s">
        <v>13</v>
      </c>
      <c r="B4" s="21">
        <f t="shared" si="1"/>
        <v>1920</v>
      </c>
      <c r="C4" s="21" t="str">
        <f>VLOOKUP(A4, hash!A$2:B$500, 2, 0)</f>
        <v>65020be78f2b101294bb3da8</v>
      </c>
      <c r="D4" s="23">
        <f t="shared" si="2"/>
        <v>2</v>
      </c>
      <c r="E4" s="14">
        <v>1.0</v>
      </c>
      <c r="F4" s="14">
        <v>0.0</v>
      </c>
      <c r="G4" s="14">
        <v>1.0</v>
      </c>
      <c r="H4" s="14">
        <v>0.0</v>
      </c>
    </row>
    <row r="5">
      <c r="A5" s="22" t="s">
        <v>563</v>
      </c>
      <c r="B5" s="21">
        <f t="shared" si="1"/>
        <v>1920</v>
      </c>
      <c r="C5" s="21" t="str">
        <f>VLOOKUP(A5, hash!A$2:B$500, 2, 0)</f>
        <v>#N/A</v>
      </c>
      <c r="D5" s="23">
        <f t="shared" si="2"/>
        <v>2</v>
      </c>
      <c r="E5" s="14">
        <v>1.0</v>
      </c>
      <c r="F5" s="14">
        <v>0.0</v>
      </c>
      <c r="I5" s="14">
        <v>1.0</v>
      </c>
    </row>
    <row r="6">
      <c r="A6" s="22" t="s">
        <v>95</v>
      </c>
      <c r="B6" s="21">
        <f t="shared" si="1"/>
        <v>1920</v>
      </c>
      <c r="C6" s="21" t="str">
        <f>VLOOKUP(A6, hash!A$2:B$500, 2, 0)</f>
        <v>6502002d96a576d9fa03f999</v>
      </c>
      <c r="D6" s="23">
        <f t="shared" si="2"/>
        <v>2</v>
      </c>
      <c r="E6" s="14">
        <v>1.0</v>
      </c>
      <c r="F6" s="14">
        <v>0.0</v>
      </c>
      <c r="G6" s="14">
        <v>1.0</v>
      </c>
    </row>
    <row r="7">
      <c r="A7" s="22" t="s">
        <v>558</v>
      </c>
      <c r="B7" s="21">
        <f t="shared" si="1"/>
        <v>1920</v>
      </c>
      <c r="C7" s="21" t="str">
        <f>VLOOKUP(A7, hash!A$2:B$500, 2, 0)</f>
        <v>#N/A</v>
      </c>
      <c r="D7" s="23">
        <f t="shared" si="2"/>
        <v>2</v>
      </c>
      <c r="G7" s="14">
        <v>1.0</v>
      </c>
      <c r="I7" s="14">
        <v>1.0</v>
      </c>
      <c r="J7" s="14">
        <v>0.0</v>
      </c>
    </row>
    <row r="8">
      <c r="A8" s="22" t="s">
        <v>566</v>
      </c>
      <c r="B8" s="21">
        <f t="shared" si="1"/>
        <v>1920</v>
      </c>
      <c r="C8" s="21" t="str">
        <f>VLOOKUP(A8, hash!A$2:B$500, 2, 0)</f>
        <v>#N/A</v>
      </c>
      <c r="D8" s="23">
        <f t="shared" si="2"/>
        <v>2</v>
      </c>
      <c r="G8" s="14">
        <v>1.0</v>
      </c>
      <c r="I8" s="14">
        <v>1.0</v>
      </c>
    </row>
    <row r="9">
      <c r="A9" s="22" t="s">
        <v>9</v>
      </c>
      <c r="B9" s="21">
        <f t="shared" si="1"/>
        <v>1920</v>
      </c>
      <c r="C9" s="21" t="str">
        <f>VLOOKUP(A9, hash!A$2:B$500, 2, 0)</f>
        <v>66e1e1237a8e6dc2aed3a642</v>
      </c>
      <c r="D9" s="23">
        <f t="shared" si="2"/>
        <v>2</v>
      </c>
      <c r="G9" s="14">
        <v>1.0</v>
      </c>
      <c r="I9" s="14">
        <v>1.0</v>
      </c>
      <c r="J9" s="14">
        <v>0.0</v>
      </c>
    </row>
    <row r="10">
      <c r="A10" s="22" t="s">
        <v>92</v>
      </c>
      <c r="B10" s="21">
        <f t="shared" si="1"/>
        <v>1920</v>
      </c>
      <c r="C10" s="21" t="str">
        <f>VLOOKUP(A10, hash!A$2:B$500, 2, 0)</f>
        <v>66e1e12ae2fbdff8a0c35638</v>
      </c>
      <c r="D10" s="23">
        <f t="shared" si="2"/>
        <v>2</v>
      </c>
      <c r="G10" s="14">
        <v>1.0</v>
      </c>
      <c r="H10" s="14">
        <v>0.0</v>
      </c>
      <c r="I10" s="14">
        <v>1.0</v>
      </c>
      <c r="J10" s="14">
        <v>0.0</v>
      </c>
    </row>
    <row r="11">
      <c r="A11" s="22" t="s">
        <v>10</v>
      </c>
      <c r="B11" s="21">
        <f t="shared" si="1"/>
        <v>1920</v>
      </c>
      <c r="C11" s="21" t="str">
        <f>VLOOKUP(A11, hash!A$2:B$500, 2, 0)</f>
        <v>632220270aa8ba2dbc57c0a4</v>
      </c>
      <c r="D11" s="23">
        <f t="shared" si="2"/>
        <v>2</v>
      </c>
      <c r="G11" s="14">
        <v>1.0</v>
      </c>
      <c r="I11" s="14">
        <v>1.0</v>
      </c>
      <c r="J11" s="14">
        <v>0.0</v>
      </c>
    </row>
    <row r="12">
      <c r="A12" s="22" t="s">
        <v>432</v>
      </c>
      <c r="B12" s="21">
        <f t="shared" si="1"/>
        <v>1920</v>
      </c>
      <c r="C12" s="21" t="str">
        <f>VLOOKUP(A12, hash!A$2:B$500, 2, 0)</f>
        <v>632220620aa8ba2dbc57c0ab</v>
      </c>
      <c r="D12" s="23">
        <f t="shared" si="2"/>
        <v>2</v>
      </c>
      <c r="G12" s="14">
        <v>1.0</v>
      </c>
      <c r="I12" s="14">
        <v>1.0</v>
      </c>
    </row>
    <row r="13">
      <c r="A13" s="22" t="s">
        <v>594</v>
      </c>
      <c r="B13" s="21">
        <f t="shared" si="1"/>
        <v>1920</v>
      </c>
      <c r="C13" s="21" t="str">
        <f>VLOOKUP(A13, hash!A$2:B$500, 2, 0)</f>
        <v>#N/A</v>
      </c>
      <c r="D13" s="23">
        <f t="shared" si="2"/>
        <v>2</v>
      </c>
      <c r="G13" s="14">
        <v>1.0</v>
      </c>
      <c r="I13" s="14">
        <v>1.0</v>
      </c>
      <c r="J13" s="14">
        <v>0.0</v>
      </c>
    </row>
    <row r="14">
      <c r="A14" s="22" t="s">
        <v>60</v>
      </c>
      <c r="B14" s="21">
        <f t="shared" si="1"/>
        <v>1920</v>
      </c>
      <c r="C14" s="21" t="str">
        <f>VLOOKUP(A14, hash!A$2:B$500, 2, 0)</f>
        <v>66e1e105db315cbd40043fc1</v>
      </c>
      <c r="D14" s="23">
        <f t="shared" si="2"/>
        <v>2</v>
      </c>
      <c r="G14" s="14">
        <v>1.0</v>
      </c>
      <c r="I14" s="14">
        <v>1.0</v>
      </c>
      <c r="J14" s="14">
        <v>0.0</v>
      </c>
    </row>
    <row r="15">
      <c r="A15" s="22" t="s">
        <v>562</v>
      </c>
      <c r="B15" s="21">
        <f t="shared" si="1"/>
        <v>1920</v>
      </c>
      <c r="C15" s="21" t="str">
        <f>VLOOKUP(A15, hash!A$2:B$500, 2, 0)</f>
        <v>#N/A</v>
      </c>
      <c r="D15" s="23">
        <f t="shared" si="2"/>
        <v>2</v>
      </c>
      <c r="G15" s="14">
        <v>1.0</v>
      </c>
      <c r="I15" s="14">
        <v>1.0</v>
      </c>
    </row>
    <row r="16">
      <c r="A16" s="22" t="s">
        <v>573</v>
      </c>
      <c r="B16" s="21">
        <f t="shared" si="1"/>
        <v>960</v>
      </c>
      <c r="C16" s="21" t="str">
        <f>VLOOKUP(A16, hash!A$2:B$500, 2, 0)</f>
        <v>#N/A</v>
      </c>
      <c r="D16" s="23">
        <f t="shared" si="2"/>
        <v>1</v>
      </c>
      <c r="E16" s="14">
        <v>1.0</v>
      </c>
      <c r="F16" s="14">
        <v>0.0</v>
      </c>
    </row>
    <row r="17">
      <c r="A17" s="22" t="s">
        <v>93</v>
      </c>
      <c r="B17" s="21">
        <f t="shared" si="1"/>
        <v>960</v>
      </c>
      <c r="C17" s="21" t="str">
        <f>VLOOKUP(A17, hash!A$2:B$500, 2, 0)</f>
        <v>65020bd203dd812a55d3a200</v>
      </c>
      <c r="D17" s="23">
        <f t="shared" si="2"/>
        <v>1</v>
      </c>
      <c r="E17" s="14">
        <v>1.0</v>
      </c>
      <c r="F17" s="14">
        <v>0.0</v>
      </c>
      <c r="I17" s="14">
        <v>0.0</v>
      </c>
      <c r="J17" s="14">
        <v>0.0</v>
      </c>
    </row>
    <row r="18">
      <c r="A18" s="22" t="s">
        <v>560</v>
      </c>
      <c r="B18" s="21">
        <f t="shared" si="1"/>
        <v>960</v>
      </c>
      <c r="C18" s="21" t="str">
        <f>VLOOKUP(A18, hash!A$2:B$500, 2, 0)</f>
        <v>#N/A</v>
      </c>
      <c r="D18" s="23">
        <f t="shared" si="2"/>
        <v>1</v>
      </c>
      <c r="G18" s="14">
        <v>1.0</v>
      </c>
    </row>
    <row r="19">
      <c r="A19" s="22" t="s">
        <v>431</v>
      </c>
      <c r="B19" s="21">
        <f t="shared" si="1"/>
        <v>960</v>
      </c>
      <c r="C19" s="21" t="str">
        <f>VLOOKUP(A19, hash!A$2:B$500, 2, 0)</f>
        <v>6322202a0aa8ba2dbc57c0a5</v>
      </c>
      <c r="D19" s="23">
        <f t="shared" si="2"/>
        <v>1</v>
      </c>
      <c r="I19" s="14">
        <v>1.0</v>
      </c>
      <c r="J19" s="14">
        <v>0.0</v>
      </c>
    </row>
    <row r="20">
      <c r="A20" s="22" t="s">
        <v>569</v>
      </c>
      <c r="B20" s="21">
        <f t="shared" si="1"/>
        <v>960</v>
      </c>
      <c r="C20" s="21" t="str">
        <f>VLOOKUP(A20, hash!A$2:B$500, 2, 0)</f>
        <v>#N/A</v>
      </c>
      <c r="D20" s="23">
        <f t="shared" si="2"/>
        <v>1</v>
      </c>
      <c r="I20" s="14">
        <v>1.0</v>
      </c>
      <c r="J20" s="14">
        <v>0.0</v>
      </c>
    </row>
    <row r="21">
      <c r="A21" s="22" t="s">
        <v>572</v>
      </c>
      <c r="B21" s="21">
        <f t="shared" si="1"/>
        <v>960</v>
      </c>
      <c r="C21" s="21" t="str">
        <f>VLOOKUP(A21, hash!A$2:B$500, 2, 0)</f>
        <v>#N/A</v>
      </c>
      <c r="D21" s="23">
        <f t="shared" si="2"/>
        <v>1</v>
      </c>
      <c r="G21" s="14">
        <v>1.0</v>
      </c>
    </row>
    <row r="22">
      <c r="A22" s="22" t="s">
        <v>565</v>
      </c>
      <c r="B22" s="21">
        <f t="shared" si="1"/>
        <v>960</v>
      </c>
      <c r="C22" s="21" t="str">
        <f>VLOOKUP(A22, hash!A$2:B$500, 2, 0)</f>
        <v>#N/A</v>
      </c>
      <c r="D22" s="23">
        <f t="shared" si="2"/>
        <v>1</v>
      </c>
      <c r="I22" s="14">
        <v>1.0</v>
      </c>
      <c r="J22" s="14">
        <v>0.0</v>
      </c>
    </row>
    <row r="23">
      <c r="A23" s="22" t="s">
        <v>15</v>
      </c>
      <c r="B23" s="21">
        <f t="shared" si="1"/>
        <v>960</v>
      </c>
      <c r="C23" s="21" t="str">
        <f>VLOOKUP(A23, hash!A$2:B$500, 2, 0)</f>
        <v>65020037540ba7cc68909a9b</v>
      </c>
      <c r="D23" s="23">
        <f t="shared" si="2"/>
        <v>1</v>
      </c>
      <c r="I23" s="14">
        <v>1.0</v>
      </c>
      <c r="J23" s="14">
        <v>0.0</v>
      </c>
    </row>
    <row r="24">
      <c r="A24" s="22" t="s">
        <v>571</v>
      </c>
      <c r="B24" s="21">
        <f t="shared" si="1"/>
        <v>960</v>
      </c>
      <c r="C24" s="21" t="str">
        <f>VLOOKUP(A24, hash!A$2:B$500, 2, 0)</f>
        <v>#N/A</v>
      </c>
      <c r="D24" s="23">
        <f t="shared" si="2"/>
        <v>1</v>
      </c>
      <c r="I24" s="14">
        <v>1.0</v>
      </c>
      <c r="J24" s="14">
        <v>0.0</v>
      </c>
    </row>
    <row r="25">
      <c r="A25" s="22" t="s">
        <v>94</v>
      </c>
      <c r="B25" s="21">
        <f t="shared" si="1"/>
        <v>960</v>
      </c>
      <c r="C25" s="21" t="str">
        <f>VLOOKUP(A25, hash!A$2:B$500, 2, 0)</f>
        <v>6502002b1d8cbbbd315ad524</v>
      </c>
      <c r="D25" s="23">
        <f t="shared" si="2"/>
        <v>1</v>
      </c>
      <c r="I25" s="14">
        <v>1.0</v>
      </c>
    </row>
    <row r="26">
      <c r="A26" s="22" t="s">
        <v>18</v>
      </c>
      <c r="B26" s="21">
        <f t="shared" si="1"/>
        <v>960</v>
      </c>
      <c r="C26" s="21" t="str">
        <f>VLOOKUP(A26, hash!A$2:B$500, 2, 0)</f>
        <v>6502003d1d8cbbbd315ad525</v>
      </c>
      <c r="D26" s="23">
        <f t="shared" si="2"/>
        <v>1</v>
      </c>
      <c r="I26" s="14">
        <v>1.0</v>
      </c>
    </row>
    <row r="27">
      <c r="A27" s="22" t="s">
        <v>88</v>
      </c>
      <c r="B27" s="21">
        <f t="shared" si="1"/>
        <v>960</v>
      </c>
      <c r="C27" s="21" t="str">
        <f>VLOOKUP(A27, hash!A$2:B$500, 2, 0)</f>
        <v>65020d65097ac3c9d063266d</v>
      </c>
      <c r="D27" s="23">
        <f t="shared" si="2"/>
        <v>1</v>
      </c>
      <c r="I27" s="14">
        <v>1.0</v>
      </c>
      <c r="J27" s="14">
        <v>0.0</v>
      </c>
    </row>
    <row r="28">
      <c r="A28" s="22" t="s">
        <v>16</v>
      </c>
      <c r="B28" s="21">
        <f t="shared" si="1"/>
        <v>960</v>
      </c>
      <c r="C28" s="21" t="str">
        <f>VLOOKUP(A28, hash!A$2:B$500, 2, 0)</f>
        <v>66e1e1267a8e6dc2aed3a644</v>
      </c>
      <c r="D28" s="23">
        <f t="shared" si="2"/>
        <v>1</v>
      </c>
      <c r="G28" s="14">
        <v>1.0</v>
      </c>
    </row>
    <row r="29">
      <c r="A29" s="22" t="s">
        <v>24</v>
      </c>
      <c r="B29" s="21">
        <f t="shared" si="1"/>
        <v>960</v>
      </c>
      <c r="C29" s="21" t="str">
        <f>VLOOKUP(A29, hash!A$2:B$500, 2, 0)</f>
        <v>66e1e1277a8e6dc2aed3a645</v>
      </c>
      <c r="D29" s="23">
        <f t="shared" si="2"/>
        <v>1</v>
      </c>
      <c r="G29" s="14">
        <v>1.0</v>
      </c>
      <c r="H29" s="14">
        <v>0.0</v>
      </c>
    </row>
    <row r="30">
      <c r="A30" s="22" t="s">
        <v>441</v>
      </c>
      <c r="B30" s="21">
        <f t="shared" si="1"/>
        <v>960</v>
      </c>
      <c r="C30" s="21" t="str">
        <f>VLOOKUP(A30, hash!A$2:B$500, 2, 0)</f>
        <v>632220596d021b5cf508ccd5</v>
      </c>
      <c r="D30" s="23">
        <f t="shared" si="2"/>
        <v>1</v>
      </c>
      <c r="G30" s="14">
        <v>1.0</v>
      </c>
    </row>
    <row r="31">
      <c r="A31" s="22" t="s">
        <v>450</v>
      </c>
      <c r="B31" s="21">
        <f t="shared" si="1"/>
        <v>960</v>
      </c>
      <c r="C31" s="21" t="str">
        <f>VLOOKUP(A31, hash!A$2:B$500, 2, 0)</f>
        <v>632223bdd53b2d7ef1d3746e</v>
      </c>
      <c r="D31" s="23">
        <f t="shared" si="2"/>
        <v>1</v>
      </c>
      <c r="I31" s="14">
        <v>1.0</v>
      </c>
      <c r="J31" s="14">
        <v>0.0</v>
      </c>
    </row>
    <row r="32">
      <c r="A32" s="22" t="s">
        <v>14</v>
      </c>
      <c r="B32" s="21">
        <f t="shared" si="1"/>
        <v>960</v>
      </c>
      <c r="C32" s="21" t="str">
        <f>VLOOKUP(A32, hash!A$2:B$500, 2, 0)</f>
        <v>66e1e10f7a8e6dc2aed3a63c</v>
      </c>
      <c r="D32" s="23">
        <f t="shared" si="2"/>
        <v>1</v>
      </c>
      <c r="I32" s="14">
        <v>1.0</v>
      </c>
      <c r="J32" s="14">
        <v>0.0</v>
      </c>
    </row>
    <row r="33">
      <c r="A33" s="22" t="s">
        <v>351</v>
      </c>
      <c r="B33" s="21">
        <f t="shared" si="1"/>
        <v>960</v>
      </c>
      <c r="C33" s="21" t="str">
        <f>VLOOKUP(A33, hash!A$2:B$500, 2, 0)</f>
        <v>66eb1c341132636931fb192f</v>
      </c>
      <c r="D33" s="23">
        <f t="shared" si="2"/>
        <v>1</v>
      </c>
      <c r="G33" s="14">
        <v>1.0</v>
      </c>
    </row>
    <row r="34">
      <c r="A34" s="22" t="s">
        <v>30</v>
      </c>
      <c r="B34" s="21">
        <f t="shared" si="1"/>
        <v>960</v>
      </c>
      <c r="C34" s="21" t="str">
        <f>VLOOKUP(A34, hash!A$2:B$500, 2, 0)</f>
        <v>6322236ef382c17890e6a3e1</v>
      </c>
      <c r="D34" s="23">
        <f t="shared" si="2"/>
        <v>1</v>
      </c>
      <c r="I34" s="14">
        <v>1.0</v>
      </c>
      <c r="J34" s="14">
        <v>0.0</v>
      </c>
    </row>
    <row r="35">
      <c r="A35" s="22" t="s">
        <v>21</v>
      </c>
      <c r="B35" s="21">
        <f t="shared" si="1"/>
        <v>960</v>
      </c>
      <c r="C35" s="21" t="str">
        <f>VLOOKUP(A35, hash!A$2:B$500, 2, 0)</f>
        <v>63222da0116f680d68804fa7</v>
      </c>
      <c r="D35" s="23">
        <f t="shared" si="2"/>
        <v>1</v>
      </c>
      <c r="I35" s="14">
        <v>1.0</v>
      </c>
      <c r="J35" s="14">
        <v>0.0</v>
      </c>
    </row>
    <row r="36">
      <c r="A36" s="22" t="s">
        <v>23</v>
      </c>
      <c r="B36" s="21">
        <f t="shared" si="1"/>
        <v>960</v>
      </c>
      <c r="C36" s="21" t="str">
        <f>VLOOKUP(A36, hash!A$2:B$500, 2, 0)</f>
        <v>65020bfe097ac3c9d063264f</v>
      </c>
      <c r="D36" s="23">
        <f t="shared" si="2"/>
        <v>1</v>
      </c>
      <c r="I36" s="14">
        <v>1.0</v>
      </c>
    </row>
    <row r="37">
      <c r="A37" s="22" t="s">
        <v>458</v>
      </c>
      <c r="B37" s="21">
        <f t="shared" si="1"/>
        <v>0</v>
      </c>
      <c r="C37" s="21" t="str">
        <f>VLOOKUP(A37, hash!A$2:B$500, 2, 0)</f>
        <v>63222d94ed58d92b843f7cc0</v>
      </c>
      <c r="D37" s="23">
        <f t="shared" si="2"/>
        <v>0</v>
      </c>
      <c r="I37" s="14">
        <v>0.0</v>
      </c>
      <c r="J37" s="14">
        <v>0.0</v>
      </c>
    </row>
    <row r="38">
      <c r="A38" s="22" t="s">
        <v>568</v>
      </c>
      <c r="B38" s="21">
        <f t="shared" si="1"/>
        <v>0</v>
      </c>
      <c r="C38" s="21" t="str">
        <f>VLOOKUP(A38, hash!A$2:B$500, 2, 0)</f>
        <v>#N/A</v>
      </c>
      <c r="D38" s="23">
        <f t="shared" si="2"/>
        <v>0</v>
      </c>
    </row>
    <row r="39">
      <c r="A39" s="22" t="s">
        <v>17</v>
      </c>
      <c r="B39" s="21">
        <f t="shared" si="1"/>
        <v>0</v>
      </c>
      <c r="C39" s="21" t="str">
        <f>VLOOKUP(A39, hash!A$2:B$500, 2, 0)</f>
        <v>65020bfc097ac3c9d063264d</v>
      </c>
      <c r="D39" s="23">
        <f t="shared" si="2"/>
        <v>0</v>
      </c>
    </row>
    <row r="40">
      <c r="A40" s="22" t="s">
        <v>29</v>
      </c>
      <c r="B40" s="21">
        <f t="shared" si="1"/>
        <v>0</v>
      </c>
      <c r="C40" s="21" t="str">
        <f>VLOOKUP(A40, hash!A$2:B$500, 2, 0)</f>
        <v>66e1e1659bdd593ffcd624e6</v>
      </c>
      <c r="D40" s="23">
        <f t="shared" si="2"/>
        <v>0</v>
      </c>
    </row>
    <row r="41">
      <c r="A41" s="22" t="s">
        <v>335</v>
      </c>
      <c r="B41" s="21">
        <f t="shared" si="1"/>
        <v>0</v>
      </c>
      <c r="C41" s="21" t="str">
        <f>VLOOKUP(A41, hash!A$2:B$500, 2, 0)</f>
        <v>66e1edd11129889a3e2c24ba</v>
      </c>
      <c r="D41" s="23">
        <f t="shared" si="2"/>
        <v>0</v>
      </c>
    </row>
    <row r="42">
      <c r="A42" s="22" t="s">
        <v>430</v>
      </c>
      <c r="B42" s="21">
        <f t="shared" si="1"/>
        <v>0</v>
      </c>
      <c r="C42" s="21" t="str">
        <f>VLOOKUP(A42, hash!A$2:B$500, 2, 0)</f>
        <v>63222011e6a618b2a0444361</v>
      </c>
      <c r="D42" s="23">
        <f t="shared" si="2"/>
        <v>0</v>
      </c>
    </row>
    <row r="43">
      <c r="A43" s="22" t="s">
        <v>438</v>
      </c>
      <c r="B43" s="21">
        <f t="shared" si="1"/>
        <v>0</v>
      </c>
      <c r="C43" s="21" t="str">
        <f>VLOOKUP(A43, hash!A$2:B$500, 2, 0)</f>
        <v>6322202f81b57daeeb478dd1</v>
      </c>
      <c r="D43" s="23">
        <f t="shared" si="2"/>
        <v>0</v>
      </c>
    </row>
    <row r="44">
      <c r="A44" s="22" t="s">
        <v>434</v>
      </c>
      <c r="B44" s="21">
        <f t="shared" si="1"/>
        <v>0</v>
      </c>
      <c r="C44" s="21" t="str">
        <f>VLOOKUP(A44, hash!A$2:B$500, 2, 0)</f>
        <v>63222083cfccb655ce1f3a74</v>
      </c>
      <c r="D44" s="23">
        <f t="shared" si="2"/>
        <v>0</v>
      </c>
    </row>
    <row r="45">
      <c r="A45" s="22" t="s">
        <v>578</v>
      </c>
      <c r="B45" s="21">
        <f t="shared" si="1"/>
        <v>0</v>
      </c>
      <c r="C45" s="21" t="str">
        <f>VLOOKUP(A45, hash!A$2:B$500, 2, 0)</f>
        <v>#N/A</v>
      </c>
      <c r="D45" s="23">
        <f t="shared" si="2"/>
        <v>0</v>
      </c>
    </row>
    <row r="46">
      <c r="A46" s="22" t="s">
        <v>435</v>
      </c>
      <c r="B46" s="21">
        <f t="shared" si="1"/>
        <v>0</v>
      </c>
      <c r="C46" s="21" t="str">
        <f>VLOOKUP(A46, hash!A$2:B$500, 2, 0)</f>
        <v>63222a4c5bded5e4ff37ac1f</v>
      </c>
      <c r="D46" s="23">
        <f t="shared" si="2"/>
        <v>0</v>
      </c>
    </row>
    <row r="47">
      <c r="A47" s="22" t="s">
        <v>34</v>
      </c>
      <c r="B47" s="21">
        <f t="shared" si="1"/>
        <v>0</v>
      </c>
      <c r="C47" s="21" t="str">
        <f>VLOOKUP(A47, hash!A$2:B$500, 2, 0)</f>
        <v>63222c2fed58d92b843f7cbf</v>
      </c>
      <c r="D47" s="23">
        <f t="shared" si="2"/>
        <v>0</v>
      </c>
    </row>
    <row r="48">
      <c r="A48" s="22" t="s">
        <v>19</v>
      </c>
      <c r="B48" s="21">
        <f t="shared" si="1"/>
        <v>0</v>
      </c>
      <c r="C48" s="21" t="str">
        <f>VLOOKUP(A48, hash!A$2:B$500, 2, 0)</f>
        <v>6502007357ae167867eac223</v>
      </c>
      <c r="D48" s="23">
        <f t="shared" si="2"/>
        <v>0</v>
      </c>
    </row>
    <row r="49">
      <c r="A49" s="22" t="s">
        <v>61</v>
      </c>
      <c r="B49" s="21">
        <f t="shared" si="1"/>
        <v>0</v>
      </c>
      <c r="C49" s="21" t="str">
        <f>VLOOKUP(A49, hash!A$2:B$500, 2, 0)</f>
        <v>65020c0f8f2b101294bb3dae</v>
      </c>
      <c r="D49" s="23">
        <f t="shared" si="2"/>
        <v>0</v>
      </c>
    </row>
    <row r="50">
      <c r="A50" s="22" t="s">
        <v>42</v>
      </c>
      <c r="B50" s="21">
        <f t="shared" si="1"/>
        <v>0</v>
      </c>
      <c r="C50" s="21" t="str">
        <f>VLOOKUP(A50, hash!A$2:B$500, 2, 0)</f>
        <v>66e1e102a61e89c7c68f6e2f</v>
      </c>
      <c r="D50" s="23">
        <f t="shared" si="2"/>
        <v>0</v>
      </c>
    </row>
    <row r="51">
      <c r="A51" s="22" t="s">
        <v>291</v>
      </c>
      <c r="B51" s="21">
        <f t="shared" si="1"/>
        <v>0</v>
      </c>
      <c r="C51" s="21" t="str">
        <f>VLOOKUP(A51, hash!A$2:B$500, 2, 0)</f>
        <v>66e1e122e2fbdff8a0c35634</v>
      </c>
      <c r="D51" s="23">
        <f t="shared" si="2"/>
        <v>0</v>
      </c>
    </row>
    <row r="52">
      <c r="A52" s="22" t="s">
        <v>44</v>
      </c>
      <c r="B52" s="21">
        <f t="shared" si="1"/>
        <v>0</v>
      </c>
      <c r="C52" s="21" t="str">
        <f>VLOOKUP(A52, hash!A$2:B$500, 2, 0)</f>
        <v>66e1e125f0db8f5922c91d84</v>
      </c>
      <c r="D52" s="23">
        <f t="shared" si="2"/>
        <v>0</v>
      </c>
    </row>
    <row r="53">
      <c r="A53" s="22" t="s">
        <v>33</v>
      </c>
      <c r="B53" s="21">
        <f t="shared" si="1"/>
        <v>0</v>
      </c>
      <c r="C53" s="21" t="str">
        <f>VLOOKUP(A53, hash!A$2:B$500, 2, 0)</f>
        <v>66e1e126f0db8f5922c91d85</v>
      </c>
      <c r="D53" s="23">
        <f t="shared" si="2"/>
        <v>0</v>
      </c>
    </row>
    <row r="54">
      <c r="A54" s="22" t="s">
        <v>300</v>
      </c>
      <c r="B54" s="21">
        <f t="shared" si="1"/>
        <v>0</v>
      </c>
      <c r="C54" s="21" t="str">
        <f>VLOOKUP(A54, hash!A$2:B$500, 2, 0)</f>
        <v>66e1e12df0db8f5922c91d8a</v>
      </c>
      <c r="D54" s="23">
        <f t="shared" si="2"/>
        <v>0</v>
      </c>
    </row>
    <row r="55">
      <c r="A55" s="22" t="s">
        <v>41</v>
      </c>
      <c r="B55" s="21">
        <f t="shared" si="1"/>
        <v>0</v>
      </c>
      <c r="C55" s="21" t="str">
        <f>VLOOKUP(A55, hash!A$2:B$500, 2, 0)</f>
        <v>66e1e12ef0db8f5922c91d8b</v>
      </c>
      <c r="D55" s="23">
        <f t="shared" si="2"/>
        <v>0</v>
      </c>
    </row>
    <row r="56">
      <c r="A56" s="22" t="s">
        <v>31</v>
      </c>
      <c r="B56" s="21">
        <f t="shared" si="1"/>
        <v>0</v>
      </c>
      <c r="C56" s="21" t="str">
        <f>VLOOKUP(A56, hash!A$2:B$500, 2, 0)</f>
        <v>66e1e13fdb315cbd40043fca</v>
      </c>
      <c r="D56" s="23">
        <f t="shared" si="2"/>
        <v>0</v>
      </c>
    </row>
    <row r="57">
      <c r="A57" s="22" t="s">
        <v>313</v>
      </c>
      <c r="B57" s="21">
        <f t="shared" si="1"/>
        <v>0</v>
      </c>
      <c r="C57" s="21" t="str">
        <f>VLOOKUP(A57, hash!A$2:B$500, 2, 0)</f>
        <v>66e1ed8677e929b3df889a0a</v>
      </c>
      <c r="D57" s="23">
        <f t="shared" si="2"/>
        <v>0</v>
      </c>
    </row>
    <row r="58">
      <c r="A58" s="22" t="s">
        <v>45</v>
      </c>
      <c r="B58" s="21">
        <f t="shared" si="1"/>
        <v>0</v>
      </c>
      <c r="C58" s="21" t="str">
        <f>VLOOKUP(A58, hash!A$2:B$500, 2, 0)</f>
        <v>66e1ed8d1129889a3e2c24ab</v>
      </c>
      <c r="D58" s="23">
        <f t="shared" si="2"/>
        <v>0</v>
      </c>
    </row>
    <row r="59">
      <c r="A59" s="22" t="s">
        <v>437</v>
      </c>
      <c r="B59" s="21">
        <f t="shared" si="1"/>
        <v>0</v>
      </c>
      <c r="C59" s="21" t="str">
        <f>VLOOKUP(A59, hash!A$2:B$500, 2, 0)</f>
        <v>63221ff90aa8ba2dbc57c0a2</v>
      </c>
      <c r="D59" s="23">
        <f t="shared" si="2"/>
        <v>0</v>
      </c>
    </row>
    <row r="60">
      <c r="A60" s="22" t="s">
        <v>439</v>
      </c>
      <c r="B60" s="21">
        <f t="shared" si="1"/>
        <v>0</v>
      </c>
      <c r="C60" s="21" t="str">
        <f>VLOOKUP(A60, hash!A$2:B$500, 2, 0)</f>
        <v>632220300aa8ba2dbc57c0a7</v>
      </c>
      <c r="D60" s="23">
        <f t="shared" si="2"/>
        <v>0</v>
      </c>
    </row>
    <row r="61">
      <c r="A61" s="22" t="s">
        <v>433</v>
      </c>
      <c r="B61" s="21">
        <f t="shared" si="1"/>
        <v>0</v>
      </c>
      <c r="C61" s="21" t="str">
        <f>VLOOKUP(A61, hash!A$2:B$500, 2, 0)</f>
        <v>6322203581b57daeeb478dd2</v>
      </c>
      <c r="D61" s="23">
        <f t="shared" si="2"/>
        <v>0</v>
      </c>
    </row>
    <row r="62">
      <c r="A62" s="22" t="s">
        <v>440</v>
      </c>
      <c r="B62" s="21">
        <f t="shared" si="1"/>
        <v>0</v>
      </c>
      <c r="C62" s="21" t="str">
        <f>VLOOKUP(A62, hash!A$2:B$500, 2, 0)</f>
        <v>632220580aa8ba2dbc57c0a9</v>
      </c>
      <c r="D62" s="23">
        <f t="shared" si="2"/>
        <v>0</v>
      </c>
    </row>
    <row r="63">
      <c r="A63" s="22" t="s">
        <v>574</v>
      </c>
      <c r="B63" s="21">
        <f t="shared" si="1"/>
        <v>0</v>
      </c>
      <c r="C63" s="21" t="str">
        <f>VLOOKUP(A63, hash!A$2:B$500, 2, 0)</f>
        <v>#N/A</v>
      </c>
      <c r="D63" s="23">
        <f t="shared" si="2"/>
        <v>0</v>
      </c>
    </row>
    <row r="64">
      <c r="A64" s="22" t="s">
        <v>442</v>
      </c>
      <c r="B64" s="21">
        <f t="shared" si="1"/>
        <v>0</v>
      </c>
      <c r="C64" s="21" t="str">
        <f>VLOOKUP(A64, hash!A$2:B$500, 2, 0)</f>
        <v>632220710aa8ba2dbc57c0ac</v>
      </c>
      <c r="D64" s="23">
        <f t="shared" si="2"/>
        <v>0</v>
      </c>
    </row>
    <row r="65">
      <c r="A65" s="22" t="s">
        <v>575</v>
      </c>
      <c r="B65" s="21">
        <f t="shared" si="1"/>
        <v>0</v>
      </c>
      <c r="C65" s="21" t="str">
        <f>VLOOKUP(A65, hash!A$2:B$500, 2, 0)</f>
        <v>#N/A</v>
      </c>
      <c r="D65" s="23">
        <f t="shared" si="2"/>
        <v>0</v>
      </c>
    </row>
    <row r="66">
      <c r="A66" s="22" t="s">
        <v>576</v>
      </c>
      <c r="B66" s="21">
        <f t="shared" si="1"/>
        <v>0</v>
      </c>
      <c r="C66" s="21" t="str">
        <f>VLOOKUP(A66, hash!A$2:B$500, 2, 0)</f>
        <v>#N/A</v>
      </c>
      <c r="D66" s="23">
        <f t="shared" si="2"/>
        <v>0</v>
      </c>
    </row>
    <row r="67">
      <c r="A67" s="22" t="s">
        <v>577</v>
      </c>
      <c r="B67" s="21">
        <f t="shared" si="1"/>
        <v>0</v>
      </c>
      <c r="C67" s="21" t="str">
        <f>VLOOKUP(A67, hash!A$2:B$500, 2, 0)</f>
        <v>#N/A</v>
      </c>
      <c r="D67" s="23">
        <f t="shared" si="2"/>
        <v>0</v>
      </c>
    </row>
    <row r="68">
      <c r="A68" s="22" t="s">
        <v>443</v>
      </c>
      <c r="B68" s="21">
        <f t="shared" si="1"/>
        <v>0</v>
      </c>
      <c r="C68" s="21" t="str">
        <f>VLOOKUP(A68, hash!A$2:B$500, 2, 0)</f>
        <v>6322211bf382c17890e6a3dd</v>
      </c>
      <c r="D68" s="23">
        <f t="shared" si="2"/>
        <v>0</v>
      </c>
    </row>
    <row r="69">
      <c r="A69" s="22" t="s">
        <v>444</v>
      </c>
      <c r="B69" s="21">
        <f t="shared" si="1"/>
        <v>0</v>
      </c>
      <c r="C69" s="21" t="str">
        <f>VLOOKUP(A69, hash!A$2:B$500, 2, 0)</f>
        <v>63222123f382c17890e6a3de</v>
      </c>
      <c r="D69" s="23">
        <f t="shared" si="2"/>
        <v>0</v>
      </c>
    </row>
    <row r="70">
      <c r="A70" s="22" t="s">
        <v>445</v>
      </c>
      <c r="B70" s="21">
        <f t="shared" si="1"/>
        <v>0</v>
      </c>
      <c r="C70" s="21" t="str">
        <f>VLOOKUP(A70, hash!A$2:B$500, 2, 0)</f>
        <v>632222c3f382c17890e6a3e0</v>
      </c>
      <c r="D70" s="23">
        <f t="shared" si="2"/>
        <v>0</v>
      </c>
    </row>
    <row r="71">
      <c r="A71" s="22" t="s">
        <v>446</v>
      </c>
      <c r="B71" s="21">
        <f t="shared" si="1"/>
        <v>0</v>
      </c>
      <c r="C71" s="21" t="str">
        <f>VLOOKUP(A71, hash!A$2:B$500, 2, 0)</f>
        <v>63222372f382c17890e6a3e2</v>
      </c>
      <c r="D71" s="23">
        <f t="shared" si="2"/>
        <v>0</v>
      </c>
    </row>
    <row r="72">
      <c r="A72" s="22" t="s">
        <v>447</v>
      </c>
      <c r="B72" s="21">
        <f t="shared" si="1"/>
        <v>0</v>
      </c>
      <c r="C72" s="21" t="str">
        <f>VLOOKUP(A72, hash!A$2:B$500, 2, 0)</f>
        <v>632223746d021b5cf508ccde</v>
      </c>
      <c r="D72" s="23">
        <f t="shared" si="2"/>
        <v>0</v>
      </c>
    </row>
    <row r="73">
      <c r="A73" s="22" t="s">
        <v>448</v>
      </c>
      <c r="B73" s="21">
        <f t="shared" si="1"/>
        <v>0</v>
      </c>
      <c r="C73" s="21" t="str">
        <f>VLOOKUP(A73, hash!A$2:B$500, 2, 0)</f>
        <v>6322239b6d021b5cf508cce5</v>
      </c>
      <c r="D73" s="23">
        <f t="shared" si="2"/>
        <v>0</v>
      </c>
    </row>
    <row r="74">
      <c r="A74" s="22" t="s">
        <v>449</v>
      </c>
      <c r="B74" s="21">
        <f t="shared" si="1"/>
        <v>0</v>
      </c>
      <c r="C74" s="21" t="str">
        <f>VLOOKUP(A74, hash!A$2:B$500, 2, 0)</f>
        <v>632223a1d53b2d7ef1d3746d</v>
      </c>
      <c r="D74" s="23">
        <f t="shared" si="2"/>
        <v>0</v>
      </c>
    </row>
    <row r="75">
      <c r="A75" s="22" t="s">
        <v>451</v>
      </c>
      <c r="B75" s="21">
        <f t="shared" si="1"/>
        <v>0</v>
      </c>
      <c r="C75" s="21" t="str">
        <f>VLOOKUP(A75, hash!A$2:B$500, 2, 0)</f>
        <v>632223e585532e9bb23b7f01</v>
      </c>
      <c r="D75" s="23">
        <f t="shared" si="2"/>
        <v>0</v>
      </c>
    </row>
    <row r="76">
      <c r="A76" s="22" t="s">
        <v>452</v>
      </c>
      <c r="B76" s="21">
        <f t="shared" si="1"/>
        <v>0</v>
      </c>
      <c r="C76" s="21" t="str">
        <f>VLOOKUP(A76, hash!A$2:B$500, 2, 0)</f>
        <v>632226f3d53b2d7ef1d37472</v>
      </c>
      <c r="D76" s="23">
        <f t="shared" si="2"/>
        <v>0</v>
      </c>
    </row>
    <row r="77">
      <c r="A77" s="22" t="s">
        <v>453</v>
      </c>
      <c r="B77" s="21">
        <f t="shared" si="1"/>
        <v>0</v>
      </c>
      <c r="C77" s="21" t="str">
        <f>VLOOKUP(A77, hash!A$2:B$500, 2, 0)</f>
        <v>63222960d53b2d7ef1d37476</v>
      </c>
      <c r="D77" s="23">
        <f t="shared" si="2"/>
        <v>0</v>
      </c>
    </row>
    <row r="78">
      <c r="A78" s="22" t="s">
        <v>454</v>
      </c>
      <c r="B78" s="21">
        <f t="shared" si="1"/>
        <v>0</v>
      </c>
      <c r="C78" s="21" t="str">
        <f>VLOOKUP(A78, hash!A$2:B$500, 2, 0)</f>
        <v>632229c19832ea0dea0e2dcf</v>
      </c>
      <c r="D78" s="23">
        <f t="shared" si="2"/>
        <v>0</v>
      </c>
    </row>
    <row r="79">
      <c r="A79" s="22" t="s">
        <v>455</v>
      </c>
      <c r="B79" s="21">
        <f t="shared" si="1"/>
        <v>0</v>
      </c>
      <c r="C79" s="21" t="str">
        <f>VLOOKUP(A79, hash!A$2:B$500, 2, 0)</f>
        <v>63222a025bded5e4ff37ac1e</v>
      </c>
      <c r="D79" s="23">
        <f t="shared" si="2"/>
        <v>0</v>
      </c>
    </row>
    <row r="80">
      <c r="A80" s="22" t="s">
        <v>579</v>
      </c>
      <c r="B80" s="21">
        <f t="shared" si="1"/>
        <v>0</v>
      </c>
      <c r="C80" s="21" t="str">
        <f>VLOOKUP(A80, hash!A$2:B$500, 2, 0)</f>
        <v>#N/A</v>
      </c>
      <c r="D80" s="23">
        <f t="shared" si="2"/>
        <v>0</v>
      </c>
    </row>
    <row r="81">
      <c r="A81" s="22" t="s">
        <v>580</v>
      </c>
      <c r="B81" s="21">
        <f t="shared" si="1"/>
        <v>0</v>
      </c>
      <c r="C81" s="21" t="str">
        <f>VLOOKUP(A81, hash!A$2:B$500, 2, 0)</f>
        <v>#N/A</v>
      </c>
      <c r="D81" s="23">
        <f t="shared" si="2"/>
        <v>0</v>
      </c>
    </row>
    <row r="82">
      <c r="A82" s="22" t="s">
        <v>581</v>
      </c>
      <c r="B82" s="21">
        <f t="shared" si="1"/>
        <v>0</v>
      </c>
      <c r="C82" s="21" t="str">
        <f>VLOOKUP(A82, hash!A$2:B$500, 2, 0)</f>
        <v>#N/A</v>
      </c>
      <c r="D82" s="23">
        <f t="shared" si="2"/>
        <v>0</v>
      </c>
    </row>
    <row r="83">
      <c r="A83" s="22" t="s">
        <v>456</v>
      </c>
      <c r="B83" s="21">
        <f t="shared" si="1"/>
        <v>0</v>
      </c>
      <c r="C83" s="21" t="str">
        <f>VLOOKUP(A83, hash!A$2:B$500, 2, 0)</f>
        <v>63222a9ced58d92b843f7cb0</v>
      </c>
      <c r="D83" s="23">
        <f t="shared" si="2"/>
        <v>0</v>
      </c>
    </row>
    <row r="84">
      <c r="A84" s="22" t="s">
        <v>457</v>
      </c>
      <c r="B84" s="21">
        <f t="shared" si="1"/>
        <v>0</v>
      </c>
      <c r="C84" s="21" t="str">
        <f>VLOOKUP(A84, hash!A$2:B$500, 2, 0)</f>
        <v>63222ae4562da848b695b87f</v>
      </c>
      <c r="D84" s="23">
        <f t="shared" si="2"/>
        <v>0</v>
      </c>
      <c r="I84" s="14">
        <v>0.0</v>
      </c>
      <c r="J84" s="14">
        <v>0.0</v>
      </c>
    </row>
    <row r="85">
      <c r="A85" s="22" t="s">
        <v>582</v>
      </c>
      <c r="B85" s="21">
        <f t="shared" si="1"/>
        <v>0</v>
      </c>
      <c r="C85" s="21" t="str">
        <f>VLOOKUP(A85, hash!A$2:B$500, 2, 0)</f>
        <v>#N/A</v>
      </c>
      <c r="D85" s="23">
        <f t="shared" si="2"/>
        <v>0</v>
      </c>
    </row>
    <row r="86">
      <c r="A86" s="22" t="s">
        <v>583</v>
      </c>
      <c r="B86" s="21">
        <f t="shared" si="1"/>
        <v>0</v>
      </c>
      <c r="C86" s="21" t="str">
        <f>VLOOKUP(A86, hash!A$2:B$500, 2, 0)</f>
        <v>#N/A</v>
      </c>
      <c r="D86" s="23">
        <f t="shared" si="2"/>
        <v>0</v>
      </c>
    </row>
    <row r="87">
      <c r="A87" s="22" t="s">
        <v>584</v>
      </c>
      <c r="B87" s="21">
        <f t="shared" si="1"/>
        <v>0</v>
      </c>
      <c r="C87" s="21" t="str">
        <f>VLOOKUP(A87, hash!A$2:B$500, 2, 0)</f>
        <v>#N/A</v>
      </c>
      <c r="D87" s="23">
        <f t="shared" si="2"/>
        <v>0</v>
      </c>
    </row>
    <row r="88">
      <c r="A88" s="22" t="s">
        <v>570</v>
      </c>
      <c r="B88" s="21">
        <f t="shared" si="1"/>
        <v>0</v>
      </c>
      <c r="C88" s="21" t="str">
        <f>VLOOKUP(A88, hash!A$2:B$500, 2, 0)</f>
        <v>#N/A</v>
      </c>
      <c r="D88" s="23">
        <f t="shared" si="2"/>
        <v>0</v>
      </c>
    </row>
    <row r="89">
      <c r="A89" s="22" t="s">
        <v>459</v>
      </c>
      <c r="B89" s="21">
        <f t="shared" si="1"/>
        <v>0</v>
      </c>
      <c r="C89" s="21" t="str">
        <f>VLOOKUP(A89, hash!A$2:B$500, 2, 0)</f>
        <v>63222da4562da848b695b882</v>
      </c>
      <c r="D89" s="23">
        <f t="shared" si="2"/>
        <v>0</v>
      </c>
    </row>
    <row r="90">
      <c r="A90" s="22" t="s">
        <v>585</v>
      </c>
      <c r="B90" s="21">
        <f t="shared" si="1"/>
        <v>0</v>
      </c>
      <c r="C90" s="21" t="str">
        <f>VLOOKUP(A90, hash!A$2:B$500, 2, 0)</f>
        <v>#N/A</v>
      </c>
      <c r="D90" s="23">
        <f t="shared" si="2"/>
        <v>0</v>
      </c>
    </row>
    <row r="91">
      <c r="A91" s="22" t="s">
        <v>460</v>
      </c>
      <c r="B91" s="21">
        <f t="shared" si="1"/>
        <v>0</v>
      </c>
      <c r="C91" s="21" t="str">
        <f>VLOOKUP(A91, hash!A$2:B$500, 2, 0)</f>
        <v>63222dc6a729a8363c093b6b</v>
      </c>
      <c r="D91" s="23">
        <f t="shared" si="2"/>
        <v>0</v>
      </c>
    </row>
    <row r="92">
      <c r="A92" s="22" t="s">
        <v>436</v>
      </c>
      <c r="B92" s="21">
        <f t="shared" si="1"/>
        <v>0</v>
      </c>
      <c r="C92" s="21" t="str">
        <f>VLOOKUP(A92, hash!A$2:B$500, 2, 0)</f>
        <v>63222dd4a729a8363c093b6d</v>
      </c>
      <c r="D92" s="23">
        <f t="shared" si="2"/>
        <v>0</v>
      </c>
    </row>
    <row r="93">
      <c r="A93" s="22" t="s">
        <v>461</v>
      </c>
      <c r="B93" s="21">
        <f t="shared" si="1"/>
        <v>0</v>
      </c>
      <c r="C93" s="21" t="str">
        <f>VLOOKUP(A93, hash!A$2:B$500, 2, 0)</f>
        <v>63222dd7a729a8363c093b6e</v>
      </c>
      <c r="D93" s="23">
        <f t="shared" si="2"/>
        <v>0</v>
      </c>
    </row>
    <row r="94">
      <c r="A94" s="22" t="s">
        <v>462</v>
      </c>
      <c r="B94" s="21">
        <f t="shared" si="1"/>
        <v>0</v>
      </c>
      <c r="C94" s="21" t="str">
        <f>VLOOKUP(A94, hash!A$2:B$500, 2, 0)</f>
        <v>63222deca729a8363c093b71</v>
      </c>
      <c r="D94" s="23">
        <f t="shared" si="2"/>
        <v>0</v>
      </c>
    </row>
    <row r="95">
      <c r="A95" s="22" t="s">
        <v>463</v>
      </c>
      <c r="B95" s="21">
        <f t="shared" si="1"/>
        <v>0</v>
      </c>
      <c r="C95" s="21" t="str">
        <f>VLOOKUP(A95, hash!A$2:B$500, 2, 0)</f>
        <v>63222e10ed58d92b843f7cca</v>
      </c>
      <c r="D95" s="23">
        <f t="shared" si="2"/>
        <v>0</v>
      </c>
    </row>
    <row r="96">
      <c r="A96" s="22" t="s">
        <v>464</v>
      </c>
      <c r="B96" s="21">
        <f t="shared" si="1"/>
        <v>0</v>
      </c>
      <c r="C96" s="21" t="str">
        <f>VLOOKUP(A96, hash!A$2:B$500, 2, 0)</f>
        <v>63222e35ed58d92b843f7ccd</v>
      </c>
      <c r="D96" s="23">
        <f t="shared" si="2"/>
        <v>0</v>
      </c>
    </row>
    <row r="97">
      <c r="A97" s="22" t="s">
        <v>465</v>
      </c>
      <c r="B97" s="21">
        <f t="shared" si="1"/>
        <v>0</v>
      </c>
      <c r="C97" s="21" t="str">
        <f>VLOOKUP(A97, hash!A$2:B$500, 2, 0)</f>
        <v>63222e3a116f680d68804fa8</v>
      </c>
      <c r="D97" s="23">
        <f t="shared" si="2"/>
        <v>0</v>
      </c>
    </row>
    <row r="98">
      <c r="A98" s="22" t="s">
        <v>466</v>
      </c>
      <c r="B98" s="21">
        <f t="shared" si="1"/>
        <v>0</v>
      </c>
      <c r="C98" s="21" t="str">
        <f>VLOOKUP(A98, hash!A$2:B$500, 2, 0)</f>
        <v>63222fa8562da848b695b887</v>
      </c>
      <c r="D98" s="23">
        <f t="shared" si="2"/>
        <v>0</v>
      </c>
    </row>
    <row r="99">
      <c r="A99" s="22" t="s">
        <v>586</v>
      </c>
      <c r="B99" s="21">
        <f t="shared" si="1"/>
        <v>0</v>
      </c>
      <c r="C99" s="21" t="str">
        <f>VLOOKUP(A99, hash!A$2:B$500, 2, 0)</f>
        <v>#N/A</v>
      </c>
      <c r="D99" s="23">
        <f t="shared" si="2"/>
        <v>0</v>
      </c>
    </row>
    <row r="100">
      <c r="A100" s="22" t="s">
        <v>467</v>
      </c>
      <c r="B100" s="21">
        <f t="shared" si="1"/>
        <v>0</v>
      </c>
      <c r="C100" s="21" t="str">
        <f>VLOOKUP(A100, hash!A$2:B$500, 2, 0)</f>
        <v>6329051b0c14e4fbd2ecace8</v>
      </c>
      <c r="D100" s="23">
        <f t="shared" si="2"/>
        <v>0</v>
      </c>
    </row>
    <row r="101">
      <c r="A101" s="22" t="s">
        <v>468</v>
      </c>
      <c r="B101" s="21">
        <f t="shared" si="1"/>
        <v>0</v>
      </c>
      <c r="C101" s="21" t="str">
        <f>VLOOKUP(A101, hash!A$2:B$500, 2, 0)</f>
        <v>632b580f43e430c49f17d5dc</v>
      </c>
      <c r="D101" s="23">
        <f t="shared" si="2"/>
        <v>0</v>
      </c>
    </row>
    <row r="102">
      <c r="A102" s="22" t="s">
        <v>469</v>
      </c>
      <c r="B102" s="21">
        <f t="shared" si="1"/>
        <v>0</v>
      </c>
      <c r="C102" s="21" t="str">
        <f>VLOOKUP(A102, hash!A$2:B$500, 2, 0)</f>
        <v>632b58290801926c6f0d9a37</v>
      </c>
      <c r="D102" s="23">
        <f t="shared" si="2"/>
        <v>0</v>
      </c>
    </row>
    <row r="103">
      <c r="A103" s="22" t="s">
        <v>470</v>
      </c>
      <c r="B103" s="21">
        <f t="shared" si="1"/>
        <v>0</v>
      </c>
      <c r="C103" s="21" t="str">
        <f>VLOOKUP(A103, hash!A$2:B$500, 2, 0)</f>
        <v>632b5867c396d0088321be3a</v>
      </c>
      <c r="D103" s="23">
        <f t="shared" si="2"/>
        <v>0</v>
      </c>
    </row>
    <row r="104">
      <c r="A104" s="22" t="s">
        <v>587</v>
      </c>
      <c r="B104" s="21">
        <f t="shared" si="1"/>
        <v>0</v>
      </c>
      <c r="C104" s="21" t="str">
        <f>VLOOKUP(A104, hash!A$2:B$500, 2, 0)</f>
        <v>#N/A</v>
      </c>
      <c r="D104" s="23">
        <f t="shared" si="2"/>
        <v>0</v>
      </c>
    </row>
    <row r="105">
      <c r="A105" s="22" t="s">
        <v>471</v>
      </c>
      <c r="B105" s="21">
        <f t="shared" si="1"/>
        <v>0</v>
      </c>
      <c r="C105" s="21" t="str">
        <f>VLOOKUP(A105, hash!A$2:B$500, 2, 0)</f>
        <v>632b592764f599396d113b28</v>
      </c>
      <c r="D105" s="23">
        <f t="shared" si="2"/>
        <v>0</v>
      </c>
    </row>
    <row r="106">
      <c r="A106" s="22" t="s">
        <v>588</v>
      </c>
      <c r="B106" s="21">
        <f t="shared" si="1"/>
        <v>0</v>
      </c>
      <c r="C106" s="21" t="str">
        <f>VLOOKUP(A106, hash!A$2:B$500, 2, 0)</f>
        <v>#N/A</v>
      </c>
      <c r="D106" s="23">
        <f t="shared" si="2"/>
        <v>0</v>
      </c>
    </row>
    <row r="107">
      <c r="A107" s="22" t="s">
        <v>589</v>
      </c>
      <c r="B107" s="21">
        <f t="shared" si="1"/>
        <v>0</v>
      </c>
      <c r="C107" s="21" t="str">
        <f>VLOOKUP(A107, hash!A$2:B$500, 2, 0)</f>
        <v>#N/A</v>
      </c>
      <c r="D107" s="23">
        <f t="shared" si="2"/>
        <v>0</v>
      </c>
    </row>
    <row r="108">
      <c r="A108" s="22" t="s">
        <v>590</v>
      </c>
      <c r="B108" s="21">
        <f t="shared" si="1"/>
        <v>0</v>
      </c>
      <c r="C108" s="21" t="str">
        <f>VLOOKUP(A108, hash!A$2:B$500, 2, 0)</f>
        <v>#N/A</v>
      </c>
      <c r="D108" s="23">
        <f t="shared" si="2"/>
        <v>0</v>
      </c>
    </row>
    <row r="109">
      <c r="A109" s="22" t="s">
        <v>591</v>
      </c>
      <c r="B109" s="21">
        <f t="shared" si="1"/>
        <v>0</v>
      </c>
      <c r="C109" s="21" t="str">
        <f>VLOOKUP(A109, hash!A$2:B$500, 2, 0)</f>
        <v>#N/A</v>
      </c>
      <c r="D109" s="23">
        <f t="shared" si="2"/>
        <v>0</v>
      </c>
    </row>
    <row r="110">
      <c r="A110" s="22" t="s">
        <v>592</v>
      </c>
      <c r="B110" s="21">
        <f t="shared" si="1"/>
        <v>0</v>
      </c>
      <c r="C110" s="21" t="str">
        <f>VLOOKUP(A110, hash!A$2:B$500, 2, 0)</f>
        <v>#N/A</v>
      </c>
      <c r="D110" s="23">
        <f t="shared" si="2"/>
        <v>0</v>
      </c>
    </row>
    <row r="111">
      <c r="A111" s="22" t="s">
        <v>472</v>
      </c>
      <c r="B111" s="21">
        <f t="shared" si="1"/>
        <v>0</v>
      </c>
      <c r="C111" s="21" t="str">
        <f>VLOOKUP(A111, hash!A$2:B$500, 2, 0)</f>
        <v>632b659ebfb5f9d04c8cca40</v>
      </c>
      <c r="D111" s="23">
        <f t="shared" si="2"/>
        <v>0</v>
      </c>
    </row>
    <row r="112">
      <c r="A112" s="22" t="s">
        <v>473</v>
      </c>
      <c r="B112" s="21">
        <f t="shared" si="1"/>
        <v>0</v>
      </c>
      <c r="C112" s="21" t="str">
        <f>VLOOKUP(A112, hash!A$2:B$500, 2, 0)</f>
        <v>63332820dde72043c98a24b0</v>
      </c>
      <c r="D112" s="23">
        <f t="shared" si="2"/>
        <v>0</v>
      </c>
    </row>
    <row r="113">
      <c r="A113" s="22" t="s">
        <v>474</v>
      </c>
      <c r="B113" s="21">
        <f t="shared" si="1"/>
        <v>0</v>
      </c>
      <c r="C113" s="21" t="str">
        <f>VLOOKUP(A113, hash!A$2:B$500, 2, 0)</f>
        <v>6334930daf5a29e196628f54</v>
      </c>
      <c r="D113" s="23">
        <f t="shared" si="2"/>
        <v>0</v>
      </c>
    </row>
    <row r="114">
      <c r="A114" s="22" t="s">
        <v>593</v>
      </c>
      <c r="B114" s="21">
        <f t="shared" si="1"/>
        <v>0</v>
      </c>
      <c r="C114" s="21" t="str">
        <f>VLOOKUP(A114, hash!A$2:B$500, 2, 0)</f>
        <v>#N/A</v>
      </c>
      <c r="D114" s="23">
        <f t="shared" si="2"/>
        <v>0</v>
      </c>
    </row>
    <row r="115">
      <c r="A115" s="22" t="s">
        <v>510</v>
      </c>
      <c r="B115" s="21">
        <f t="shared" si="1"/>
        <v>0</v>
      </c>
      <c r="C115" s="21" t="str">
        <f>VLOOKUP(A115, hash!A$2:B$500, 2, 0)</f>
        <v>6334931c5db42318c75b941a</v>
      </c>
      <c r="D115" s="23">
        <f t="shared" si="2"/>
        <v>0</v>
      </c>
    </row>
    <row r="116">
      <c r="A116" s="22" t="s">
        <v>475</v>
      </c>
      <c r="B116" s="21">
        <f t="shared" si="1"/>
        <v>0</v>
      </c>
      <c r="C116" s="21" t="str">
        <f>VLOOKUP(A116, hash!A$2:B$500, 2, 0)</f>
        <v>6334934ee801712b31d25536</v>
      </c>
      <c r="D116" s="23">
        <f t="shared" si="2"/>
        <v>0</v>
      </c>
    </row>
    <row r="117">
      <c r="A117" s="22" t="s">
        <v>476</v>
      </c>
      <c r="B117" s="21">
        <f t="shared" si="1"/>
        <v>0</v>
      </c>
      <c r="C117" s="21" t="str">
        <f>VLOOKUP(A117, hash!A$2:B$500, 2, 0)</f>
        <v>63349f8e3a8dbca7ef791374</v>
      </c>
      <c r="D117" s="23">
        <f t="shared" si="2"/>
        <v>0</v>
      </c>
    </row>
    <row r="118">
      <c r="A118" s="22" t="s">
        <v>477</v>
      </c>
      <c r="B118" s="21">
        <f t="shared" si="1"/>
        <v>0</v>
      </c>
      <c r="C118" s="21" t="str">
        <f>VLOOKUP(A118, hash!A$2:B$500, 2, 0)</f>
        <v>63349f9a3a8dbca7ef791375</v>
      </c>
      <c r="D118" s="23">
        <f t="shared" si="2"/>
        <v>0</v>
      </c>
    </row>
    <row r="119">
      <c r="A119" s="22" t="s">
        <v>478</v>
      </c>
      <c r="B119" s="21">
        <f t="shared" si="1"/>
        <v>0</v>
      </c>
      <c r="C119" s="21" t="str">
        <f>VLOOKUP(A119, hash!A$2:B$500, 2, 0)</f>
        <v>633b2944907d3b0ce904b02f</v>
      </c>
      <c r="D119" s="23">
        <f t="shared" si="2"/>
        <v>0</v>
      </c>
    </row>
    <row r="120">
      <c r="A120" s="22" t="s">
        <v>595</v>
      </c>
      <c r="B120" s="21">
        <f t="shared" si="1"/>
        <v>0</v>
      </c>
      <c r="C120" s="21" t="str">
        <f>VLOOKUP(A120, hash!A$2:B$500, 2, 0)</f>
        <v>#N/A</v>
      </c>
      <c r="D120" s="23">
        <f t="shared" si="2"/>
        <v>0</v>
      </c>
    </row>
    <row r="121">
      <c r="A121" s="22" t="s">
        <v>479</v>
      </c>
      <c r="B121" s="21">
        <f t="shared" si="1"/>
        <v>0</v>
      </c>
      <c r="C121" s="21" t="str">
        <f>VLOOKUP(A121, hash!A$2:B$500, 2, 0)</f>
        <v>633b296e907d3b0ce904b03b</v>
      </c>
      <c r="D121" s="23">
        <f t="shared" si="2"/>
        <v>0</v>
      </c>
    </row>
    <row r="122">
      <c r="A122" s="22" t="s">
        <v>596</v>
      </c>
      <c r="B122" s="21">
        <f t="shared" si="1"/>
        <v>0</v>
      </c>
      <c r="C122" s="21" t="str">
        <f>VLOOKUP(A122, hash!A$2:B$500, 2, 0)</f>
        <v>#N/A</v>
      </c>
      <c r="D122" s="23">
        <f t="shared" si="2"/>
        <v>0</v>
      </c>
    </row>
    <row r="123">
      <c r="A123" s="22" t="s">
        <v>480</v>
      </c>
      <c r="B123" s="21">
        <f t="shared" si="1"/>
        <v>0</v>
      </c>
      <c r="C123" s="21" t="str">
        <f>VLOOKUP(A123, hash!A$2:B$500, 2, 0)</f>
        <v>633b33dde2076b371abb58dd</v>
      </c>
      <c r="D123" s="23">
        <f t="shared" si="2"/>
        <v>0</v>
      </c>
    </row>
    <row r="124">
      <c r="A124" s="22" t="s">
        <v>481</v>
      </c>
      <c r="B124" s="21">
        <f t="shared" si="1"/>
        <v>0</v>
      </c>
      <c r="C124" s="21" t="str">
        <f>VLOOKUP(A124, hash!A$2:B$500, 2, 0)</f>
        <v>633b36b4e2076b371abb58ed</v>
      </c>
      <c r="D124" s="23">
        <f t="shared" si="2"/>
        <v>0</v>
      </c>
    </row>
    <row r="125">
      <c r="A125" s="22" t="s">
        <v>597</v>
      </c>
      <c r="B125" s="21">
        <f t="shared" si="1"/>
        <v>0</v>
      </c>
      <c r="C125" s="21" t="str">
        <f>VLOOKUP(A125, hash!A$2:B$500, 2, 0)</f>
        <v>#N/A</v>
      </c>
      <c r="D125" s="23">
        <f t="shared" si="2"/>
        <v>0</v>
      </c>
    </row>
    <row r="126">
      <c r="A126" s="22" t="s">
        <v>598</v>
      </c>
      <c r="B126" s="21">
        <f t="shared" si="1"/>
        <v>0</v>
      </c>
      <c r="C126" s="21" t="str">
        <f>VLOOKUP(A126, hash!A$2:B$500, 2, 0)</f>
        <v>#N/A</v>
      </c>
      <c r="D126" s="23">
        <f t="shared" si="2"/>
        <v>0</v>
      </c>
    </row>
    <row r="127">
      <c r="A127" s="22" t="s">
        <v>599</v>
      </c>
      <c r="B127" s="21">
        <f t="shared" si="1"/>
        <v>0</v>
      </c>
      <c r="C127" s="21" t="str">
        <f>VLOOKUP(A127, hash!A$2:B$500, 2, 0)</f>
        <v>#N/A</v>
      </c>
      <c r="D127" s="23">
        <f t="shared" si="2"/>
        <v>0</v>
      </c>
    </row>
    <row r="128">
      <c r="A128" s="22" t="s">
        <v>600</v>
      </c>
      <c r="B128" s="21">
        <f t="shared" si="1"/>
        <v>0</v>
      </c>
      <c r="C128" s="21" t="str">
        <f>VLOOKUP(A128, hash!A$2:B$500, 2, 0)</f>
        <v>#N/A</v>
      </c>
      <c r="D128" s="23">
        <f t="shared" si="2"/>
        <v>0</v>
      </c>
    </row>
    <row r="129">
      <c r="A129" s="22" t="s">
        <v>601</v>
      </c>
      <c r="B129" s="21">
        <f t="shared" si="1"/>
        <v>0</v>
      </c>
      <c r="C129" s="21" t="str">
        <f>VLOOKUP(A129, hash!A$2:B$500, 2, 0)</f>
        <v>#N/A</v>
      </c>
      <c r="D129" s="23">
        <f t="shared" si="2"/>
        <v>0</v>
      </c>
    </row>
    <row r="130">
      <c r="A130" s="22" t="s">
        <v>482</v>
      </c>
      <c r="B130" s="21">
        <f t="shared" si="1"/>
        <v>0</v>
      </c>
      <c r="C130" s="21" t="str">
        <f>VLOOKUP(A130, hash!A$2:B$500, 2, 0)</f>
        <v>634ebd057dcff4d8aaf60ecd</v>
      </c>
      <c r="D130" s="23">
        <f t="shared" si="2"/>
        <v>0</v>
      </c>
    </row>
    <row r="131">
      <c r="A131" s="22" t="s">
        <v>483</v>
      </c>
      <c r="B131" s="21">
        <f t="shared" si="1"/>
        <v>0</v>
      </c>
      <c r="C131" s="21" t="str">
        <f>VLOOKUP(A131, hash!A$2:B$500, 2, 0)</f>
        <v>6350260e6b84e6835b7bdb10</v>
      </c>
      <c r="D131" s="23">
        <f t="shared" si="2"/>
        <v>0</v>
      </c>
    </row>
    <row r="132">
      <c r="A132" s="22" t="s">
        <v>484</v>
      </c>
      <c r="B132" s="21">
        <f t="shared" si="1"/>
        <v>0</v>
      </c>
      <c r="C132" s="21" t="str">
        <f>VLOOKUP(A132, hash!A$2:B$500, 2, 0)</f>
        <v>635041d40aaa9d7642b16a2a</v>
      </c>
      <c r="D132" s="23">
        <f t="shared" si="2"/>
        <v>0</v>
      </c>
    </row>
    <row r="133">
      <c r="A133" s="22" t="s">
        <v>485</v>
      </c>
      <c r="B133" s="21">
        <f t="shared" si="1"/>
        <v>0</v>
      </c>
      <c r="C133" s="21" t="str">
        <f>VLOOKUP(A133, hash!A$2:B$500, 2, 0)</f>
        <v>63504cfc4e941e57f7932609</v>
      </c>
      <c r="D133" s="23">
        <f t="shared" si="2"/>
        <v>0</v>
      </c>
    </row>
    <row r="134">
      <c r="A134" s="22" t="s">
        <v>486</v>
      </c>
      <c r="B134" s="21">
        <f t="shared" si="1"/>
        <v>0</v>
      </c>
      <c r="C134" s="21" t="str">
        <f>VLOOKUP(A134, hash!A$2:B$500, 2, 0)</f>
        <v>63504d21680a31686694f409</v>
      </c>
      <c r="D134" s="23">
        <f t="shared" si="2"/>
        <v>0</v>
      </c>
    </row>
    <row r="135">
      <c r="A135" s="22" t="s">
        <v>487</v>
      </c>
      <c r="B135" s="21">
        <f t="shared" si="1"/>
        <v>0</v>
      </c>
      <c r="C135" s="21" t="str">
        <f>VLOOKUP(A135, hash!A$2:B$500, 2, 0)</f>
        <v>63504d993b59fc8152ddcd16</v>
      </c>
      <c r="D135" s="23">
        <f t="shared" si="2"/>
        <v>0</v>
      </c>
    </row>
    <row r="136">
      <c r="A136" s="22" t="s">
        <v>488</v>
      </c>
      <c r="B136" s="21">
        <f t="shared" si="1"/>
        <v>0</v>
      </c>
      <c r="C136" s="21" t="str">
        <f>VLOOKUP(A136, hash!A$2:B$500, 2, 0)</f>
        <v>63504f2bf3c9b5fc221a8b0b</v>
      </c>
      <c r="D136" s="23">
        <f t="shared" si="2"/>
        <v>0</v>
      </c>
    </row>
    <row r="137">
      <c r="A137" s="22" t="s">
        <v>489</v>
      </c>
      <c r="B137" s="21">
        <f t="shared" si="1"/>
        <v>0</v>
      </c>
      <c r="C137" s="21" t="str">
        <f>VLOOKUP(A137, hash!A$2:B$500, 2, 0)</f>
        <v>63505039f3c9b5fc221a8b11</v>
      </c>
      <c r="D137" s="23">
        <f t="shared" si="2"/>
        <v>0</v>
      </c>
    </row>
    <row r="138">
      <c r="A138" s="22" t="s">
        <v>490</v>
      </c>
      <c r="B138" s="21">
        <f t="shared" si="1"/>
        <v>0</v>
      </c>
      <c r="C138" s="21" t="str">
        <f>VLOOKUP(A138, hash!A$2:B$500, 2, 0)</f>
        <v>6350508cf3c9b5fc221a8b14</v>
      </c>
      <c r="D138" s="23">
        <f t="shared" si="2"/>
        <v>0</v>
      </c>
    </row>
    <row r="139">
      <c r="A139" s="22" t="s">
        <v>491</v>
      </c>
      <c r="B139" s="21">
        <f t="shared" si="1"/>
        <v>0</v>
      </c>
      <c r="C139" s="21" t="str">
        <f>VLOOKUP(A139, hash!A$2:B$500, 2, 0)</f>
        <v>635052bcd5280881c6468696</v>
      </c>
      <c r="D139" s="23">
        <f t="shared" si="2"/>
        <v>0</v>
      </c>
    </row>
    <row r="140">
      <c r="A140" s="22" t="s">
        <v>492</v>
      </c>
      <c r="B140" s="21">
        <f t="shared" si="1"/>
        <v>0</v>
      </c>
      <c r="C140" s="21" t="str">
        <f>VLOOKUP(A140, hash!A$2:B$500, 2, 0)</f>
        <v>635053873b59fc8152ddcd3f</v>
      </c>
      <c r="D140" s="23">
        <f t="shared" si="2"/>
        <v>0</v>
      </c>
    </row>
    <row r="141">
      <c r="A141" s="22" t="s">
        <v>493</v>
      </c>
      <c r="B141" s="21">
        <f t="shared" si="1"/>
        <v>0</v>
      </c>
      <c r="C141" s="21" t="str">
        <f>VLOOKUP(A141, hash!A$2:B$500, 2, 0)</f>
        <v>6350549ca87d74ab21f25e75</v>
      </c>
      <c r="D141" s="23">
        <f t="shared" si="2"/>
        <v>0</v>
      </c>
    </row>
    <row r="142">
      <c r="A142" s="22" t="s">
        <v>602</v>
      </c>
      <c r="B142" s="21">
        <f t="shared" si="1"/>
        <v>0</v>
      </c>
      <c r="C142" s="21" t="str">
        <f>VLOOKUP(A142, hash!A$2:B$500, 2, 0)</f>
        <v>#N/A</v>
      </c>
      <c r="D142" s="23">
        <f t="shared" si="2"/>
        <v>0</v>
      </c>
    </row>
    <row r="143">
      <c r="A143" s="22" t="s">
        <v>494</v>
      </c>
      <c r="B143" s="21">
        <f t="shared" si="1"/>
        <v>0</v>
      </c>
      <c r="C143" s="21" t="str">
        <f>VLOOKUP(A143, hash!A$2:B$500, 2, 0)</f>
        <v>63529e993c9eeacf2b95884e</v>
      </c>
      <c r="D143" s="23">
        <f t="shared" si="2"/>
        <v>0</v>
      </c>
    </row>
    <row r="144">
      <c r="A144" s="22" t="s">
        <v>495</v>
      </c>
      <c r="B144" s="21">
        <f t="shared" si="1"/>
        <v>0</v>
      </c>
      <c r="C144" s="21" t="str">
        <f>VLOOKUP(A144, hash!A$2:B$500, 2, 0)</f>
        <v>63597cb9a9e578282a60ad9d</v>
      </c>
      <c r="D144" s="23">
        <f t="shared" si="2"/>
        <v>0</v>
      </c>
    </row>
    <row r="145">
      <c r="A145" s="22" t="s">
        <v>603</v>
      </c>
      <c r="B145" s="21">
        <f t="shared" si="1"/>
        <v>0</v>
      </c>
      <c r="C145" s="21" t="str">
        <f>VLOOKUP(A145, hash!A$2:B$500, 2, 0)</f>
        <v>#N/A</v>
      </c>
      <c r="D145" s="23">
        <f t="shared" si="2"/>
        <v>0</v>
      </c>
    </row>
    <row r="146">
      <c r="A146" s="22" t="s">
        <v>101</v>
      </c>
      <c r="B146" s="21">
        <f t="shared" si="1"/>
        <v>0</v>
      </c>
      <c r="C146" s="21" t="str">
        <f>VLOOKUP(A146, hash!A$2:B$500, 2, 0)</f>
        <v>6362864bd6615019231bd3fc</v>
      </c>
      <c r="D146" s="23">
        <f t="shared" si="2"/>
        <v>0</v>
      </c>
    </row>
    <row r="147">
      <c r="A147" s="22" t="s">
        <v>102</v>
      </c>
      <c r="B147" s="21">
        <f t="shared" si="1"/>
        <v>0</v>
      </c>
      <c r="C147" s="21" t="str">
        <f>VLOOKUP(A147, hash!A$2:B$500, 2, 0)</f>
        <v>6362b77fe777ad6bbb240412</v>
      </c>
      <c r="D147" s="23">
        <f t="shared" si="2"/>
        <v>0</v>
      </c>
    </row>
    <row r="148">
      <c r="A148" s="22" t="s">
        <v>604</v>
      </c>
      <c r="B148" s="21">
        <f t="shared" si="1"/>
        <v>0</v>
      </c>
      <c r="C148" s="21" t="str">
        <f>VLOOKUP(A148, hash!A$2:B$500, 2, 0)</f>
        <v>#N/A</v>
      </c>
      <c r="D148" s="23">
        <f t="shared" si="2"/>
        <v>0</v>
      </c>
    </row>
    <row r="149">
      <c r="A149" s="22" t="s">
        <v>103</v>
      </c>
      <c r="B149" s="21">
        <f t="shared" si="1"/>
        <v>0</v>
      </c>
      <c r="C149" s="21" t="str">
        <f>VLOOKUP(A149, hash!A$2:B$500, 2, 0)</f>
        <v>6376b58661fba9785d07416f</v>
      </c>
      <c r="D149" s="23">
        <f t="shared" si="2"/>
        <v>0</v>
      </c>
    </row>
    <row r="150">
      <c r="A150" s="22" t="s">
        <v>605</v>
      </c>
      <c r="B150" s="21">
        <f t="shared" si="1"/>
        <v>0</v>
      </c>
      <c r="C150" s="21" t="str">
        <f>VLOOKUP(A150, hash!A$2:B$500, 2, 0)</f>
        <v>#N/A</v>
      </c>
      <c r="D150" s="23">
        <f t="shared" si="2"/>
        <v>0</v>
      </c>
    </row>
    <row r="151">
      <c r="A151" s="22" t="s">
        <v>606</v>
      </c>
      <c r="B151" s="21">
        <f t="shared" si="1"/>
        <v>0</v>
      </c>
      <c r="C151" s="21" t="str">
        <f>VLOOKUP(A151, hash!A$2:B$500, 2, 0)</f>
        <v>#N/A</v>
      </c>
      <c r="D151" s="23">
        <f t="shared" si="2"/>
        <v>0</v>
      </c>
      <c r="I151" s="14">
        <v>0.0</v>
      </c>
      <c r="J151" s="14">
        <v>0.0</v>
      </c>
    </row>
    <row r="152">
      <c r="A152" s="22" t="s">
        <v>104</v>
      </c>
      <c r="B152" s="21">
        <f t="shared" si="1"/>
        <v>0</v>
      </c>
      <c r="C152" s="21" t="str">
        <f>VLOOKUP(A152, hash!A$2:B$500, 2, 0)</f>
        <v>6387bb73c1e51a839dd5a996</v>
      </c>
      <c r="D152" s="23">
        <f t="shared" si="2"/>
        <v>0</v>
      </c>
    </row>
    <row r="153">
      <c r="A153" s="22" t="s">
        <v>105</v>
      </c>
      <c r="B153" s="21">
        <f t="shared" si="1"/>
        <v>0</v>
      </c>
      <c r="C153" s="21" t="str">
        <f>VLOOKUP(A153, hash!A$2:B$500, 2, 0)</f>
        <v>6387bbc6c1e51a839dd5a9a4</v>
      </c>
      <c r="D153" s="23">
        <f t="shared" si="2"/>
        <v>0</v>
      </c>
    </row>
    <row r="154">
      <c r="A154" s="22" t="s">
        <v>106</v>
      </c>
      <c r="B154" s="21">
        <f t="shared" si="1"/>
        <v>0</v>
      </c>
      <c r="C154" s="21" t="str">
        <f>VLOOKUP(A154, hash!A$2:B$500, 2, 0)</f>
        <v>639a2e9e3b748bad962c153c</v>
      </c>
      <c r="D154" s="23">
        <f t="shared" si="2"/>
        <v>0</v>
      </c>
    </row>
    <row r="155">
      <c r="A155" s="22" t="s">
        <v>107</v>
      </c>
      <c r="B155" s="21">
        <f t="shared" si="1"/>
        <v>0</v>
      </c>
      <c r="C155" s="21" t="str">
        <f>VLOOKUP(A155, hash!A$2:B$500, 2, 0)</f>
        <v>63b5d35a964a47f092354843</v>
      </c>
      <c r="D155" s="23">
        <f t="shared" si="2"/>
        <v>0</v>
      </c>
    </row>
    <row r="156">
      <c r="A156" s="22" t="s">
        <v>108</v>
      </c>
      <c r="B156" s="21">
        <f t="shared" si="1"/>
        <v>0</v>
      </c>
      <c r="C156" s="21" t="str">
        <f>VLOOKUP(A156, hash!A$2:B$500, 2, 0)</f>
        <v>63c833ef38ef4ba2f7bbe919</v>
      </c>
      <c r="D156" s="23">
        <f t="shared" si="2"/>
        <v>0</v>
      </c>
    </row>
    <row r="157">
      <c r="A157" s="22" t="s">
        <v>109</v>
      </c>
      <c r="B157" s="21">
        <f t="shared" si="1"/>
        <v>0</v>
      </c>
      <c r="C157" s="21" t="str">
        <f>VLOOKUP(A157, hash!A$2:B$500, 2, 0)</f>
        <v>63c8473f511ce7e89481b00b</v>
      </c>
      <c r="D157" s="23">
        <f t="shared" si="2"/>
        <v>0</v>
      </c>
    </row>
    <row r="158">
      <c r="A158" s="22" t="s">
        <v>110</v>
      </c>
      <c r="B158" s="21">
        <f t="shared" si="1"/>
        <v>0</v>
      </c>
      <c r="C158" s="21" t="str">
        <f>VLOOKUP(A158, hash!A$2:B$500, 2, 0)</f>
        <v>63c8477b67bbb48b24b073b9</v>
      </c>
      <c r="D158" s="23">
        <f t="shared" si="2"/>
        <v>0</v>
      </c>
    </row>
    <row r="159">
      <c r="A159" s="22" t="s">
        <v>607</v>
      </c>
      <c r="B159" s="21">
        <f t="shared" si="1"/>
        <v>0</v>
      </c>
      <c r="C159" s="21" t="str">
        <f>VLOOKUP(A159, hash!A$2:B$500, 2, 0)</f>
        <v>#N/A</v>
      </c>
      <c r="D159" s="23">
        <f t="shared" si="2"/>
        <v>0</v>
      </c>
      <c r="I159" s="14">
        <v>0.0</v>
      </c>
      <c r="J159" s="14">
        <v>0.0</v>
      </c>
    </row>
    <row r="160">
      <c r="A160" s="22" t="s">
        <v>608</v>
      </c>
      <c r="B160" s="21">
        <f t="shared" si="1"/>
        <v>0</v>
      </c>
      <c r="C160" s="21" t="str">
        <f>VLOOKUP(A160, hash!A$2:B$500, 2, 0)</f>
        <v>#N/A</v>
      </c>
      <c r="D160" s="23">
        <f t="shared" si="2"/>
        <v>0</v>
      </c>
      <c r="I160" s="14">
        <v>0.0</v>
      </c>
      <c r="J160" s="14">
        <v>0.0</v>
      </c>
    </row>
    <row r="161">
      <c r="A161" s="22" t="s">
        <v>111</v>
      </c>
      <c r="B161" s="21">
        <f t="shared" si="1"/>
        <v>0</v>
      </c>
      <c r="C161" s="21" t="str">
        <f>VLOOKUP(A161, hash!A$2:B$500, 2, 0)</f>
        <v>63dabd0663f6b9aef34df313</v>
      </c>
      <c r="D161" s="23">
        <f t="shared" si="2"/>
        <v>0</v>
      </c>
    </row>
    <row r="162">
      <c r="A162" s="22" t="s">
        <v>112</v>
      </c>
      <c r="B162" s="21">
        <f t="shared" si="1"/>
        <v>0</v>
      </c>
      <c r="C162" s="21" t="str">
        <f>VLOOKUP(A162, hash!A$2:B$500, 2, 0)</f>
        <v>63dabd3d9dab57a89c8ed2ec</v>
      </c>
      <c r="D162" s="23">
        <f t="shared" si="2"/>
        <v>0</v>
      </c>
    </row>
    <row r="163">
      <c r="A163" s="22" t="s">
        <v>609</v>
      </c>
      <c r="B163" s="21">
        <f t="shared" si="1"/>
        <v>0</v>
      </c>
      <c r="C163" s="21" t="str">
        <f>VLOOKUP(A163, hash!A$2:B$500, 2, 0)</f>
        <v>#N/A</v>
      </c>
      <c r="D163" s="23">
        <f t="shared" si="2"/>
        <v>0</v>
      </c>
    </row>
    <row r="164">
      <c r="A164" s="22" t="s">
        <v>113</v>
      </c>
      <c r="B164" s="21">
        <f t="shared" si="1"/>
        <v>0</v>
      </c>
      <c r="C164" s="21" t="str">
        <f>VLOOKUP(A164, hash!A$2:B$500, 2, 0)</f>
        <v>63ddd5541cf7a4a53455fa2b</v>
      </c>
      <c r="D164" s="23">
        <f t="shared" si="2"/>
        <v>0</v>
      </c>
    </row>
    <row r="165">
      <c r="A165" s="22" t="s">
        <v>610</v>
      </c>
      <c r="B165" s="21">
        <f t="shared" si="1"/>
        <v>0</v>
      </c>
      <c r="C165" s="21" t="str">
        <f>VLOOKUP(A165, hash!A$2:B$500, 2, 0)</f>
        <v>#N/A</v>
      </c>
      <c r="D165" s="23">
        <f t="shared" si="2"/>
        <v>0</v>
      </c>
    </row>
    <row r="166">
      <c r="A166" s="22" t="s">
        <v>114</v>
      </c>
      <c r="B166" s="21">
        <f t="shared" si="1"/>
        <v>0</v>
      </c>
      <c r="C166" s="21" t="str">
        <f>VLOOKUP(A166, hash!A$2:B$500, 2, 0)</f>
        <v>63ed3c20ba3040bfda3dc990</v>
      </c>
      <c r="D166" s="23">
        <f t="shared" si="2"/>
        <v>0</v>
      </c>
    </row>
    <row r="167">
      <c r="A167" s="22" t="s">
        <v>115</v>
      </c>
      <c r="B167" s="21">
        <f t="shared" si="1"/>
        <v>0</v>
      </c>
      <c r="C167" s="21" t="str">
        <f>VLOOKUP(A167, hash!A$2:B$500, 2, 0)</f>
        <v>63f67889c8ff9ace793384df</v>
      </c>
      <c r="D167" s="23">
        <f t="shared" si="2"/>
        <v>0</v>
      </c>
    </row>
    <row r="168">
      <c r="A168" s="22" t="s">
        <v>116</v>
      </c>
      <c r="B168" s="21">
        <f t="shared" si="1"/>
        <v>0</v>
      </c>
      <c r="C168" s="21" t="str">
        <f>VLOOKUP(A168, hash!A$2:B$500, 2, 0)</f>
        <v>63f67911eb2d54539e475aef</v>
      </c>
      <c r="D168" s="23">
        <f t="shared" si="2"/>
        <v>0</v>
      </c>
    </row>
    <row r="169">
      <c r="A169" s="22" t="s">
        <v>611</v>
      </c>
      <c r="B169" s="21">
        <f t="shared" si="1"/>
        <v>0</v>
      </c>
      <c r="C169" s="21" t="str">
        <f>VLOOKUP(A169, hash!A$2:B$500, 2, 0)</f>
        <v>#N/A</v>
      </c>
      <c r="D169" s="23">
        <f t="shared" si="2"/>
        <v>0</v>
      </c>
    </row>
    <row r="170">
      <c r="A170" s="22" t="s">
        <v>612</v>
      </c>
      <c r="B170" s="21">
        <f t="shared" si="1"/>
        <v>0</v>
      </c>
      <c r="C170" s="21" t="str">
        <f>VLOOKUP(A170, hash!A$2:B$500, 2, 0)</f>
        <v>#N/A</v>
      </c>
      <c r="D170" s="23">
        <f t="shared" si="2"/>
        <v>0</v>
      </c>
    </row>
    <row r="171">
      <c r="A171" s="22" t="s">
        <v>117</v>
      </c>
      <c r="B171" s="21">
        <f t="shared" si="1"/>
        <v>0</v>
      </c>
      <c r="C171" s="21" t="str">
        <f>VLOOKUP(A171, hash!A$2:B$500, 2, 0)</f>
        <v>64120eb5cd7bcbc0e50f33da</v>
      </c>
      <c r="D171" s="23">
        <f t="shared" si="2"/>
        <v>0</v>
      </c>
    </row>
    <row r="172">
      <c r="A172" s="22" t="s">
        <v>118</v>
      </c>
      <c r="B172" s="21">
        <f t="shared" si="1"/>
        <v>0</v>
      </c>
      <c r="C172" s="21" t="str">
        <f>VLOOKUP(A172, hash!A$2:B$500, 2, 0)</f>
        <v>64403390f40f176b87a687a7</v>
      </c>
      <c r="D172" s="23">
        <f t="shared" si="2"/>
        <v>0</v>
      </c>
    </row>
    <row r="173">
      <c r="A173" s="22" t="s">
        <v>119</v>
      </c>
      <c r="B173" s="21">
        <f t="shared" si="1"/>
        <v>0</v>
      </c>
      <c r="C173" s="21" t="str">
        <f>VLOOKUP(A173, hash!A$2:B$500, 2, 0)</f>
        <v>64403395ea1fa9a912edb699</v>
      </c>
      <c r="D173" s="23">
        <f t="shared" si="2"/>
        <v>0</v>
      </c>
    </row>
    <row r="174">
      <c r="A174" s="22" t="s">
        <v>120</v>
      </c>
      <c r="B174" s="21">
        <f t="shared" si="1"/>
        <v>0</v>
      </c>
      <c r="C174" s="21" t="str">
        <f>VLOOKUP(A174, hash!A$2:B$500, 2, 0)</f>
        <v>64403399ea1fa9a912edb69a</v>
      </c>
      <c r="D174" s="23">
        <f t="shared" si="2"/>
        <v>0</v>
      </c>
    </row>
    <row r="175">
      <c r="A175" s="22" t="s">
        <v>121</v>
      </c>
      <c r="B175" s="21">
        <f t="shared" si="1"/>
        <v>0</v>
      </c>
      <c r="C175" s="21" t="str">
        <f>VLOOKUP(A175, hash!A$2:B$500, 2, 0)</f>
        <v>644033a6ea1fa9a912edb69b</v>
      </c>
      <c r="D175" s="23">
        <f t="shared" si="2"/>
        <v>0</v>
      </c>
    </row>
    <row r="176">
      <c r="A176" s="22" t="s">
        <v>122</v>
      </c>
      <c r="B176" s="21">
        <f t="shared" si="1"/>
        <v>0</v>
      </c>
      <c r="C176" s="21" t="str">
        <f>VLOOKUP(A176, hash!A$2:B$500, 2, 0)</f>
        <v>6440343c3d99f5a46dd56558</v>
      </c>
      <c r="D176" s="23">
        <f t="shared" si="2"/>
        <v>0</v>
      </c>
    </row>
    <row r="177">
      <c r="A177" s="22" t="s">
        <v>123</v>
      </c>
      <c r="B177" s="21">
        <f t="shared" si="1"/>
        <v>0</v>
      </c>
      <c r="C177" s="21" t="str">
        <f>VLOOKUP(A177, hash!A$2:B$500, 2, 0)</f>
        <v>644034954fa829a66b219e95</v>
      </c>
      <c r="D177" s="23">
        <f t="shared" si="2"/>
        <v>0</v>
      </c>
    </row>
    <row r="178">
      <c r="A178" s="22" t="s">
        <v>124</v>
      </c>
      <c r="B178" s="21">
        <f t="shared" si="1"/>
        <v>0</v>
      </c>
      <c r="C178" s="21" t="str">
        <f>VLOOKUP(A178, hash!A$2:B$500, 2, 0)</f>
        <v>6451565d77ece8ad709943e6</v>
      </c>
      <c r="D178" s="23">
        <f t="shared" si="2"/>
        <v>0</v>
      </c>
    </row>
    <row r="179">
      <c r="A179" s="22" t="s">
        <v>125</v>
      </c>
      <c r="B179" s="21">
        <f t="shared" si="1"/>
        <v>0</v>
      </c>
      <c r="C179" s="21" t="str">
        <f>VLOOKUP(A179, hash!A$2:B$500, 2, 0)</f>
        <v>6451566b3e57b23a771eb77e</v>
      </c>
      <c r="D179" s="23">
        <f t="shared" si="2"/>
        <v>0</v>
      </c>
    </row>
    <row r="180">
      <c r="A180" s="22" t="s">
        <v>126</v>
      </c>
      <c r="B180" s="21">
        <f t="shared" si="1"/>
        <v>0</v>
      </c>
      <c r="C180" s="21" t="str">
        <f>VLOOKUP(A180, hash!A$2:B$500, 2, 0)</f>
        <v>64515f40d1db94b82bde4768</v>
      </c>
      <c r="D180" s="23">
        <f t="shared" si="2"/>
        <v>0</v>
      </c>
    </row>
    <row r="181">
      <c r="A181" s="22" t="s">
        <v>56</v>
      </c>
      <c r="B181" s="21">
        <f t="shared" si="1"/>
        <v>0</v>
      </c>
      <c r="C181" s="21" t="str">
        <f>VLOOKUP(A181, hash!A$2:B$500, 2, 0)</f>
        <v>64515f804c53122bd367c958</v>
      </c>
      <c r="D181" s="23">
        <f t="shared" si="2"/>
        <v>0</v>
      </c>
    </row>
    <row r="182">
      <c r="A182" s="22" t="s">
        <v>613</v>
      </c>
      <c r="B182" s="21">
        <f t="shared" si="1"/>
        <v>0</v>
      </c>
      <c r="C182" s="21" t="str">
        <f>VLOOKUP(A182, hash!A$2:B$500, 2, 0)</f>
        <v>#N/A</v>
      </c>
      <c r="D182" s="23">
        <f t="shared" si="2"/>
        <v>0</v>
      </c>
    </row>
    <row r="183">
      <c r="A183" s="22" t="s">
        <v>127</v>
      </c>
      <c r="B183" s="21">
        <f t="shared" si="1"/>
        <v>0</v>
      </c>
      <c r="C183" s="21" t="str">
        <f>VLOOKUP(A183, hash!A$2:B$500, 2, 0)</f>
        <v>6501ffd91d8cbbbd315ad51c</v>
      </c>
      <c r="D183" s="23">
        <f t="shared" si="2"/>
        <v>0</v>
      </c>
    </row>
    <row r="184">
      <c r="A184" s="22" t="s">
        <v>128</v>
      </c>
      <c r="B184" s="21">
        <f t="shared" si="1"/>
        <v>0</v>
      </c>
      <c r="C184" s="21" t="str">
        <f>VLOOKUP(A184, hash!A$2:B$500, 2, 0)</f>
        <v>6501ffe41d8cbbbd315ad51d</v>
      </c>
      <c r="D184" s="23">
        <f t="shared" si="2"/>
        <v>0</v>
      </c>
    </row>
    <row r="185">
      <c r="A185" s="22" t="s">
        <v>129</v>
      </c>
      <c r="B185" s="21">
        <f t="shared" si="1"/>
        <v>0</v>
      </c>
      <c r="C185" s="21" t="str">
        <f>VLOOKUP(A185, hash!A$2:B$500, 2, 0)</f>
        <v>6501fff01d8cbbbd315ad51f</v>
      </c>
      <c r="D185" s="23">
        <f t="shared" si="2"/>
        <v>0</v>
      </c>
    </row>
    <row r="186">
      <c r="A186" s="22" t="s">
        <v>130</v>
      </c>
      <c r="B186" s="21">
        <f t="shared" si="1"/>
        <v>0</v>
      </c>
      <c r="C186" s="21" t="str">
        <f>VLOOKUP(A186, hash!A$2:B$500, 2, 0)</f>
        <v>6501fff296a576d9fa03f986</v>
      </c>
      <c r="D186" s="23">
        <f t="shared" si="2"/>
        <v>0</v>
      </c>
    </row>
    <row r="187">
      <c r="A187" s="22" t="s">
        <v>131</v>
      </c>
      <c r="B187" s="21">
        <f t="shared" si="1"/>
        <v>0</v>
      </c>
      <c r="C187" s="21" t="str">
        <f>VLOOKUP(A187, hash!A$2:B$500, 2, 0)</f>
        <v>6501fffc96a576d9fa03f988</v>
      </c>
      <c r="D187" s="23">
        <f t="shared" si="2"/>
        <v>0</v>
      </c>
    </row>
    <row r="188">
      <c r="A188" s="22" t="s">
        <v>132</v>
      </c>
      <c r="B188" s="21">
        <f t="shared" si="1"/>
        <v>0</v>
      </c>
      <c r="C188" s="21" t="str">
        <f>VLOOKUP(A188, hash!A$2:B$500, 2, 0)</f>
        <v>6501fffd96a576d9fa03f989</v>
      </c>
      <c r="D188" s="23">
        <f t="shared" si="2"/>
        <v>0</v>
      </c>
    </row>
    <row r="189">
      <c r="A189" s="22" t="s">
        <v>133</v>
      </c>
      <c r="B189" s="21">
        <f t="shared" si="1"/>
        <v>0</v>
      </c>
      <c r="C189" s="21" t="str">
        <f>VLOOKUP(A189, hash!A$2:B$500, 2, 0)</f>
        <v>6502000096a576d9fa03f98a</v>
      </c>
      <c r="D189" s="23">
        <f t="shared" si="2"/>
        <v>0</v>
      </c>
    </row>
    <row r="190">
      <c r="A190" s="22" t="s">
        <v>134</v>
      </c>
      <c r="B190" s="21">
        <f t="shared" si="1"/>
        <v>0</v>
      </c>
      <c r="C190" s="21" t="str">
        <f>VLOOKUP(A190, hash!A$2:B$500, 2, 0)</f>
        <v>6502000196a576d9fa03f98b</v>
      </c>
      <c r="D190" s="23">
        <f t="shared" si="2"/>
        <v>0</v>
      </c>
    </row>
    <row r="191">
      <c r="A191" s="22" t="s">
        <v>135</v>
      </c>
      <c r="B191" s="21">
        <f t="shared" si="1"/>
        <v>0</v>
      </c>
      <c r="C191" s="21" t="str">
        <f>VLOOKUP(A191, hash!A$2:B$500, 2, 0)</f>
        <v>65020008540ba7cc68909a94</v>
      </c>
      <c r="D191" s="23">
        <f t="shared" si="2"/>
        <v>0</v>
      </c>
    </row>
    <row r="192">
      <c r="A192" s="22" t="s">
        <v>136</v>
      </c>
      <c r="B192" s="21">
        <f t="shared" si="1"/>
        <v>0</v>
      </c>
      <c r="C192" s="21" t="str">
        <f>VLOOKUP(A192, hash!A$2:B$500, 2, 0)</f>
        <v>6502000b1d8cbbbd315ad521</v>
      </c>
      <c r="D192" s="23">
        <f t="shared" si="2"/>
        <v>0</v>
      </c>
    </row>
    <row r="193">
      <c r="A193" s="22" t="s">
        <v>137</v>
      </c>
      <c r="B193" s="21">
        <f t="shared" si="1"/>
        <v>0</v>
      </c>
      <c r="C193" s="21" t="str">
        <f>VLOOKUP(A193, hash!A$2:B$500, 2, 0)</f>
        <v>65020010540ba7cc68909a95</v>
      </c>
      <c r="D193" s="23">
        <f t="shared" si="2"/>
        <v>0</v>
      </c>
    </row>
    <row r="194">
      <c r="A194" s="22" t="s">
        <v>138</v>
      </c>
      <c r="B194" s="21">
        <f t="shared" si="1"/>
        <v>0</v>
      </c>
      <c r="C194" s="21" t="str">
        <f>VLOOKUP(A194, hash!A$2:B$500, 2, 0)</f>
        <v>6502001196a576d9fa03f98c</v>
      </c>
      <c r="D194" s="23">
        <f t="shared" si="2"/>
        <v>0</v>
      </c>
    </row>
    <row r="195">
      <c r="A195" s="22" t="s">
        <v>139</v>
      </c>
      <c r="B195" s="21">
        <f t="shared" si="1"/>
        <v>0</v>
      </c>
      <c r="C195" s="21" t="str">
        <f>VLOOKUP(A195, hash!A$2:B$500, 2, 0)</f>
        <v>6502001196a576d9fa03f98d</v>
      </c>
      <c r="D195" s="23">
        <f t="shared" si="2"/>
        <v>0</v>
      </c>
    </row>
    <row r="196">
      <c r="A196" s="22" t="s">
        <v>140</v>
      </c>
      <c r="B196" s="21">
        <f t="shared" si="1"/>
        <v>0</v>
      </c>
      <c r="C196" s="21" t="str">
        <f>VLOOKUP(A196, hash!A$2:B$500, 2, 0)</f>
        <v>6502001596a576d9fa03f98e</v>
      </c>
      <c r="D196" s="23">
        <f t="shared" si="2"/>
        <v>0</v>
      </c>
    </row>
    <row r="197">
      <c r="A197" s="22" t="s">
        <v>141</v>
      </c>
      <c r="B197" s="21">
        <f t="shared" si="1"/>
        <v>0</v>
      </c>
      <c r="C197" s="21" t="str">
        <f>VLOOKUP(A197, hash!A$2:B$500, 2, 0)</f>
        <v>6502001d540ba7cc68909a96</v>
      </c>
      <c r="D197" s="23">
        <f t="shared" si="2"/>
        <v>0</v>
      </c>
    </row>
    <row r="198">
      <c r="A198" s="22" t="s">
        <v>142</v>
      </c>
      <c r="B198" s="21">
        <f t="shared" si="1"/>
        <v>0</v>
      </c>
      <c r="C198" s="21" t="str">
        <f>VLOOKUP(A198, hash!A$2:B$500, 2, 0)</f>
        <v>6502001f96a576d9fa03f991</v>
      </c>
      <c r="D198" s="23">
        <f t="shared" si="2"/>
        <v>0</v>
      </c>
    </row>
    <row r="199">
      <c r="A199" s="22" t="s">
        <v>143</v>
      </c>
      <c r="B199" s="21">
        <f t="shared" si="1"/>
        <v>0</v>
      </c>
      <c r="C199" s="21" t="str">
        <f>VLOOKUP(A199, hash!A$2:B$500, 2, 0)</f>
        <v>6502002296a576d9fa03f993</v>
      </c>
      <c r="D199" s="23">
        <f t="shared" si="2"/>
        <v>0</v>
      </c>
    </row>
    <row r="200">
      <c r="A200" s="22" t="s">
        <v>144</v>
      </c>
      <c r="B200" s="21">
        <f t="shared" si="1"/>
        <v>0</v>
      </c>
      <c r="C200" s="21" t="str">
        <f>VLOOKUP(A200, hash!A$2:B$500, 2, 0)</f>
        <v>6502002396a576d9fa03f994</v>
      </c>
      <c r="D200" s="23">
        <f t="shared" si="2"/>
        <v>0</v>
      </c>
    </row>
    <row r="201">
      <c r="A201" s="22" t="s">
        <v>145</v>
      </c>
      <c r="B201" s="21">
        <f t="shared" si="1"/>
        <v>0</v>
      </c>
      <c r="C201" s="21" t="str">
        <f>VLOOKUP(A201, hash!A$2:B$500, 2, 0)</f>
        <v>6502003c96a576d9fa03f99d</v>
      </c>
      <c r="D201" s="23">
        <f t="shared" si="2"/>
        <v>0</v>
      </c>
    </row>
    <row r="202">
      <c r="A202" s="22" t="s">
        <v>614</v>
      </c>
      <c r="B202" s="21">
        <f t="shared" si="1"/>
        <v>0</v>
      </c>
      <c r="C202" s="21" t="str">
        <f>VLOOKUP(A202, hash!A$2:B$500, 2, 0)</f>
        <v>#N/A</v>
      </c>
      <c r="D202" s="23">
        <f t="shared" si="2"/>
        <v>0</v>
      </c>
    </row>
    <row r="203">
      <c r="A203" s="22" t="s">
        <v>146</v>
      </c>
      <c r="B203" s="21">
        <f t="shared" si="1"/>
        <v>0</v>
      </c>
      <c r="C203" s="21" t="str">
        <f>VLOOKUP(A203, hash!A$2:B$500, 2, 0)</f>
        <v>6502003d57ae167867eac21c</v>
      </c>
      <c r="D203" s="23">
        <f t="shared" si="2"/>
        <v>0</v>
      </c>
    </row>
    <row r="204">
      <c r="A204" s="22" t="s">
        <v>147</v>
      </c>
      <c r="B204" s="21">
        <f t="shared" si="1"/>
        <v>0</v>
      </c>
      <c r="C204" s="21" t="str">
        <f>VLOOKUP(A204, hash!A$2:B$500, 2, 0)</f>
        <v>65020041540ba7cc68909aa3</v>
      </c>
      <c r="D204" s="23">
        <f t="shared" si="2"/>
        <v>0</v>
      </c>
    </row>
    <row r="205">
      <c r="A205" s="22" t="s">
        <v>615</v>
      </c>
      <c r="B205" s="21">
        <f t="shared" si="1"/>
        <v>0</v>
      </c>
      <c r="C205" s="21" t="str">
        <f>VLOOKUP(A205, hash!A$2:B$500, 2, 0)</f>
        <v>#N/A</v>
      </c>
      <c r="D205" s="23">
        <f t="shared" si="2"/>
        <v>0</v>
      </c>
    </row>
    <row r="206">
      <c r="A206" s="22" t="s">
        <v>148</v>
      </c>
      <c r="B206" s="21">
        <f t="shared" si="1"/>
        <v>0</v>
      </c>
      <c r="C206" s="21" t="str">
        <f>VLOOKUP(A206, hash!A$2:B$500, 2, 0)</f>
        <v>650200481d8cbbbd315ad528</v>
      </c>
      <c r="D206" s="23">
        <f t="shared" si="2"/>
        <v>0</v>
      </c>
    </row>
    <row r="207">
      <c r="A207" s="22" t="s">
        <v>149</v>
      </c>
      <c r="B207" s="21">
        <f t="shared" si="1"/>
        <v>0</v>
      </c>
      <c r="C207" s="21" t="str">
        <f>VLOOKUP(A207, hash!A$2:B$500, 2, 0)</f>
        <v>6502004f1d8cbbbd315ad52a</v>
      </c>
      <c r="D207" s="23">
        <f t="shared" si="2"/>
        <v>0</v>
      </c>
    </row>
    <row r="208">
      <c r="A208" s="22" t="s">
        <v>616</v>
      </c>
      <c r="B208" s="21">
        <f t="shared" si="1"/>
        <v>0</v>
      </c>
      <c r="C208" s="21" t="str">
        <f>VLOOKUP(A208, hash!A$2:B$500, 2, 0)</f>
        <v>#N/A</v>
      </c>
      <c r="D208" s="23">
        <f t="shared" si="2"/>
        <v>0</v>
      </c>
    </row>
    <row r="209">
      <c r="A209" s="22" t="s">
        <v>150</v>
      </c>
      <c r="B209" s="21">
        <f t="shared" si="1"/>
        <v>0</v>
      </c>
      <c r="C209" s="21" t="str">
        <f>VLOOKUP(A209, hash!A$2:B$500, 2, 0)</f>
        <v>6502005118c31aadb7469b1a</v>
      </c>
      <c r="D209" s="23">
        <f t="shared" si="2"/>
        <v>0</v>
      </c>
    </row>
    <row r="210">
      <c r="A210" s="22" t="s">
        <v>151</v>
      </c>
      <c r="B210" s="21">
        <f t="shared" si="1"/>
        <v>0</v>
      </c>
      <c r="C210" s="21" t="str">
        <f>VLOOKUP(A210, hash!A$2:B$500, 2, 0)</f>
        <v>650200601d8cbbbd315ad52d</v>
      </c>
      <c r="D210" s="23">
        <f t="shared" si="2"/>
        <v>0</v>
      </c>
    </row>
    <row r="211">
      <c r="A211" s="22" t="s">
        <v>152</v>
      </c>
      <c r="B211" s="21">
        <f t="shared" si="1"/>
        <v>0</v>
      </c>
      <c r="C211" s="21" t="str">
        <f>VLOOKUP(A211, hash!A$2:B$500, 2, 0)</f>
        <v>6502007218c31aadb7469b1d</v>
      </c>
      <c r="D211" s="23">
        <f t="shared" si="2"/>
        <v>0</v>
      </c>
    </row>
    <row r="212">
      <c r="A212" s="22" t="s">
        <v>153</v>
      </c>
      <c r="B212" s="21">
        <f t="shared" si="1"/>
        <v>0</v>
      </c>
      <c r="C212" s="21" t="str">
        <f>VLOOKUP(A212, hash!A$2:B$500, 2, 0)</f>
        <v>6502007618c31aadb7469b1f</v>
      </c>
      <c r="D212" s="23">
        <f t="shared" si="2"/>
        <v>0</v>
      </c>
    </row>
    <row r="213">
      <c r="A213" s="22" t="s">
        <v>617</v>
      </c>
      <c r="B213" s="21">
        <f t="shared" si="1"/>
        <v>0</v>
      </c>
      <c r="C213" s="21" t="str">
        <f>VLOOKUP(A213, hash!A$2:B$500, 2, 0)</f>
        <v>#N/A</v>
      </c>
      <c r="D213" s="23">
        <f t="shared" si="2"/>
        <v>0</v>
      </c>
    </row>
    <row r="214">
      <c r="A214" s="22" t="s">
        <v>154</v>
      </c>
      <c r="B214" s="21">
        <f t="shared" si="1"/>
        <v>0</v>
      </c>
      <c r="C214" s="21" t="str">
        <f>VLOOKUP(A214, hash!A$2:B$500, 2, 0)</f>
        <v>6502008357ae167867eac228</v>
      </c>
      <c r="D214" s="23">
        <f t="shared" si="2"/>
        <v>0</v>
      </c>
    </row>
    <row r="215">
      <c r="A215" s="22" t="s">
        <v>155</v>
      </c>
      <c r="B215" s="21">
        <f t="shared" si="1"/>
        <v>0</v>
      </c>
      <c r="C215" s="21" t="str">
        <f>VLOOKUP(A215, hash!A$2:B$500, 2, 0)</f>
        <v>650200931d8cbbbd315ad536</v>
      </c>
      <c r="D215" s="23">
        <f t="shared" si="2"/>
        <v>0</v>
      </c>
    </row>
    <row r="216">
      <c r="A216" s="22" t="s">
        <v>156</v>
      </c>
      <c r="B216" s="21">
        <f t="shared" si="1"/>
        <v>0</v>
      </c>
      <c r="C216" s="21" t="str">
        <f>VLOOKUP(A216, hash!A$2:B$500, 2, 0)</f>
        <v>65020bcc03dd812a55d3a1fd</v>
      </c>
      <c r="D216" s="23">
        <f t="shared" si="2"/>
        <v>0</v>
      </c>
    </row>
    <row r="217">
      <c r="A217" s="22" t="s">
        <v>157</v>
      </c>
      <c r="B217" s="21">
        <f t="shared" si="1"/>
        <v>0</v>
      </c>
      <c r="C217" s="21" t="str">
        <f>VLOOKUP(A217, hash!A$2:B$500, 2, 0)</f>
        <v>65020bcd03dd812a55d3a1fe</v>
      </c>
      <c r="D217" s="23">
        <f t="shared" si="2"/>
        <v>0</v>
      </c>
    </row>
    <row r="218">
      <c r="A218" s="22" t="s">
        <v>158</v>
      </c>
      <c r="B218" s="21">
        <f t="shared" si="1"/>
        <v>0</v>
      </c>
      <c r="C218" s="21" t="str">
        <f>VLOOKUP(A218, hash!A$2:B$500, 2, 0)</f>
        <v>65020bcf8f2b101294bb3da0</v>
      </c>
      <c r="D218" s="23">
        <f t="shared" si="2"/>
        <v>0</v>
      </c>
    </row>
    <row r="219">
      <c r="A219" s="22" t="s">
        <v>159</v>
      </c>
      <c r="B219" s="21">
        <f t="shared" si="1"/>
        <v>0</v>
      </c>
      <c r="C219" s="21" t="str">
        <f>VLOOKUP(A219, hash!A$2:B$500, 2, 0)</f>
        <v>65020bd28f2b101294bb3da1</v>
      </c>
      <c r="D219" s="23">
        <f t="shared" si="2"/>
        <v>0</v>
      </c>
    </row>
    <row r="220">
      <c r="A220" s="22" t="s">
        <v>160</v>
      </c>
      <c r="B220" s="21">
        <f t="shared" si="1"/>
        <v>0</v>
      </c>
      <c r="C220" s="21" t="str">
        <f>VLOOKUP(A220, hash!A$2:B$500, 2, 0)</f>
        <v>65020bd203dd812a55d3a1ff</v>
      </c>
      <c r="D220" s="23">
        <f t="shared" si="2"/>
        <v>0</v>
      </c>
    </row>
    <row r="221">
      <c r="A221" s="22" t="s">
        <v>161</v>
      </c>
      <c r="B221" s="21">
        <f t="shared" si="1"/>
        <v>0</v>
      </c>
      <c r="C221" s="21" t="str">
        <f>VLOOKUP(A221, hash!A$2:B$500, 2, 0)</f>
        <v>65020bd2967e3c86d1681e9e</v>
      </c>
      <c r="D221" s="23">
        <f t="shared" si="2"/>
        <v>0</v>
      </c>
    </row>
    <row r="222">
      <c r="A222" s="22" t="s">
        <v>162</v>
      </c>
      <c r="B222" s="21">
        <f t="shared" si="1"/>
        <v>0</v>
      </c>
      <c r="C222" s="21" t="str">
        <f>VLOOKUP(A222, hash!A$2:B$500, 2, 0)</f>
        <v>65020bdb03dd812a55d3a202</v>
      </c>
      <c r="D222" s="23">
        <f t="shared" si="2"/>
        <v>0</v>
      </c>
    </row>
    <row r="223">
      <c r="A223" s="22" t="s">
        <v>163</v>
      </c>
      <c r="B223" s="21">
        <f t="shared" si="1"/>
        <v>0</v>
      </c>
      <c r="C223" s="21" t="str">
        <f>VLOOKUP(A223, hash!A$2:B$500, 2, 0)</f>
        <v>65020bde03dd812a55d3a203</v>
      </c>
      <c r="D223" s="23">
        <f t="shared" si="2"/>
        <v>0</v>
      </c>
    </row>
    <row r="224">
      <c r="A224" s="22" t="s">
        <v>96</v>
      </c>
      <c r="B224" s="21">
        <f t="shared" si="1"/>
        <v>0</v>
      </c>
      <c r="C224" s="21" t="str">
        <f>VLOOKUP(A224, hash!A$2:B$500, 2, 0)</f>
        <v>65020be28f2b101294bb3da3</v>
      </c>
      <c r="D224" s="23">
        <f t="shared" si="2"/>
        <v>0</v>
      </c>
    </row>
    <row r="225">
      <c r="A225" s="22" t="s">
        <v>164</v>
      </c>
      <c r="B225" s="21">
        <f t="shared" si="1"/>
        <v>0</v>
      </c>
      <c r="C225" s="21" t="str">
        <f>VLOOKUP(A225, hash!A$2:B$500, 2, 0)</f>
        <v>65020be303dd812a55d3a205</v>
      </c>
      <c r="D225" s="23">
        <f t="shared" si="2"/>
        <v>0</v>
      </c>
    </row>
    <row r="226">
      <c r="A226" s="22" t="s">
        <v>165</v>
      </c>
      <c r="B226" s="21">
        <f t="shared" si="1"/>
        <v>0</v>
      </c>
      <c r="C226" s="21" t="str">
        <f>VLOOKUP(A226, hash!A$2:B$500, 2, 0)</f>
        <v>65020be48f2b101294bb3da4</v>
      </c>
      <c r="D226" s="23">
        <f t="shared" si="2"/>
        <v>0</v>
      </c>
    </row>
    <row r="227">
      <c r="A227" s="22" t="s">
        <v>166</v>
      </c>
      <c r="B227" s="21">
        <f t="shared" si="1"/>
        <v>0</v>
      </c>
      <c r="C227" s="21" t="str">
        <f>VLOOKUP(A227, hash!A$2:B$500, 2, 0)</f>
        <v>65020be58f2b101294bb3da6</v>
      </c>
      <c r="D227" s="23">
        <f t="shared" si="2"/>
        <v>0</v>
      </c>
    </row>
    <row r="228">
      <c r="A228" s="22" t="s">
        <v>167</v>
      </c>
      <c r="B228" s="21">
        <f t="shared" si="1"/>
        <v>0</v>
      </c>
      <c r="C228" s="21" t="str">
        <f>VLOOKUP(A228, hash!A$2:B$500, 2, 0)</f>
        <v>65020be68f2b101294bb3da7</v>
      </c>
      <c r="D228" s="23">
        <f t="shared" si="2"/>
        <v>0</v>
      </c>
    </row>
    <row r="229">
      <c r="A229" s="22" t="s">
        <v>168</v>
      </c>
      <c r="B229" s="21">
        <f t="shared" si="1"/>
        <v>0</v>
      </c>
      <c r="C229" s="21" t="str">
        <f>VLOOKUP(A229, hash!A$2:B$500, 2, 0)</f>
        <v>65020bec8f2b101294bb3da9</v>
      </c>
      <c r="D229" s="23">
        <f t="shared" si="2"/>
        <v>0</v>
      </c>
    </row>
    <row r="230">
      <c r="A230" s="22" t="s">
        <v>40</v>
      </c>
      <c r="B230" s="21">
        <f t="shared" si="1"/>
        <v>0</v>
      </c>
      <c r="C230" s="21" t="str">
        <f>VLOOKUP(A230, hash!A$2:B$500, 2, 0)</f>
        <v>65020bed03dd812a55d3a207</v>
      </c>
      <c r="D230" s="23">
        <f t="shared" si="2"/>
        <v>0</v>
      </c>
    </row>
    <row r="231">
      <c r="A231" s="22" t="s">
        <v>169</v>
      </c>
      <c r="B231" s="21">
        <f t="shared" si="1"/>
        <v>0</v>
      </c>
      <c r="C231" s="21" t="str">
        <f>VLOOKUP(A231, hash!A$2:B$500, 2, 0)</f>
        <v>65020bf103dd812a55d3a208</v>
      </c>
      <c r="D231" s="23">
        <f t="shared" si="2"/>
        <v>0</v>
      </c>
    </row>
    <row r="232">
      <c r="A232" s="22" t="s">
        <v>170</v>
      </c>
      <c r="B232" s="21">
        <f t="shared" si="1"/>
        <v>0</v>
      </c>
      <c r="C232" s="21" t="str">
        <f>VLOOKUP(A232, hash!A$2:B$500, 2, 0)</f>
        <v>65020bf203dd812a55d3a209</v>
      </c>
      <c r="D232" s="23">
        <f t="shared" si="2"/>
        <v>0</v>
      </c>
    </row>
    <row r="233">
      <c r="A233" s="22" t="s">
        <v>171</v>
      </c>
      <c r="B233" s="21">
        <f t="shared" si="1"/>
        <v>0</v>
      </c>
      <c r="C233" s="21" t="str">
        <f>VLOOKUP(A233, hash!A$2:B$500, 2, 0)</f>
        <v>65020bf603dd812a55d3a20a</v>
      </c>
      <c r="D233" s="23">
        <f t="shared" si="2"/>
        <v>0</v>
      </c>
    </row>
    <row r="234">
      <c r="A234" s="22" t="s">
        <v>172</v>
      </c>
      <c r="B234" s="21">
        <f t="shared" si="1"/>
        <v>0</v>
      </c>
      <c r="C234" s="21" t="str">
        <f>VLOOKUP(A234, hash!A$2:B$500, 2, 0)</f>
        <v>65020bf8097ac3c9d063264a</v>
      </c>
      <c r="D234" s="23">
        <f t="shared" si="2"/>
        <v>0</v>
      </c>
    </row>
    <row r="235">
      <c r="A235" s="22" t="s">
        <v>619</v>
      </c>
      <c r="B235" s="21">
        <f t="shared" si="1"/>
        <v>0</v>
      </c>
      <c r="C235" s="21" t="str">
        <f>VLOOKUP(A235, hash!A$2:B$500, 2, 0)</f>
        <v>#N/A</v>
      </c>
      <c r="D235" s="23">
        <f t="shared" si="2"/>
        <v>0</v>
      </c>
    </row>
    <row r="236">
      <c r="A236" s="22" t="s">
        <v>173</v>
      </c>
      <c r="B236" s="21">
        <f t="shared" si="1"/>
        <v>0</v>
      </c>
      <c r="C236" s="21" t="str">
        <f>VLOOKUP(A236, hash!A$2:B$500, 2, 0)</f>
        <v>65020bfb097ac3c9d063264c</v>
      </c>
      <c r="D236" s="23">
        <f t="shared" si="2"/>
        <v>0</v>
      </c>
    </row>
    <row r="237">
      <c r="A237" s="22" t="s">
        <v>174</v>
      </c>
      <c r="B237" s="21">
        <f t="shared" si="1"/>
        <v>0</v>
      </c>
      <c r="C237" s="21" t="str">
        <f>VLOOKUP(A237, hash!A$2:B$500, 2, 0)</f>
        <v>65020bfc097ac3c9d063264e</v>
      </c>
      <c r="D237" s="23">
        <f t="shared" si="2"/>
        <v>0</v>
      </c>
    </row>
    <row r="238">
      <c r="A238" s="22" t="s">
        <v>175</v>
      </c>
      <c r="B238" s="21">
        <f t="shared" si="1"/>
        <v>0</v>
      </c>
      <c r="C238" s="21" t="str">
        <f>VLOOKUP(A238, hash!A$2:B$500, 2, 0)</f>
        <v>65020c00097ac3c9d0632650</v>
      </c>
      <c r="D238" s="23">
        <f t="shared" si="2"/>
        <v>0</v>
      </c>
    </row>
    <row r="239">
      <c r="A239" s="22" t="s">
        <v>86</v>
      </c>
      <c r="B239" s="21">
        <f t="shared" si="1"/>
        <v>0</v>
      </c>
      <c r="C239" s="21" t="str">
        <f>VLOOKUP(A239, hash!A$2:B$500, 2, 0)</f>
        <v>65020c05097ac3c9d0632651</v>
      </c>
      <c r="D239" s="23">
        <f t="shared" si="2"/>
        <v>0</v>
      </c>
    </row>
    <row r="240">
      <c r="A240" s="22" t="s">
        <v>176</v>
      </c>
      <c r="B240" s="21">
        <f t="shared" si="1"/>
        <v>0</v>
      </c>
      <c r="C240" s="21" t="str">
        <f>VLOOKUP(A240, hash!A$2:B$500, 2, 0)</f>
        <v>65020c058f2b101294bb3daa</v>
      </c>
      <c r="D240" s="23">
        <f t="shared" si="2"/>
        <v>0</v>
      </c>
    </row>
    <row r="241">
      <c r="A241" s="22" t="s">
        <v>177</v>
      </c>
      <c r="B241" s="21">
        <f t="shared" si="1"/>
        <v>0</v>
      </c>
      <c r="C241" s="21" t="str">
        <f>VLOOKUP(A241, hash!A$2:B$500, 2, 0)</f>
        <v>65020c068f2b101294bb3dab</v>
      </c>
      <c r="D241" s="23">
        <f t="shared" si="2"/>
        <v>0</v>
      </c>
    </row>
    <row r="242">
      <c r="A242" s="22" t="s">
        <v>178</v>
      </c>
      <c r="B242" s="21">
        <f t="shared" si="1"/>
        <v>0</v>
      </c>
      <c r="C242" s="21" t="str">
        <f>VLOOKUP(A242, hash!A$2:B$500, 2, 0)</f>
        <v>65020c06097ac3c9d0632652</v>
      </c>
      <c r="D242" s="23">
        <f t="shared" si="2"/>
        <v>0</v>
      </c>
    </row>
    <row r="243">
      <c r="A243" s="22" t="s">
        <v>179</v>
      </c>
      <c r="B243" s="21">
        <f t="shared" si="1"/>
        <v>0</v>
      </c>
      <c r="C243" s="21" t="str">
        <f>VLOOKUP(A243, hash!A$2:B$500, 2, 0)</f>
        <v>65020c088f2b101294bb3dad</v>
      </c>
      <c r="D243" s="23">
        <f t="shared" si="2"/>
        <v>0</v>
      </c>
    </row>
    <row r="244">
      <c r="A244" s="22" t="s">
        <v>180</v>
      </c>
      <c r="B244" s="21">
        <f t="shared" si="1"/>
        <v>0</v>
      </c>
      <c r="C244" s="21" t="str">
        <f>VLOOKUP(A244, hash!A$2:B$500, 2, 0)</f>
        <v>65020c0f03dd812a55d3a20d</v>
      </c>
      <c r="D244" s="23">
        <f t="shared" si="2"/>
        <v>0</v>
      </c>
    </row>
    <row r="245">
      <c r="A245" s="22" t="s">
        <v>181</v>
      </c>
      <c r="B245" s="21">
        <f t="shared" si="1"/>
        <v>0</v>
      </c>
      <c r="C245" s="21" t="str">
        <f>VLOOKUP(A245, hash!A$2:B$500, 2, 0)</f>
        <v>65020c158f2b101294bb3daf</v>
      </c>
      <c r="D245" s="23">
        <f t="shared" si="2"/>
        <v>0</v>
      </c>
    </row>
    <row r="246">
      <c r="A246" s="22" t="s">
        <v>182</v>
      </c>
      <c r="B246" s="21">
        <f t="shared" si="1"/>
        <v>0</v>
      </c>
      <c r="C246" s="21" t="str">
        <f>VLOOKUP(A246, hash!A$2:B$500, 2, 0)</f>
        <v>65020c188f2b101294bb3db0</v>
      </c>
      <c r="D246" s="23">
        <f t="shared" si="2"/>
        <v>0</v>
      </c>
    </row>
    <row r="247">
      <c r="A247" s="22" t="s">
        <v>620</v>
      </c>
      <c r="B247" s="21">
        <f t="shared" si="1"/>
        <v>0</v>
      </c>
      <c r="C247" s="21" t="str">
        <f>VLOOKUP(A247, hash!A$2:B$500, 2, 0)</f>
        <v>#N/A</v>
      </c>
      <c r="D247" s="23">
        <f t="shared" si="2"/>
        <v>0</v>
      </c>
    </row>
    <row r="248">
      <c r="A248" s="22" t="s">
        <v>183</v>
      </c>
      <c r="B248" s="21">
        <f t="shared" si="1"/>
        <v>0</v>
      </c>
      <c r="C248" s="21" t="str">
        <f>VLOOKUP(A248, hash!A$2:B$500, 2, 0)</f>
        <v>65020c5b097ac3c9d0632661</v>
      </c>
      <c r="D248" s="23">
        <f t="shared" si="2"/>
        <v>0</v>
      </c>
    </row>
    <row r="249">
      <c r="A249" s="22" t="s">
        <v>184</v>
      </c>
      <c r="B249" s="21">
        <f t="shared" si="1"/>
        <v>0</v>
      </c>
      <c r="C249" s="21" t="str">
        <f>VLOOKUP(A249, hash!A$2:B$500, 2, 0)</f>
        <v>65020cea8f2b101294bb3dbe</v>
      </c>
      <c r="D249" s="23">
        <f t="shared" si="2"/>
        <v>0</v>
      </c>
    </row>
    <row r="250">
      <c r="A250" s="22" t="s">
        <v>185</v>
      </c>
      <c r="B250" s="21">
        <f t="shared" si="1"/>
        <v>0</v>
      </c>
      <c r="C250" s="21" t="str">
        <f>VLOOKUP(A250, hash!A$2:B$500, 2, 0)</f>
        <v>65020d4b097ac3c9d063266a</v>
      </c>
      <c r="D250" s="23">
        <f t="shared" si="2"/>
        <v>0</v>
      </c>
    </row>
    <row r="251">
      <c r="A251" s="22" t="s">
        <v>186</v>
      </c>
      <c r="B251" s="21">
        <f t="shared" si="1"/>
        <v>0</v>
      </c>
      <c r="C251" s="21" t="str">
        <f>VLOOKUP(A251, hash!A$2:B$500, 2, 0)</f>
        <v>65044a78c61c6a809dc7166a</v>
      </c>
      <c r="D251" s="23">
        <f t="shared" si="2"/>
        <v>0</v>
      </c>
    </row>
    <row r="252">
      <c r="A252" s="22" t="s">
        <v>187</v>
      </c>
      <c r="B252" s="21">
        <f t="shared" si="1"/>
        <v>0</v>
      </c>
      <c r="C252" s="21" t="str">
        <f>VLOOKUP(A252, hash!A$2:B$500, 2, 0)</f>
        <v>650b3a05831593811cfcd7a6</v>
      </c>
      <c r="D252" s="23">
        <f t="shared" si="2"/>
        <v>0</v>
      </c>
    </row>
    <row r="253">
      <c r="A253" s="22" t="s">
        <v>188</v>
      </c>
      <c r="B253" s="21">
        <f t="shared" si="1"/>
        <v>0</v>
      </c>
      <c r="C253" s="21" t="str">
        <f>VLOOKUP(A253, hash!A$2:B$500, 2, 0)</f>
        <v>650b3a079d801acd9fe283a1</v>
      </c>
      <c r="D253" s="23">
        <f t="shared" si="2"/>
        <v>0</v>
      </c>
    </row>
    <row r="254">
      <c r="A254" s="22" t="s">
        <v>189</v>
      </c>
      <c r="B254" s="21">
        <f t="shared" si="1"/>
        <v>0</v>
      </c>
      <c r="C254" s="21" t="str">
        <f>VLOOKUP(A254, hash!A$2:B$500, 2, 0)</f>
        <v>650b3a09ed7955a527757145</v>
      </c>
      <c r="D254" s="23">
        <f t="shared" si="2"/>
        <v>0</v>
      </c>
    </row>
    <row r="255">
      <c r="A255" s="22" t="s">
        <v>190</v>
      </c>
      <c r="B255" s="21">
        <f t="shared" si="1"/>
        <v>0</v>
      </c>
      <c r="C255" s="21" t="str">
        <f>VLOOKUP(A255, hash!A$2:B$500, 2, 0)</f>
        <v>650b3a0ded7955a527757147</v>
      </c>
      <c r="D255" s="23">
        <f t="shared" si="2"/>
        <v>0</v>
      </c>
    </row>
    <row r="256">
      <c r="A256" s="22" t="s">
        <v>191</v>
      </c>
      <c r="B256" s="21">
        <f t="shared" si="1"/>
        <v>0</v>
      </c>
      <c r="C256" s="21" t="str">
        <f>VLOOKUP(A256, hash!A$2:B$500, 2, 0)</f>
        <v>650b3a0eacb6c663527423b7</v>
      </c>
      <c r="D256" s="23">
        <f t="shared" si="2"/>
        <v>0</v>
      </c>
    </row>
    <row r="257">
      <c r="A257" s="22" t="s">
        <v>192</v>
      </c>
      <c r="B257" s="21">
        <f t="shared" si="1"/>
        <v>0</v>
      </c>
      <c r="C257" s="21" t="str">
        <f>VLOOKUP(A257, hash!A$2:B$500, 2, 0)</f>
        <v>650b3a0e9d801acd9fe283a2</v>
      </c>
      <c r="D257" s="23">
        <f t="shared" si="2"/>
        <v>0</v>
      </c>
    </row>
    <row r="258">
      <c r="A258" s="22" t="s">
        <v>193</v>
      </c>
      <c r="B258" s="21">
        <f t="shared" si="1"/>
        <v>0</v>
      </c>
      <c r="C258" s="21" t="str">
        <f>VLOOKUP(A258, hash!A$2:B$500, 2, 0)</f>
        <v>650b3a15ed7955a527757149</v>
      </c>
      <c r="D258" s="23">
        <f t="shared" si="2"/>
        <v>0</v>
      </c>
    </row>
    <row r="259">
      <c r="A259" s="22" t="s">
        <v>194</v>
      </c>
      <c r="B259" s="21">
        <f t="shared" si="1"/>
        <v>0</v>
      </c>
      <c r="C259" s="21" t="str">
        <f>VLOOKUP(A259, hash!A$2:B$500, 2, 0)</f>
        <v>650b3a1ced7955a52775714b</v>
      </c>
      <c r="D259" s="23">
        <f t="shared" si="2"/>
        <v>0</v>
      </c>
    </row>
    <row r="260">
      <c r="A260" s="22" t="s">
        <v>195</v>
      </c>
      <c r="B260" s="21">
        <f t="shared" si="1"/>
        <v>0</v>
      </c>
      <c r="C260" s="21" t="str">
        <f>VLOOKUP(A260, hash!A$2:B$500, 2, 0)</f>
        <v>650b3a9e41c634acd2e8f3d0</v>
      </c>
      <c r="D260" s="23">
        <f t="shared" si="2"/>
        <v>0</v>
      </c>
    </row>
    <row r="261">
      <c r="A261" s="22" t="s">
        <v>196</v>
      </c>
      <c r="B261" s="21">
        <f t="shared" si="1"/>
        <v>0</v>
      </c>
      <c r="C261" s="21" t="str">
        <f>VLOOKUP(A261, hash!A$2:B$500, 2, 0)</f>
        <v>650b40c463d8964b8e363b3b</v>
      </c>
      <c r="D261" s="23">
        <f t="shared" si="2"/>
        <v>0</v>
      </c>
    </row>
    <row r="262">
      <c r="A262" s="22" t="s">
        <v>197</v>
      </c>
      <c r="B262" s="21">
        <f t="shared" si="1"/>
        <v>0</v>
      </c>
      <c r="C262" s="21" t="str">
        <f>VLOOKUP(A262, hash!A$2:B$500, 2, 0)</f>
        <v>650b40ce63d8964b8e363b3d</v>
      </c>
      <c r="D262" s="23">
        <f t="shared" si="2"/>
        <v>0</v>
      </c>
    </row>
    <row r="263">
      <c r="A263" s="22" t="s">
        <v>198</v>
      </c>
      <c r="B263" s="21">
        <f t="shared" si="1"/>
        <v>0</v>
      </c>
      <c r="C263" s="21" t="str">
        <f>VLOOKUP(A263, hash!A$2:B$500, 2, 0)</f>
        <v>650b446c63d8964b8e363b40</v>
      </c>
      <c r="D263" s="23">
        <f t="shared" si="2"/>
        <v>0</v>
      </c>
    </row>
    <row r="264">
      <c r="A264" s="22" t="s">
        <v>199</v>
      </c>
      <c r="B264" s="21">
        <f t="shared" si="1"/>
        <v>0</v>
      </c>
      <c r="C264" s="21" t="str">
        <f>VLOOKUP(A264, hash!A$2:B$500, 2, 0)</f>
        <v>650b44847b17d110a03d7208</v>
      </c>
      <c r="D264" s="23">
        <f t="shared" si="2"/>
        <v>0</v>
      </c>
    </row>
    <row r="265">
      <c r="A265" s="22" t="s">
        <v>200</v>
      </c>
      <c r="B265" s="21">
        <f t="shared" si="1"/>
        <v>0</v>
      </c>
      <c r="C265" s="21" t="str">
        <f>VLOOKUP(A265, hash!A$2:B$500, 2, 0)</f>
        <v>650b44997b17d110a03d7209</v>
      </c>
      <c r="D265" s="23">
        <f t="shared" si="2"/>
        <v>0</v>
      </c>
    </row>
    <row r="266">
      <c r="A266" s="22" t="s">
        <v>201</v>
      </c>
      <c r="B266" s="21">
        <f t="shared" si="1"/>
        <v>0</v>
      </c>
      <c r="C266" s="21" t="str">
        <f>VLOOKUP(A266, hash!A$2:B$500, 2, 0)</f>
        <v>650b45dd0df4236622e51063</v>
      </c>
      <c r="D266" s="23">
        <f t="shared" si="2"/>
        <v>0</v>
      </c>
    </row>
    <row r="267">
      <c r="A267" s="22" t="s">
        <v>202</v>
      </c>
      <c r="B267" s="21">
        <f t="shared" si="1"/>
        <v>0</v>
      </c>
      <c r="C267" s="21" t="str">
        <f>VLOOKUP(A267, hash!A$2:B$500, 2, 0)</f>
        <v>650b461a1798582bd25e6f14</v>
      </c>
      <c r="D267" s="23">
        <f t="shared" si="2"/>
        <v>0</v>
      </c>
    </row>
    <row r="268">
      <c r="A268" s="22" t="s">
        <v>203</v>
      </c>
      <c r="B268" s="21">
        <f t="shared" si="1"/>
        <v>0</v>
      </c>
      <c r="C268" s="21" t="str">
        <f>VLOOKUP(A268, hash!A$2:B$500, 2, 0)</f>
        <v>650b466f0ebdcd576cc45c6f</v>
      </c>
      <c r="D268" s="23">
        <f t="shared" si="2"/>
        <v>0</v>
      </c>
    </row>
    <row r="269">
      <c r="A269" s="22" t="s">
        <v>204</v>
      </c>
      <c r="B269" s="21">
        <f t="shared" si="1"/>
        <v>0</v>
      </c>
      <c r="C269" s="21" t="str">
        <f>VLOOKUP(A269, hash!A$2:B$500, 2, 0)</f>
        <v>650b46820ebdcd576cc45c70</v>
      </c>
      <c r="D269" s="23">
        <f t="shared" si="2"/>
        <v>0</v>
      </c>
    </row>
    <row r="270">
      <c r="A270" s="22" t="s">
        <v>205</v>
      </c>
      <c r="B270" s="21">
        <f t="shared" si="1"/>
        <v>0</v>
      </c>
      <c r="C270" s="21" t="str">
        <f>VLOOKUP(A270, hash!A$2:B$500, 2, 0)</f>
        <v>650b477d7b17d110a03d7221</v>
      </c>
      <c r="D270" s="23">
        <f t="shared" si="2"/>
        <v>0</v>
      </c>
    </row>
    <row r="271">
      <c r="A271" s="22" t="s">
        <v>621</v>
      </c>
      <c r="B271" s="21">
        <f t="shared" si="1"/>
        <v>0</v>
      </c>
      <c r="C271" s="21" t="str">
        <f>VLOOKUP(A271, hash!A$2:B$500, 2, 0)</f>
        <v>#N/A</v>
      </c>
      <c r="D271" s="23">
        <f t="shared" si="2"/>
        <v>0</v>
      </c>
    </row>
    <row r="272">
      <c r="A272" s="22" t="s">
        <v>206</v>
      </c>
      <c r="B272" s="21">
        <f t="shared" si="1"/>
        <v>0</v>
      </c>
      <c r="C272" s="21" t="str">
        <f>VLOOKUP(A272, hash!A$2:B$500, 2, 0)</f>
        <v>651473b073ba37322a56bc86</v>
      </c>
      <c r="D272" s="23">
        <f t="shared" si="2"/>
        <v>0</v>
      </c>
    </row>
    <row r="273">
      <c r="A273" s="22" t="s">
        <v>207</v>
      </c>
      <c r="B273" s="21">
        <f t="shared" si="1"/>
        <v>0</v>
      </c>
      <c r="C273" s="21" t="str">
        <f>VLOOKUP(A273, hash!A$2:B$500, 2, 0)</f>
        <v>6514746bcb3856acbe2e045e</v>
      </c>
      <c r="D273" s="23">
        <f t="shared" si="2"/>
        <v>0</v>
      </c>
    </row>
    <row r="274">
      <c r="A274" s="22" t="s">
        <v>208</v>
      </c>
      <c r="B274" s="21">
        <f t="shared" si="1"/>
        <v>0</v>
      </c>
      <c r="C274" s="21" t="str">
        <f>VLOOKUP(A274, hash!A$2:B$500, 2, 0)</f>
        <v>651474adbad0d569bbd8c620</v>
      </c>
      <c r="D274" s="23">
        <f t="shared" si="2"/>
        <v>0</v>
      </c>
    </row>
    <row r="275">
      <c r="A275" s="22" t="s">
        <v>622</v>
      </c>
      <c r="B275" s="21">
        <f t="shared" si="1"/>
        <v>0</v>
      </c>
      <c r="C275" s="21" t="str">
        <f>VLOOKUP(A275, hash!A$2:B$500, 2, 0)</f>
        <v>#N/A</v>
      </c>
      <c r="D275" s="23">
        <f t="shared" si="2"/>
        <v>0</v>
      </c>
    </row>
    <row r="276">
      <c r="A276" s="22" t="s">
        <v>209</v>
      </c>
      <c r="B276" s="21">
        <f t="shared" si="1"/>
        <v>0</v>
      </c>
      <c r="C276" s="21" t="str">
        <f>VLOOKUP(A276, hash!A$2:B$500, 2, 0)</f>
        <v>651480e5b25a8777756c8277</v>
      </c>
      <c r="D276" s="23">
        <f t="shared" si="2"/>
        <v>0</v>
      </c>
    </row>
    <row r="277">
      <c r="A277" s="22" t="s">
        <v>210</v>
      </c>
      <c r="B277" s="21">
        <f t="shared" si="1"/>
        <v>0</v>
      </c>
      <c r="C277" s="21" t="str">
        <f>VLOOKUP(A277, hash!A$2:B$500, 2, 0)</f>
        <v>651621a7755b5ba7402891b3</v>
      </c>
      <c r="D277" s="23">
        <f t="shared" si="2"/>
        <v>0</v>
      </c>
    </row>
    <row r="278">
      <c r="A278" s="22" t="s">
        <v>12</v>
      </c>
      <c r="B278" s="21">
        <f t="shared" si="1"/>
        <v>0</v>
      </c>
      <c r="C278" s="21" t="str">
        <f>VLOOKUP(A278, hash!A$2:B$500, 2, 0)</f>
        <v>651dadf4a69631c34bde617f</v>
      </c>
      <c r="D278" s="23">
        <f t="shared" si="2"/>
        <v>0</v>
      </c>
    </row>
    <row r="279">
      <c r="A279" s="22" t="s">
        <v>211</v>
      </c>
      <c r="B279" s="21">
        <f t="shared" si="1"/>
        <v>0</v>
      </c>
      <c r="C279" s="21" t="str">
        <f>VLOOKUP(A279, hash!A$2:B$500, 2, 0)</f>
        <v>651daf0edc9060f76fe584c7</v>
      </c>
      <c r="D279" s="23">
        <f t="shared" si="2"/>
        <v>0</v>
      </c>
    </row>
    <row r="280">
      <c r="A280" s="22" t="s">
        <v>212</v>
      </c>
      <c r="B280" s="21">
        <f t="shared" si="1"/>
        <v>0</v>
      </c>
      <c r="C280" s="21" t="str">
        <f>VLOOKUP(A280, hash!A$2:B$500, 2, 0)</f>
        <v>651db9af9dea57c7cb020129</v>
      </c>
      <c r="D280" s="23">
        <f t="shared" si="2"/>
        <v>0</v>
      </c>
    </row>
    <row r="281">
      <c r="A281" s="22" t="s">
        <v>213</v>
      </c>
      <c r="B281" s="21">
        <f t="shared" si="1"/>
        <v>0</v>
      </c>
      <c r="C281" s="21" t="str">
        <f>VLOOKUP(A281, hash!A$2:B$500, 2, 0)</f>
        <v>651dbad69dea57c7cb020139</v>
      </c>
      <c r="D281" s="23">
        <f t="shared" si="2"/>
        <v>0</v>
      </c>
    </row>
    <row r="282">
      <c r="A282" s="22" t="s">
        <v>214</v>
      </c>
      <c r="B282" s="21">
        <f t="shared" si="1"/>
        <v>0</v>
      </c>
      <c r="C282" s="21" t="str">
        <f>VLOOKUP(A282, hash!A$2:B$500, 2, 0)</f>
        <v>651dbae7d54b632818878f41</v>
      </c>
      <c r="D282" s="23">
        <f t="shared" si="2"/>
        <v>0</v>
      </c>
    </row>
    <row r="283">
      <c r="A283" s="22" t="s">
        <v>215</v>
      </c>
      <c r="B283" s="21">
        <f t="shared" si="1"/>
        <v>0</v>
      </c>
      <c r="C283" s="21" t="str">
        <f>VLOOKUP(A283, hash!A$2:B$500, 2, 0)</f>
        <v>651dbb15d54b632818878f43</v>
      </c>
      <c r="D283" s="23">
        <f t="shared" si="2"/>
        <v>0</v>
      </c>
    </row>
    <row r="284">
      <c r="A284" s="22" t="s">
        <v>216</v>
      </c>
      <c r="B284" s="21">
        <f t="shared" si="1"/>
        <v>0</v>
      </c>
      <c r="C284" s="21" t="str">
        <f>VLOOKUP(A284, hash!A$2:B$500, 2, 0)</f>
        <v>651dbb299dea57c7cb020142</v>
      </c>
      <c r="D284" s="23">
        <f t="shared" si="2"/>
        <v>0</v>
      </c>
    </row>
    <row r="285">
      <c r="A285" s="22" t="s">
        <v>217</v>
      </c>
      <c r="B285" s="21">
        <f t="shared" si="1"/>
        <v>0</v>
      </c>
      <c r="C285" s="21" t="str">
        <f>VLOOKUP(A285, hash!A$2:B$500, 2, 0)</f>
        <v>651dbb3f9dea57c7cb020143</v>
      </c>
      <c r="D285" s="23">
        <f t="shared" si="2"/>
        <v>0</v>
      </c>
    </row>
    <row r="286">
      <c r="A286" s="22" t="s">
        <v>218</v>
      </c>
      <c r="B286" s="21">
        <f t="shared" si="1"/>
        <v>0</v>
      </c>
      <c r="C286" s="21" t="str">
        <f>VLOOKUP(A286, hash!A$2:B$500, 2, 0)</f>
        <v>651dbc99ca156cc80367f4eb</v>
      </c>
      <c r="D286" s="23">
        <f t="shared" si="2"/>
        <v>0</v>
      </c>
    </row>
    <row r="287">
      <c r="A287" s="22" t="s">
        <v>623</v>
      </c>
      <c r="B287" s="21">
        <f t="shared" si="1"/>
        <v>0</v>
      </c>
      <c r="C287" s="21" t="str">
        <f>VLOOKUP(A287, hash!A$2:B$500, 2, 0)</f>
        <v>#N/A</v>
      </c>
      <c r="D287" s="23">
        <f t="shared" si="2"/>
        <v>0</v>
      </c>
    </row>
    <row r="288">
      <c r="A288" s="22" t="s">
        <v>219</v>
      </c>
      <c r="B288" s="21">
        <f t="shared" si="1"/>
        <v>0</v>
      </c>
      <c r="C288" s="21" t="str">
        <f>VLOOKUP(A288, hash!A$2:B$500, 2, 0)</f>
        <v>652403893fc5d4c9ab851009</v>
      </c>
      <c r="D288" s="23">
        <f t="shared" si="2"/>
        <v>0</v>
      </c>
    </row>
    <row r="289">
      <c r="A289" s="22" t="s">
        <v>220</v>
      </c>
      <c r="B289" s="21">
        <f t="shared" si="1"/>
        <v>0</v>
      </c>
      <c r="C289" s="21" t="str">
        <f>VLOOKUP(A289, hash!A$2:B$500, 2, 0)</f>
        <v>6530232bcf7c5adcfb301ec7</v>
      </c>
      <c r="D289" s="23">
        <f t="shared" si="2"/>
        <v>0</v>
      </c>
    </row>
    <row r="290">
      <c r="A290" s="22" t="s">
        <v>221</v>
      </c>
      <c r="B290" s="21">
        <f t="shared" si="1"/>
        <v>0</v>
      </c>
      <c r="C290" s="21" t="str">
        <f>VLOOKUP(A290, hash!A$2:B$500, 2, 0)</f>
        <v>65302e080e286366617e4629</v>
      </c>
      <c r="D290" s="23">
        <f t="shared" si="2"/>
        <v>0</v>
      </c>
    </row>
    <row r="291">
      <c r="A291" s="22" t="s">
        <v>222</v>
      </c>
      <c r="B291" s="21">
        <f t="shared" si="1"/>
        <v>0</v>
      </c>
      <c r="C291" s="21" t="str">
        <f>VLOOKUP(A291, hash!A$2:B$500, 2, 0)</f>
        <v>65395d6799af0b0f3444fd51</v>
      </c>
      <c r="D291" s="23">
        <f t="shared" si="2"/>
        <v>0</v>
      </c>
    </row>
    <row r="292">
      <c r="A292" s="22" t="s">
        <v>223</v>
      </c>
      <c r="B292" s="21">
        <f t="shared" si="1"/>
        <v>0</v>
      </c>
      <c r="C292" s="21" t="str">
        <f>VLOOKUP(A292, hash!A$2:B$500, 2, 0)</f>
        <v>6539689ac8f6bb22aba878d1</v>
      </c>
      <c r="D292" s="23">
        <f t="shared" si="2"/>
        <v>0</v>
      </c>
    </row>
    <row r="293">
      <c r="A293" s="22" t="s">
        <v>224</v>
      </c>
      <c r="B293" s="21">
        <f t="shared" si="1"/>
        <v>0</v>
      </c>
      <c r="C293" s="21" t="str">
        <f>VLOOKUP(A293, hash!A$2:B$500, 2, 0)</f>
        <v>6542987e2bee7559f37bee8d</v>
      </c>
      <c r="D293" s="23">
        <f t="shared" si="2"/>
        <v>0</v>
      </c>
    </row>
    <row r="294">
      <c r="A294" s="22" t="s">
        <v>225</v>
      </c>
      <c r="B294" s="21">
        <f t="shared" si="1"/>
        <v>0</v>
      </c>
      <c r="C294" s="21" t="str">
        <f>VLOOKUP(A294, hash!A$2:B$500, 2, 0)</f>
        <v>65429927208c9c77b87ab693</v>
      </c>
      <c r="D294" s="23">
        <f t="shared" si="2"/>
        <v>0</v>
      </c>
    </row>
    <row r="295">
      <c r="A295" s="22" t="s">
        <v>226</v>
      </c>
      <c r="B295" s="21">
        <f t="shared" si="1"/>
        <v>0</v>
      </c>
      <c r="C295" s="21" t="str">
        <f>VLOOKUP(A295, hash!A$2:B$500, 2, 0)</f>
        <v>654a6fba5f40f5f7b7c97164</v>
      </c>
      <c r="D295" s="23">
        <f t="shared" si="2"/>
        <v>0</v>
      </c>
    </row>
    <row r="296">
      <c r="A296" s="22" t="s">
        <v>227</v>
      </c>
      <c r="B296" s="21">
        <f t="shared" si="1"/>
        <v>0</v>
      </c>
      <c r="C296" s="21" t="str">
        <f>VLOOKUP(A296, hash!A$2:B$500, 2, 0)</f>
        <v>65551bef3234b9c505dd527e</v>
      </c>
      <c r="D296" s="23">
        <f t="shared" si="2"/>
        <v>0</v>
      </c>
    </row>
    <row r="297">
      <c r="A297" s="22" t="s">
        <v>228</v>
      </c>
      <c r="B297" s="21">
        <f t="shared" si="1"/>
        <v>0</v>
      </c>
      <c r="C297" s="21" t="str">
        <f>VLOOKUP(A297, hash!A$2:B$500, 2, 0)</f>
        <v>655528e7b6dffbe82fb08e97</v>
      </c>
      <c r="D297" s="23">
        <f t="shared" si="2"/>
        <v>0</v>
      </c>
    </row>
    <row r="298">
      <c r="A298" s="22" t="s">
        <v>624</v>
      </c>
      <c r="B298" s="21">
        <f t="shared" si="1"/>
        <v>0</v>
      </c>
      <c r="C298" s="21" t="str">
        <f>VLOOKUP(A298, hash!A$2:B$500, 2, 0)</f>
        <v>#N/A</v>
      </c>
      <c r="D298" s="23">
        <f t="shared" si="2"/>
        <v>0</v>
      </c>
    </row>
    <row r="299">
      <c r="A299" s="22" t="s">
        <v>229</v>
      </c>
      <c r="B299" s="21">
        <f t="shared" si="1"/>
        <v>0</v>
      </c>
      <c r="C299" s="21" t="str">
        <f>VLOOKUP(A299, hash!A$2:B$500, 2, 0)</f>
        <v>655bb33eff8d447e7d019f70</v>
      </c>
      <c r="D299" s="23">
        <f t="shared" si="2"/>
        <v>0</v>
      </c>
    </row>
    <row r="300">
      <c r="A300" s="22" t="s">
        <v>230</v>
      </c>
      <c r="B300" s="21">
        <f t="shared" si="1"/>
        <v>0</v>
      </c>
      <c r="C300" s="21" t="str">
        <f>VLOOKUP(A300, hash!A$2:B$500, 2, 0)</f>
        <v>655bc0057093eb94b1c6cc92</v>
      </c>
      <c r="D300" s="23">
        <f t="shared" si="2"/>
        <v>0</v>
      </c>
    </row>
    <row r="301">
      <c r="A301" s="22" t="s">
        <v>231</v>
      </c>
      <c r="B301" s="21">
        <f t="shared" si="1"/>
        <v>0</v>
      </c>
      <c r="C301" s="21" t="str">
        <f>VLOOKUP(A301, hash!A$2:B$500, 2, 0)</f>
        <v>655bc0097093eb94b1c6cc93</v>
      </c>
      <c r="D301" s="23">
        <f t="shared" si="2"/>
        <v>0</v>
      </c>
    </row>
    <row r="302">
      <c r="A302" s="22" t="s">
        <v>625</v>
      </c>
      <c r="B302" s="21">
        <f t="shared" si="1"/>
        <v>0</v>
      </c>
      <c r="C302" s="21" t="str">
        <f>VLOOKUP(A302, hash!A$2:B$500, 2, 0)</f>
        <v>#N/A</v>
      </c>
      <c r="D302" s="23">
        <f t="shared" si="2"/>
        <v>0</v>
      </c>
    </row>
    <row r="303">
      <c r="A303" s="22" t="s">
        <v>39</v>
      </c>
      <c r="B303" s="21">
        <f t="shared" si="1"/>
        <v>0</v>
      </c>
      <c r="C303" s="21" t="str">
        <f>VLOOKUP(A303, hash!A$2:B$500, 2, 0)</f>
        <v>6594377be0f4f63927a8ce26</v>
      </c>
      <c r="D303" s="23">
        <f t="shared" si="2"/>
        <v>0</v>
      </c>
    </row>
    <row r="304">
      <c r="A304" s="22" t="s">
        <v>232</v>
      </c>
      <c r="B304" s="21">
        <f t="shared" si="1"/>
        <v>0</v>
      </c>
      <c r="C304" s="21" t="str">
        <f>VLOOKUP(A304, hash!A$2:B$500, 2, 0)</f>
        <v>6595977fb46b00d2f83c52c5</v>
      </c>
      <c r="D304" s="23">
        <f t="shared" si="2"/>
        <v>0</v>
      </c>
    </row>
    <row r="305">
      <c r="A305" s="22" t="s">
        <v>233</v>
      </c>
      <c r="B305" s="21">
        <f t="shared" si="1"/>
        <v>0</v>
      </c>
      <c r="C305" s="21" t="str">
        <f>VLOOKUP(A305, hash!A$2:B$500, 2, 0)</f>
        <v>6595b65ec49a903206004ba0</v>
      </c>
      <c r="D305" s="23">
        <f t="shared" si="2"/>
        <v>0</v>
      </c>
    </row>
    <row r="306">
      <c r="A306" s="22" t="s">
        <v>234</v>
      </c>
      <c r="B306" s="21">
        <f t="shared" si="1"/>
        <v>0</v>
      </c>
      <c r="C306" s="21" t="str">
        <f>VLOOKUP(A306, hash!A$2:B$500, 2, 0)</f>
        <v>6595bf45b775f9fc5a64da54</v>
      </c>
      <c r="D306" s="23">
        <f t="shared" si="2"/>
        <v>0</v>
      </c>
    </row>
    <row r="307">
      <c r="A307" s="22" t="s">
        <v>235</v>
      </c>
      <c r="B307" s="21">
        <f t="shared" si="1"/>
        <v>0</v>
      </c>
      <c r="C307" s="21" t="str">
        <f>VLOOKUP(A307, hash!A$2:B$500, 2, 0)</f>
        <v>6595c208b775f9fc5a64da66</v>
      </c>
      <c r="D307" s="23">
        <f t="shared" si="2"/>
        <v>0</v>
      </c>
    </row>
    <row r="308">
      <c r="A308" s="22" t="s">
        <v>236</v>
      </c>
      <c r="B308" s="21">
        <f t="shared" si="1"/>
        <v>0</v>
      </c>
      <c r="C308" s="21" t="str">
        <f>VLOOKUP(A308, hash!A$2:B$500, 2, 0)</f>
        <v>6595c23e2fa1031babec0ce3</v>
      </c>
      <c r="D308" s="23">
        <f t="shared" si="2"/>
        <v>0</v>
      </c>
    </row>
    <row r="309">
      <c r="A309" s="22" t="s">
        <v>237</v>
      </c>
      <c r="B309" s="21">
        <f t="shared" si="1"/>
        <v>0</v>
      </c>
      <c r="C309" s="21" t="str">
        <f>VLOOKUP(A309, hash!A$2:B$500, 2, 0)</f>
        <v>6595c391cd5b972b6b680d1b</v>
      </c>
      <c r="D309" s="23">
        <f t="shared" si="2"/>
        <v>0</v>
      </c>
    </row>
    <row r="310">
      <c r="A310" s="22" t="s">
        <v>626</v>
      </c>
      <c r="B310" s="21">
        <f t="shared" si="1"/>
        <v>0</v>
      </c>
      <c r="C310" s="21" t="str">
        <f>VLOOKUP(A310, hash!A$2:B$500, 2, 0)</f>
        <v>#N/A</v>
      </c>
      <c r="D310" s="23">
        <f t="shared" si="2"/>
        <v>0</v>
      </c>
    </row>
    <row r="311">
      <c r="A311" s="22" t="s">
        <v>627</v>
      </c>
      <c r="B311" s="21">
        <f t="shared" si="1"/>
        <v>0</v>
      </c>
      <c r="C311" s="21" t="str">
        <f>VLOOKUP(A311, hash!A$2:B$500, 2, 0)</f>
        <v>#N/A</v>
      </c>
      <c r="D311" s="23">
        <f t="shared" si="2"/>
        <v>0</v>
      </c>
    </row>
    <row r="312">
      <c r="A312" s="22" t="s">
        <v>628</v>
      </c>
      <c r="B312" s="21">
        <f t="shared" si="1"/>
        <v>0</v>
      </c>
      <c r="C312" s="21" t="str">
        <f>VLOOKUP(A312, hash!A$2:B$500, 2, 0)</f>
        <v>#N/A</v>
      </c>
      <c r="D312" s="23">
        <f t="shared" si="2"/>
        <v>0</v>
      </c>
    </row>
    <row r="313">
      <c r="A313" s="22" t="s">
        <v>238</v>
      </c>
      <c r="B313" s="21">
        <f t="shared" si="1"/>
        <v>0</v>
      </c>
      <c r="C313" s="21" t="str">
        <f>VLOOKUP(A313, hash!A$2:B$500, 2, 0)</f>
        <v>65ba9f33f33e907d7c81d87a</v>
      </c>
      <c r="D313" s="23">
        <f t="shared" si="2"/>
        <v>0</v>
      </c>
    </row>
    <row r="314">
      <c r="A314" s="22" t="s">
        <v>239</v>
      </c>
      <c r="B314" s="21">
        <f t="shared" si="1"/>
        <v>0</v>
      </c>
      <c r="C314" s="21" t="str">
        <f>VLOOKUP(A314, hash!A$2:B$500, 2, 0)</f>
        <v>65baa01d2b367c7ed72fe8b9</v>
      </c>
      <c r="D314" s="23">
        <f t="shared" si="2"/>
        <v>0</v>
      </c>
    </row>
    <row r="315">
      <c r="A315" s="22" t="s">
        <v>629</v>
      </c>
      <c r="B315" s="21">
        <f t="shared" si="1"/>
        <v>0</v>
      </c>
      <c r="C315" s="21" t="str">
        <f>VLOOKUP(A315, hash!A$2:B$500, 2, 0)</f>
        <v>#N/A</v>
      </c>
      <c r="D315" s="23">
        <f t="shared" si="2"/>
        <v>0</v>
      </c>
    </row>
    <row r="316">
      <c r="A316" s="22" t="s">
        <v>240</v>
      </c>
      <c r="B316" s="21">
        <f t="shared" si="1"/>
        <v>0</v>
      </c>
      <c r="C316" s="21" t="str">
        <f>VLOOKUP(A316, hash!A$2:B$500, 2, 0)</f>
        <v>65baa01e2b367c7ed72fe8bb</v>
      </c>
      <c r="D316" s="23">
        <f t="shared" si="2"/>
        <v>0</v>
      </c>
    </row>
    <row r="317">
      <c r="A317" s="22" t="s">
        <v>630</v>
      </c>
      <c r="B317" s="21">
        <f t="shared" si="1"/>
        <v>0</v>
      </c>
      <c r="C317" s="21" t="str">
        <f>VLOOKUP(A317, hash!A$2:B$500, 2, 0)</f>
        <v>#N/A</v>
      </c>
      <c r="D317" s="23">
        <f t="shared" si="2"/>
        <v>0</v>
      </c>
    </row>
    <row r="318">
      <c r="A318" s="22" t="s">
        <v>631</v>
      </c>
      <c r="B318" s="21">
        <f t="shared" si="1"/>
        <v>0</v>
      </c>
      <c r="C318" s="21" t="str">
        <f>VLOOKUP(A318, hash!A$2:B$500, 2, 0)</f>
        <v>#N/A</v>
      </c>
      <c r="D318" s="23">
        <f t="shared" si="2"/>
        <v>0</v>
      </c>
    </row>
    <row r="319">
      <c r="A319" s="22" t="s">
        <v>241</v>
      </c>
      <c r="B319" s="21">
        <f t="shared" si="1"/>
        <v>0</v>
      </c>
      <c r="C319" s="21" t="str">
        <f>VLOOKUP(A319, hash!A$2:B$500, 2, 0)</f>
        <v>65baa03da330104d5ca80be5</v>
      </c>
      <c r="D319" s="23">
        <f t="shared" si="2"/>
        <v>0</v>
      </c>
    </row>
    <row r="320">
      <c r="A320" s="22" t="s">
        <v>632</v>
      </c>
      <c r="B320" s="21">
        <f t="shared" si="1"/>
        <v>0</v>
      </c>
      <c r="C320" s="21" t="str">
        <f>VLOOKUP(A320, hash!A$2:B$500, 2, 0)</f>
        <v>#N/A</v>
      </c>
      <c r="D320" s="23">
        <f t="shared" si="2"/>
        <v>0</v>
      </c>
    </row>
    <row r="321">
      <c r="A321" s="22" t="s">
        <v>633</v>
      </c>
      <c r="B321" s="21">
        <f t="shared" si="1"/>
        <v>0</v>
      </c>
      <c r="C321" s="21" t="str">
        <f>VLOOKUP(A321, hash!A$2:B$500, 2, 0)</f>
        <v>#N/A</v>
      </c>
      <c r="D321" s="23">
        <f t="shared" si="2"/>
        <v>0</v>
      </c>
    </row>
    <row r="322">
      <c r="A322" s="22" t="s">
        <v>242</v>
      </c>
      <c r="B322" s="21">
        <f t="shared" si="1"/>
        <v>0</v>
      </c>
      <c r="C322" s="21" t="str">
        <f>VLOOKUP(A322, hash!A$2:B$500, 2, 0)</f>
        <v>65baadabac6fa639d08b8070</v>
      </c>
      <c r="D322" s="23">
        <f t="shared" si="2"/>
        <v>0</v>
      </c>
    </row>
    <row r="323">
      <c r="A323" s="22" t="s">
        <v>243</v>
      </c>
      <c r="B323" s="21">
        <f t="shared" si="1"/>
        <v>0</v>
      </c>
      <c r="C323" s="21" t="str">
        <f>VLOOKUP(A323, hash!A$2:B$500, 2, 0)</f>
        <v>65baadd90004ffbc54b03ece</v>
      </c>
      <c r="D323" s="23">
        <f t="shared" si="2"/>
        <v>0</v>
      </c>
    </row>
    <row r="324">
      <c r="A324" s="22" t="s">
        <v>244</v>
      </c>
      <c r="B324" s="21">
        <f t="shared" si="1"/>
        <v>0</v>
      </c>
      <c r="C324" s="21" t="str">
        <f>VLOOKUP(A324, hash!A$2:B$500, 2, 0)</f>
        <v>65baadf10004ffbc54b03ed0</v>
      </c>
      <c r="D324" s="23">
        <f t="shared" si="2"/>
        <v>0</v>
      </c>
    </row>
    <row r="325">
      <c r="A325" s="22" t="s">
        <v>245</v>
      </c>
      <c r="B325" s="21">
        <f t="shared" si="1"/>
        <v>0</v>
      </c>
      <c r="C325" s="21" t="str">
        <f>VLOOKUP(A325, hash!A$2:B$500, 2, 0)</f>
        <v>65bab1380004ffbc54b03ee7</v>
      </c>
      <c r="D325" s="23">
        <f t="shared" si="2"/>
        <v>0</v>
      </c>
    </row>
    <row r="326">
      <c r="A326" s="22" t="s">
        <v>246</v>
      </c>
      <c r="B326" s="21">
        <f t="shared" si="1"/>
        <v>0</v>
      </c>
      <c r="C326" s="21" t="str">
        <f>VLOOKUP(A326, hash!A$2:B$500, 2, 0)</f>
        <v>65bab52de7bd7da7ace0d1c3</v>
      </c>
      <c r="D326" s="23">
        <f t="shared" si="2"/>
        <v>0</v>
      </c>
    </row>
    <row r="327">
      <c r="A327" s="22" t="s">
        <v>247</v>
      </c>
      <c r="B327" s="21">
        <f t="shared" si="1"/>
        <v>0</v>
      </c>
      <c r="C327" s="21" t="str">
        <f>VLOOKUP(A327, hash!A$2:B$500, 2, 0)</f>
        <v>65bb2c752930129875dd966e</v>
      </c>
      <c r="D327" s="23">
        <f t="shared" si="2"/>
        <v>0</v>
      </c>
    </row>
    <row r="328">
      <c r="A328" s="22" t="s">
        <v>248</v>
      </c>
      <c r="B328" s="21">
        <f t="shared" si="1"/>
        <v>0</v>
      </c>
      <c r="C328" s="21" t="str">
        <f>VLOOKUP(A328, hash!A$2:B$500, 2, 0)</f>
        <v>65c3d9c7d68ebf8c5aaf9473</v>
      </c>
      <c r="D328" s="23">
        <f t="shared" si="2"/>
        <v>0</v>
      </c>
    </row>
    <row r="329">
      <c r="A329" s="22" t="s">
        <v>249</v>
      </c>
      <c r="B329" s="21">
        <f t="shared" si="1"/>
        <v>0</v>
      </c>
      <c r="C329" s="21" t="str">
        <f>VLOOKUP(A329, hash!A$2:B$500, 2, 0)</f>
        <v>65c3db43dc2e959b628fb2d3</v>
      </c>
      <c r="D329" s="23">
        <f t="shared" si="2"/>
        <v>0</v>
      </c>
    </row>
    <row r="330">
      <c r="A330" s="22" t="s">
        <v>250</v>
      </c>
      <c r="B330" s="21">
        <f t="shared" si="1"/>
        <v>0</v>
      </c>
      <c r="C330" s="21" t="str">
        <f>VLOOKUP(A330, hash!A$2:B$500, 2, 0)</f>
        <v>65c3e17176cb308ec1a40c91</v>
      </c>
      <c r="D330" s="23">
        <f t="shared" si="2"/>
        <v>0</v>
      </c>
    </row>
    <row r="331">
      <c r="A331" s="22" t="s">
        <v>251</v>
      </c>
      <c r="B331" s="21">
        <f t="shared" si="1"/>
        <v>0</v>
      </c>
      <c r="C331" s="21" t="str">
        <f>VLOOKUP(A331, hash!A$2:B$500, 2, 0)</f>
        <v>65c3e474f24067cac00a6560</v>
      </c>
      <c r="D331" s="23">
        <f t="shared" si="2"/>
        <v>0</v>
      </c>
    </row>
    <row r="332">
      <c r="A332" s="22" t="s">
        <v>252</v>
      </c>
      <c r="B332" s="21">
        <f t="shared" si="1"/>
        <v>0</v>
      </c>
      <c r="C332" s="21" t="str">
        <f>VLOOKUP(A332, hash!A$2:B$500, 2, 0)</f>
        <v>65c3e7519c89c663f1bf9f3a</v>
      </c>
      <c r="D332" s="23">
        <f t="shared" si="2"/>
        <v>0</v>
      </c>
    </row>
    <row r="333">
      <c r="A333" s="22" t="s">
        <v>253</v>
      </c>
      <c r="B333" s="21">
        <f t="shared" si="1"/>
        <v>0</v>
      </c>
      <c r="C333" s="21" t="str">
        <f>VLOOKUP(A333, hash!A$2:B$500, 2, 0)</f>
        <v>65c404d5adbf166dfd681f4c</v>
      </c>
      <c r="D333" s="23">
        <f t="shared" si="2"/>
        <v>0</v>
      </c>
    </row>
    <row r="334">
      <c r="A334" s="22" t="s">
        <v>254</v>
      </c>
      <c r="B334" s="21">
        <f t="shared" si="1"/>
        <v>0</v>
      </c>
      <c r="C334" s="21" t="str">
        <f>VLOOKUP(A334, hash!A$2:B$500, 2, 0)</f>
        <v>65c452c7bdf2b49b06b9f1e8</v>
      </c>
      <c r="D334" s="23">
        <f t="shared" si="2"/>
        <v>0</v>
      </c>
    </row>
    <row r="335">
      <c r="A335" s="22" t="s">
        <v>634</v>
      </c>
      <c r="B335" s="21">
        <f t="shared" si="1"/>
        <v>0</v>
      </c>
      <c r="C335" s="21" t="str">
        <f>VLOOKUP(A335, hash!A$2:B$500, 2, 0)</f>
        <v>#N/A</v>
      </c>
      <c r="D335" s="23">
        <f t="shared" si="2"/>
        <v>0</v>
      </c>
    </row>
    <row r="336">
      <c r="A336" s="22" t="s">
        <v>635</v>
      </c>
      <c r="B336" s="21">
        <f t="shared" si="1"/>
        <v>0</v>
      </c>
      <c r="C336" s="21" t="str">
        <f>VLOOKUP(A336, hash!A$2:B$500, 2, 0)</f>
        <v>#N/A</v>
      </c>
      <c r="D336" s="23">
        <f t="shared" si="2"/>
        <v>0</v>
      </c>
    </row>
    <row r="337">
      <c r="A337" s="22" t="s">
        <v>636</v>
      </c>
      <c r="B337" s="21">
        <f t="shared" si="1"/>
        <v>0</v>
      </c>
      <c r="C337" s="21" t="str">
        <f>VLOOKUP(A337, hash!A$2:B$500, 2, 0)</f>
        <v>#N/A</v>
      </c>
      <c r="D337" s="23">
        <f t="shared" si="2"/>
        <v>0</v>
      </c>
    </row>
    <row r="338">
      <c r="A338" s="22" t="s">
        <v>637</v>
      </c>
      <c r="B338" s="21">
        <f t="shared" si="1"/>
        <v>0</v>
      </c>
      <c r="C338" s="21" t="str">
        <f>VLOOKUP(A338, hash!A$2:B$500, 2, 0)</f>
        <v>#N/A</v>
      </c>
      <c r="D338" s="23">
        <f t="shared" si="2"/>
        <v>0</v>
      </c>
    </row>
    <row r="339">
      <c r="A339" s="22" t="s">
        <v>255</v>
      </c>
      <c r="B339" s="21">
        <f t="shared" si="1"/>
        <v>0</v>
      </c>
      <c r="C339" s="21" t="str">
        <f>VLOOKUP(A339, hash!A$2:B$500, 2, 0)</f>
        <v>65cd13d251407ce2e1c4e690</v>
      </c>
      <c r="D339" s="23">
        <f t="shared" si="2"/>
        <v>0</v>
      </c>
    </row>
    <row r="340">
      <c r="A340" s="22" t="s">
        <v>256</v>
      </c>
      <c r="B340" s="21">
        <f t="shared" si="1"/>
        <v>0</v>
      </c>
      <c r="C340" s="21" t="str">
        <f>VLOOKUP(A340, hash!A$2:B$500, 2, 0)</f>
        <v>65cd13f6adf37a1fed1cd455</v>
      </c>
      <c r="D340" s="23">
        <f t="shared" si="2"/>
        <v>0</v>
      </c>
    </row>
    <row r="341">
      <c r="A341" s="22" t="s">
        <v>638</v>
      </c>
      <c r="B341" s="21">
        <f t="shared" si="1"/>
        <v>0</v>
      </c>
      <c r="C341" s="21" t="str">
        <f>VLOOKUP(A341, hash!A$2:B$500, 2, 0)</f>
        <v>#N/A</v>
      </c>
      <c r="D341" s="23">
        <f t="shared" si="2"/>
        <v>0</v>
      </c>
    </row>
    <row r="342">
      <c r="A342" s="22" t="s">
        <v>257</v>
      </c>
      <c r="B342" s="21">
        <f t="shared" si="1"/>
        <v>0</v>
      </c>
      <c r="C342" s="21" t="str">
        <f>VLOOKUP(A342, hash!A$2:B$500, 2, 0)</f>
        <v>65cd2a48c6e20b3c3d4798b8</v>
      </c>
      <c r="D342" s="23">
        <f t="shared" si="2"/>
        <v>0</v>
      </c>
    </row>
    <row r="343">
      <c r="A343" s="22" t="s">
        <v>258</v>
      </c>
      <c r="B343" s="21">
        <f t="shared" si="1"/>
        <v>0</v>
      </c>
      <c r="C343" s="21" t="str">
        <f>VLOOKUP(A343, hash!A$2:B$500, 2, 0)</f>
        <v>65d65a5fe2aa0ab4944e133f</v>
      </c>
      <c r="D343" s="23">
        <f t="shared" si="2"/>
        <v>0</v>
      </c>
    </row>
    <row r="344">
      <c r="A344" s="22" t="s">
        <v>259</v>
      </c>
      <c r="B344" s="21">
        <f t="shared" si="1"/>
        <v>0</v>
      </c>
      <c r="C344" s="21" t="str">
        <f>VLOOKUP(A344, hash!A$2:B$500, 2, 0)</f>
        <v>65d65b94ec98c933c1065a3c</v>
      </c>
      <c r="D344" s="23">
        <f t="shared" si="2"/>
        <v>0</v>
      </c>
    </row>
    <row r="345">
      <c r="A345" s="22" t="s">
        <v>260</v>
      </c>
      <c r="B345" s="21">
        <f t="shared" si="1"/>
        <v>0</v>
      </c>
      <c r="C345" s="21" t="str">
        <f>VLOOKUP(A345, hash!A$2:B$500, 2, 0)</f>
        <v>65d65bdbec98c933c1065a41</v>
      </c>
      <c r="D345" s="23">
        <f t="shared" si="2"/>
        <v>0</v>
      </c>
    </row>
    <row r="346">
      <c r="A346" s="22" t="s">
        <v>261</v>
      </c>
      <c r="B346" s="21">
        <f t="shared" si="1"/>
        <v>0</v>
      </c>
      <c r="C346" s="21" t="str">
        <f>VLOOKUP(A346, hash!A$2:B$500, 2, 0)</f>
        <v>65d65beaec98c933c1065a42</v>
      </c>
      <c r="D346" s="23">
        <f t="shared" si="2"/>
        <v>0</v>
      </c>
    </row>
    <row r="347">
      <c r="A347" s="22" t="s">
        <v>262</v>
      </c>
      <c r="B347" s="21">
        <f t="shared" si="1"/>
        <v>0</v>
      </c>
      <c r="C347" s="21" t="str">
        <f>VLOOKUP(A347, hash!A$2:B$500, 2, 0)</f>
        <v>65d65befec98c933c1065a43</v>
      </c>
      <c r="D347" s="23">
        <f t="shared" si="2"/>
        <v>0</v>
      </c>
    </row>
    <row r="348">
      <c r="A348" s="22" t="s">
        <v>263</v>
      </c>
      <c r="B348" s="21">
        <f t="shared" si="1"/>
        <v>0</v>
      </c>
      <c r="C348" s="21" t="str">
        <f>VLOOKUP(A348, hash!A$2:B$500, 2, 0)</f>
        <v>65fb2f31f305810d3c392009</v>
      </c>
      <c r="D348" s="23">
        <f t="shared" si="2"/>
        <v>0</v>
      </c>
    </row>
    <row r="349">
      <c r="A349" s="22" t="s">
        <v>639</v>
      </c>
      <c r="B349" s="21">
        <f t="shared" si="1"/>
        <v>0</v>
      </c>
      <c r="C349" s="21" t="str">
        <f>VLOOKUP(A349, hash!A$2:B$500, 2, 0)</f>
        <v>#N/A</v>
      </c>
      <c r="D349" s="23">
        <f t="shared" si="2"/>
        <v>0</v>
      </c>
    </row>
    <row r="350">
      <c r="A350" s="22" t="s">
        <v>264</v>
      </c>
      <c r="B350" s="21">
        <f t="shared" si="1"/>
        <v>0</v>
      </c>
      <c r="C350" s="21" t="str">
        <f>VLOOKUP(A350, hash!A$2:B$500, 2, 0)</f>
        <v>661437cbd0884a240a6505ae</v>
      </c>
      <c r="D350" s="23">
        <f t="shared" si="2"/>
        <v>0</v>
      </c>
    </row>
    <row r="351">
      <c r="A351" s="22" t="s">
        <v>265</v>
      </c>
      <c r="B351" s="21">
        <f t="shared" si="1"/>
        <v>0</v>
      </c>
      <c r="C351" s="21" t="str">
        <f>VLOOKUP(A351, hash!A$2:B$500, 2, 0)</f>
        <v>66144853927e0e420e0cbc96</v>
      </c>
      <c r="D351" s="23">
        <f t="shared" si="2"/>
        <v>0</v>
      </c>
    </row>
    <row r="352">
      <c r="A352" s="22" t="s">
        <v>266</v>
      </c>
      <c r="B352" s="21">
        <f t="shared" si="1"/>
        <v>0</v>
      </c>
      <c r="C352" s="21" t="str">
        <f>VLOOKUP(A352, hash!A$2:B$500, 2, 0)</f>
        <v>6614485b927e0e420e0cbc97</v>
      </c>
      <c r="D352" s="23">
        <f t="shared" si="2"/>
        <v>0</v>
      </c>
    </row>
    <row r="353">
      <c r="A353" s="22" t="s">
        <v>267</v>
      </c>
      <c r="B353" s="21">
        <f t="shared" si="1"/>
        <v>0</v>
      </c>
      <c r="C353" s="21" t="str">
        <f>VLOOKUP(A353, hash!A$2:B$500, 2, 0)</f>
        <v>6614485f927e0e420e0cbc99</v>
      </c>
      <c r="D353" s="23">
        <f t="shared" si="2"/>
        <v>0</v>
      </c>
    </row>
    <row r="354">
      <c r="A354" s="22" t="s">
        <v>640</v>
      </c>
      <c r="B354" s="21">
        <f t="shared" si="1"/>
        <v>0</v>
      </c>
      <c r="C354" s="21" t="str">
        <f>VLOOKUP(A354, hash!A$2:B$500, 2, 0)</f>
        <v>#N/A</v>
      </c>
      <c r="D354" s="23">
        <f t="shared" si="2"/>
        <v>0</v>
      </c>
    </row>
    <row r="355">
      <c r="A355" s="22" t="s">
        <v>641</v>
      </c>
      <c r="B355" s="21">
        <f t="shared" si="1"/>
        <v>0</v>
      </c>
      <c r="C355" s="21" t="str">
        <f>VLOOKUP(A355, hash!A$2:B$500, 2, 0)</f>
        <v>#N/A</v>
      </c>
      <c r="D355" s="23">
        <f t="shared" si="2"/>
        <v>0</v>
      </c>
    </row>
    <row r="356">
      <c r="A356" s="22" t="s">
        <v>268</v>
      </c>
      <c r="B356" s="21">
        <f t="shared" si="1"/>
        <v>0</v>
      </c>
      <c r="C356" s="21" t="str">
        <f>VLOOKUP(A356, hash!A$2:B$500, 2, 0)</f>
        <v>662950e951eb7e9e714289d0</v>
      </c>
      <c r="D356" s="23">
        <f t="shared" si="2"/>
        <v>0</v>
      </c>
    </row>
    <row r="357">
      <c r="A357" s="22" t="s">
        <v>269</v>
      </c>
      <c r="B357" s="21">
        <f t="shared" si="1"/>
        <v>0</v>
      </c>
      <c r="C357" s="21" t="str">
        <f>VLOOKUP(A357, hash!A$2:B$500, 2, 0)</f>
        <v>66328a4fa55f727a8c1b9f8b</v>
      </c>
      <c r="D357" s="23">
        <f t="shared" si="2"/>
        <v>0</v>
      </c>
    </row>
    <row r="358">
      <c r="A358" s="22" t="s">
        <v>270</v>
      </c>
      <c r="B358" s="21">
        <f t="shared" si="1"/>
        <v>0</v>
      </c>
      <c r="C358" s="21" t="str">
        <f>VLOOKUP(A358, hash!A$2:B$500, 2, 0)</f>
        <v>66328a501875b701f3af072f</v>
      </c>
      <c r="D358" s="23">
        <f t="shared" si="2"/>
        <v>0</v>
      </c>
    </row>
    <row r="359">
      <c r="A359" s="22" t="s">
        <v>271</v>
      </c>
      <c r="B359" s="21">
        <f t="shared" si="1"/>
        <v>0</v>
      </c>
      <c r="C359" s="21" t="str">
        <f>VLOOKUP(A359, hash!A$2:B$500, 2, 0)</f>
        <v>663a810cfd55cc6d42fc3373</v>
      </c>
      <c r="D359" s="23">
        <f t="shared" si="2"/>
        <v>0</v>
      </c>
    </row>
    <row r="360">
      <c r="A360" s="22" t="s">
        <v>272</v>
      </c>
      <c r="B360" s="21">
        <f t="shared" si="1"/>
        <v>0</v>
      </c>
      <c r="C360" s="21" t="str">
        <f>VLOOKUP(A360, hash!A$2:B$500, 2, 0)</f>
        <v>66450a83df126c7d8f1e547c</v>
      </c>
      <c r="D360" s="23">
        <f t="shared" si="2"/>
        <v>0</v>
      </c>
    </row>
    <row r="361">
      <c r="A361" s="22" t="s">
        <v>273</v>
      </c>
      <c r="B361" s="21">
        <f t="shared" si="1"/>
        <v>0</v>
      </c>
      <c r="C361" s="21" t="str">
        <f>VLOOKUP(A361, hash!A$2:B$500, 2, 0)</f>
        <v>664e3a49317dec867b3ddb30</v>
      </c>
      <c r="D361" s="23">
        <f t="shared" si="2"/>
        <v>0</v>
      </c>
    </row>
    <row r="362">
      <c r="A362" s="22" t="s">
        <v>274</v>
      </c>
      <c r="B362" s="21">
        <f t="shared" si="1"/>
        <v>0</v>
      </c>
      <c r="C362" s="21" t="str">
        <f>VLOOKUP(A362, hash!A$2:B$500, 2, 0)</f>
        <v>664e45f07cadce18e9e94600</v>
      </c>
      <c r="D362" s="23">
        <f t="shared" si="2"/>
        <v>0</v>
      </c>
    </row>
    <row r="363">
      <c r="A363" s="22" t="s">
        <v>275</v>
      </c>
      <c r="B363" s="21">
        <f t="shared" si="1"/>
        <v>0</v>
      </c>
      <c r="C363" s="21" t="str">
        <f>VLOOKUP(A363, hash!A$2:B$500, 2, 0)</f>
        <v>665773d4af4d86d206115ffb</v>
      </c>
      <c r="D363" s="23">
        <f t="shared" si="2"/>
        <v>0</v>
      </c>
    </row>
    <row r="364">
      <c r="A364" s="22" t="s">
        <v>642</v>
      </c>
      <c r="B364" s="21">
        <f t="shared" si="1"/>
        <v>0</v>
      </c>
      <c r="C364" s="21" t="str">
        <f>VLOOKUP(A364, hash!A$2:B$500, 2, 0)</f>
        <v>#N/A</v>
      </c>
      <c r="D364" s="23">
        <f t="shared" si="2"/>
        <v>0</v>
      </c>
    </row>
    <row r="365">
      <c r="A365" s="22" t="s">
        <v>643</v>
      </c>
      <c r="B365" s="21">
        <f t="shared" si="1"/>
        <v>0</v>
      </c>
      <c r="C365" s="21" t="str">
        <f>VLOOKUP(A365, hash!A$2:B$500, 2, 0)</f>
        <v>#N/A</v>
      </c>
      <c r="D365" s="23">
        <f t="shared" si="2"/>
        <v>0</v>
      </c>
    </row>
    <row r="366">
      <c r="A366" s="22" t="s">
        <v>276</v>
      </c>
      <c r="B366" s="21">
        <f t="shared" si="1"/>
        <v>0</v>
      </c>
      <c r="C366" s="21" t="str">
        <f>VLOOKUP(A366, hash!A$2:B$500, 2, 0)</f>
        <v>66cac517e3728ef7a173d5b4</v>
      </c>
      <c r="D366" s="23">
        <f t="shared" si="2"/>
        <v>0</v>
      </c>
    </row>
    <row r="367">
      <c r="A367" s="22" t="s">
        <v>277</v>
      </c>
      <c r="B367" s="21">
        <f t="shared" si="1"/>
        <v>0</v>
      </c>
      <c r="C367" s="21" t="str">
        <f>VLOOKUP(A367, hash!A$2:B$500, 2, 0)</f>
        <v>66d4dfe22c49b6570be6d76d</v>
      </c>
      <c r="D367" s="23">
        <f t="shared" si="2"/>
        <v>0</v>
      </c>
    </row>
    <row r="368">
      <c r="A368" s="22" t="s">
        <v>278</v>
      </c>
      <c r="B368" s="21">
        <f t="shared" si="1"/>
        <v>0</v>
      </c>
      <c r="C368" s="21" t="str">
        <f>VLOOKUP(A368, hash!A$2:B$500, 2, 0)</f>
        <v>66db0378ada861be3f1186a3</v>
      </c>
      <c r="D368" s="23">
        <f t="shared" si="2"/>
        <v>0</v>
      </c>
    </row>
    <row r="369">
      <c r="A369" s="22" t="s">
        <v>279</v>
      </c>
      <c r="B369" s="21">
        <f t="shared" si="1"/>
        <v>0</v>
      </c>
      <c r="C369" s="21" t="str">
        <f>VLOOKUP(A369, hash!A$2:B$500, 2, 0)</f>
        <v>66dfaa6ed25069720af3c493</v>
      </c>
      <c r="D369" s="23">
        <f t="shared" si="2"/>
        <v>0</v>
      </c>
    </row>
    <row r="370">
      <c r="A370" s="22" t="s">
        <v>280</v>
      </c>
      <c r="B370" s="21">
        <f t="shared" si="1"/>
        <v>0</v>
      </c>
      <c r="C370" s="21" t="str">
        <f>VLOOKUP(A370, hash!A$2:B$500, 2, 0)</f>
        <v>66e1e0ef855f2a7e8fb837e2</v>
      </c>
      <c r="D370" s="23">
        <f t="shared" si="2"/>
        <v>0</v>
      </c>
    </row>
    <row r="371">
      <c r="A371" s="22" t="s">
        <v>281</v>
      </c>
      <c r="B371" s="21">
        <f t="shared" si="1"/>
        <v>0</v>
      </c>
      <c r="C371" s="21" t="str">
        <f>VLOOKUP(A371, hash!A$2:B$500, 2, 0)</f>
        <v>66e1e0fe855f2a7e8fb837e3</v>
      </c>
      <c r="D371" s="23">
        <f t="shared" si="2"/>
        <v>0</v>
      </c>
    </row>
    <row r="372">
      <c r="A372" s="22" t="s">
        <v>282</v>
      </c>
      <c r="B372" s="21">
        <f t="shared" si="1"/>
        <v>0</v>
      </c>
      <c r="C372" s="21" t="str">
        <f>VLOOKUP(A372, hash!A$2:B$500, 2, 0)</f>
        <v>66e1e105a61e89c7c68f6e30</v>
      </c>
      <c r="D372" s="23">
        <f t="shared" si="2"/>
        <v>0</v>
      </c>
    </row>
    <row r="373">
      <c r="A373" s="22" t="s">
        <v>43</v>
      </c>
      <c r="B373" s="21">
        <f t="shared" si="1"/>
        <v>0</v>
      </c>
      <c r="C373" s="21" t="str">
        <f>VLOOKUP(A373, hash!A$2:B$500, 2, 0)</f>
        <v>66e1e108a61e89c7c68f6e31</v>
      </c>
      <c r="D373" s="23">
        <f t="shared" si="2"/>
        <v>0</v>
      </c>
    </row>
    <row r="374">
      <c r="A374" s="22" t="s">
        <v>283</v>
      </c>
      <c r="B374" s="21">
        <f t="shared" si="1"/>
        <v>0</v>
      </c>
      <c r="C374" s="21" t="str">
        <f>VLOOKUP(A374, hash!A$2:B$500, 2, 0)</f>
        <v>66e1e10bdb315cbd40043fc3</v>
      </c>
      <c r="D374" s="23">
        <f t="shared" si="2"/>
        <v>0</v>
      </c>
    </row>
    <row r="375">
      <c r="A375" s="22" t="s">
        <v>89</v>
      </c>
      <c r="B375" s="21">
        <f t="shared" si="1"/>
        <v>0</v>
      </c>
      <c r="C375" s="21" t="str">
        <f>VLOOKUP(A375, hash!A$2:B$500, 2, 0)</f>
        <v>66e1e10cdb315cbd40043fc4</v>
      </c>
      <c r="D375" s="23">
        <f t="shared" si="2"/>
        <v>0</v>
      </c>
    </row>
    <row r="376">
      <c r="A376" s="22" t="s">
        <v>99</v>
      </c>
      <c r="B376" s="21">
        <f t="shared" si="1"/>
        <v>0</v>
      </c>
      <c r="C376" s="21" t="str">
        <f>VLOOKUP(A376, hash!A$2:B$500, 2, 0)</f>
        <v>66e1e1107315471e09f2b5b1</v>
      </c>
      <c r="D376" s="23">
        <f t="shared" si="2"/>
        <v>0</v>
      </c>
    </row>
    <row r="377">
      <c r="A377" s="22" t="s">
        <v>284</v>
      </c>
      <c r="B377" s="21">
        <f t="shared" si="1"/>
        <v>0</v>
      </c>
      <c r="C377" s="21" t="str">
        <f>VLOOKUP(A377, hash!A$2:B$500, 2, 0)</f>
        <v>66e1e111f0db8f5922c91d81</v>
      </c>
      <c r="D377" s="23">
        <f t="shared" si="2"/>
        <v>0</v>
      </c>
    </row>
    <row r="378">
      <c r="A378" s="22" t="s">
        <v>285</v>
      </c>
      <c r="B378" s="21">
        <f t="shared" si="1"/>
        <v>0</v>
      </c>
      <c r="C378" s="21" t="str">
        <f>VLOOKUP(A378, hash!A$2:B$500, 2, 0)</f>
        <v>66e1e116f0db8f5922c91d82</v>
      </c>
      <c r="D378" s="23">
        <f t="shared" si="2"/>
        <v>0</v>
      </c>
    </row>
    <row r="379">
      <c r="A379" s="22" t="s">
        <v>286</v>
      </c>
      <c r="B379" s="21">
        <f t="shared" si="1"/>
        <v>0</v>
      </c>
      <c r="C379" s="21" t="str">
        <f>VLOOKUP(A379, hash!A$2:B$500, 2, 0)</f>
        <v>66e1e1187a8e6dc2aed3a63d</v>
      </c>
      <c r="D379" s="23">
        <f t="shared" si="2"/>
        <v>0</v>
      </c>
    </row>
    <row r="380">
      <c r="A380" s="22" t="s">
        <v>287</v>
      </c>
      <c r="B380" s="21">
        <f t="shared" si="1"/>
        <v>0</v>
      </c>
      <c r="C380" s="21" t="str">
        <f>VLOOKUP(A380, hash!A$2:B$500, 2, 0)</f>
        <v>66e1e119f0db8f5922c91d83</v>
      </c>
      <c r="D380" s="23">
        <f t="shared" si="2"/>
        <v>0</v>
      </c>
    </row>
    <row r="381">
      <c r="A381" s="22" t="s">
        <v>288</v>
      </c>
      <c r="B381" s="21">
        <f t="shared" si="1"/>
        <v>0</v>
      </c>
      <c r="C381" s="21" t="str">
        <f>VLOOKUP(A381, hash!A$2:B$500, 2, 0)</f>
        <v>66e1e11f45950d34f313912f</v>
      </c>
      <c r="D381" s="23">
        <f t="shared" si="2"/>
        <v>0</v>
      </c>
    </row>
    <row r="382">
      <c r="A382" s="22" t="s">
        <v>100</v>
      </c>
      <c r="B382" s="21">
        <f t="shared" si="1"/>
        <v>0</v>
      </c>
      <c r="C382" s="21" t="str">
        <f>VLOOKUP(A382, hash!A$2:B$500, 2, 0)</f>
        <v>66e1e1207a8e6dc2aed3a63e</v>
      </c>
      <c r="D382" s="23">
        <f t="shared" si="2"/>
        <v>0</v>
      </c>
    </row>
    <row r="383">
      <c r="A383" s="22" t="s">
        <v>289</v>
      </c>
      <c r="B383" s="21">
        <f t="shared" si="1"/>
        <v>0</v>
      </c>
      <c r="C383" s="21" t="str">
        <f>VLOOKUP(A383, hash!A$2:B$500, 2, 0)</f>
        <v>66e1e1217a8e6dc2aed3a63f</v>
      </c>
      <c r="D383" s="23">
        <f t="shared" si="2"/>
        <v>0</v>
      </c>
    </row>
    <row r="384">
      <c r="A384" s="22" t="s">
        <v>290</v>
      </c>
      <c r="B384" s="21">
        <f t="shared" si="1"/>
        <v>0</v>
      </c>
      <c r="C384" s="21" t="str">
        <f>VLOOKUP(A384, hash!A$2:B$500, 2, 0)</f>
        <v>66e1e1227a8e6dc2aed3a640</v>
      </c>
      <c r="D384" s="23">
        <f t="shared" si="2"/>
        <v>0</v>
      </c>
    </row>
    <row r="385">
      <c r="A385" s="22" t="s">
        <v>50</v>
      </c>
      <c r="B385" s="21">
        <f t="shared" si="1"/>
        <v>0</v>
      </c>
      <c r="C385" s="21" t="str">
        <f>VLOOKUP(A385, hash!A$2:B$500, 2, 0)</f>
        <v>66e1e1227a8e6dc2aed3a641</v>
      </c>
      <c r="D385" s="23">
        <f t="shared" si="2"/>
        <v>0</v>
      </c>
    </row>
    <row r="386">
      <c r="A386" s="22" t="s">
        <v>292</v>
      </c>
      <c r="B386" s="21">
        <f t="shared" si="1"/>
        <v>0</v>
      </c>
      <c r="C386" s="21" t="str">
        <f>VLOOKUP(A386, hash!A$2:B$500, 2, 0)</f>
        <v>66e1e1257a8e6dc2aed3a643</v>
      </c>
      <c r="D386" s="23">
        <f t="shared" si="2"/>
        <v>0</v>
      </c>
    </row>
    <row r="387">
      <c r="A387" s="22" t="s">
        <v>293</v>
      </c>
      <c r="B387" s="21">
        <f t="shared" si="1"/>
        <v>0</v>
      </c>
      <c r="C387" s="21" t="str">
        <f>VLOOKUP(A387, hash!A$2:B$500, 2, 0)</f>
        <v>66e1e125e2fbdff8a0c35635</v>
      </c>
      <c r="D387" s="23">
        <f t="shared" si="2"/>
        <v>0</v>
      </c>
    </row>
    <row r="388">
      <c r="A388" s="22" t="s">
        <v>294</v>
      </c>
      <c r="B388" s="21">
        <f t="shared" si="1"/>
        <v>0</v>
      </c>
      <c r="C388" s="21" t="str">
        <f>VLOOKUP(A388, hash!A$2:B$500, 2, 0)</f>
        <v>66e1e127e2fbdff8a0c35636</v>
      </c>
      <c r="D388" s="23">
        <f t="shared" si="2"/>
        <v>0</v>
      </c>
    </row>
    <row r="389">
      <c r="A389" s="22" t="s">
        <v>295</v>
      </c>
      <c r="B389" s="21">
        <f t="shared" si="1"/>
        <v>0</v>
      </c>
      <c r="C389" s="21" t="str">
        <f>VLOOKUP(A389, hash!A$2:B$500, 2, 0)</f>
        <v>66e1e128f0db8f5922c91d86</v>
      </c>
      <c r="D389" s="23">
        <f t="shared" si="2"/>
        <v>0</v>
      </c>
    </row>
    <row r="390">
      <c r="A390" s="22" t="s">
        <v>296</v>
      </c>
      <c r="B390" s="21">
        <f t="shared" si="1"/>
        <v>0</v>
      </c>
      <c r="C390" s="21" t="str">
        <f>VLOOKUP(A390, hash!A$2:B$500, 2, 0)</f>
        <v>66e1e129f0db8f5922c91d87</v>
      </c>
      <c r="D390" s="23">
        <f t="shared" si="2"/>
        <v>0</v>
      </c>
    </row>
    <row r="391">
      <c r="A391" s="22" t="s">
        <v>62</v>
      </c>
      <c r="B391" s="21">
        <f t="shared" si="1"/>
        <v>0</v>
      </c>
      <c r="C391" s="21" t="str">
        <f>VLOOKUP(A391, hash!A$2:B$500, 2, 0)</f>
        <v>66e1e12a45950d34f3139132</v>
      </c>
      <c r="D391" s="23">
        <f t="shared" si="2"/>
        <v>0</v>
      </c>
    </row>
    <row r="392">
      <c r="A392" s="22" t="s">
        <v>297</v>
      </c>
      <c r="B392" s="21">
        <f t="shared" si="1"/>
        <v>0</v>
      </c>
      <c r="C392" s="21" t="str">
        <f>VLOOKUP(A392, hash!A$2:B$500, 2, 0)</f>
        <v>66e1e12bf0db8f5922c91d88</v>
      </c>
      <c r="D392" s="23">
        <f t="shared" si="2"/>
        <v>0</v>
      </c>
    </row>
    <row r="393">
      <c r="A393" s="22" t="s">
        <v>298</v>
      </c>
      <c r="B393" s="21">
        <f t="shared" si="1"/>
        <v>0</v>
      </c>
      <c r="C393" s="21" t="str">
        <f>VLOOKUP(A393, hash!A$2:B$500, 2, 0)</f>
        <v>66e1e12be2fbdff8a0c35639</v>
      </c>
      <c r="D393" s="23">
        <f t="shared" si="2"/>
        <v>0</v>
      </c>
    </row>
    <row r="394">
      <c r="A394" s="22" t="s">
        <v>63</v>
      </c>
      <c r="B394" s="21">
        <f t="shared" si="1"/>
        <v>0</v>
      </c>
      <c r="C394" s="21" t="str">
        <f>VLOOKUP(A394, hash!A$2:B$500, 2, 0)</f>
        <v>66e1e12cf0db8f5922c91d89</v>
      </c>
      <c r="D394" s="23">
        <f t="shared" si="2"/>
        <v>0</v>
      </c>
    </row>
    <row r="395">
      <c r="A395" s="22" t="s">
        <v>299</v>
      </c>
      <c r="B395" s="21">
        <f t="shared" si="1"/>
        <v>0</v>
      </c>
      <c r="C395" s="21" t="str">
        <f>VLOOKUP(A395, hash!A$2:B$500, 2, 0)</f>
        <v>66e1e12c68fa766abf5d11d7</v>
      </c>
      <c r="D395" s="23">
        <f t="shared" si="2"/>
        <v>0</v>
      </c>
    </row>
    <row r="396">
      <c r="A396" s="22" t="s">
        <v>301</v>
      </c>
      <c r="B396" s="21">
        <f t="shared" si="1"/>
        <v>0</v>
      </c>
      <c r="C396" s="21" t="str">
        <f>VLOOKUP(A396, hash!A$2:B$500, 2, 0)</f>
        <v>66e1e12ee2fbdff8a0c3563a</v>
      </c>
      <c r="D396" s="23">
        <f t="shared" si="2"/>
        <v>0</v>
      </c>
    </row>
    <row r="397">
      <c r="A397" s="22" t="s">
        <v>302</v>
      </c>
      <c r="B397" s="21">
        <f t="shared" si="1"/>
        <v>0</v>
      </c>
      <c r="C397" s="21" t="str">
        <f>VLOOKUP(A397, hash!A$2:B$500, 2, 0)</f>
        <v>66e1e12f7a8e6dc2aed3a646</v>
      </c>
      <c r="D397" s="23">
        <f t="shared" si="2"/>
        <v>0</v>
      </c>
    </row>
    <row r="398">
      <c r="A398" s="22" t="s">
        <v>57</v>
      </c>
      <c r="B398" s="21">
        <f t="shared" si="1"/>
        <v>0</v>
      </c>
      <c r="C398" s="21" t="str">
        <f>VLOOKUP(A398, hash!A$2:B$500, 2, 0)</f>
        <v>66e1e13168fa766abf5d11d8</v>
      </c>
      <c r="D398" s="23">
        <f t="shared" si="2"/>
        <v>0</v>
      </c>
    </row>
    <row r="399">
      <c r="A399" s="22" t="s">
        <v>303</v>
      </c>
      <c r="B399" s="21">
        <f t="shared" si="1"/>
        <v>0</v>
      </c>
      <c r="C399" s="21" t="str">
        <f>VLOOKUP(A399, hash!A$2:B$500, 2, 0)</f>
        <v>66e1e137db315cbd40043fc5</v>
      </c>
      <c r="D399" s="23">
        <f t="shared" si="2"/>
        <v>0</v>
      </c>
    </row>
    <row r="400">
      <c r="A400" s="22" t="s">
        <v>304</v>
      </c>
      <c r="B400" s="21">
        <f t="shared" si="1"/>
        <v>0</v>
      </c>
      <c r="C400" s="21" t="str">
        <f>VLOOKUP(A400, hash!A$2:B$500, 2, 0)</f>
        <v>66e1e139f0db8f5922c91d8d</v>
      </c>
      <c r="D400" s="23">
        <f t="shared" si="2"/>
        <v>0</v>
      </c>
    </row>
    <row r="401">
      <c r="A401" s="22" t="s">
        <v>305</v>
      </c>
      <c r="B401" s="21">
        <f t="shared" si="1"/>
        <v>0</v>
      </c>
      <c r="C401" s="21" t="str">
        <f>VLOOKUP(A401, hash!A$2:B$500, 2, 0)</f>
        <v>66e1e141f0db8f5922c91d90</v>
      </c>
      <c r="D401" s="23">
        <f t="shared" si="2"/>
        <v>0</v>
      </c>
    </row>
    <row r="402">
      <c r="A402" s="22" t="s">
        <v>306</v>
      </c>
      <c r="B402" s="21">
        <f t="shared" si="1"/>
        <v>0</v>
      </c>
      <c r="C402" s="21" t="str">
        <f>VLOOKUP(A402, hash!A$2:B$500, 2, 0)</f>
        <v>66e1e143db315cbd40043fcb</v>
      </c>
      <c r="D402" s="23">
        <f t="shared" si="2"/>
        <v>0</v>
      </c>
    </row>
    <row r="403">
      <c r="A403" s="22" t="s">
        <v>307</v>
      </c>
      <c r="B403" s="21">
        <f t="shared" si="1"/>
        <v>0</v>
      </c>
      <c r="C403" s="21" t="str">
        <f>VLOOKUP(A403, hash!A$2:B$500, 2, 0)</f>
        <v>66e1e14b7a8e6dc2aed3a649</v>
      </c>
      <c r="D403" s="23">
        <f t="shared" si="2"/>
        <v>0</v>
      </c>
    </row>
    <row r="404">
      <c r="A404" s="22" t="s">
        <v>308</v>
      </c>
      <c r="B404" s="21">
        <f t="shared" si="1"/>
        <v>0</v>
      </c>
      <c r="C404" s="21" t="str">
        <f>VLOOKUP(A404, hash!A$2:B$500, 2, 0)</f>
        <v>66e1e14cf0db8f5922c91d94</v>
      </c>
      <c r="D404" s="23">
        <f t="shared" si="2"/>
        <v>0</v>
      </c>
    </row>
    <row r="405">
      <c r="A405" s="22" t="s">
        <v>309</v>
      </c>
      <c r="B405" s="21">
        <f t="shared" si="1"/>
        <v>0</v>
      </c>
      <c r="C405" s="21" t="str">
        <f>VLOOKUP(A405, hash!A$2:B$500, 2, 0)</f>
        <v>66e1e200bbd279710a4f25a0</v>
      </c>
      <c r="D405" s="23">
        <f t="shared" si="2"/>
        <v>0</v>
      </c>
    </row>
    <row r="406">
      <c r="A406" s="22" t="s">
        <v>38</v>
      </c>
      <c r="B406" s="21">
        <f t="shared" si="1"/>
        <v>0</v>
      </c>
      <c r="C406" s="21" t="str">
        <f>VLOOKUP(A406, hash!A$2:B$500, 2, 0)</f>
        <v>66e1e295c67d6a88d4309dde</v>
      </c>
      <c r="D406" s="23">
        <f t="shared" si="2"/>
        <v>0</v>
      </c>
    </row>
    <row r="407">
      <c r="A407" s="22" t="s">
        <v>310</v>
      </c>
      <c r="B407" s="21">
        <f t="shared" si="1"/>
        <v>0</v>
      </c>
      <c r="C407" s="21" t="str">
        <f>VLOOKUP(A407, hash!A$2:B$500, 2, 0)</f>
        <v>66e1ed7ce62f650d943808d3</v>
      </c>
      <c r="D407" s="23">
        <f t="shared" si="2"/>
        <v>0</v>
      </c>
    </row>
    <row r="408">
      <c r="A408" s="22" t="s">
        <v>311</v>
      </c>
      <c r="B408" s="21">
        <f t="shared" si="1"/>
        <v>0</v>
      </c>
      <c r="C408" s="21" t="str">
        <f>VLOOKUP(A408, hash!A$2:B$500, 2, 0)</f>
        <v>66e1ed80e62f650d943808d4</v>
      </c>
      <c r="D408" s="23">
        <f t="shared" si="2"/>
        <v>0</v>
      </c>
    </row>
    <row r="409">
      <c r="A409" s="22" t="s">
        <v>312</v>
      </c>
      <c r="B409" s="21">
        <f t="shared" si="1"/>
        <v>0</v>
      </c>
      <c r="C409" s="21" t="str">
        <f>VLOOKUP(A409, hash!A$2:B$500, 2, 0)</f>
        <v>66e1ed841129889a3e2c24a8</v>
      </c>
      <c r="D409" s="23">
        <f t="shared" si="2"/>
        <v>0</v>
      </c>
    </row>
    <row r="410">
      <c r="A410" s="22" t="s">
        <v>314</v>
      </c>
      <c r="B410" s="21">
        <f t="shared" si="1"/>
        <v>0</v>
      </c>
      <c r="C410" s="21" t="str">
        <f>VLOOKUP(A410, hash!A$2:B$500, 2, 0)</f>
        <v>66e1ed871129889a3e2c24a9</v>
      </c>
      <c r="D410" s="23">
        <f t="shared" si="2"/>
        <v>0</v>
      </c>
    </row>
    <row r="411">
      <c r="A411" s="22" t="s">
        <v>64</v>
      </c>
      <c r="B411" s="21">
        <f t="shared" si="1"/>
        <v>0</v>
      </c>
      <c r="C411" s="21" t="str">
        <f>VLOOKUP(A411, hash!A$2:B$500, 2, 0)</f>
        <v>66e1ed8c1129889a3e2c24aa</v>
      </c>
      <c r="D411" s="23">
        <f t="shared" si="2"/>
        <v>0</v>
      </c>
    </row>
    <row r="412">
      <c r="A412" s="22" t="s">
        <v>315</v>
      </c>
      <c r="B412" s="21">
        <f t="shared" si="1"/>
        <v>0</v>
      </c>
      <c r="C412" s="21" t="str">
        <f>VLOOKUP(A412, hash!A$2:B$500, 2, 0)</f>
        <v>66e1ed901129889a3e2c24ac</v>
      </c>
      <c r="D412" s="23">
        <f t="shared" si="2"/>
        <v>0</v>
      </c>
    </row>
    <row r="413">
      <c r="A413" s="22" t="s">
        <v>316</v>
      </c>
      <c r="B413" s="21">
        <f t="shared" si="1"/>
        <v>0</v>
      </c>
      <c r="C413" s="21" t="str">
        <f>VLOOKUP(A413, hash!A$2:B$500, 2, 0)</f>
        <v>66e1ed9207067318cc1e18cb</v>
      </c>
      <c r="D413" s="23">
        <f t="shared" si="2"/>
        <v>0</v>
      </c>
    </row>
    <row r="414">
      <c r="A414" s="22" t="s">
        <v>317</v>
      </c>
      <c r="B414" s="21">
        <f t="shared" si="1"/>
        <v>0</v>
      </c>
      <c r="C414" s="21" t="str">
        <f>VLOOKUP(A414, hash!A$2:B$500, 2, 0)</f>
        <v>66e1ed9207067318cc1e18cc</v>
      </c>
      <c r="D414" s="23">
        <f t="shared" si="2"/>
        <v>0</v>
      </c>
    </row>
    <row r="415">
      <c r="A415" s="22" t="s">
        <v>318</v>
      </c>
      <c r="B415" s="21">
        <f t="shared" si="1"/>
        <v>0</v>
      </c>
      <c r="C415" s="21" t="str">
        <f>VLOOKUP(A415, hash!A$2:B$500, 2, 0)</f>
        <v>66e1ed9407067318cc1e18cd</v>
      </c>
      <c r="D415" s="23">
        <f t="shared" si="2"/>
        <v>0</v>
      </c>
    </row>
    <row r="416">
      <c r="A416" s="22" t="s">
        <v>319</v>
      </c>
      <c r="B416" s="21">
        <f t="shared" si="1"/>
        <v>0</v>
      </c>
      <c r="C416" s="21" t="str">
        <f>VLOOKUP(A416, hash!A$2:B$500, 2, 0)</f>
        <v>66e1ed96e62f650d943808d5</v>
      </c>
      <c r="D416" s="23">
        <f t="shared" si="2"/>
        <v>0</v>
      </c>
    </row>
    <row r="417">
      <c r="A417" s="22" t="s">
        <v>320</v>
      </c>
      <c r="B417" s="21">
        <f t="shared" si="1"/>
        <v>0</v>
      </c>
      <c r="C417" s="21" t="str">
        <f>VLOOKUP(A417, hash!A$2:B$500, 2, 0)</f>
        <v>66e1ed97e62f650d943808d6</v>
      </c>
      <c r="D417" s="23">
        <f t="shared" si="2"/>
        <v>0</v>
      </c>
    </row>
    <row r="418">
      <c r="A418" s="22" t="s">
        <v>321</v>
      </c>
      <c r="B418" s="21">
        <f t="shared" si="1"/>
        <v>0</v>
      </c>
      <c r="C418" s="21" t="str">
        <f>VLOOKUP(A418, hash!A$2:B$500, 2, 0)</f>
        <v>66e1ed9877e929b3df889a0b</v>
      </c>
      <c r="D418" s="23">
        <f t="shared" si="2"/>
        <v>0</v>
      </c>
    </row>
    <row r="419">
      <c r="A419" s="22" t="s">
        <v>322</v>
      </c>
      <c r="B419" s="21">
        <f t="shared" si="1"/>
        <v>0</v>
      </c>
      <c r="C419" s="21" t="str">
        <f>VLOOKUP(A419, hash!A$2:B$500, 2, 0)</f>
        <v>66e1ed9877e929b3df889a0c</v>
      </c>
      <c r="D419" s="23">
        <f t="shared" si="2"/>
        <v>0</v>
      </c>
    </row>
    <row r="420">
      <c r="A420" s="22" t="s">
        <v>323</v>
      </c>
      <c r="B420" s="21">
        <f t="shared" si="1"/>
        <v>0</v>
      </c>
      <c r="C420" s="21" t="str">
        <f>VLOOKUP(A420, hash!A$2:B$500, 2, 0)</f>
        <v>66e1ed98e62f650d943808d7</v>
      </c>
      <c r="D420" s="23">
        <f t="shared" si="2"/>
        <v>0</v>
      </c>
    </row>
    <row r="421">
      <c r="A421" s="22" t="s">
        <v>324</v>
      </c>
      <c r="B421" s="21">
        <f t="shared" si="1"/>
        <v>0</v>
      </c>
      <c r="C421" s="21" t="str">
        <f>VLOOKUP(A421, hash!A$2:B$500, 2, 0)</f>
        <v>66e1ed9b535f0d0c02349bed</v>
      </c>
      <c r="D421" s="23">
        <f t="shared" si="2"/>
        <v>0</v>
      </c>
    </row>
    <row r="422">
      <c r="A422" s="22" t="s">
        <v>325</v>
      </c>
      <c r="B422" s="21">
        <f t="shared" si="1"/>
        <v>0</v>
      </c>
      <c r="C422" s="21" t="str">
        <f>VLOOKUP(A422, hash!A$2:B$500, 2, 0)</f>
        <v>66e1ed9c07067318cc1e18ce</v>
      </c>
      <c r="D422" s="23">
        <f t="shared" si="2"/>
        <v>0</v>
      </c>
    </row>
    <row r="423">
      <c r="A423" s="22" t="s">
        <v>326</v>
      </c>
      <c r="B423" s="21">
        <f t="shared" si="1"/>
        <v>0</v>
      </c>
      <c r="C423" s="21" t="str">
        <f>VLOOKUP(A423, hash!A$2:B$500, 2, 0)</f>
        <v>66e1ed9e07067318cc1e18cf</v>
      </c>
      <c r="D423" s="23">
        <f t="shared" si="2"/>
        <v>0</v>
      </c>
    </row>
    <row r="424">
      <c r="A424" s="22" t="s">
        <v>327</v>
      </c>
      <c r="B424" s="21">
        <f t="shared" si="1"/>
        <v>0</v>
      </c>
      <c r="C424" s="21" t="str">
        <f>VLOOKUP(A424, hash!A$2:B$500, 2, 0)</f>
        <v>66e1ed9f07067318cc1e18d0</v>
      </c>
      <c r="D424" s="23">
        <f t="shared" si="2"/>
        <v>0</v>
      </c>
    </row>
    <row r="425">
      <c r="A425" s="22" t="s">
        <v>328</v>
      </c>
      <c r="B425" s="21">
        <f t="shared" si="1"/>
        <v>0</v>
      </c>
      <c r="C425" s="21" t="str">
        <f>VLOOKUP(A425, hash!A$2:B$500, 2, 0)</f>
        <v>66e1eda007067318cc1e18d1</v>
      </c>
      <c r="D425" s="23">
        <f t="shared" si="2"/>
        <v>0</v>
      </c>
    </row>
    <row r="426">
      <c r="A426" s="22" t="s">
        <v>329</v>
      </c>
      <c r="B426" s="21">
        <f t="shared" si="1"/>
        <v>0</v>
      </c>
      <c r="C426" s="21" t="str">
        <f>VLOOKUP(A426, hash!A$2:B$500, 2, 0)</f>
        <v>66e1eda1535f0d0c02349bee</v>
      </c>
      <c r="D426" s="23">
        <f t="shared" si="2"/>
        <v>0</v>
      </c>
    </row>
    <row r="427">
      <c r="A427" s="22" t="s">
        <v>330</v>
      </c>
      <c r="B427" s="21">
        <f t="shared" si="1"/>
        <v>0</v>
      </c>
      <c r="C427" s="21" t="str">
        <f>VLOOKUP(A427, hash!A$2:B$500, 2, 0)</f>
        <v>66e1eda5535f0d0c02349bef</v>
      </c>
      <c r="D427" s="23">
        <f t="shared" si="2"/>
        <v>0</v>
      </c>
    </row>
    <row r="428">
      <c r="A428" s="22" t="s">
        <v>331</v>
      </c>
      <c r="B428" s="21">
        <f t="shared" si="1"/>
        <v>0</v>
      </c>
      <c r="C428" s="21" t="str">
        <f>VLOOKUP(A428, hash!A$2:B$500, 2, 0)</f>
        <v>66e1eda6535f0d0c02349bf0</v>
      </c>
      <c r="D428" s="23">
        <f t="shared" si="2"/>
        <v>0</v>
      </c>
    </row>
    <row r="429">
      <c r="A429" s="22" t="s">
        <v>97</v>
      </c>
      <c r="B429" s="21">
        <f t="shared" si="1"/>
        <v>0</v>
      </c>
      <c r="C429" s="21" t="str">
        <f>VLOOKUP(A429, hash!A$2:B$500, 2, 0)</f>
        <v>66e1eda71129889a3e2c24ae</v>
      </c>
      <c r="D429" s="23">
        <f t="shared" si="2"/>
        <v>0</v>
      </c>
    </row>
    <row r="430">
      <c r="A430" s="22" t="s">
        <v>332</v>
      </c>
      <c r="B430" s="21">
        <f t="shared" si="1"/>
        <v>0</v>
      </c>
      <c r="C430" s="21" t="str">
        <f>VLOOKUP(A430, hash!A$2:B$500, 2, 0)</f>
        <v>66e1eda81129889a3e2c24af</v>
      </c>
      <c r="D430" s="23">
        <f t="shared" si="2"/>
        <v>0</v>
      </c>
    </row>
    <row r="431">
      <c r="A431" s="22" t="s">
        <v>333</v>
      </c>
      <c r="B431" s="21">
        <f t="shared" si="1"/>
        <v>0</v>
      </c>
      <c r="C431" s="21" t="str">
        <f>VLOOKUP(A431, hash!A$2:B$500, 2, 0)</f>
        <v>66e1eda807067318cc1e18d2</v>
      </c>
      <c r="D431" s="23">
        <f t="shared" si="2"/>
        <v>0</v>
      </c>
    </row>
    <row r="432">
      <c r="A432" s="22" t="s">
        <v>90</v>
      </c>
      <c r="B432" s="21">
        <f t="shared" si="1"/>
        <v>0</v>
      </c>
      <c r="C432" s="21" t="str">
        <f>VLOOKUP(A432, hash!A$2:B$500, 2, 0)</f>
        <v>66e1edab07067318cc1e18d3</v>
      </c>
      <c r="D432" s="23">
        <f t="shared" si="2"/>
        <v>0</v>
      </c>
    </row>
    <row r="433">
      <c r="A433" s="22" t="s">
        <v>334</v>
      </c>
      <c r="B433" s="21">
        <f t="shared" si="1"/>
        <v>0</v>
      </c>
      <c r="C433" s="21" t="str">
        <f>VLOOKUP(A433, hash!A$2:B$500, 2, 0)</f>
        <v>66e1edbc07067318cc1e18d8</v>
      </c>
      <c r="D433" s="23">
        <f t="shared" si="2"/>
        <v>0</v>
      </c>
    </row>
    <row r="434">
      <c r="A434" s="22" t="s">
        <v>336</v>
      </c>
      <c r="B434" s="21">
        <f t="shared" si="1"/>
        <v>0</v>
      </c>
      <c r="C434" s="21" t="str">
        <f>VLOOKUP(A434, hash!A$2:B$500, 2, 0)</f>
        <v>66e1ee9d77e929b3df889a14</v>
      </c>
      <c r="D434" s="23">
        <f t="shared" si="2"/>
        <v>0</v>
      </c>
    </row>
    <row r="435">
      <c r="A435" s="22" t="s">
        <v>337</v>
      </c>
      <c r="B435" s="21">
        <f t="shared" si="1"/>
        <v>0</v>
      </c>
      <c r="C435" s="21" t="str">
        <f>VLOOKUP(A435, hash!A$2:B$500, 2, 0)</f>
        <v>66e1f36e97e3bb4b1a02d659</v>
      </c>
      <c r="D435" s="23">
        <f t="shared" si="2"/>
        <v>0</v>
      </c>
    </row>
    <row r="436">
      <c r="A436" s="22" t="s">
        <v>37</v>
      </c>
      <c r="B436" s="21">
        <f t="shared" si="1"/>
        <v>0</v>
      </c>
      <c r="C436" s="21" t="str">
        <f>VLOOKUP(A436, hash!A$2:B$500, 2, 0)</f>
        <v>66e21e0e9dc93e7d858c34ab</v>
      </c>
      <c r="D436" s="23">
        <f t="shared" si="2"/>
        <v>0</v>
      </c>
    </row>
    <row r="437">
      <c r="A437" s="22" t="s">
        <v>98</v>
      </c>
      <c r="B437" s="21">
        <f t="shared" si="1"/>
        <v>0</v>
      </c>
      <c r="C437" s="21" t="str">
        <f>VLOOKUP(A437, hash!A$2:B$500, 2, 0)</f>
        <v>66e4659d317cf70a1c31109e</v>
      </c>
      <c r="D437" s="23">
        <f t="shared" si="2"/>
        <v>0</v>
      </c>
    </row>
    <row r="438">
      <c r="A438" s="22" t="s">
        <v>338</v>
      </c>
      <c r="B438" s="21">
        <f t="shared" si="1"/>
        <v>0</v>
      </c>
      <c r="C438" s="21" t="str">
        <f>VLOOKUP(A438, hash!A$2:B$500, 2, 0)</f>
        <v>66ea1f306b0b246c2372bbac</v>
      </c>
      <c r="D438" s="23">
        <f t="shared" si="2"/>
        <v>0</v>
      </c>
    </row>
    <row r="439">
      <c r="A439" s="22" t="s">
        <v>35</v>
      </c>
      <c r="B439" s="21">
        <f t="shared" si="1"/>
        <v>0</v>
      </c>
      <c r="C439" s="21" t="str">
        <f>VLOOKUP(A439, hash!A$2:B$500, 2, 0)</f>
        <v>66eb1b4237edf2b32f9fc2ec</v>
      </c>
      <c r="D439" s="23">
        <f t="shared" si="2"/>
        <v>0</v>
      </c>
    </row>
    <row r="440">
      <c r="A440" s="22" t="s">
        <v>339</v>
      </c>
      <c r="B440" s="21">
        <f t="shared" si="1"/>
        <v>0</v>
      </c>
      <c r="C440" s="21" t="str">
        <f>VLOOKUP(A440, hash!A$2:B$500, 2, 0)</f>
        <v>66eb1bdf61b31c87a7ea090e</v>
      </c>
      <c r="D440" s="23">
        <f t="shared" si="2"/>
        <v>0</v>
      </c>
    </row>
    <row r="441">
      <c r="A441" s="22" t="s">
        <v>340</v>
      </c>
      <c r="B441" s="21">
        <f t="shared" si="1"/>
        <v>0</v>
      </c>
      <c r="C441" s="21" t="str">
        <f>VLOOKUP(A441, hash!A$2:B$500, 2, 0)</f>
        <v>66eb1bedcb6c430d242f37c4</v>
      </c>
      <c r="D441" s="23">
        <f t="shared" si="2"/>
        <v>0</v>
      </c>
    </row>
    <row r="442">
      <c r="A442" s="22" t="s">
        <v>341</v>
      </c>
      <c r="B442" s="21">
        <f t="shared" si="1"/>
        <v>0</v>
      </c>
      <c r="C442" s="21" t="str">
        <f>VLOOKUP(A442, hash!A$2:B$500, 2, 0)</f>
        <v>66eb1bf21132636931fb1927</v>
      </c>
      <c r="D442" s="23">
        <f t="shared" si="2"/>
        <v>0</v>
      </c>
    </row>
    <row r="443">
      <c r="A443" s="22" t="s">
        <v>342</v>
      </c>
      <c r="B443" s="21">
        <f t="shared" si="1"/>
        <v>0</v>
      </c>
      <c r="C443" s="21" t="str">
        <f>VLOOKUP(A443, hash!A$2:B$500, 2, 0)</f>
        <v>66eb1bf5cb6c430d242f37c7</v>
      </c>
      <c r="D443" s="23">
        <f t="shared" si="2"/>
        <v>0</v>
      </c>
    </row>
    <row r="444">
      <c r="A444" s="22" t="s">
        <v>343</v>
      </c>
      <c r="B444" s="21">
        <f t="shared" si="1"/>
        <v>0</v>
      </c>
      <c r="C444" s="21" t="str">
        <f>VLOOKUP(A444, hash!A$2:B$500, 2, 0)</f>
        <v>66eb1bf91132636931fb1929</v>
      </c>
      <c r="D444" s="23">
        <f t="shared" si="2"/>
        <v>0</v>
      </c>
    </row>
    <row r="445">
      <c r="A445" s="22" t="s">
        <v>344</v>
      </c>
      <c r="B445" s="21">
        <f t="shared" si="1"/>
        <v>0</v>
      </c>
      <c r="C445" s="21" t="str">
        <f>VLOOKUP(A445, hash!A$2:B$500, 2, 0)</f>
        <v>66eb1bff8647681e6a2afbde</v>
      </c>
      <c r="D445" s="23">
        <f t="shared" si="2"/>
        <v>0</v>
      </c>
    </row>
    <row r="446">
      <c r="A446" s="22" t="s">
        <v>345</v>
      </c>
      <c r="B446" s="21">
        <f t="shared" si="1"/>
        <v>0</v>
      </c>
      <c r="C446" s="21" t="str">
        <f>VLOOKUP(A446, hash!A$2:B$500, 2, 0)</f>
        <v>66eb1c00a52629221738126a</v>
      </c>
      <c r="D446" s="23">
        <f t="shared" si="2"/>
        <v>0</v>
      </c>
    </row>
    <row r="447">
      <c r="A447" s="22" t="s">
        <v>346</v>
      </c>
      <c r="B447" s="21">
        <f t="shared" si="1"/>
        <v>0</v>
      </c>
      <c r="C447" s="21" t="str">
        <f>VLOOKUP(A447, hash!A$2:B$500, 2, 0)</f>
        <v>66eb1c19a526292217381272</v>
      </c>
      <c r="D447" s="23">
        <f t="shared" si="2"/>
        <v>0</v>
      </c>
    </row>
    <row r="448">
      <c r="A448" s="22" t="s">
        <v>347</v>
      </c>
      <c r="B448" s="21">
        <f t="shared" si="1"/>
        <v>0</v>
      </c>
      <c r="C448" s="21" t="str">
        <f>VLOOKUP(A448, hash!A$2:B$500, 2, 0)</f>
        <v>66eb1c248647681e6a2afbe7</v>
      </c>
      <c r="D448" s="23">
        <f t="shared" si="2"/>
        <v>0</v>
      </c>
    </row>
    <row r="449">
      <c r="A449" s="22" t="s">
        <v>348</v>
      </c>
      <c r="B449" s="21">
        <f t="shared" si="1"/>
        <v>0</v>
      </c>
      <c r="C449" s="21" t="str">
        <f>VLOOKUP(A449, hash!A$2:B$500, 2, 0)</f>
        <v>66eb1c2ba526292217381274</v>
      </c>
      <c r="D449" s="23">
        <f t="shared" si="2"/>
        <v>0</v>
      </c>
    </row>
    <row r="450">
      <c r="A450" s="22" t="s">
        <v>349</v>
      </c>
      <c r="B450" s="21">
        <f t="shared" si="1"/>
        <v>0</v>
      </c>
      <c r="C450" s="21" t="str">
        <f>VLOOKUP(A450, hash!A$2:B$500, 2, 0)</f>
        <v>66eb1c2b8647681e6a2afbe8</v>
      </c>
      <c r="D450" s="23">
        <f t="shared" si="2"/>
        <v>0</v>
      </c>
    </row>
    <row r="451">
      <c r="A451" s="22" t="s">
        <v>350</v>
      </c>
      <c r="B451" s="21">
        <f t="shared" si="1"/>
        <v>0</v>
      </c>
      <c r="C451" s="21" t="str">
        <f>VLOOKUP(A451, hash!A$2:B$500, 2, 0)</f>
        <v>66eb1c33cb6c430d242f37d2</v>
      </c>
      <c r="D451" s="23">
        <f t="shared" si="2"/>
        <v>0</v>
      </c>
    </row>
    <row r="452">
      <c r="A452" s="22" t="s">
        <v>352</v>
      </c>
      <c r="B452" s="21">
        <f t="shared" si="1"/>
        <v>0</v>
      </c>
      <c r="C452" s="21" t="str">
        <f>VLOOKUP(A452, hash!A$2:B$500, 2, 0)</f>
        <v>66eb1c681132636931fb1934</v>
      </c>
      <c r="D452" s="23">
        <f t="shared" si="2"/>
        <v>0</v>
      </c>
    </row>
    <row r="453">
      <c r="A453" s="22" t="s">
        <v>353</v>
      </c>
      <c r="B453" s="21">
        <f t="shared" si="1"/>
        <v>0</v>
      </c>
      <c r="C453" s="21" t="str">
        <f>VLOOKUP(A453, hash!A$2:B$500, 2, 0)</f>
        <v>66eb1c6ecb6c430d242f37d9</v>
      </c>
      <c r="D453" s="23">
        <f t="shared" si="2"/>
        <v>0</v>
      </c>
    </row>
    <row r="454">
      <c r="A454" s="22" t="s">
        <v>354</v>
      </c>
      <c r="B454" s="21">
        <f t="shared" si="1"/>
        <v>0</v>
      </c>
      <c r="C454" s="21" t="str">
        <f>VLOOKUP(A454, hash!A$2:B$500, 2, 0)</f>
        <v>66eb1c79cb6c430d242f37da</v>
      </c>
      <c r="D454" s="23">
        <f t="shared" si="2"/>
        <v>0</v>
      </c>
    </row>
    <row r="455">
      <c r="A455" s="22" t="s">
        <v>355</v>
      </c>
      <c r="B455" s="21">
        <f t="shared" si="1"/>
        <v>0</v>
      </c>
      <c r="C455" s="21" t="str">
        <f>VLOOKUP(A455, hash!A$2:B$500, 2, 0)</f>
        <v>66eb1c7e1132636931fb1938</v>
      </c>
      <c r="D455" s="23">
        <f t="shared" si="2"/>
        <v>0</v>
      </c>
    </row>
    <row r="456">
      <c r="A456" s="22" t="s">
        <v>356</v>
      </c>
      <c r="B456" s="21">
        <f t="shared" si="1"/>
        <v>0</v>
      </c>
      <c r="C456" s="21" t="str">
        <f>VLOOKUP(A456, hash!A$2:B$500, 2, 0)</f>
        <v>66eb1cb28647681e6a2afbec</v>
      </c>
      <c r="D456" s="23">
        <f t="shared" si="2"/>
        <v>0</v>
      </c>
    </row>
    <row r="457">
      <c r="A457" s="22" t="s">
        <v>357</v>
      </c>
      <c r="B457" s="21">
        <f t="shared" si="1"/>
        <v>0</v>
      </c>
      <c r="C457" s="21" t="str">
        <f>VLOOKUP(A457, hash!A$2:B$500, 2, 0)</f>
        <v>66eb1ce18647681e6a2afbed</v>
      </c>
      <c r="D457" s="23">
        <f t="shared" si="2"/>
        <v>0</v>
      </c>
    </row>
    <row r="458">
      <c r="A458" s="22" t="s">
        <v>358</v>
      </c>
      <c r="B458" s="21">
        <f t="shared" si="1"/>
        <v>0</v>
      </c>
      <c r="C458" s="21" t="str">
        <f>VLOOKUP(A458, hash!A$2:B$500, 2, 0)</f>
        <v>66eb26e01132636931fb1948</v>
      </c>
      <c r="D458" s="23">
        <f t="shared" si="2"/>
        <v>0</v>
      </c>
    </row>
    <row r="459">
      <c r="A459" s="22" t="s">
        <v>359</v>
      </c>
      <c r="B459" s="21">
        <f t="shared" si="1"/>
        <v>0</v>
      </c>
      <c r="C459" s="21" t="str">
        <f>VLOOKUP(A459, hash!A$2:B$500, 2, 0)</f>
        <v>66eb2791f5cf341f2cef5f68</v>
      </c>
      <c r="D459" s="23">
        <f t="shared" si="2"/>
        <v>0</v>
      </c>
    </row>
    <row r="460">
      <c r="A460" s="22" t="s">
        <v>360</v>
      </c>
      <c r="B460" s="21">
        <f t="shared" si="1"/>
        <v>0</v>
      </c>
      <c r="C460" s="21" t="str">
        <f>VLOOKUP(A460, hash!A$2:B$500, 2, 0)</f>
        <v>66eb283093ca556f981967dc</v>
      </c>
      <c r="D460" s="23">
        <f t="shared" si="2"/>
        <v>0</v>
      </c>
    </row>
    <row r="461">
      <c r="A461" s="22" t="s">
        <v>361</v>
      </c>
      <c r="B461" s="21">
        <f t="shared" si="1"/>
        <v>0</v>
      </c>
      <c r="C461" s="21" t="str">
        <f>VLOOKUP(A461, hash!A$2:B$500, 2, 0)</f>
        <v>66eb283593ca556f981967de</v>
      </c>
      <c r="D461" s="23">
        <f t="shared" si="2"/>
        <v>0</v>
      </c>
    </row>
    <row r="462">
      <c r="A462" s="22" t="s">
        <v>362</v>
      </c>
      <c r="B462" s="21">
        <f t="shared" si="1"/>
        <v>0</v>
      </c>
      <c r="C462" s="21" t="str">
        <f>VLOOKUP(A462, hash!A$2:B$500, 2, 0)</f>
        <v>66eb28586bd7ab0d5c9d8c1c</v>
      </c>
      <c r="D462" s="23">
        <f t="shared" si="2"/>
        <v>0</v>
      </c>
    </row>
    <row r="463">
      <c r="A463" s="22" t="s">
        <v>644</v>
      </c>
      <c r="B463" s="21">
        <f t="shared" si="1"/>
        <v>0</v>
      </c>
      <c r="C463" s="21" t="str">
        <f>VLOOKUP(A463, hash!A$2:B$500, 2, 0)</f>
        <v>#N/A</v>
      </c>
      <c r="D463" s="23">
        <f t="shared" si="2"/>
        <v>0</v>
      </c>
    </row>
    <row r="464">
      <c r="A464" s="22" t="s">
        <v>363</v>
      </c>
      <c r="B464" s="21">
        <f t="shared" si="1"/>
        <v>0</v>
      </c>
      <c r="C464" s="21" t="str">
        <f>VLOOKUP(A464, hash!A$2:B$500, 2, 0)</f>
        <v>66eb28b493ca556f981967e8</v>
      </c>
      <c r="D464" s="23">
        <f t="shared" si="2"/>
        <v>0</v>
      </c>
    </row>
    <row r="465">
      <c r="A465" s="22" t="s">
        <v>364</v>
      </c>
      <c r="B465" s="21">
        <f t="shared" si="1"/>
        <v>0</v>
      </c>
      <c r="C465" s="21" t="str">
        <f>VLOOKUP(A465, hash!A$2:B$500, 2, 0)</f>
        <v>66eb293393ca556f981967ec</v>
      </c>
      <c r="D465" s="23">
        <f t="shared" si="2"/>
        <v>0</v>
      </c>
    </row>
    <row r="466">
      <c r="A466" s="22" t="s">
        <v>365</v>
      </c>
      <c r="B466" s="21">
        <f t="shared" si="1"/>
        <v>0</v>
      </c>
      <c r="C466" s="21" t="str">
        <f>VLOOKUP(A466, hash!A$2:B$500, 2, 0)</f>
        <v>66eb295cf5cf341f2cef5f6e</v>
      </c>
      <c r="D466" s="23">
        <f t="shared" si="2"/>
        <v>0</v>
      </c>
    </row>
    <row r="467">
      <c r="A467" s="22" t="s">
        <v>366</v>
      </c>
      <c r="B467" s="21">
        <f t="shared" si="1"/>
        <v>0</v>
      </c>
      <c r="C467" s="21" t="str">
        <f>VLOOKUP(A467, hash!A$2:B$500, 2, 0)</f>
        <v>66ec5f65155b01592e9cc06d</v>
      </c>
      <c r="D467" s="23">
        <f t="shared" si="2"/>
        <v>0</v>
      </c>
    </row>
    <row r="468">
      <c r="D468" s="23"/>
      <c r="E468" s="21">
        <f t="shared" ref="E468:J468" si="3">SUM(E2:E467)</f>
        <v>7</v>
      </c>
      <c r="F468" s="21">
        <f t="shared" si="3"/>
        <v>0</v>
      </c>
      <c r="G468" s="21">
        <f t="shared" si="3"/>
        <v>19</v>
      </c>
      <c r="H468" s="21">
        <f t="shared" si="3"/>
        <v>0</v>
      </c>
      <c r="I468" s="21">
        <f t="shared" si="3"/>
        <v>24</v>
      </c>
      <c r="J468" s="21">
        <f t="shared" si="3"/>
        <v>0</v>
      </c>
    </row>
    <row r="469">
      <c r="D469" s="23"/>
    </row>
    <row r="470">
      <c r="D470" s="23"/>
    </row>
    <row r="471">
      <c r="D471" s="23"/>
    </row>
    <row r="472">
      <c r="D472" s="23"/>
    </row>
    <row r="473">
      <c r="D473" s="23"/>
    </row>
    <row r="474">
      <c r="D474" s="23"/>
    </row>
    <row r="475">
      <c r="D475" s="23"/>
    </row>
    <row r="476">
      <c r="D476" s="23"/>
    </row>
    <row r="477">
      <c r="D477" s="23"/>
    </row>
    <row r="478">
      <c r="D478" s="23"/>
    </row>
    <row r="479">
      <c r="D479" s="23"/>
    </row>
    <row r="480">
      <c r="D480" s="23"/>
    </row>
    <row r="481">
      <c r="D481" s="23"/>
    </row>
    <row r="482">
      <c r="D482" s="23"/>
    </row>
    <row r="483">
      <c r="D483" s="23"/>
    </row>
    <row r="484">
      <c r="D484" s="23"/>
    </row>
    <row r="485">
      <c r="D485" s="23"/>
    </row>
    <row r="486">
      <c r="D486" s="23"/>
    </row>
    <row r="487">
      <c r="D487" s="23"/>
    </row>
    <row r="488">
      <c r="D488" s="23"/>
    </row>
    <row r="489">
      <c r="D489" s="23"/>
    </row>
    <row r="490">
      <c r="D490" s="23"/>
    </row>
    <row r="491">
      <c r="D491" s="23"/>
    </row>
    <row r="492">
      <c r="D492" s="23"/>
    </row>
    <row r="493">
      <c r="D493" s="23"/>
    </row>
    <row r="494">
      <c r="D494" s="23"/>
    </row>
    <row r="495">
      <c r="D495" s="23"/>
    </row>
    <row r="496">
      <c r="D496" s="23"/>
    </row>
    <row r="497">
      <c r="D497" s="23"/>
    </row>
    <row r="498">
      <c r="D498" s="23"/>
    </row>
    <row r="499">
      <c r="D499" s="23"/>
    </row>
    <row r="500">
      <c r="D500" s="23"/>
    </row>
    <row r="501">
      <c r="D501" s="23"/>
    </row>
    <row r="502">
      <c r="D502" s="23"/>
    </row>
    <row r="503">
      <c r="D503" s="23"/>
    </row>
    <row r="504">
      <c r="D504" s="23"/>
    </row>
    <row r="505">
      <c r="D505" s="23"/>
    </row>
    <row r="506">
      <c r="D506" s="23"/>
    </row>
    <row r="507">
      <c r="D507" s="23"/>
    </row>
    <row r="508">
      <c r="D508" s="23"/>
    </row>
    <row r="509">
      <c r="D509" s="23"/>
    </row>
    <row r="510">
      <c r="D510" s="23"/>
    </row>
    <row r="511">
      <c r="D511" s="23"/>
    </row>
    <row r="512">
      <c r="D512" s="23"/>
    </row>
    <row r="513">
      <c r="D513" s="23"/>
    </row>
    <row r="514">
      <c r="D514" s="23"/>
    </row>
    <row r="515">
      <c r="D515" s="23"/>
    </row>
    <row r="516">
      <c r="D516" s="23"/>
    </row>
    <row r="517">
      <c r="D517" s="23"/>
    </row>
    <row r="518">
      <c r="D518" s="23"/>
    </row>
    <row r="519">
      <c r="D519" s="23"/>
    </row>
    <row r="520">
      <c r="D520" s="23"/>
    </row>
    <row r="521">
      <c r="D521" s="23"/>
    </row>
    <row r="522">
      <c r="D522" s="23"/>
    </row>
    <row r="523">
      <c r="D523" s="23"/>
    </row>
    <row r="524">
      <c r="D524" s="23"/>
    </row>
    <row r="525">
      <c r="D525" s="23"/>
    </row>
    <row r="526">
      <c r="D526" s="23"/>
    </row>
    <row r="527">
      <c r="D527" s="23"/>
    </row>
    <row r="528">
      <c r="D528" s="23"/>
    </row>
    <row r="529">
      <c r="D529" s="23"/>
    </row>
    <row r="530">
      <c r="D530" s="23"/>
    </row>
    <row r="531">
      <c r="D531" s="23"/>
    </row>
    <row r="532">
      <c r="D532" s="23"/>
    </row>
    <row r="533">
      <c r="D533" s="23"/>
    </row>
    <row r="534">
      <c r="D534" s="23"/>
    </row>
    <row r="535">
      <c r="D535" s="23"/>
    </row>
    <row r="536">
      <c r="D536" s="23"/>
    </row>
    <row r="537">
      <c r="D537" s="23"/>
    </row>
    <row r="538">
      <c r="D538" s="23"/>
    </row>
    <row r="539">
      <c r="D539" s="23"/>
    </row>
    <row r="540">
      <c r="D540" s="23"/>
    </row>
    <row r="541">
      <c r="D541" s="23"/>
    </row>
    <row r="542">
      <c r="D542" s="23"/>
    </row>
    <row r="543">
      <c r="D543" s="23"/>
    </row>
    <row r="544">
      <c r="D544" s="23"/>
    </row>
    <row r="545">
      <c r="D545" s="23"/>
    </row>
    <row r="546">
      <c r="D546" s="23"/>
    </row>
    <row r="547">
      <c r="D547" s="23"/>
    </row>
    <row r="548">
      <c r="D548" s="23"/>
    </row>
    <row r="549">
      <c r="D549" s="23"/>
    </row>
    <row r="550">
      <c r="D550" s="23"/>
    </row>
    <row r="551">
      <c r="D551" s="23"/>
    </row>
    <row r="552">
      <c r="D552" s="23"/>
    </row>
    <row r="553">
      <c r="D553" s="23"/>
    </row>
    <row r="554">
      <c r="D554" s="23"/>
    </row>
    <row r="555">
      <c r="D555" s="23"/>
    </row>
    <row r="556">
      <c r="D556" s="23"/>
    </row>
    <row r="557">
      <c r="D557" s="23"/>
    </row>
    <row r="558">
      <c r="D558" s="23"/>
    </row>
    <row r="559">
      <c r="D559" s="23"/>
    </row>
    <row r="560">
      <c r="D560" s="23"/>
    </row>
    <row r="561">
      <c r="D561" s="23"/>
    </row>
    <row r="562">
      <c r="D562" s="23"/>
    </row>
    <row r="563">
      <c r="D563" s="23"/>
    </row>
    <row r="564">
      <c r="D564" s="23"/>
    </row>
    <row r="565">
      <c r="D565" s="23"/>
    </row>
    <row r="566">
      <c r="D566" s="23"/>
    </row>
    <row r="567">
      <c r="D567" s="23"/>
    </row>
    <row r="568">
      <c r="D568" s="23"/>
    </row>
    <row r="569">
      <c r="D569" s="23"/>
    </row>
    <row r="570">
      <c r="D570" s="23"/>
    </row>
    <row r="571">
      <c r="D571" s="23"/>
    </row>
    <row r="572">
      <c r="D572" s="23"/>
    </row>
    <row r="573">
      <c r="D573" s="23"/>
    </row>
    <row r="574">
      <c r="D574" s="23"/>
    </row>
    <row r="575">
      <c r="D575" s="23"/>
    </row>
    <row r="576">
      <c r="D576" s="23"/>
    </row>
    <row r="577">
      <c r="D577" s="23"/>
    </row>
    <row r="578">
      <c r="D578" s="23"/>
    </row>
    <row r="579">
      <c r="D579" s="23"/>
    </row>
    <row r="580">
      <c r="D580" s="23"/>
    </row>
    <row r="581">
      <c r="D581" s="23"/>
    </row>
    <row r="582">
      <c r="D582" s="23"/>
    </row>
    <row r="583">
      <c r="D583" s="23"/>
    </row>
    <row r="584">
      <c r="D584" s="23"/>
    </row>
    <row r="585">
      <c r="D585" s="23"/>
    </row>
    <row r="586">
      <c r="D586" s="23"/>
    </row>
    <row r="587">
      <c r="D587" s="23"/>
    </row>
    <row r="588">
      <c r="D588" s="23"/>
    </row>
    <row r="589">
      <c r="D589" s="23"/>
    </row>
    <row r="590">
      <c r="D590" s="23"/>
    </row>
    <row r="591">
      <c r="D591" s="23"/>
    </row>
    <row r="592">
      <c r="D592" s="23"/>
    </row>
    <row r="593">
      <c r="D593" s="23"/>
    </row>
    <row r="594">
      <c r="D594" s="23"/>
    </row>
    <row r="595">
      <c r="D595" s="23"/>
    </row>
    <row r="596">
      <c r="D596" s="23"/>
    </row>
    <row r="597">
      <c r="D597" s="23"/>
    </row>
    <row r="598">
      <c r="D598" s="23"/>
    </row>
    <row r="599">
      <c r="D599" s="23"/>
    </row>
    <row r="600">
      <c r="D600" s="23"/>
    </row>
    <row r="601">
      <c r="D601" s="23"/>
    </row>
    <row r="602">
      <c r="D602" s="23"/>
    </row>
    <row r="603">
      <c r="D603" s="23"/>
    </row>
    <row r="604">
      <c r="D604" s="23"/>
    </row>
    <row r="605">
      <c r="D605" s="23"/>
    </row>
    <row r="606">
      <c r="D606" s="23"/>
    </row>
    <row r="607">
      <c r="D607" s="23"/>
    </row>
    <row r="608">
      <c r="D608" s="23"/>
    </row>
    <row r="609">
      <c r="D609" s="23"/>
    </row>
    <row r="610">
      <c r="D610" s="23"/>
    </row>
    <row r="611">
      <c r="D611" s="23"/>
    </row>
    <row r="612">
      <c r="D612" s="23"/>
    </row>
    <row r="613">
      <c r="D613" s="23"/>
    </row>
    <row r="614">
      <c r="D614" s="23"/>
    </row>
    <row r="615">
      <c r="D615" s="23"/>
    </row>
    <row r="616">
      <c r="D616" s="23"/>
    </row>
    <row r="617">
      <c r="D617" s="23"/>
    </row>
    <row r="618">
      <c r="D618" s="23"/>
    </row>
    <row r="619">
      <c r="D619" s="23"/>
    </row>
    <row r="620">
      <c r="D620" s="23"/>
    </row>
    <row r="621">
      <c r="D621" s="23"/>
    </row>
    <row r="622">
      <c r="D622" s="23"/>
    </row>
    <row r="623">
      <c r="D623" s="23"/>
    </row>
    <row r="624">
      <c r="D624" s="23"/>
    </row>
    <row r="625">
      <c r="D625" s="23"/>
    </row>
    <row r="626">
      <c r="D626" s="23"/>
    </row>
    <row r="627">
      <c r="D627" s="23"/>
    </row>
    <row r="628">
      <c r="D628" s="23"/>
    </row>
    <row r="629">
      <c r="D629" s="23"/>
    </row>
    <row r="630">
      <c r="D630" s="23"/>
    </row>
    <row r="631">
      <c r="D631" s="23"/>
    </row>
    <row r="632">
      <c r="D632" s="23"/>
    </row>
    <row r="633">
      <c r="D633" s="23"/>
    </row>
    <row r="634">
      <c r="D634" s="23"/>
    </row>
    <row r="635">
      <c r="D635" s="23"/>
    </row>
    <row r="636">
      <c r="D636" s="23"/>
    </row>
    <row r="637">
      <c r="D637" s="23"/>
    </row>
    <row r="638">
      <c r="D638" s="23"/>
    </row>
    <row r="639">
      <c r="D639" s="23"/>
    </row>
    <row r="640">
      <c r="D640" s="23"/>
    </row>
    <row r="641">
      <c r="D641" s="23"/>
    </row>
    <row r="642">
      <c r="D642" s="23"/>
    </row>
    <row r="643">
      <c r="D643" s="23"/>
    </row>
    <row r="644">
      <c r="D644" s="23"/>
    </row>
    <row r="645">
      <c r="D645" s="23"/>
    </row>
    <row r="646">
      <c r="D646" s="23"/>
    </row>
    <row r="647">
      <c r="D647" s="23"/>
    </row>
    <row r="648">
      <c r="D648" s="23"/>
    </row>
    <row r="649">
      <c r="D649" s="23"/>
    </row>
    <row r="650">
      <c r="D650" s="23"/>
    </row>
    <row r="651">
      <c r="D651" s="23"/>
    </row>
    <row r="652">
      <c r="D652" s="23"/>
    </row>
    <row r="653">
      <c r="D653" s="23"/>
    </row>
    <row r="654">
      <c r="D654" s="23"/>
    </row>
    <row r="655">
      <c r="D655" s="23"/>
    </row>
    <row r="656">
      <c r="D656" s="23"/>
    </row>
    <row r="657">
      <c r="D657" s="23"/>
    </row>
    <row r="658">
      <c r="D658" s="23"/>
    </row>
    <row r="659">
      <c r="D659" s="23"/>
    </row>
    <row r="660">
      <c r="D660" s="23"/>
    </row>
    <row r="661">
      <c r="D661" s="23"/>
    </row>
    <row r="662">
      <c r="D662" s="23"/>
    </row>
    <row r="663">
      <c r="D663" s="23"/>
    </row>
    <row r="664">
      <c r="D664" s="23"/>
    </row>
    <row r="665">
      <c r="D665" s="23"/>
    </row>
    <row r="666">
      <c r="D666" s="23"/>
    </row>
    <row r="667">
      <c r="D667" s="23"/>
    </row>
    <row r="668">
      <c r="D668" s="23"/>
    </row>
    <row r="669">
      <c r="D669" s="23"/>
    </row>
    <row r="670">
      <c r="D670" s="23"/>
    </row>
    <row r="671">
      <c r="D671" s="23"/>
    </row>
    <row r="672">
      <c r="D672" s="23"/>
    </row>
    <row r="673">
      <c r="D673" s="23"/>
    </row>
    <row r="674">
      <c r="D674" s="23"/>
    </row>
    <row r="675">
      <c r="D675" s="23"/>
    </row>
    <row r="676">
      <c r="D676" s="23"/>
    </row>
    <row r="677">
      <c r="D677" s="23"/>
    </row>
    <row r="678">
      <c r="D678" s="23"/>
    </row>
    <row r="679">
      <c r="D679" s="23"/>
    </row>
    <row r="680">
      <c r="D680" s="23"/>
    </row>
    <row r="681">
      <c r="D681" s="23"/>
    </row>
    <row r="682">
      <c r="D682" s="23"/>
    </row>
    <row r="683">
      <c r="D683" s="23"/>
    </row>
    <row r="684">
      <c r="D684" s="23"/>
    </row>
    <row r="685">
      <c r="D685" s="23"/>
    </row>
    <row r="686">
      <c r="D686" s="23"/>
    </row>
    <row r="687">
      <c r="D687" s="23"/>
    </row>
    <row r="688">
      <c r="D688" s="23"/>
    </row>
    <row r="689">
      <c r="D689" s="23"/>
    </row>
    <row r="690">
      <c r="D690" s="23"/>
    </row>
    <row r="691">
      <c r="D691" s="23"/>
    </row>
    <row r="692">
      <c r="D692" s="23"/>
    </row>
    <row r="693">
      <c r="D693" s="23"/>
    </row>
    <row r="694">
      <c r="D694" s="23"/>
    </row>
    <row r="695">
      <c r="D695" s="23"/>
    </row>
    <row r="696">
      <c r="D696" s="23"/>
    </row>
    <row r="697">
      <c r="D697" s="23"/>
    </row>
    <row r="698">
      <c r="D698" s="23"/>
    </row>
    <row r="699">
      <c r="D699" s="23"/>
    </row>
    <row r="700">
      <c r="D700" s="23"/>
    </row>
    <row r="701">
      <c r="D701" s="23"/>
    </row>
    <row r="702">
      <c r="D702" s="23"/>
    </row>
    <row r="703">
      <c r="D703" s="23"/>
    </row>
    <row r="704">
      <c r="D704" s="23"/>
    </row>
    <row r="705">
      <c r="D705" s="23"/>
    </row>
    <row r="706">
      <c r="D706" s="23"/>
    </row>
    <row r="707">
      <c r="D707" s="23"/>
    </row>
    <row r="708">
      <c r="D708" s="23"/>
    </row>
    <row r="709">
      <c r="D709" s="23"/>
    </row>
    <row r="710">
      <c r="D710" s="23"/>
    </row>
    <row r="711">
      <c r="D711" s="23"/>
    </row>
    <row r="712">
      <c r="D712" s="23"/>
    </row>
    <row r="713">
      <c r="D713" s="23"/>
    </row>
    <row r="714">
      <c r="D714" s="23"/>
    </row>
    <row r="715">
      <c r="D715" s="23"/>
    </row>
    <row r="716">
      <c r="D716" s="23"/>
    </row>
    <row r="717">
      <c r="D717" s="23"/>
    </row>
    <row r="718">
      <c r="D718" s="23"/>
    </row>
    <row r="719">
      <c r="D719" s="23"/>
    </row>
    <row r="720">
      <c r="D720" s="23"/>
    </row>
    <row r="721">
      <c r="D721" s="23"/>
    </row>
    <row r="722">
      <c r="D722" s="23"/>
    </row>
    <row r="723">
      <c r="D723" s="23"/>
    </row>
    <row r="724">
      <c r="D724" s="23"/>
    </row>
    <row r="725">
      <c r="D725" s="23"/>
    </row>
    <row r="726">
      <c r="D726" s="23"/>
    </row>
    <row r="727">
      <c r="D727" s="23"/>
    </row>
    <row r="728">
      <c r="D728" s="23"/>
    </row>
    <row r="729">
      <c r="D729" s="23"/>
    </row>
    <row r="730">
      <c r="D730" s="23"/>
    </row>
    <row r="731">
      <c r="D731" s="23"/>
    </row>
    <row r="732">
      <c r="D732" s="23"/>
    </row>
    <row r="733">
      <c r="D733" s="23"/>
    </row>
    <row r="734">
      <c r="D734" s="23"/>
    </row>
    <row r="735">
      <c r="D735" s="23"/>
    </row>
    <row r="736">
      <c r="D736" s="23"/>
    </row>
    <row r="737">
      <c r="D737" s="23"/>
    </row>
    <row r="738">
      <c r="D738" s="23"/>
    </row>
    <row r="739">
      <c r="D739" s="23"/>
    </row>
    <row r="740">
      <c r="D740" s="23"/>
    </row>
    <row r="741">
      <c r="D741" s="23"/>
    </row>
    <row r="742">
      <c r="D742" s="23"/>
    </row>
    <row r="743">
      <c r="D743" s="23"/>
    </row>
    <row r="744">
      <c r="D744" s="23"/>
    </row>
    <row r="745">
      <c r="D745" s="23"/>
    </row>
    <row r="746">
      <c r="D746" s="23"/>
    </row>
    <row r="747">
      <c r="D747" s="23"/>
    </row>
    <row r="748">
      <c r="D748" s="23"/>
    </row>
    <row r="749">
      <c r="D749" s="23"/>
    </row>
    <row r="750">
      <c r="D750" s="23"/>
    </row>
    <row r="751">
      <c r="D751" s="23"/>
    </row>
    <row r="752">
      <c r="D752" s="23"/>
    </row>
    <row r="753">
      <c r="D753" s="23"/>
    </row>
    <row r="754">
      <c r="D754" s="23"/>
    </row>
    <row r="755">
      <c r="D755" s="23"/>
    </row>
    <row r="756">
      <c r="D756" s="23"/>
    </row>
    <row r="757">
      <c r="D757" s="23"/>
    </row>
    <row r="758">
      <c r="D758" s="23"/>
    </row>
    <row r="759">
      <c r="D759" s="23"/>
    </row>
    <row r="760">
      <c r="D760" s="23"/>
    </row>
    <row r="761">
      <c r="D761" s="23"/>
    </row>
    <row r="762">
      <c r="D762" s="23"/>
    </row>
    <row r="763">
      <c r="D763" s="23"/>
    </row>
    <row r="764">
      <c r="D764" s="23"/>
    </row>
    <row r="765">
      <c r="D765" s="23"/>
    </row>
    <row r="766">
      <c r="D766" s="23"/>
    </row>
    <row r="767">
      <c r="D767" s="23"/>
    </row>
    <row r="768">
      <c r="D768" s="23"/>
    </row>
    <row r="769">
      <c r="D769" s="23"/>
    </row>
    <row r="770">
      <c r="D770" s="23"/>
    </row>
    <row r="771">
      <c r="D771" s="23"/>
    </row>
    <row r="772">
      <c r="D772" s="23"/>
    </row>
    <row r="773">
      <c r="D773" s="23"/>
    </row>
    <row r="774">
      <c r="D774" s="23"/>
    </row>
    <row r="775">
      <c r="D775" s="23"/>
    </row>
    <row r="776">
      <c r="D776" s="23"/>
    </row>
    <row r="777">
      <c r="D777" s="23"/>
    </row>
    <row r="778">
      <c r="D778" s="23"/>
    </row>
    <row r="779">
      <c r="D779" s="23"/>
    </row>
    <row r="780">
      <c r="D780" s="23"/>
    </row>
    <row r="781">
      <c r="D781" s="23"/>
    </row>
    <row r="782">
      <c r="D782" s="23"/>
    </row>
    <row r="783">
      <c r="D783" s="23"/>
    </row>
    <row r="784">
      <c r="D784" s="23"/>
    </row>
    <row r="785">
      <c r="D785" s="23"/>
    </row>
    <row r="786">
      <c r="D786" s="23"/>
    </row>
    <row r="787">
      <c r="D787" s="23"/>
    </row>
    <row r="788">
      <c r="D788" s="23"/>
    </row>
    <row r="789">
      <c r="D789" s="23"/>
    </row>
    <row r="790">
      <c r="D790" s="23"/>
    </row>
    <row r="791">
      <c r="D791" s="23"/>
    </row>
    <row r="792">
      <c r="D792" s="23"/>
    </row>
    <row r="793">
      <c r="D793" s="23"/>
    </row>
    <row r="794">
      <c r="D794" s="23"/>
    </row>
    <row r="795">
      <c r="D795" s="23"/>
    </row>
    <row r="796">
      <c r="D796" s="23"/>
    </row>
    <row r="797">
      <c r="D797" s="23"/>
    </row>
    <row r="798">
      <c r="D798" s="23"/>
    </row>
    <row r="799">
      <c r="D799" s="23"/>
    </row>
    <row r="800">
      <c r="D800" s="23"/>
    </row>
    <row r="801">
      <c r="D801" s="23"/>
    </row>
    <row r="802">
      <c r="D802" s="23"/>
    </row>
    <row r="803">
      <c r="D803" s="23"/>
    </row>
    <row r="804">
      <c r="D804" s="23"/>
    </row>
    <row r="805">
      <c r="D805" s="23"/>
    </row>
    <row r="806">
      <c r="D806" s="23"/>
    </row>
    <row r="807">
      <c r="D807" s="23"/>
    </row>
    <row r="808">
      <c r="D808" s="23"/>
    </row>
    <row r="809">
      <c r="D809" s="23"/>
    </row>
    <row r="810">
      <c r="D810" s="23"/>
    </row>
    <row r="811">
      <c r="D811" s="23"/>
    </row>
    <row r="812">
      <c r="D812" s="23"/>
    </row>
    <row r="813">
      <c r="D813" s="23"/>
    </row>
    <row r="814">
      <c r="D814" s="23"/>
    </row>
    <row r="815">
      <c r="D815" s="23"/>
    </row>
    <row r="816">
      <c r="D816" s="23"/>
    </row>
    <row r="817">
      <c r="D817" s="23"/>
    </row>
    <row r="818">
      <c r="D818" s="23"/>
    </row>
    <row r="819">
      <c r="D819" s="23"/>
    </row>
    <row r="820">
      <c r="D820" s="23"/>
    </row>
    <row r="821">
      <c r="D821" s="23"/>
    </row>
    <row r="822">
      <c r="D822" s="23"/>
    </row>
    <row r="823">
      <c r="D823" s="23"/>
    </row>
    <row r="824">
      <c r="D824" s="23"/>
    </row>
    <row r="825">
      <c r="D825" s="23"/>
    </row>
    <row r="826">
      <c r="D826" s="23"/>
    </row>
    <row r="827">
      <c r="D827" s="23"/>
    </row>
    <row r="828">
      <c r="D828" s="23"/>
    </row>
    <row r="829">
      <c r="D829" s="23"/>
    </row>
    <row r="830">
      <c r="D830" s="23"/>
    </row>
    <row r="831">
      <c r="D831" s="23"/>
    </row>
    <row r="832">
      <c r="D832" s="23"/>
    </row>
    <row r="833">
      <c r="D833" s="23"/>
    </row>
    <row r="834">
      <c r="D834" s="23"/>
    </row>
    <row r="835">
      <c r="D835" s="23"/>
    </row>
    <row r="836">
      <c r="D836" s="23"/>
    </row>
    <row r="837">
      <c r="D837" s="23"/>
    </row>
    <row r="838">
      <c r="D838" s="23"/>
    </row>
    <row r="839">
      <c r="D839" s="23"/>
    </row>
    <row r="840">
      <c r="D840" s="23"/>
    </row>
    <row r="841">
      <c r="D841" s="23"/>
    </row>
    <row r="842">
      <c r="D842" s="23"/>
    </row>
    <row r="843">
      <c r="D843" s="23"/>
    </row>
    <row r="844">
      <c r="D844" s="23"/>
    </row>
    <row r="845">
      <c r="D845" s="23"/>
    </row>
    <row r="846">
      <c r="D846" s="23"/>
    </row>
    <row r="847">
      <c r="D847" s="23"/>
    </row>
    <row r="848">
      <c r="D848" s="23"/>
    </row>
    <row r="849">
      <c r="D849" s="23"/>
    </row>
    <row r="850">
      <c r="D850" s="23"/>
    </row>
    <row r="851">
      <c r="D851" s="23"/>
    </row>
    <row r="852">
      <c r="D852" s="23"/>
    </row>
    <row r="853">
      <c r="D853" s="23"/>
    </row>
    <row r="854">
      <c r="D854" s="23"/>
    </row>
    <row r="855">
      <c r="D855" s="23"/>
    </row>
    <row r="856">
      <c r="D856" s="23"/>
    </row>
    <row r="857">
      <c r="D857" s="23"/>
    </row>
    <row r="858">
      <c r="D858" s="23"/>
    </row>
    <row r="859">
      <c r="D859" s="23"/>
    </row>
    <row r="860">
      <c r="D860" s="23"/>
    </row>
    <row r="861">
      <c r="D861" s="23"/>
    </row>
    <row r="862">
      <c r="D862" s="23"/>
    </row>
    <row r="863">
      <c r="D863" s="23"/>
    </row>
    <row r="864">
      <c r="D864" s="23"/>
    </row>
    <row r="865">
      <c r="D865" s="23"/>
    </row>
    <row r="866">
      <c r="D866" s="23"/>
    </row>
    <row r="867">
      <c r="D867" s="23"/>
    </row>
    <row r="868">
      <c r="D868" s="23"/>
    </row>
    <row r="869">
      <c r="D869" s="23"/>
    </row>
    <row r="870">
      <c r="D870" s="23"/>
    </row>
    <row r="871">
      <c r="D871" s="23"/>
    </row>
    <row r="872">
      <c r="D872" s="23"/>
    </row>
    <row r="873">
      <c r="D873" s="23"/>
    </row>
    <row r="874">
      <c r="D874" s="23"/>
    </row>
    <row r="875">
      <c r="D875" s="23"/>
    </row>
    <row r="876">
      <c r="D876" s="23"/>
    </row>
    <row r="877">
      <c r="D877" s="23"/>
    </row>
    <row r="878">
      <c r="D878" s="23"/>
    </row>
    <row r="879">
      <c r="D879" s="23"/>
    </row>
    <row r="880">
      <c r="D880" s="23"/>
    </row>
    <row r="881">
      <c r="D881" s="23"/>
    </row>
    <row r="882">
      <c r="D882" s="23"/>
    </row>
    <row r="883">
      <c r="D883" s="23"/>
    </row>
    <row r="884">
      <c r="D884" s="23"/>
    </row>
    <row r="885">
      <c r="D885" s="23"/>
    </row>
    <row r="886">
      <c r="D886" s="23"/>
    </row>
    <row r="887">
      <c r="D887" s="23"/>
    </row>
    <row r="888">
      <c r="D888" s="23"/>
    </row>
    <row r="889">
      <c r="D889" s="23"/>
    </row>
    <row r="890">
      <c r="D890" s="23"/>
    </row>
    <row r="891">
      <c r="D891" s="23"/>
    </row>
    <row r="892">
      <c r="D892" s="23"/>
    </row>
    <row r="893">
      <c r="D893" s="23"/>
    </row>
    <row r="894">
      <c r="D894" s="23"/>
    </row>
    <row r="895">
      <c r="D895" s="23"/>
    </row>
    <row r="896">
      <c r="D896" s="23"/>
    </row>
    <row r="897">
      <c r="D897" s="23"/>
    </row>
    <row r="898">
      <c r="D898" s="23"/>
    </row>
    <row r="899">
      <c r="D899" s="23"/>
    </row>
    <row r="900">
      <c r="D900" s="23"/>
    </row>
    <row r="901">
      <c r="D901" s="23"/>
    </row>
    <row r="902">
      <c r="D902" s="23"/>
    </row>
    <row r="903">
      <c r="D903" s="23"/>
    </row>
    <row r="904">
      <c r="D904" s="23"/>
    </row>
    <row r="905">
      <c r="D905" s="23"/>
    </row>
    <row r="906">
      <c r="D906" s="23"/>
    </row>
    <row r="907">
      <c r="D907" s="23"/>
    </row>
    <row r="908">
      <c r="D908" s="23"/>
    </row>
    <row r="909">
      <c r="D909" s="23"/>
    </row>
    <row r="910">
      <c r="D910" s="23"/>
    </row>
    <row r="911">
      <c r="D911" s="23"/>
    </row>
    <row r="912">
      <c r="D912" s="23"/>
    </row>
    <row r="913">
      <c r="D913" s="23"/>
    </row>
    <row r="914">
      <c r="D914" s="23"/>
    </row>
    <row r="915">
      <c r="D915" s="23"/>
    </row>
    <row r="916">
      <c r="D916" s="23"/>
    </row>
    <row r="917">
      <c r="D917" s="23"/>
    </row>
    <row r="918">
      <c r="D918" s="23"/>
    </row>
    <row r="919">
      <c r="D919" s="23"/>
    </row>
    <row r="920">
      <c r="D920" s="23"/>
    </row>
    <row r="921">
      <c r="D921" s="23"/>
    </row>
    <row r="922">
      <c r="D922" s="23"/>
    </row>
    <row r="923">
      <c r="D923" s="23"/>
    </row>
    <row r="924">
      <c r="D924" s="23"/>
    </row>
    <row r="925">
      <c r="D925" s="23"/>
    </row>
    <row r="926">
      <c r="D926" s="23"/>
    </row>
    <row r="927">
      <c r="D927" s="23"/>
    </row>
    <row r="928">
      <c r="D928" s="23"/>
    </row>
    <row r="929">
      <c r="D929" s="23"/>
    </row>
    <row r="930">
      <c r="D930" s="23"/>
    </row>
    <row r="931">
      <c r="D931" s="23"/>
    </row>
    <row r="932">
      <c r="D932" s="23"/>
    </row>
    <row r="933">
      <c r="D933" s="23"/>
    </row>
    <row r="934">
      <c r="D934" s="23"/>
    </row>
    <row r="935">
      <c r="D935" s="23"/>
    </row>
    <row r="936">
      <c r="D936" s="23"/>
    </row>
    <row r="937">
      <c r="D937" s="23"/>
    </row>
    <row r="938">
      <c r="D938" s="23"/>
    </row>
    <row r="939">
      <c r="D939" s="23"/>
    </row>
    <row r="940">
      <c r="D940" s="23"/>
    </row>
    <row r="941">
      <c r="D941" s="23"/>
    </row>
    <row r="942">
      <c r="D942" s="23"/>
    </row>
    <row r="943">
      <c r="D943" s="23"/>
    </row>
    <row r="944">
      <c r="D944" s="23"/>
    </row>
    <row r="945">
      <c r="D945" s="23"/>
    </row>
    <row r="946">
      <c r="D946" s="23"/>
    </row>
    <row r="947">
      <c r="D947" s="23"/>
    </row>
    <row r="948">
      <c r="D948" s="23"/>
    </row>
    <row r="949">
      <c r="D949" s="23"/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2" t="s">
        <v>609</v>
      </c>
    </row>
    <row r="2">
      <c r="A2" s="22" t="s">
        <v>610</v>
      </c>
    </row>
    <row r="3">
      <c r="A3" s="22" t="s">
        <v>620</v>
      </c>
    </row>
    <row r="4">
      <c r="A4" s="22" t="s">
        <v>583</v>
      </c>
    </row>
    <row r="5">
      <c r="A5" s="22" t="s">
        <v>601</v>
      </c>
    </row>
    <row r="6">
      <c r="A6" s="22" t="s">
        <v>573</v>
      </c>
    </row>
    <row r="7">
      <c r="A7" s="22" t="s">
        <v>558</v>
      </c>
    </row>
    <row r="8">
      <c r="A8" s="22" t="s">
        <v>617</v>
      </c>
    </row>
    <row r="9">
      <c r="A9" s="22" t="s">
        <v>579</v>
      </c>
    </row>
    <row r="10">
      <c r="A10" s="22" t="s">
        <v>612</v>
      </c>
    </row>
    <row r="11">
      <c r="A11" s="22" t="s">
        <v>606</v>
      </c>
    </row>
    <row r="12">
      <c r="A12" s="22" t="s">
        <v>636</v>
      </c>
    </row>
    <row r="13">
      <c r="A13" s="22" t="s">
        <v>594</v>
      </c>
    </row>
    <row r="14">
      <c r="A14" s="22" t="s">
        <v>639</v>
      </c>
    </row>
    <row r="15">
      <c r="A15" s="22" t="s">
        <v>615</v>
      </c>
    </row>
    <row r="16">
      <c r="A16" s="22" t="s">
        <v>560</v>
      </c>
    </row>
    <row r="17">
      <c r="A17" s="22" t="s">
        <v>562</v>
      </c>
    </row>
    <row r="18">
      <c r="A18" s="22" t="s">
        <v>638</v>
      </c>
    </row>
    <row r="19">
      <c r="A19" s="22" t="s">
        <v>585</v>
      </c>
    </row>
    <row r="20">
      <c r="A20" s="22" t="s">
        <v>569</v>
      </c>
    </row>
    <row r="21">
      <c r="A21" s="22" t="s">
        <v>643</v>
      </c>
    </row>
    <row r="22">
      <c r="A22" s="22" t="s">
        <v>597</v>
      </c>
    </row>
    <row r="23">
      <c r="A23" s="22" t="s">
        <v>587</v>
      </c>
    </row>
    <row r="24">
      <c r="A24" s="22" t="s">
        <v>590</v>
      </c>
    </row>
    <row r="25">
      <c r="A25" s="22" t="s">
        <v>623</v>
      </c>
    </row>
    <row r="26">
      <c r="A26" s="22" t="s">
        <v>630</v>
      </c>
    </row>
    <row r="27">
      <c r="A27" s="22" t="s">
        <v>634</v>
      </c>
    </row>
    <row r="28">
      <c r="A28" s="22" t="s">
        <v>642</v>
      </c>
    </row>
    <row r="29">
      <c r="A29" s="22" t="s">
        <v>576</v>
      </c>
    </row>
    <row r="30">
      <c r="A30" s="22" t="s">
        <v>624</v>
      </c>
    </row>
    <row r="31">
      <c r="A31" s="22" t="s">
        <v>595</v>
      </c>
    </row>
    <row r="32">
      <c r="A32" s="22" t="s">
        <v>633</v>
      </c>
    </row>
    <row r="33">
      <c r="A33" s="22" t="s">
        <v>599</v>
      </c>
    </row>
    <row r="34">
      <c r="A34" s="22" t="s">
        <v>621</v>
      </c>
    </row>
    <row r="35">
      <c r="A35" s="22" t="s">
        <v>584</v>
      </c>
    </row>
    <row r="36">
      <c r="A36" s="22" t="s">
        <v>611</v>
      </c>
    </row>
    <row r="37">
      <c r="A37" s="22" t="s">
        <v>586</v>
      </c>
    </row>
    <row r="38">
      <c r="A38" s="22" t="s">
        <v>627</v>
      </c>
    </row>
    <row r="39">
      <c r="A39" s="22" t="s">
        <v>591</v>
      </c>
    </row>
    <row r="40">
      <c r="A40" s="22" t="s">
        <v>600</v>
      </c>
    </row>
    <row r="41">
      <c r="A41" s="22" t="s">
        <v>565</v>
      </c>
    </row>
    <row r="42">
      <c r="A42" s="22" t="s">
        <v>578</v>
      </c>
    </row>
    <row r="43">
      <c r="A43" s="22" t="s">
        <v>613</v>
      </c>
    </row>
    <row r="44">
      <c r="A44" s="22" t="s">
        <v>618</v>
      </c>
    </row>
    <row r="45">
      <c r="A45" s="22" t="s">
        <v>614</v>
      </c>
    </row>
    <row r="46">
      <c r="A46" s="22" t="s">
        <v>625</v>
      </c>
    </row>
    <row r="47">
      <c r="A47" s="22" t="s">
        <v>575</v>
      </c>
    </row>
    <row r="48">
      <c r="A48" s="22" t="s">
        <v>571</v>
      </c>
    </row>
    <row r="49">
      <c r="A49" s="22" t="s">
        <v>593</v>
      </c>
    </row>
    <row r="50">
      <c r="A50" s="22" t="s">
        <v>616</v>
      </c>
    </row>
    <row r="51">
      <c r="A51" s="22" t="s">
        <v>574</v>
      </c>
    </row>
    <row r="52">
      <c r="A52" s="22" t="s">
        <v>628</v>
      </c>
    </row>
    <row r="53">
      <c r="A53" s="22" t="s">
        <v>566</v>
      </c>
    </row>
    <row r="54">
      <c r="A54" s="22" t="s">
        <v>572</v>
      </c>
    </row>
    <row r="55">
      <c r="A55" s="22" t="s">
        <v>582</v>
      </c>
    </row>
    <row r="56">
      <c r="A56" s="22" t="s">
        <v>603</v>
      </c>
    </row>
    <row r="57">
      <c r="A57" s="22" t="s">
        <v>581</v>
      </c>
    </row>
    <row r="58">
      <c r="A58" s="22" t="s">
        <v>631</v>
      </c>
    </row>
    <row r="59">
      <c r="A59" s="22" t="s">
        <v>607</v>
      </c>
    </row>
    <row r="60">
      <c r="A60" s="22" t="s">
        <v>604</v>
      </c>
    </row>
    <row r="61">
      <c r="A61" s="22" t="s">
        <v>635</v>
      </c>
    </row>
    <row r="62">
      <c r="A62" s="22" t="s">
        <v>637</v>
      </c>
    </row>
    <row r="63">
      <c r="A63" s="22" t="s">
        <v>640</v>
      </c>
    </row>
    <row r="64">
      <c r="A64" s="22" t="s">
        <v>580</v>
      </c>
    </row>
    <row r="65">
      <c r="A65" s="22" t="s">
        <v>596</v>
      </c>
    </row>
    <row r="66">
      <c r="A66" s="22" t="s">
        <v>622</v>
      </c>
    </row>
    <row r="67">
      <c r="A67" s="22" t="s">
        <v>568</v>
      </c>
    </row>
    <row r="68">
      <c r="A68" s="22" t="s">
        <v>632</v>
      </c>
    </row>
    <row r="69">
      <c r="A69" s="22" t="s">
        <v>608</v>
      </c>
    </row>
    <row r="70">
      <c r="A70" s="22" t="s">
        <v>626</v>
      </c>
    </row>
    <row r="71">
      <c r="A71" s="22" t="s">
        <v>577</v>
      </c>
    </row>
    <row r="72">
      <c r="A72" s="22" t="s">
        <v>563</v>
      </c>
    </row>
    <row r="73">
      <c r="A73" s="22" t="s">
        <v>641</v>
      </c>
    </row>
    <row r="74">
      <c r="A74" s="22" t="s">
        <v>644</v>
      </c>
    </row>
    <row r="75">
      <c r="A75" s="22" t="s">
        <v>570</v>
      </c>
    </row>
    <row r="76">
      <c r="A76" s="22" t="s">
        <v>588</v>
      </c>
    </row>
    <row r="77">
      <c r="A77" s="22" t="s">
        <v>605</v>
      </c>
    </row>
    <row r="78">
      <c r="A78" s="22" t="s">
        <v>589</v>
      </c>
    </row>
    <row r="79">
      <c r="A79" s="22" t="s">
        <v>598</v>
      </c>
    </row>
    <row r="80">
      <c r="A80" s="22" t="s">
        <v>602</v>
      </c>
    </row>
    <row r="81">
      <c r="A81" s="22" t="s">
        <v>629</v>
      </c>
    </row>
    <row r="82">
      <c r="A82" s="22" t="s">
        <v>592</v>
      </c>
    </row>
    <row r="83">
      <c r="A83" s="22" t="s">
        <v>619</v>
      </c>
    </row>
    <row r="84">
      <c r="A84" s="22" t="s">
        <v>158</v>
      </c>
    </row>
    <row r="85">
      <c r="A85" s="22" t="s">
        <v>452</v>
      </c>
    </row>
    <row r="86">
      <c r="A86" s="22" t="s">
        <v>115</v>
      </c>
    </row>
    <row r="87">
      <c r="A87" s="22" t="s">
        <v>56</v>
      </c>
    </row>
    <row r="88">
      <c r="A88" s="22" t="s">
        <v>433</v>
      </c>
    </row>
    <row r="89">
      <c r="A89" s="22" t="s">
        <v>494</v>
      </c>
    </row>
    <row r="90">
      <c r="A90" s="22" t="s">
        <v>472</v>
      </c>
    </row>
    <row r="91">
      <c r="A91" s="22" t="s">
        <v>444</v>
      </c>
    </row>
    <row r="92">
      <c r="A92" s="22" t="s">
        <v>510</v>
      </c>
    </row>
    <row r="93">
      <c r="A93" s="22" t="s">
        <v>246</v>
      </c>
    </row>
    <row r="94">
      <c r="A94" s="22" t="s">
        <v>116</v>
      </c>
    </row>
    <row r="95">
      <c r="A95" s="22" t="s">
        <v>487</v>
      </c>
    </row>
    <row r="96">
      <c r="A96" s="22" t="s">
        <v>435</v>
      </c>
    </row>
    <row r="97">
      <c r="A97" s="22" t="s">
        <v>139</v>
      </c>
    </row>
    <row r="98">
      <c r="A98" s="22" t="s">
        <v>219</v>
      </c>
    </row>
    <row r="99">
      <c r="A99" s="22" t="s">
        <v>466</v>
      </c>
    </row>
    <row r="100">
      <c r="A100" s="22" t="s">
        <v>287</v>
      </c>
    </row>
    <row r="101">
      <c r="A101" s="22" t="s">
        <v>107</v>
      </c>
    </row>
    <row r="102">
      <c r="A102" s="22" t="s">
        <v>469</v>
      </c>
    </row>
    <row r="103">
      <c r="A103" s="22" t="s">
        <v>440</v>
      </c>
    </row>
    <row r="104">
      <c r="A104" s="22" t="s">
        <v>477</v>
      </c>
    </row>
    <row r="105">
      <c r="A105" s="22" t="s">
        <v>439</v>
      </c>
    </row>
    <row r="106">
      <c r="A106" s="22" t="s">
        <v>117</v>
      </c>
    </row>
    <row r="107">
      <c r="A107" s="22" t="s">
        <v>468</v>
      </c>
    </row>
    <row r="108">
      <c r="A108" s="22" t="s">
        <v>114</v>
      </c>
    </row>
    <row r="109">
      <c r="A109" s="22" t="s">
        <v>474</v>
      </c>
    </row>
    <row r="110">
      <c r="A110" s="22" t="s">
        <v>106</v>
      </c>
    </row>
    <row r="111">
      <c r="A111" s="22" t="s">
        <v>206</v>
      </c>
    </row>
    <row r="112">
      <c r="A112" s="22" t="s">
        <v>479</v>
      </c>
    </row>
    <row r="113">
      <c r="A113" s="22" t="s">
        <v>447</v>
      </c>
    </row>
    <row r="114">
      <c r="A114" s="22" t="s">
        <v>34</v>
      </c>
    </row>
    <row r="115">
      <c r="A115" s="22" t="s">
        <v>152</v>
      </c>
    </row>
    <row r="116">
      <c r="A116" s="22" t="s">
        <v>229</v>
      </c>
    </row>
    <row r="117">
      <c r="A117" s="22" t="s">
        <v>480</v>
      </c>
    </row>
    <row r="118">
      <c r="A118" s="22" t="s">
        <v>455</v>
      </c>
    </row>
    <row r="119">
      <c r="A119" s="22" t="s">
        <v>183</v>
      </c>
    </row>
    <row r="120">
      <c r="A120" s="22" t="s">
        <v>102</v>
      </c>
    </row>
    <row r="121">
      <c r="A121" s="22" t="s">
        <v>125</v>
      </c>
    </row>
    <row r="122">
      <c r="A122" s="22" t="s">
        <v>121</v>
      </c>
    </row>
    <row r="123">
      <c r="A123" s="22" t="s">
        <v>220</v>
      </c>
    </row>
    <row r="124">
      <c r="A124" s="22" t="s">
        <v>481</v>
      </c>
    </row>
    <row r="125">
      <c r="A125" s="22" t="s">
        <v>445</v>
      </c>
    </row>
    <row r="126">
      <c r="A126" s="22" t="s">
        <v>231</v>
      </c>
    </row>
    <row r="127">
      <c r="A127" s="22" t="s">
        <v>103</v>
      </c>
    </row>
    <row r="128">
      <c r="A128" s="22" t="s">
        <v>434</v>
      </c>
    </row>
    <row r="129">
      <c r="A129" s="22" t="s">
        <v>430</v>
      </c>
    </row>
    <row r="130">
      <c r="A130" s="22" t="s">
        <v>495</v>
      </c>
    </row>
    <row r="131">
      <c r="A131" s="22" t="s">
        <v>128</v>
      </c>
    </row>
    <row r="132">
      <c r="A132" s="22" t="s">
        <v>120</v>
      </c>
    </row>
    <row r="133">
      <c r="A133" s="22" t="s">
        <v>255</v>
      </c>
    </row>
    <row r="134">
      <c r="A134" s="22" t="s">
        <v>256</v>
      </c>
    </row>
    <row r="135">
      <c r="A135" s="22" t="s">
        <v>191</v>
      </c>
    </row>
    <row r="136">
      <c r="A136" s="22" t="s">
        <v>486</v>
      </c>
    </row>
    <row r="137">
      <c r="A137" s="22" t="s">
        <v>462</v>
      </c>
    </row>
    <row r="138">
      <c r="A138" s="22" t="s">
        <v>161</v>
      </c>
    </row>
    <row r="139">
      <c r="A139" s="22" t="s">
        <v>123</v>
      </c>
    </row>
    <row r="140">
      <c r="A140" s="22" t="s">
        <v>441</v>
      </c>
    </row>
    <row r="141">
      <c r="A141" s="22" t="s">
        <v>135</v>
      </c>
    </row>
    <row r="142">
      <c r="A142" s="22" t="s">
        <v>464</v>
      </c>
    </row>
    <row r="143">
      <c r="A143" s="22" t="s">
        <v>491</v>
      </c>
    </row>
    <row r="144">
      <c r="A144" s="22" t="s">
        <v>253</v>
      </c>
    </row>
    <row r="145">
      <c r="A145" s="22" t="s">
        <v>451</v>
      </c>
    </row>
    <row r="146">
      <c r="A146" s="22" t="s">
        <v>456</v>
      </c>
    </row>
    <row r="147">
      <c r="A147" s="22" t="s">
        <v>118</v>
      </c>
    </row>
    <row r="148">
      <c r="A148" s="22" t="s">
        <v>436</v>
      </c>
    </row>
    <row r="149">
      <c r="A149" s="22" t="s">
        <v>483</v>
      </c>
    </row>
    <row r="150">
      <c r="A150" s="22" t="s">
        <v>488</v>
      </c>
    </row>
    <row r="151">
      <c r="A151" s="22" t="s">
        <v>437</v>
      </c>
    </row>
    <row r="152">
      <c r="A152" s="22" t="s">
        <v>13</v>
      </c>
    </row>
    <row r="153">
      <c r="A153" s="22" t="s">
        <v>137</v>
      </c>
    </row>
    <row r="154">
      <c r="A154" s="22" t="s">
        <v>101</v>
      </c>
    </row>
    <row r="155">
      <c r="A155" s="22" t="s">
        <v>108</v>
      </c>
    </row>
    <row r="156">
      <c r="A156" s="22" t="s">
        <v>470</v>
      </c>
    </row>
    <row r="157">
      <c r="A157" s="22" t="s">
        <v>105</v>
      </c>
    </row>
    <row r="158">
      <c r="A158" s="22" t="s">
        <v>210</v>
      </c>
    </row>
    <row r="159">
      <c r="A159" s="22" t="s">
        <v>119</v>
      </c>
    </row>
    <row r="160">
      <c r="A160" s="22" t="s">
        <v>230</v>
      </c>
    </row>
    <row r="161">
      <c r="A161" s="22" t="s">
        <v>233</v>
      </c>
    </row>
    <row r="162">
      <c r="A162" s="22" t="s">
        <v>259</v>
      </c>
    </row>
    <row r="163">
      <c r="A163" s="22" t="s">
        <v>236</v>
      </c>
    </row>
    <row r="164">
      <c r="A164" s="22" t="s">
        <v>476</v>
      </c>
    </row>
    <row r="165">
      <c r="A165" s="22" t="s">
        <v>453</v>
      </c>
    </row>
    <row r="166">
      <c r="A166" s="22" t="s">
        <v>471</v>
      </c>
    </row>
    <row r="167">
      <c r="A167" s="22" t="s">
        <v>449</v>
      </c>
    </row>
    <row r="168">
      <c r="A168" s="22" t="s">
        <v>467</v>
      </c>
    </row>
    <row r="169">
      <c r="A169" s="22" t="s">
        <v>432</v>
      </c>
    </row>
    <row r="170">
      <c r="A170" s="22" t="s">
        <v>188</v>
      </c>
    </row>
    <row r="171">
      <c r="A171" s="22" t="s">
        <v>235</v>
      </c>
    </row>
    <row r="172">
      <c r="A172" s="22" t="s">
        <v>214</v>
      </c>
    </row>
    <row r="173">
      <c r="A173" s="22" t="s">
        <v>460</v>
      </c>
    </row>
    <row r="174">
      <c r="A174" s="22" t="s">
        <v>111</v>
      </c>
    </row>
    <row r="175">
      <c r="A175" s="22" t="s">
        <v>165</v>
      </c>
    </row>
    <row r="176">
      <c r="A176" s="22" t="s">
        <v>110</v>
      </c>
    </row>
    <row r="177">
      <c r="A177" s="22" t="s">
        <v>10</v>
      </c>
    </row>
    <row r="178">
      <c r="A178" s="22" t="s">
        <v>95</v>
      </c>
    </row>
    <row r="179">
      <c r="A179" s="22" t="s">
        <v>443</v>
      </c>
    </row>
    <row r="180">
      <c r="A180" s="22" t="s">
        <v>473</v>
      </c>
    </row>
    <row r="181">
      <c r="A181" s="22" t="s">
        <v>238</v>
      </c>
    </row>
    <row r="182">
      <c r="A182" s="22" t="s">
        <v>182</v>
      </c>
    </row>
    <row r="183">
      <c r="A183" s="22" t="s">
        <v>354</v>
      </c>
    </row>
    <row r="184">
      <c r="A184" s="22" t="s">
        <v>465</v>
      </c>
    </row>
    <row r="185">
      <c r="A185" s="22" t="s">
        <v>490</v>
      </c>
    </row>
    <row r="186">
      <c r="A186" s="22" t="s">
        <v>438</v>
      </c>
    </row>
    <row r="187">
      <c r="A187" s="22" t="s">
        <v>30</v>
      </c>
    </row>
    <row r="188">
      <c r="A188" s="22" t="s">
        <v>156</v>
      </c>
    </row>
    <row r="189">
      <c r="A189" s="22" t="s">
        <v>263</v>
      </c>
    </row>
    <row r="190">
      <c r="A190" s="22" t="s">
        <v>151</v>
      </c>
    </row>
    <row r="191">
      <c r="A191" s="22" t="s">
        <v>493</v>
      </c>
    </row>
    <row r="192">
      <c r="A192" s="22" t="s">
        <v>147</v>
      </c>
    </row>
    <row r="193">
      <c r="A193" s="22" t="s">
        <v>485</v>
      </c>
    </row>
    <row r="194">
      <c r="A194" s="22" t="s">
        <v>454</v>
      </c>
    </row>
    <row r="195">
      <c r="A195" s="22" t="s">
        <v>463</v>
      </c>
    </row>
    <row r="196">
      <c r="A196" s="22" t="s">
        <v>482</v>
      </c>
    </row>
    <row r="197">
      <c r="A197" s="22" t="s">
        <v>457</v>
      </c>
    </row>
    <row r="198">
      <c r="A198" s="22" t="s">
        <v>104</v>
      </c>
    </row>
    <row r="199">
      <c r="A199" s="22" t="s">
        <v>133</v>
      </c>
    </row>
    <row r="200">
      <c r="A200" s="22" t="s">
        <v>458</v>
      </c>
    </row>
    <row r="201">
      <c r="A201" s="22" t="s">
        <v>21</v>
      </c>
    </row>
    <row r="202">
      <c r="A202" s="22" t="s">
        <v>8</v>
      </c>
    </row>
    <row r="203">
      <c r="A203" s="22" t="s">
        <v>241</v>
      </c>
    </row>
    <row r="204">
      <c r="A204" s="22" t="s">
        <v>478</v>
      </c>
    </row>
    <row r="205">
      <c r="A205" s="22" t="s">
        <v>112</v>
      </c>
    </row>
    <row r="206">
      <c r="A206" s="22" t="s">
        <v>450</v>
      </c>
    </row>
    <row r="207">
      <c r="A207" s="22" t="s">
        <v>113</v>
      </c>
    </row>
    <row r="208">
      <c r="A208" s="22" t="s">
        <v>431</v>
      </c>
    </row>
    <row r="209">
      <c r="A209" s="22" t="s">
        <v>484</v>
      </c>
    </row>
    <row r="210">
      <c r="A210" s="22" t="s">
        <v>126</v>
      </c>
    </row>
    <row r="211">
      <c r="A211" s="22" t="s">
        <v>244</v>
      </c>
    </row>
    <row r="212">
      <c r="A212" s="22" t="s">
        <v>459</v>
      </c>
    </row>
    <row r="213">
      <c r="A213" s="22" t="s">
        <v>109</v>
      </c>
    </row>
    <row r="214">
      <c r="A214" s="22" t="s">
        <v>442</v>
      </c>
    </row>
    <row r="215">
      <c r="A215" s="22" t="s">
        <v>461</v>
      </c>
    </row>
    <row r="216">
      <c r="A216" s="22" t="s">
        <v>489</v>
      </c>
    </row>
    <row r="217">
      <c r="A217" s="22" t="s">
        <v>124</v>
      </c>
    </row>
    <row r="218">
      <c r="A218" s="22" t="s">
        <v>446</v>
      </c>
    </row>
    <row r="219">
      <c r="A219" s="22" t="s">
        <v>258</v>
      </c>
    </row>
    <row r="220">
      <c r="A220" s="22" t="s">
        <v>475</v>
      </c>
    </row>
    <row r="221">
      <c r="A221" s="22" t="s">
        <v>257</v>
      </c>
    </row>
    <row r="222">
      <c r="A222" s="22" t="s">
        <v>252</v>
      </c>
    </row>
    <row r="223">
      <c r="A223" s="22" t="s">
        <v>93</v>
      </c>
    </row>
    <row r="224">
      <c r="A224" s="22" t="s">
        <v>155</v>
      </c>
    </row>
    <row r="225">
      <c r="A225" s="22" t="s">
        <v>492</v>
      </c>
    </row>
    <row r="226">
      <c r="A226" s="22" t="s">
        <v>448</v>
      </c>
    </row>
    <row r="227">
      <c r="A227" s="22" t="s">
        <v>122</v>
      </c>
    </row>
    <row r="228">
      <c r="A228" s="22" t="s">
        <v>216</v>
      </c>
    </row>
    <row r="229">
      <c r="A229" s="22" t="s">
        <v>217</v>
      </c>
    </row>
    <row r="230">
      <c r="A230" s="22" t="s">
        <v>176</v>
      </c>
    </row>
    <row r="231">
      <c r="A231" s="22" t="s">
        <v>337</v>
      </c>
    </row>
    <row r="232">
      <c r="A232" s="22" t="s">
        <v>205</v>
      </c>
    </row>
    <row r="233">
      <c r="A233" s="22" t="s">
        <v>138</v>
      </c>
    </row>
    <row r="234">
      <c r="A234" s="22" t="s">
        <v>164</v>
      </c>
    </row>
    <row r="235">
      <c r="A235" s="22" t="s">
        <v>37</v>
      </c>
    </row>
    <row r="236">
      <c r="A236" s="22" t="s">
        <v>218</v>
      </c>
    </row>
    <row r="237">
      <c r="A237" s="22" t="s">
        <v>166</v>
      </c>
    </row>
    <row r="238">
      <c r="A238" s="22" t="s">
        <v>23</v>
      </c>
    </row>
    <row r="239">
      <c r="A239" s="22" t="s">
        <v>178</v>
      </c>
    </row>
    <row r="240">
      <c r="A240" s="22" t="s">
        <v>240</v>
      </c>
    </row>
    <row r="241">
      <c r="A241" s="22" t="s">
        <v>227</v>
      </c>
    </row>
    <row r="242">
      <c r="A242" s="22" t="s">
        <v>162</v>
      </c>
    </row>
    <row r="243">
      <c r="A243" s="22" t="s">
        <v>185</v>
      </c>
    </row>
    <row r="244">
      <c r="A244" s="22" t="s">
        <v>186</v>
      </c>
    </row>
    <row r="245">
      <c r="A245" s="22" t="s">
        <v>203</v>
      </c>
    </row>
    <row r="246">
      <c r="A246" s="22" t="s">
        <v>18</v>
      </c>
    </row>
    <row r="247">
      <c r="A247" s="22" t="s">
        <v>223</v>
      </c>
    </row>
    <row r="248">
      <c r="A248" s="22" t="s">
        <v>200</v>
      </c>
    </row>
    <row r="249">
      <c r="A249" s="22" t="s">
        <v>248</v>
      </c>
    </row>
    <row r="250">
      <c r="A250" s="22" t="s">
        <v>234</v>
      </c>
    </row>
    <row r="251">
      <c r="A251" s="22" t="s">
        <v>237</v>
      </c>
    </row>
    <row r="252">
      <c r="A252" s="22" t="s">
        <v>260</v>
      </c>
    </row>
    <row r="253">
      <c r="A253" s="22" t="s">
        <v>167</v>
      </c>
    </row>
    <row r="254">
      <c r="A254" s="22" t="s">
        <v>177</v>
      </c>
    </row>
    <row r="255">
      <c r="A255" s="22" t="s">
        <v>273</v>
      </c>
    </row>
    <row r="256">
      <c r="A256" s="22" t="s">
        <v>286</v>
      </c>
    </row>
    <row r="257">
      <c r="A257" s="22" t="s">
        <v>280</v>
      </c>
    </row>
    <row r="258">
      <c r="A258" s="22" t="s">
        <v>212</v>
      </c>
    </row>
    <row r="259">
      <c r="A259" s="22" t="s">
        <v>168</v>
      </c>
    </row>
    <row r="260">
      <c r="A260" s="22" t="s">
        <v>163</v>
      </c>
    </row>
    <row r="261">
      <c r="A261" s="22" t="s">
        <v>225</v>
      </c>
    </row>
    <row r="262">
      <c r="A262" s="22" t="s">
        <v>228</v>
      </c>
    </row>
    <row r="263">
      <c r="A263" s="22" t="s">
        <v>86</v>
      </c>
    </row>
    <row r="264">
      <c r="A264" s="22" t="s">
        <v>192</v>
      </c>
    </row>
    <row r="265">
      <c r="A265" s="22" t="s">
        <v>195</v>
      </c>
    </row>
    <row r="266">
      <c r="A266" s="22" t="s">
        <v>140</v>
      </c>
    </row>
    <row r="267">
      <c r="A267" s="22" t="s">
        <v>275</v>
      </c>
    </row>
    <row r="268">
      <c r="A268" s="22" t="s">
        <v>94</v>
      </c>
    </row>
    <row r="269">
      <c r="A269" s="22" t="s">
        <v>171</v>
      </c>
    </row>
    <row r="270">
      <c r="A270" s="22" t="s">
        <v>266</v>
      </c>
    </row>
    <row r="271">
      <c r="A271" s="22" t="s">
        <v>232</v>
      </c>
    </row>
    <row r="272">
      <c r="A272" s="22" t="s">
        <v>307</v>
      </c>
    </row>
    <row r="273">
      <c r="A273" s="22" t="s">
        <v>172</v>
      </c>
    </row>
    <row r="274">
      <c r="A274" s="22" t="s">
        <v>243</v>
      </c>
    </row>
    <row r="275">
      <c r="A275" s="22" t="s">
        <v>239</v>
      </c>
    </row>
    <row r="276">
      <c r="A276" s="22" t="s">
        <v>271</v>
      </c>
    </row>
    <row r="277">
      <c r="A277" s="22" t="s">
        <v>170</v>
      </c>
    </row>
    <row r="278">
      <c r="A278" s="22" t="s">
        <v>224</v>
      </c>
    </row>
    <row r="279">
      <c r="A279" s="22" t="s">
        <v>149</v>
      </c>
    </row>
    <row r="280">
      <c r="A280" s="22" t="s">
        <v>24</v>
      </c>
    </row>
    <row r="281">
      <c r="A281" s="22" t="s">
        <v>272</v>
      </c>
    </row>
    <row r="282">
      <c r="A282" s="22" t="s">
        <v>38</v>
      </c>
    </row>
    <row r="283">
      <c r="A283" s="22" t="s">
        <v>154</v>
      </c>
    </row>
    <row r="284">
      <c r="A284" s="22" t="s">
        <v>29</v>
      </c>
    </row>
    <row r="285">
      <c r="A285" s="22" t="s">
        <v>15</v>
      </c>
    </row>
    <row r="286">
      <c r="A286" s="22" t="s">
        <v>187</v>
      </c>
    </row>
    <row r="287">
      <c r="A287" s="22" t="s">
        <v>274</v>
      </c>
    </row>
    <row r="288">
      <c r="A288" s="22" t="s">
        <v>211</v>
      </c>
    </row>
    <row r="289">
      <c r="A289" s="22" t="s">
        <v>142</v>
      </c>
    </row>
    <row r="290">
      <c r="A290" s="22" t="s">
        <v>270</v>
      </c>
    </row>
    <row r="291">
      <c r="A291" s="22" t="s">
        <v>208</v>
      </c>
    </row>
    <row r="292">
      <c r="A292" s="22" t="s">
        <v>339</v>
      </c>
    </row>
    <row r="293">
      <c r="A293" s="22" t="s">
        <v>145</v>
      </c>
    </row>
    <row r="294">
      <c r="A294" s="22" t="s">
        <v>209</v>
      </c>
    </row>
    <row r="295">
      <c r="A295" s="22" t="s">
        <v>213</v>
      </c>
    </row>
    <row r="296">
      <c r="A296" s="22" t="s">
        <v>197</v>
      </c>
    </row>
    <row r="297">
      <c r="A297" s="22" t="s">
        <v>284</v>
      </c>
    </row>
    <row r="298">
      <c r="A298" s="22" t="s">
        <v>313</v>
      </c>
    </row>
    <row r="299">
      <c r="A299" s="22" t="s">
        <v>199</v>
      </c>
    </row>
    <row r="300">
      <c r="A300" s="22" t="s">
        <v>19</v>
      </c>
    </row>
    <row r="301">
      <c r="A301" s="22" t="s">
        <v>146</v>
      </c>
    </row>
    <row r="302">
      <c r="A302" s="22" t="s">
        <v>250</v>
      </c>
    </row>
    <row r="303">
      <c r="A303" s="22" t="s">
        <v>265</v>
      </c>
    </row>
    <row r="304">
      <c r="A304" s="22" t="s">
        <v>96</v>
      </c>
    </row>
    <row r="305">
      <c r="A305" s="22" t="s">
        <v>268</v>
      </c>
    </row>
    <row r="306">
      <c r="A306" s="22" t="s">
        <v>249</v>
      </c>
    </row>
    <row r="307">
      <c r="A307" s="22" t="s">
        <v>193</v>
      </c>
    </row>
    <row r="308">
      <c r="A308" s="22" t="s">
        <v>160</v>
      </c>
    </row>
    <row r="309">
      <c r="A309" s="22" t="s">
        <v>130</v>
      </c>
    </row>
    <row r="310">
      <c r="A310" s="22" t="s">
        <v>251</v>
      </c>
    </row>
    <row r="311">
      <c r="A311" s="22" t="s">
        <v>221</v>
      </c>
    </row>
    <row r="312">
      <c r="A312" s="22" t="s">
        <v>242</v>
      </c>
    </row>
    <row r="313">
      <c r="A313" s="22" t="s">
        <v>144</v>
      </c>
    </row>
    <row r="314">
      <c r="A314" s="22" t="s">
        <v>262</v>
      </c>
    </row>
    <row r="315">
      <c r="A315" s="22" t="s">
        <v>31</v>
      </c>
    </row>
    <row r="316">
      <c r="A316" s="22" t="s">
        <v>311</v>
      </c>
    </row>
    <row r="317">
      <c r="A317" s="22" t="s">
        <v>136</v>
      </c>
    </row>
    <row r="318">
      <c r="A318" s="22" t="s">
        <v>194</v>
      </c>
    </row>
    <row r="319">
      <c r="A319" s="22" t="s">
        <v>226</v>
      </c>
    </row>
    <row r="320">
      <c r="A320" s="22" t="s">
        <v>202</v>
      </c>
    </row>
    <row r="321">
      <c r="A321" s="22" t="s">
        <v>150</v>
      </c>
    </row>
    <row r="322">
      <c r="A322" s="22" t="s">
        <v>314</v>
      </c>
    </row>
    <row r="323">
      <c r="A323" s="22" t="s">
        <v>196</v>
      </c>
    </row>
    <row r="324">
      <c r="A324" s="22" t="s">
        <v>39</v>
      </c>
    </row>
    <row r="325">
      <c r="A325" s="22" t="s">
        <v>175</v>
      </c>
    </row>
    <row r="326">
      <c r="A326" s="22" t="s">
        <v>141</v>
      </c>
    </row>
    <row r="327">
      <c r="A327" s="22" t="s">
        <v>353</v>
      </c>
    </row>
    <row r="328">
      <c r="A328" s="22" t="s">
        <v>215</v>
      </c>
    </row>
    <row r="329">
      <c r="A329" s="22" t="s">
        <v>358</v>
      </c>
    </row>
    <row r="330">
      <c r="A330" s="22" t="s">
        <v>190</v>
      </c>
    </row>
    <row r="331">
      <c r="A331" s="22" t="s">
        <v>222</v>
      </c>
    </row>
    <row r="332">
      <c r="A332" s="22" t="s">
        <v>131</v>
      </c>
    </row>
    <row r="333">
      <c r="A333" s="22" t="s">
        <v>11</v>
      </c>
    </row>
    <row r="334">
      <c r="A334" s="22" t="s">
        <v>60</v>
      </c>
    </row>
    <row r="335">
      <c r="A335" s="22" t="s">
        <v>279</v>
      </c>
    </row>
    <row r="336">
      <c r="A336" s="22" t="s">
        <v>174</v>
      </c>
    </row>
    <row r="337">
      <c r="A337" s="22" t="s">
        <v>207</v>
      </c>
    </row>
    <row r="338">
      <c r="A338" s="22" t="s">
        <v>88</v>
      </c>
    </row>
    <row r="339">
      <c r="A339" s="22" t="s">
        <v>245</v>
      </c>
    </row>
    <row r="340">
      <c r="A340" s="22" t="s">
        <v>148</v>
      </c>
    </row>
    <row r="341">
      <c r="A341" s="22" t="s">
        <v>261</v>
      </c>
    </row>
    <row r="342">
      <c r="A342" s="22" t="s">
        <v>316</v>
      </c>
    </row>
    <row r="343">
      <c r="A343" s="22" t="s">
        <v>269</v>
      </c>
    </row>
    <row r="344">
      <c r="A344" s="22" t="s">
        <v>40</v>
      </c>
    </row>
    <row r="345">
      <c r="A345" s="22" t="s">
        <v>299</v>
      </c>
    </row>
    <row r="346">
      <c r="A346" s="22" t="s">
        <v>283</v>
      </c>
    </row>
    <row r="347">
      <c r="A347" s="22" t="s">
        <v>169</v>
      </c>
    </row>
    <row r="348">
      <c r="A348" s="22" t="s">
        <v>179</v>
      </c>
    </row>
    <row r="349">
      <c r="A349" s="22" t="s">
        <v>184</v>
      </c>
    </row>
    <row r="350">
      <c r="A350" s="22" t="s">
        <v>189</v>
      </c>
    </row>
    <row r="351">
      <c r="A351" s="22" t="s">
        <v>12</v>
      </c>
    </row>
    <row r="352">
      <c r="A352" s="22" t="s">
        <v>247</v>
      </c>
    </row>
    <row r="353">
      <c r="A353" s="22" t="s">
        <v>364</v>
      </c>
    </row>
    <row r="354">
      <c r="A354" s="22" t="s">
        <v>61</v>
      </c>
    </row>
    <row r="355">
      <c r="A355" s="22" t="s">
        <v>157</v>
      </c>
    </row>
    <row r="356">
      <c r="A356" s="22" t="s">
        <v>159</v>
      </c>
    </row>
    <row r="357">
      <c r="A357" s="22" t="s">
        <v>132</v>
      </c>
    </row>
    <row r="358">
      <c r="A358" s="22" t="s">
        <v>204</v>
      </c>
    </row>
    <row r="359">
      <c r="A359" s="22" t="s">
        <v>181</v>
      </c>
    </row>
    <row r="360">
      <c r="A360" s="22" t="s">
        <v>201</v>
      </c>
    </row>
    <row r="361">
      <c r="A361" s="22" t="s">
        <v>153</v>
      </c>
    </row>
    <row r="362">
      <c r="A362" s="22" t="s">
        <v>143</v>
      </c>
    </row>
    <row r="363">
      <c r="A363" s="22" t="s">
        <v>267</v>
      </c>
    </row>
    <row r="364">
      <c r="A364" s="22" t="s">
        <v>17</v>
      </c>
    </row>
    <row r="365">
      <c r="A365" s="22" t="s">
        <v>317</v>
      </c>
    </row>
    <row r="366">
      <c r="A366" s="22" t="s">
        <v>264</v>
      </c>
    </row>
    <row r="367">
      <c r="A367" s="22" t="s">
        <v>198</v>
      </c>
    </row>
    <row r="368">
      <c r="A368" s="22" t="s">
        <v>173</v>
      </c>
    </row>
    <row r="369">
      <c r="A369" s="22" t="s">
        <v>254</v>
      </c>
    </row>
    <row r="370">
      <c r="A370" s="22" t="s">
        <v>127</v>
      </c>
    </row>
    <row r="371">
      <c r="A371" s="22" t="s">
        <v>134</v>
      </c>
    </row>
    <row r="372">
      <c r="A372" s="22" t="s">
        <v>129</v>
      </c>
    </row>
    <row r="373">
      <c r="A373" s="22" t="s">
        <v>180</v>
      </c>
    </row>
    <row r="374">
      <c r="A374" s="22" t="s">
        <v>300</v>
      </c>
    </row>
    <row r="375">
      <c r="A375" s="22" t="s">
        <v>343</v>
      </c>
    </row>
    <row r="376">
      <c r="A376" s="22" t="s">
        <v>349</v>
      </c>
    </row>
    <row r="377">
      <c r="A377" s="22" t="s">
        <v>292</v>
      </c>
    </row>
    <row r="378">
      <c r="A378" s="22" t="s">
        <v>302</v>
      </c>
    </row>
    <row r="379">
      <c r="A379" s="22" t="s">
        <v>90</v>
      </c>
    </row>
    <row r="380">
      <c r="A380" s="22" t="s">
        <v>304</v>
      </c>
    </row>
    <row r="381">
      <c r="A381" s="22" t="s">
        <v>332</v>
      </c>
    </row>
    <row r="382">
      <c r="A382" s="22" t="s">
        <v>366</v>
      </c>
    </row>
    <row r="383">
      <c r="A383" s="22" t="s">
        <v>92</v>
      </c>
    </row>
    <row r="384">
      <c r="A384" s="22" t="s">
        <v>326</v>
      </c>
    </row>
    <row r="385">
      <c r="A385" s="22" t="s">
        <v>336</v>
      </c>
    </row>
    <row r="386">
      <c r="A386" s="22" t="s">
        <v>281</v>
      </c>
    </row>
    <row r="387">
      <c r="A387" s="22" t="s">
        <v>340</v>
      </c>
    </row>
    <row r="388">
      <c r="A388" s="22" t="s">
        <v>62</v>
      </c>
    </row>
    <row r="389">
      <c r="A389" s="22" t="s">
        <v>57</v>
      </c>
    </row>
    <row r="390">
      <c r="A390" s="22" t="s">
        <v>309</v>
      </c>
    </row>
    <row r="391">
      <c r="A391" s="22" t="s">
        <v>347</v>
      </c>
    </row>
    <row r="392">
      <c r="A392" s="22" t="s">
        <v>41</v>
      </c>
    </row>
    <row r="393">
      <c r="A393" s="22" t="s">
        <v>361</v>
      </c>
    </row>
    <row r="394">
      <c r="A394" s="22" t="s">
        <v>89</v>
      </c>
    </row>
    <row r="395">
      <c r="A395" s="22" t="s">
        <v>297</v>
      </c>
    </row>
    <row r="396">
      <c r="A396" s="22" t="s">
        <v>310</v>
      </c>
    </row>
    <row r="397">
      <c r="A397" s="22" t="s">
        <v>348</v>
      </c>
    </row>
    <row r="398">
      <c r="A398" s="22" t="s">
        <v>350</v>
      </c>
    </row>
    <row r="399">
      <c r="A399" s="22" t="s">
        <v>100</v>
      </c>
    </row>
    <row r="400">
      <c r="A400" s="22" t="s">
        <v>355</v>
      </c>
    </row>
    <row r="401">
      <c r="A401" s="22" t="s">
        <v>50</v>
      </c>
    </row>
    <row r="402">
      <c r="A402" s="22" t="s">
        <v>288</v>
      </c>
    </row>
    <row r="403">
      <c r="A403" s="22" t="s">
        <v>97</v>
      </c>
    </row>
    <row r="404">
      <c r="A404" s="22" t="s">
        <v>42</v>
      </c>
    </row>
    <row r="405">
      <c r="A405" s="22" t="s">
        <v>278</v>
      </c>
    </row>
    <row r="406">
      <c r="A406" s="22" t="s">
        <v>334</v>
      </c>
    </row>
    <row r="407">
      <c r="A407" s="22" t="s">
        <v>345</v>
      </c>
    </row>
    <row r="408">
      <c r="A408" s="22" t="s">
        <v>322</v>
      </c>
    </row>
    <row r="409">
      <c r="A409" s="22" t="s">
        <v>306</v>
      </c>
    </row>
    <row r="410">
      <c r="A410" s="22" t="s">
        <v>44</v>
      </c>
    </row>
    <row r="411">
      <c r="A411" s="22" t="s">
        <v>328</v>
      </c>
    </row>
    <row r="412">
      <c r="A412" s="22" t="s">
        <v>318</v>
      </c>
    </row>
    <row r="413">
      <c r="A413" s="22" t="s">
        <v>351</v>
      </c>
    </row>
    <row r="414">
      <c r="A414" s="22" t="s">
        <v>64</v>
      </c>
    </row>
    <row r="415">
      <c r="A415" s="22" t="s">
        <v>365</v>
      </c>
    </row>
    <row r="416">
      <c r="A416" s="22" t="s">
        <v>346</v>
      </c>
    </row>
    <row r="417">
      <c r="A417" s="22" t="s">
        <v>305</v>
      </c>
    </row>
    <row r="418">
      <c r="A418" s="22" t="s">
        <v>35</v>
      </c>
    </row>
    <row r="419">
      <c r="A419" s="22" t="s">
        <v>321</v>
      </c>
    </row>
    <row r="420">
      <c r="A420" s="22" t="s">
        <v>324</v>
      </c>
    </row>
    <row r="421">
      <c r="A421" s="22" t="s">
        <v>331</v>
      </c>
    </row>
    <row r="422">
      <c r="A422" s="22" t="s">
        <v>363</v>
      </c>
    </row>
    <row r="423">
      <c r="A423" s="22" t="s">
        <v>312</v>
      </c>
    </row>
    <row r="424">
      <c r="A424" s="22" t="s">
        <v>327</v>
      </c>
    </row>
    <row r="425">
      <c r="A425" s="22" t="s">
        <v>308</v>
      </c>
    </row>
    <row r="426">
      <c r="A426" s="22" t="s">
        <v>293</v>
      </c>
    </row>
    <row r="427">
      <c r="A427" s="22" t="s">
        <v>295</v>
      </c>
    </row>
    <row r="428">
      <c r="A428" s="22" t="s">
        <v>315</v>
      </c>
    </row>
    <row r="429">
      <c r="A429" s="22" t="s">
        <v>341</v>
      </c>
    </row>
    <row r="430">
      <c r="A430" s="22" t="s">
        <v>357</v>
      </c>
    </row>
    <row r="431">
      <c r="A431" s="22" t="s">
        <v>301</v>
      </c>
    </row>
    <row r="432">
      <c r="A432" s="22" t="s">
        <v>276</v>
      </c>
    </row>
    <row r="433">
      <c r="A433" s="22" t="s">
        <v>303</v>
      </c>
    </row>
    <row r="434">
      <c r="A434" s="22" t="s">
        <v>356</v>
      </c>
    </row>
    <row r="435">
      <c r="A435" s="22" t="s">
        <v>16</v>
      </c>
    </row>
    <row r="436">
      <c r="A436" s="22" t="s">
        <v>359</v>
      </c>
    </row>
    <row r="437">
      <c r="A437" s="22" t="s">
        <v>323</v>
      </c>
    </row>
    <row r="438">
      <c r="A438" s="22" t="s">
        <v>333</v>
      </c>
    </row>
    <row r="439">
      <c r="A439" s="22" t="s">
        <v>98</v>
      </c>
    </row>
    <row r="440">
      <c r="A440" s="22" t="s">
        <v>319</v>
      </c>
    </row>
    <row r="441">
      <c r="A441" s="22" t="s">
        <v>360</v>
      </c>
    </row>
    <row r="442">
      <c r="A442" s="22" t="s">
        <v>277</v>
      </c>
    </row>
    <row r="443">
      <c r="A443" s="22" t="s">
        <v>338</v>
      </c>
    </row>
    <row r="444">
      <c r="A444" s="22" t="s">
        <v>289</v>
      </c>
    </row>
    <row r="445">
      <c r="A445" s="22" t="s">
        <v>43</v>
      </c>
    </row>
    <row r="446">
      <c r="A446" s="22" t="s">
        <v>45</v>
      </c>
    </row>
    <row r="447">
      <c r="A447" s="22" t="s">
        <v>329</v>
      </c>
    </row>
    <row r="448">
      <c r="A448" s="22" t="s">
        <v>285</v>
      </c>
    </row>
    <row r="449">
      <c r="A449" s="22" t="s">
        <v>342</v>
      </c>
    </row>
    <row r="450">
      <c r="A450" s="22" t="s">
        <v>320</v>
      </c>
    </row>
    <row r="451">
      <c r="A451" s="22" t="s">
        <v>330</v>
      </c>
    </row>
    <row r="452">
      <c r="A452" s="22" t="s">
        <v>325</v>
      </c>
    </row>
    <row r="453">
      <c r="A453" s="22" t="s">
        <v>298</v>
      </c>
    </row>
    <row r="454">
      <c r="A454" s="22" t="s">
        <v>352</v>
      </c>
    </row>
    <row r="455">
      <c r="A455" s="22" t="s">
        <v>294</v>
      </c>
    </row>
    <row r="456">
      <c r="A456" s="22" t="s">
        <v>344</v>
      </c>
    </row>
    <row r="457">
      <c r="A457" s="22" t="s">
        <v>9</v>
      </c>
    </row>
    <row r="458">
      <c r="A458" s="22" t="s">
        <v>362</v>
      </c>
    </row>
    <row r="459">
      <c r="A459" s="22" t="s">
        <v>14</v>
      </c>
    </row>
    <row r="460">
      <c r="A460" s="22" t="s">
        <v>63</v>
      </c>
    </row>
    <row r="461">
      <c r="A461" s="22" t="s">
        <v>296</v>
      </c>
    </row>
    <row r="462">
      <c r="A462" s="22" t="s">
        <v>282</v>
      </c>
    </row>
    <row r="463">
      <c r="A463" s="22" t="s">
        <v>291</v>
      </c>
    </row>
    <row r="464">
      <c r="A464" s="22" t="s">
        <v>33</v>
      </c>
    </row>
    <row r="465">
      <c r="A465" s="22" t="s">
        <v>99</v>
      </c>
    </row>
    <row r="466">
      <c r="A466" s="22" t="s">
        <v>290</v>
      </c>
    </row>
    <row r="467">
      <c r="A467" s="22" t="s">
        <v>335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2" t="s">
        <v>656</v>
      </c>
      <c r="B1" s="22" t="s">
        <v>657</v>
      </c>
    </row>
    <row r="2">
      <c r="A2" s="22" t="s">
        <v>437</v>
      </c>
      <c r="B2" s="22" t="s">
        <v>658</v>
      </c>
    </row>
    <row r="3">
      <c r="A3" s="22" t="s">
        <v>430</v>
      </c>
      <c r="B3" s="22" t="s">
        <v>659</v>
      </c>
    </row>
    <row r="4">
      <c r="A4" s="22" t="s">
        <v>10</v>
      </c>
      <c r="B4" s="22" t="s">
        <v>660</v>
      </c>
    </row>
    <row r="5">
      <c r="A5" s="22" t="s">
        <v>431</v>
      </c>
      <c r="B5" s="22" t="s">
        <v>661</v>
      </c>
    </row>
    <row r="6">
      <c r="A6" s="22" t="s">
        <v>8</v>
      </c>
      <c r="B6" s="22" t="s">
        <v>662</v>
      </c>
    </row>
    <row r="7">
      <c r="A7" s="22" t="s">
        <v>438</v>
      </c>
      <c r="B7" s="22" t="s">
        <v>663</v>
      </c>
    </row>
    <row r="8">
      <c r="A8" s="22" t="s">
        <v>439</v>
      </c>
      <c r="B8" s="22" t="s">
        <v>664</v>
      </c>
    </row>
    <row r="9">
      <c r="A9" s="22" t="s">
        <v>433</v>
      </c>
      <c r="B9" s="22" t="s">
        <v>665</v>
      </c>
    </row>
    <row r="10">
      <c r="A10" s="22" t="s">
        <v>440</v>
      </c>
      <c r="B10" s="22" t="s">
        <v>666</v>
      </c>
    </row>
    <row r="11">
      <c r="A11" s="22" t="s">
        <v>441</v>
      </c>
      <c r="B11" s="22" t="s">
        <v>667</v>
      </c>
    </row>
    <row r="12">
      <c r="A12" s="22" t="s">
        <v>432</v>
      </c>
      <c r="B12" s="22" t="s">
        <v>668</v>
      </c>
    </row>
    <row r="13">
      <c r="A13" s="22" t="s">
        <v>442</v>
      </c>
      <c r="B13" s="22" t="s">
        <v>669</v>
      </c>
    </row>
    <row r="14">
      <c r="A14" s="22" t="s">
        <v>434</v>
      </c>
      <c r="B14" s="22" t="s">
        <v>670</v>
      </c>
    </row>
    <row r="15">
      <c r="A15" s="22" t="s">
        <v>443</v>
      </c>
      <c r="B15" s="22" t="s">
        <v>671</v>
      </c>
    </row>
    <row r="16">
      <c r="A16" s="22" t="s">
        <v>444</v>
      </c>
      <c r="B16" s="22" t="s">
        <v>672</v>
      </c>
    </row>
    <row r="17">
      <c r="A17" s="22" t="s">
        <v>445</v>
      </c>
      <c r="B17" s="22" t="s">
        <v>673</v>
      </c>
    </row>
    <row r="18">
      <c r="A18" s="22" t="s">
        <v>30</v>
      </c>
      <c r="B18" s="22" t="s">
        <v>674</v>
      </c>
    </row>
    <row r="19">
      <c r="A19" s="22" t="s">
        <v>446</v>
      </c>
      <c r="B19" s="22" t="s">
        <v>675</v>
      </c>
    </row>
    <row r="20">
      <c r="A20" s="22" t="s">
        <v>447</v>
      </c>
      <c r="B20" s="22" t="s">
        <v>676</v>
      </c>
    </row>
    <row r="21">
      <c r="A21" s="22" t="s">
        <v>448</v>
      </c>
      <c r="B21" s="22" t="s">
        <v>677</v>
      </c>
    </row>
    <row r="22">
      <c r="A22" s="22" t="s">
        <v>449</v>
      </c>
      <c r="B22" s="22" t="s">
        <v>678</v>
      </c>
    </row>
    <row r="23">
      <c r="A23" s="22" t="s">
        <v>450</v>
      </c>
      <c r="B23" s="22" t="s">
        <v>679</v>
      </c>
    </row>
    <row r="24">
      <c r="A24" s="22" t="s">
        <v>451</v>
      </c>
      <c r="B24" s="22" t="s">
        <v>680</v>
      </c>
    </row>
    <row r="25">
      <c r="A25" s="22" t="s">
        <v>452</v>
      </c>
      <c r="B25" s="22" t="s">
        <v>681</v>
      </c>
    </row>
    <row r="26">
      <c r="A26" s="22" t="s">
        <v>453</v>
      </c>
      <c r="B26" s="22" t="s">
        <v>682</v>
      </c>
    </row>
    <row r="27">
      <c r="A27" s="22" t="s">
        <v>454</v>
      </c>
      <c r="B27" s="22" t="s">
        <v>683</v>
      </c>
    </row>
    <row r="28">
      <c r="A28" s="22" t="s">
        <v>455</v>
      </c>
      <c r="B28" s="22" t="s">
        <v>684</v>
      </c>
    </row>
    <row r="29">
      <c r="A29" s="22" t="s">
        <v>435</v>
      </c>
      <c r="B29" s="22" t="s">
        <v>685</v>
      </c>
    </row>
    <row r="30">
      <c r="A30" s="22" t="s">
        <v>456</v>
      </c>
      <c r="B30" s="22" t="s">
        <v>686</v>
      </c>
    </row>
    <row r="31">
      <c r="A31" s="22" t="s">
        <v>457</v>
      </c>
      <c r="B31" s="22" t="s">
        <v>687</v>
      </c>
    </row>
    <row r="32">
      <c r="A32" s="22" t="s">
        <v>34</v>
      </c>
      <c r="B32" s="22" t="s">
        <v>688</v>
      </c>
    </row>
    <row r="33">
      <c r="A33" s="22" t="s">
        <v>458</v>
      </c>
      <c r="B33" s="22" t="s">
        <v>689</v>
      </c>
    </row>
    <row r="34">
      <c r="A34" s="22" t="s">
        <v>21</v>
      </c>
      <c r="B34" s="22" t="s">
        <v>690</v>
      </c>
    </row>
    <row r="35">
      <c r="A35" s="22" t="s">
        <v>459</v>
      </c>
      <c r="B35" s="22" t="s">
        <v>691</v>
      </c>
    </row>
    <row r="36">
      <c r="A36" s="22" t="s">
        <v>460</v>
      </c>
      <c r="B36" s="22" t="s">
        <v>692</v>
      </c>
    </row>
    <row r="37">
      <c r="A37" s="22" t="s">
        <v>436</v>
      </c>
      <c r="B37" s="22" t="s">
        <v>693</v>
      </c>
    </row>
    <row r="38">
      <c r="A38" s="22" t="s">
        <v>461</v>
      </c>
      <c r="B38" s="22" t="s">
        <v>694</v>
      </c>
    </row>
    <row r="39">
      <c r="A39" s="22" t="s">
        <v>462</v>
      </c>
      <c r="B39" s="22" t="s">
        <v>695</v>
      </c>
    </row>
    <row r="40">
      <c r="A40" s="22" t="s">
        <v>463</v>
      </c>
      <c r="B40" s="22" t="s">
        <v>696</v>
      </c>
    </row>
    <row r="41">
      <c r="A41" s="22" t="s">
        <v>464</v>
      </c>
      <c r="B41" s="22" t="s">
        <v>697</v>
      </c>
    </row>
    <row r="42">
      <c r="A42" s="22" t="s">
        <v>465</v>
      </c>
      <c r="B42" s="22" t="s">
        <v>698</v>
      </c>
    </row>
    <row r="43">
      <c r="A43" s="22" t="s">
        <v>466</v>
      </c>
      <c r="B43" s="22" t="s">
        <v>699</v>
      </c>
    </row>
    <row r="44">
      <c r="A44" s="22" t="s">
        <v>467</v>
      </c>
      <c r="B44" s="22" t="s">
        <v>700</v>
      </c>
    </row>
    <row r="45">
      <c r="A45" s="22" t="s">
        <v>468</v>
      </c>
      <c r="B45" s="22" t="s">
        <v>701</v>
      </c>
    </row>
    <row r="46">
      <c r="A46" s="22" t="s">
        <v>469</v>
      </c>
      <c r="B46" s="22" t="s">
        <v>702</v>
      </c>
    </row>
    <row r="47">
      <c r="A47" s="22" t="s">
        <v>470</v>
      </c>
      <c r="B47" s="22" t="s">
        <v>703</v>
      </c>
    </row>
    <row r="48">
      <c r="A48" s="22" t="s">
        <v>471</v>
      </c>
      <c r="B48" s="22" t="s">
        <v>704</v>
      </c>
    </row>
    <row r="49">
      <c r="A49" s="22" t="s">
        <v>472</v>
      </c>
      <c r="B49" s="22" t="s">
        <v>705</v>
      </c>
    </row>
    <row r="50">
      <c r="A50" s="22" t="s">
        <v>473</v>
      </c>
      <c r="B50" s="22" t="s">
        <v>706</v>
      </c>
    </row>
    <row r="51">
      <c r="A51" s="22" t="s">
        <v>474</v>
      </c>
      <c r="B51" s="22" t="s">
        <v>707</v>
      </c>
    </row>
    <row r="52">
      <c r="A52" s="22" t="s">
        <v>510</v>
      </c>
      <c r="B52" s="22" t="s">
        <v>708</v>
      </c>
    </row>
    <row r="53">
      <c r="A53" s="22" t="s">
        <v>475</v>
      </c>
      <c r="B53" s="22" t="s">
        <v>709</v>
      </c>
    </row>
    <row r="54">
      <c r="A54" s="22" t="s">
        <v>476</v>
      </c>
      <c r="B54" s="22" t="s">
        <v>710</v>
      </c>
    </row>
    <row r="55">
      <c r="A55" s="22" t="s">
        <v>477</v>
      </c>
      <c r="B55" s="22" t="s">
        <v>711</v>
      </c>
    </row>
    <row r="56">
      <c r="A56" s="22" t="s">
        <v>478</v>
      </c>
      <c r="B56" s="22" t="s">
        <v>712</v>
      </c>
    </row>
    <row r="57">
      <c r="A57" s="22" t="s">
        <v>479</v>
      </c>
      <c r="B57" s="22" t="s">
        <v>713</v>
      </c>
    </row>
    <row r="58">
      <c r="A58" s="22" t="s">
        <v>480</v>
      </c>
      <c r="B58" s="22" t="s">
        <v>714</v>
      </c>
    </row>
    <row r="59">
      <c r="A59" s="22" t="s">
        <v>481</v>
      </c>
      <c r="B59" s="22" t="s">
        <v>715</v>
      </c>
    </row>
    <row r="60">
      <c r="A60" s="22" t="s">
        <v>482</v>
      </c>
      <c r="B60" s="22" t="s">
        <v>716</v>
      </c>
    </row>
    <row r="61">
      <c r="A61" s="22" t="s">
        <v>483</v>
      </c>
      <c r="B61" s="22" t="s">
        <v>717</v>
      </c>
    </row>
    <row r="62">
      <c r="A62" s="22" t="s">
        <v>484</v>
      </c>
      <c r="B62" s="22" t="s">
        <v>718</v>
      </c>
    </row>
    <row r="63">
      <c r="A63" s="22" t="s">
        <v>485</v>
      </c>
      <c r="B63" s="22" t="s">
        <v>719</v>
      </c>
    </row>
    <row r="64">
      <c r="A64" s="22" t="s">
        <v>486</v>
      </c>
      <c r="B64" s="22" t="s">
        <v>720</v>
      </c>
    </row>
    <row r="65">
      <c r="A65" s="22" t="s">
        <v>487</v>
      </c>
      <c r="B65" s="22" t="s">
        <v>721</v>
      </c>
    </row>
    <row r="66">
      <c r="A66" s="22" t="s">
        <v>488</v>
      </c>
      <c r="B66" s="22" t="s">
        <v>722</v>
      </c>
    </row>
    <row r="67">
      <c r="A67" s="22" t="s">
        <v>489</v>
      </c>
      <c r="B67" s="22" t="s">
        <v>723</v>
      </c>
    </row>
    <row r="68">
      <c r="A68" s="22" t="s">
        <v>490</v>
      </c>
      <c r="B68" s="22" t="s">
        <v>724</v>
      </c>
    </row>
    <row r="69">
      <c r="A69" s="22" t="s">
        <v>491</v>
      </c>
      <c r="B69" s="22" t="s">
        <v>725</v>
      </c>
    </row>
    <row r="70">
      <c r="A70" s="22" t="s">
        <v>492</v>
      </c>
      <c r="B70" s="22" t="s">
        <v>726</v>
      </c>
    </row>
    <row r="71">
      <c r="A71" s="22" t="s">
        <v>493</v>
      </c>
      <c r="B71" s="22" t="s">
        <v>727</v>
      </c>
    </row>
    <row r="72">
      <c r="A72" s="22" t="s">
        <v>494</v>
      </c>
      <c r="B72" s="22" t="s">
        <v>728</v>
      </c>
    </row>
    <row r="73">
      <c r="A73" s="22" t="s">
        <v>495</v>
      </c>
      <c r="B73" s="22" t="s">
        <v>729</v>
      </c>
    </row>
    <row r="74">
      <c r="A74" s="22" t="s">
        <v>101</v>
      </c>
      <c r="B74" s="22" t="s">
        <v>730</v>
      </c>
    </row>
    <row r="75">
      <c r="A75" s="22" t="s">
        <v>102</v>
      </c>
      <c r="B75" s="22" t="s">
        <v>731</v>
      </c>
    </row>
    <row r="76">
      <c r="A76" s="22" t="s">
        <v>103</v>
      </c>
      <c r="B76" s="22" t="s">
        <v>732</v>
      </c>
    </row>
    <row r="77">
      <c r="A77" s="22" t="s">
        <v>104</v>
      </c>
      <c r="B77" s="22" t="s">
        <v>733</v>
      </c>
    </row>
    <row r="78">
      <c r="A78" s="22" t="s">
        <v>105</v>
      </c>
      <c r="B78" s="22" t="s">
        <v>734</v>
      </c>
    </row>
    <row r="79">
      <c r="A79" s="22" t="s">
        <v>106</v>
      </c>
      <c r="B79" s="22" t="s">
        <v>735</v>
      </c>
    </row>
    <row r="80">
      <c r="A80" s="22" t="s">
        <v>107</v>
      </c>
      <c r="B80" s="22" t="s">
        <v>736</v>
      </c>
    </row>
    <row r="81">
      <c r="A81" s="22" t="s">
        <v>108</v>
      </c>
      <c r="B81" s="22" t="s">
        <v>737</v>
      </c>
    </row>
    <row r="82">
      <c r="A82" s="22" t="s">
        <v>109</v>
      </c>
      <c r="B82" s="22" t="s">
        <v>738</v>
      </c>
    </row>
    <row r="83">
      <c r="A83" s="22" t="s">
        <v>110</v>
      </c>
      <c r="B83" s="22" t="s">
        <v>739</v>
      </c>
    </row>
    <row r="84">
      <c r="A84" s="22" t="s">
        <v>111</v>
      </c>
      <c r="B84" s="22" t="s">
        <v>740</v>
      </c>
    </row>
    <row r="85">
      <c r="A85" s="22" t="s">
        <v>112</v>
      </c>
      <c r="B85" s="22" t="s">
        <v>741</v>
      </c>
    </row>
    <row r="86">
      <c r="A86" s="22" t="s">
        <v>113</v>
      </c>
      <c r="B86" s="22" t="s">
        <v>742</v>
      </c>
    </row>
    <row r="87">
      <c r="A87" s="22" t="s">
        <v>114</v>
      </c>
      <c r="B87" s="22" t="s">
        <v>743</v>
      </c>
    </row>
    <row r="88">
      <c r="A88" s="22" t="s">
        <v>115</v>
      </c>
      <c r="B88" s="22" t="s">
        <v>744</v>
      </c>
    </row>
    <row r="89">
      <c r="A89" s="22" t="s">
        <v>116</v>
      </c>
      <c r="B89" s="22" t="s">
        <v>745</v>
      </c>
    </row>
    <row r="90">
      <c r="A90" s="22" t="s">
        <v>117</v>
      </c>
      <c r="B90" s="22" t="s">
        <v>746</v>
      </c>
    </row>
    <row r="91">
      <c r="A91" s="22" t="s">
        <v>118</v>
      </c>
      <c r="B91" s="22" t="s">
        <v>747</v>
      </c>
    </row>
    <row r="92">
      <c r="A92" s="22" t="s">
        <v>119</v>
      </c>
      <c r="B92" s="22" t="s">
        <v>748</v>
      </c>
    </row>
    <row r="93">
      <c r="A93" s="22" t="s">
        <v>120</v>
      </c>
      <c r="B93" s="22" t="s">
        <v>749</v>
      </c>
    </row>
    <row r="94">
      <c r="A94" s="22" t="s">
        <v>121</v>
      </c>
      <c r="B94" s="22" t="s">
        <v>750</v>
      </c>
    </row>
    <row r="95">
      <c r="A95" s="22" t="s">
        <v>122</v>
      </c>
      <c r="B95" s="22" t="s">
        <v>751</v>
      </c>
    </row>
    <row r="96">
      <c r="A96" s="22" t="s">
        <v>123</v>
      </c>
      <c r="B96" s="22" t="s">
        <v>752</v>
      </c>
    </row>
    <row r="97">
      <c r="A97" s="22" t="s">
        <v>124</v>
      </c>
      <c r="B97" s="22" t="s">
        <v>753</v>
      </c>
    </row>
    <row r="98">
      <c r="A98" s="22" t="s">
        <v>125</v>
      </c>
      <c r="B98" s="22" t="s">
        <v>754</v>
      </c>
    </row>
    <row r="99">
      <c r="A99" s="22" t="s">
        <v>126</v>
      </c>
      <c r="B99" s="22" t="s">
        <v>755</v>
      </c>
    </row>
    <row r="100">
      <c r="A100" s="22" t="s">
        <v>56</v>
      </c>
      <c r="B100" s="22" t="s">
        <v>756</v>
      </c>
    </row>
    <row r="101">
      <c r="A101" s="22" t="s">
        <v>127</v>
      </c>
      <c r="B101" s="22" t="s">
        <v>757</v>
      </c>
    </row>
    <row r="102">
      <c r="A102" s="22" t="s">
        <v>128</v>
      </c>
      <c r="B102" s="22" t="s">
        <v>758</v>
      </c>
    </row>
    <row r="103">
      <c r="A103" s="22" t="s">
        <v>129</v>
      </c>
      <c r="B103" s="22" t="s">
        <v>759</v>
      </c>
    </row>
    <row r="104">
      <c r="A104" s="22" t="s">
        <v>130</v>
      </c>
      <c r="B104" s="22" t="s">
        <v>760</v>
      </c>
    </row>
    <row r="105">
      <c r="A105" s="22" t="s">
        <v>131</v>
      </c>
      <c r="B105" s="22" t="s">
        <v>761</v>
      </c>
    </row>
    <row r="106">
      <c r="A106" s="22" t="s">
        <v>132</v>
      </c>
      <c r="B106" s="22" t="s">
        <v>762</v>
      </c>
    </row>
    <row r="107">
      <c r="A107" s="22" t="s">
        <v>133</v>
      </c>
      <c r="B107" s="22" t="s">
        <v>763</v>
      </c>
    </row>
    <row r="108">
      <c r="A108" s="22" t="s">
        <v>134</v>
      </c>
      <c r="B108" s="22" t="s">
        <v>764</v>
      </c>
    </row>
    <row r="109">
      <c r="A109" s="22" t="s">
        <v>135</v>
      </c>
      <c r="B109" s="22" t="s">
        <v>765</v>
      </c>
    </row>
    <row r="110">
      <c r="A110" s="22" t="s">
        <v>136</v>
      </c>
      <c r="B110" s="22" t="s">
        <v>766</v>
      </c>
    </row>
    <row r="111">
      <c r="A111" s="22" t="s">
        <v>137</v>
      </c>
      <c r="B111" s="22" t="s">
        <v>767</v>
      </c>
    </row>
    <row r="112">
      <c r="A112" s="22" t="s">
        <v>138</v>
      </c>
      <c r="B112" s="22" t="s">
        <v>768</v>
      </c>
    </row>
    <row r="113">
      <c r="A113" s="22" t="s">
        <v>139</v>
      </c>
      <c r="B113" s="22" t="s">
        <v>769</v>
      </c>
    </row>
    <row r="114">
      <c r="A114" s="22" t="s">
        <v>140</v>
      </c>
      <c r="B114" s="22" t="s">
        <v>770</v>
      </c>
    </row>
    <row r="115">
      <c r="A115" s="22" t="s">
        <v>141</v>
      </c>
      <c r="B115" s="22" t="s">
        <v>771</v>
      </c>
    </row>
    <row r="116">
      <c r="A116" s="22" t="s">
        <v>142</v>
      </c>
      <c r="B116" s="22" t="s">
        <v>772</v>
      </c>
    </row>
    <row r="117">
      <c r="A117" s="22" t="s">
        <v>143</v>
      </c>
      <c r="B117" s="22" t="s">
        <v>773</v>
      </c>
    </row>
    <row r="118">
      <c r="A118" s="22" t="s">
        <v>144</v>
      </c>
      <c r="B118" s="22" t="s">
        <v>774</v>
      </c>
    </row>
    <row r="119">
      <c r="A119" s="22" t="s">
        <v>94</v>
      </c>
      <c r="B119" s="22" t="s">
        <v>775</v>
      </c>
    </row>
    <row r="120">
      <c r="A120" s="22" t="s">
        <v>95</v>
      </c>
      <c r="B120" s="22" t="s">
        <v>776</v>
      </c>
    </row>
    <row r="121">
      <c r="A121" s="22" t="s">
        <v>15</v>
      </c>
      <c r="B121" s="22" t="s">
        <v>777</v>
      </c>
    </row>
    <row r="122">
      <c r="A122" s="22" t="s">
        <v>145</v>
      </c>
      <c r="B122" s="22" t="s">
        <v>778</v>
      </c>
    </row>
    <row r="123">
      <c r="A123" s="22" t="s">
        <v>146</v>
      </c>
      <c r="B123" s="22" t="s">
        <v>779</v>
      </c>
    </row>
    <row r="124">
      <c r="A124" s="22" t="s">
        <v>18</v>
      </c>
      <c r="B124" s="22" t="s">
        <v>780</v>
      </c>
    </row>
    <row r="125">
      <c r="A125" s="22" t="s">
        <v>147</v>
      </c>
      <c r="B125" s="22" t="s">
        <v>781</v>
      </c>
    </row>
    <row r="126">
      <c r="A126" s="22" t="s">
        <v>148</v>
      </c>
      <c r="B126" s="22" t="s">
        <v>782</v>
      </c>
    </row>
    <row r="127">
      <c r="A127" s="22" t="s">
        <v>149</v>
      </c>
      <c r="B127" s="22" t="s">
        <v>783</v>
      </c>
    </row>
    <row r="128">
      <c r="A128" s="22" t="s">
        <v>150</v>
      </c>
      <c r="B128" s="22" t="s">
        <v>784</v>
      </c>
    </row>
    <row r="129">
      <c r="A129" s="22" t="s">
        <v>11</v>
      </c>
      <c r="B129" s="22" t="s">
        <v>785</v>
      </c>
    </row>
    <row r="130">
      <c r="A130" s="22" t="s">
        <v>151</v>
      </c>
      <c r="B130" s="22" t="s">
        <v>786</v>
      </c>
    </row>
    <row r="131">
      <c r="A131" s="22" t="s">
        <v>152</v>
      </c>
      <c r="B131" s="22" t="s">
        <v>787</v>
      </c>
    </row>
    <row r="132">
      <c r="A132" s="22" t="s">
        <v>19</v>
      </c>
      <c r="B132" s="22" t="s">
        <v>788</v>
      </c>
    </row>
    <row r="133">
      <c r="A133" s="22" t="s">
        <v>153</v>
      </c>
      <c r="B133" s="22" t="s">
        <v>789</v>
      </c>
    </row>
    <row r="134">
      <c r="A134" s="22" t="s">
        <v>154</v>
      </c>
      <c r="B134" s="22" t="s">
        <v>790</v>
      </c>
    </row>
    <row r="135">
      <c r="A135" s="22" t="s">
        <v>155</v>
      </c>
      <c r="B135" s="22" t="s">
        <v>791</v>
      </c>
    </row>
    <row r="136">
      <c r="A136" s="22" t="s">
        <v>156</v>
      </c>
      <c r="B136" s="22" t="s">
        <v>792</v>
      </c>
    </row>
    <row r="137">
      <c r="A137" s="22" t="s">
        <v>157</v>
      </c>
      <c r="B137" s="22" t="s">
        <v>793</v>
      </c>
    </row>
    <row r="138">
      <c r="A138" s="22" t="s">
        <v>158</v>
      </c>
      <c r="B138" s="22" t="s">
        <v>794</v>
      </c>
    </row>
    <row r="139">
      <c r="A139" s="22" t="s">
        <v>159</v>
      </c>
      <c r="B139" s="22" t="s">
        <v>795</v>
      </c>
    </row>
    <row r="140">
      <c r="A140" s="22" t="s">
        <v>160</v>
      </c>
      <c r="B140" s="22" t="s">
        <v>796</v>
      </c>
    </row>
    <row r="141">
      <c r="A141" s="22" t="s">
        <v>161</v>
      </c>
      <c r="B141" s="22" t="s">
        <v>797</v>
      </c>
    </row>
    <row r="142">
      <c r="A142" s="22" t="s">
        <v>93</v>
      </c>
      <c r="B142" s="22" t="s">
        <v>798</v>
      </c>
    </row>
    <row r="143">
      <c r="A143" s="22" t="s">
        <v>162</v>
      </c>
      <c r="B143" s="22" t="s">
        <v>799</v>
      </c>
    </row>
    <row r="144">
      <c r="A144" s="22" t="s">
        <v>163</v>
      </c>
      <c r="B144" s="22" t="s">
        <v>800</v>
      </c>
    </row>
    <row r="145">
      <c r="A145" s="22" t="s">
        <v>96</v>
      </c>
      <c r="B145" s="22" t="s">
        <v>801</v>
      </c>
    </row>
    <row r="146">
      <c r="A146" s="22" t="s">
        <v>164</v>
      </c>
      <c r="B146" s="22" t="s">
        <v>802</v>
      </c>
    </row>
    <row r="147">
      <c r="A147" s="22" t="s">
        <v>165</v>
      </c>
      <c r="B147" s="22" t="s">
        <v>803</v>
      </c>
    </row>
    <row r="148">
      <c r="A148" s="22" t="s">
        <v>166</v>
      </c>
      <c r="B148" s="22" t="s">
        <v>804</v>
      </c>
    </row>
    <row r="149">
      <c r="A149" s="22" t="s">
        <v>167</v>
      </c>
      <c r="B149" s="22" t="s">
        <v>805</v>
      </c>
    </row>
    <row r="150">
      <c r="A150" s="22" t="s">
        <v>13</v>
      </c>
      <c r="B150" s="22" t="s">
        <v>806</v>
      </c>
    </row>
    <row r="151">
      <c r="A151" s="22" t="s">
        <v>168</v>
      </c>
      <c r="B151" s="22" t="s">
        <v>807</v>
      </c>
    </row>
    <row r="152">
      <c r="A152" s="22" t="s">
        <v>40</v>
      </c>
      <c r="B152" s="22" t="s">
        <v>808</v>
      </c>
    </row>
    <row r="153">
      <c r="A153" s="22" t="s">
        <v>169</v>
      </c>
      <c r="B153" s="22" t="s">
        <v>809</v>
      </c>
    </row>
    <row r="154">
      <c r="A154" s="22" t="s">
        <v>170</v>
      </c>
      <c r="B154" s="22" t="s">
        <v>810</v>
      </c>
    </row>
    <row r="155">
      <c r="A155" s="22" t="s">
        <v>171</v>
      </c>
      <c r="B155" s="22" t="s">
        <v>811</v>
      </c>
    </row>
    <row r="156">
      <c r="A156" s="22" t="s">
        <v>172</v>
      </c>
      <c r="B156" s="22" t="s">
        <v>812</v>
      </c>
    </row>
    <row r="157">
      <c r="A157" s="22" t="s">
        <v>173</v>
      </c>
      <c r="B157" s="22" t="s">
        <v>813</v>
      </c>
    </row>
    <row r="158">
      <c r="A158" s="22" t="s">
        <v>17</v>
      </c>
      <c r="B158" s="22" t="s">
        <v>814</v>
      </c>
    </row>
    <row r="159">
      <c r="A159" s="22" t="s">
        <v>174</v>
      </c>
      <c r="B159" s="22" t="s">
        <v>815</v>
      </c>
    </row>
    <row r="160">
      <c r="A160" s="22" t="s">
        <v>23</v>
      </c>
      <c r="B160" s="22" t="s">
        <v>816</v>
      </c>
    </row>
    <row r="161">
      <c r="A161" s="22" t="s">
        <v>175</v>
      </c>
      <c r="B161" s="22" t="s">
        <v>817</v>
      </c>
    </row>
    <row r="162">
      <c r="A162" s="22" t="s">
        <v>86</v>
      </c>
      <c r="B162" s="22" t="s">
        <v>818</v>
      </c>
    </row>
    <row r="163">
      <c r="A163" s="22" t="s">
        <v>176</v>
      </c>
      <c r="B163" s="22" t="s">
        <v>819</v>
      </c>
    </row>
    <row r="164">
      <c r="A164" s="22" t="s">
        <v>177</v>
      </c>
      <c r="B164" s="22" t="s">
        <v>820</v>
      </c>
    </row>
    <row r="165">
      <c r="A165" s="22" t="s">
        <v>178</v>
      </c>
      <c r="B165" s="22" t="s">
        <v>821</v>
      </c>
    </row>
    <row r="166">
      <c r="A166" s="22" t="s">
        <v>179</v>
      </c>
      <c r="B166" s="22" t="s">
        <v>822</v>
      </c>
    </row>
    <row r="167">
      <c r="A167" s="22" t="s">
        <v>61</v>
      </c>
      <c r="B167" s="22" t="s">
        <v>823</v>
      </c>
    </row>
    <row r="168">
      <c r="A168" s="22" t="s">
        <v>180</v>
      </c>
      <c r="B168" s="22" t="s">
        <v>824</v>
      </c>
    </row>
    <row r="169">
      <c r="A169" s="22" t="s">
        <v>181</v>
      </c>
      <c r="B169" s="22" t="s">
        <v>825</v>
      </c>
    </row>
    <row r="170">
      <c r="A170" s="22" t="s">
        <v>182</v>
      </c>
      <c r="B170" s="22" t="s">
        <v>826</v>
      </c>
    </row>
    <row r="171">
      <c r="A171" s="22" t="s">
        <v>183</v>
      </c>
      <c r="B171" s="22" t="s">
        <v>827</v>
      </c>
    </row>
    <row r="172">
      <c r="A172" s="22" t="s">
        <v>184</v>
      </c>
      <c r="B172" s="22" t="s">
        <v>828</v>
      </c>
    </row>
    <row r="173">
      <c r="A173" s="22" t="s">
        <v>185</v>
      </c>
      <c r="B173" s="22" t="s">
        <v>829</v>
      </c>
    </row>
    <row r="174">
      <c r="A174" s="22" t="s">
        <v>88</v>
      </c>
      <c r="B174" s="22" t="s">
        <v>830</v>
      </c>
    </row>
    <row r="175">
      <c r="A175" s="22" t="s">
        <v>186</v>
      </c>
      <c r="B175" s="22" t="s">
        <v>831</v>
      </c>
    </row>
    <row r="176">
      <c r="A176" s="22" t="s">
        <v>187</v>
      </c>
      <c r="B176" s="22" t="s">
        <v>832</v>
      </c>
    </row>
    <row r="177">
      <c r="A177" s="22" t="s">
        <v>188</v>
      </c>
      <c r="B177" s="22" t="s">
        <v>833</v>
      </c>
    </row>
    <row r="178">
      <c r="A178" s="22" t="s">
        <v>189</v>
      </c>
      <c r="B178" s="22" t="s">
        <v>834</v>
      </c>
    </row>
    <row r="179">
      <c r="A179" s="22" t="s">
        <v>190</v>
      </c>
      <c r="B179" s="22" t="s">
        <v>835</v>
      </c>
    </row>
    <row r="180">
      <c r="A180" s="22" t="s">
        <v>191</v>
      </c>
      <c r="B180" s="22" t="s">
        <v>836</v>
      </c>
    </row>
    <row r="181">
      <c r="A181" s="22" t="s">
        <v>192</v>
      </c>
      <c r="B181" s="22" t="s">
        <v>837</v>
      </c>
    </row>
    <row r="182">
      <c r="A182" s="22" t="s">
        <v>193</v>
      </c>
      <c r="B182" s="22" t="s">
        <v>838</v>
      </c>
    </row>
    <row r="183">
      <c r="A183" s="22" t="s">
        <v>194</v>
      </c>
      <c r="B183" s="22" t="s">
        <v>839</v>
      </c>
    </row>
    <row r="184">
      <c r="A184" s="22" t="s">
        <v>195</v>
      </c>
      <c r="B184" s="22" t="s">
        <v>840</v>
      </c>
    </row>
    <row r="185">
      <c r="A185" s="22" t="s">
        <v>196</v>
      </c>
      <c r="B185" s="22" t="s">
        <v>841</v>
      </c>
    </row>
    <row r="186">
      <c r="A186" s="22" t="s">
        <v>197</v>
      </c>
      <c r="B186" s="22" t="s">
        <v>842</v>
      </c>
    </row>
    <row r="187">
      <c r="A187" s="22" t="s">
        <v>198</v>
      </c>
      <c r="B187" s="22" t="s">
        <v>843</v>
      </c>
    </row>
    <row r="188">
      <c r="A188" s="22" t="s">
        <v>199</v>
      </c>
      <c r="B188" s="22" t="s">
        <v>844</v>
      </c>
    </row>
    <row r="189">
      <c r="A189" s="22" t="s">
        <v>200</v>
      </c>
      <c r="B189" s="22" t="s">
        <v>845</v>
      </c>
    </row>
    <row r="190">
      <c r="A190" s="22" t="s">
        <v>201</v>
      </c>
      <c r="B190" s="22" t="s">
        <v>846</v>
      </c>
    </row>
    <row r="191">
      <c r="A191" s="22" t="s">
        <v>202</v>
      </c>
      <c r="B191" s="22" t="s">
        <v>847</v>
      </c>
    </row>
    <row r="192">
      <c r="A192" s="22" t="s">
        <v>203</v>
      </c>
      <c r="B192" s="22" t="s">
        <v>848</v>
      </c>
    </row>
    <row r="193">
      <c r="A193" s="22" t="s">
        <v>204</v>
      </c>
      <c r="B193" s="22" t="s">
        <v>849</v>
      </c>
    </row>
    <row r="194">
      <c r="A194" s="22" t="s">
        <v>205</v>
      </c>
      <c r="B194" s="22" t="s">
        <v>850</v>
      </c>
    </row>
    <row r="195">
      <c r="A195" s="22" t="s">
        <v>206</v>
      </c>
      <c r="B195" s="22" t="s">
        <v>851</v>
      </c>
    </row>
    <row r="196">
      <c r="A196" s="22" t="s">
        <v>207</v>
      </c>
      <c r="B196" s="22" t="s">
        <v>852</v>
      </c>
    </row>
    <row r="197">
      <c r="A197" s="22" t="s">
        <v>208</v>
      </c>
      <c r="B197" s="22" t="s">
        <v>853</v>
      </c>
    </row>
    <row r="198">
      <c r="A198" s="22" t="s">
        <v>209</v>
      </c>
      <c r="B198" s="22" t="s">
        <v>854</v>
      </c>
    </row>
    <row r="199">
      <c r="A199" s="22" t="s">
        <v>210</v>
      </c>
      <c r="B199" s="22" t="s">
        <v>855</v>
      </c>
    </row>
    <row r="200">
      <c r="A200" s="22" t="s">
        <v>12</v>
      </c>
      <c r="B200" s="22" t="s">
        <v>856</v>
      </c>
    </row>
    <row r="201">
      <c r="A201" s="22" t="s">
        <v>211</v>
      </c>
      <c r="B201" s="22" t="s">
        <v>857</v>
      </c>
    </row>
    <row r="202">
      <c r="A202" s="22" t="s">
        <v>212</v>
      </c>
      <c r="B202" s="22" t="s">
        <v>858</v>
      </c>
    </row>
    <row r="203">
      <c r="A203" s="22" t="s">
        <v>213</v>
      </c>
      <c r="B203" s="22" t="s">
        <v>859</v>
      </c>
    </row>
    <row r="204">
      <c r="A204" s="22" t="s">
        <v>214</v>
      </c>
      <c r="B204" s="22" t="s">
        <v>860</v>
      </c>
    </row>
    <row r="205">
      <c r="A205" s="22" t="s">
        <v>215</v>
      </c>
      <c r="B205" s="22" t="s">
        <v>861</v>
      </c>
    </row>
    <row r="206">
      <c r="A206" s="22" t="s">
        <v>216</v>
      </c>
      <c r="B206" s="22" t="s">
        <v>862</v>
      </c>
    </row>
    <row r="207">
      <c r="A207" s="22" t="s">
        <v>217</v>
      </c>
      <c r="B207" s="22" t="s">
        <v>863</v>
      </c>
    </row>
    <row r="208">
      <c r="A208" s="22" t="s">
        <v>218</v>
      </c>
      <c r="B208" s="22" t="s">
        <v>864</v>
      </c>
    </row>
    <row r="209">
      <c r="A209" s="22" t="s">
        <v>219</v>
      </c>
      <c r="B209" s="22" t="s">
        <v>865</v>
      </c>
    </row>
    <row r="210">
      <c r="A210" s="22" t="s">
        <v>220</v>
      </c>
      <c r="B210" s="22" t="s">
        <v>866</v>
      </c>
    </row>
    <row r="211">
      <c r="A211" s="22" t="s">
        <v>221</v>
      </c>
      <c r="B211" s="22" t="s">
        <v>867</v>
      </c>
    </row>
    <row r="212">
      <c r="A212" s="22" t="s">
        <v>222</v>
      </c>
      <c r="B212" s="22" t="s">
        <v>868</v>
      </c>
    </row>
    <row r="213">
      <c r="A213" s="22" t="s">
        <v>223</v>
      </c>
      <c r="B213" s="22" t="s">
        <v>869</v>
      </c>
    </row>
    <row r="214">
      <c r="A214" s="22" t="s">
        <v>224</v>
      </c>
      <c r="B214" s="22" t="s">
        <v>870</v>
      </c>
    </row>
    <row r="215">
      <c r="A215" s="22" t="s">
        <v>225</v>
      </c>
      <c r="B215" s="22" t="s">
        <v>871</v>
      </c>
    </row>
    <row r="216">
      <c r="A216" s="22" t="s">
        <v>226</v>
      </c>
      <c r="B216" s="22" t="s">
        <v>872</v>
      </c>
    </row>
    <row r="217">
      <c r="A217" s="22" t="s">
        <v>227</v>
      </c>
      <c r="B217" s="22" t="s">
        <v>873</v>
      </c>
    </row>
    <row r="218">
      <c r="A218" s="22" t="s">
        <v>228</v>
      </c>
      <c r="B218" s="22" t="s">
        <v>874</v>
      </c>
    </row>
    <row r="219">
      <c r="A219" s="22" t="s">
        <v>229</v>
      </c>
      <c r="B219" s="22" t="s">
        <v>875</v>
      </c>
    </row>
    <row r="220">
      <c r="A220" s="22" t="s">
        <v>230</v>
      </c>
      <c r="B220" s="22" t="s">
        <v>876</v>
      </c>
    </row>
    <row r="221">
      <c r="A221" s="22" t="s">
        <v>231</v>
      </c>
      <c r="B221" s="22" t="s">
        <v>877</v>
      </c>
    </row>
    <row r="222">
      <c r="A222" s="22" t="s">
        <v>39</v>
      </c>
      <c r="B222" s="22" t="s">
        <v>878</v>
      </c>
    </row>
    <row r="223">
      <c r="A223" s="22" t="s">
        <v>232</v>
      </c>
      <c r="B223" s="22" t="s">
        <v>879</v>
      </c>
    </row>
    <row r="224">
      <c r="A224" s="22" t="s">
        <v>233</v>
      </c>
      <c r="B224" s="22" t="s">
        <v>880</v>
      </c>
    </row>
    <row r="225">
      <c r="A225" s="22" t="s">
        <v>234</v>
      </c>
      <c r="B225" s="22" t="s">
        <v>881</v>
      </c>
    </row>
    <row r="226">
      <c r="A226" s="22" t="s">
        <v>235</v>
      </c>
      <c r="B226" s="22" t="s">
        <v>882</v>
      </c>
    </row>
    <row r="227">
      <c r="A227" s="22" t="s">
        <v>236</v>
      </c>
      <c r="B227" s="22" t="s">
        <v>883</v>
      </c>
    </row>
    <row r="228">
      <c r="A228" s="22" t="s">
        <v>237</v>
      </c>
      <c r="B228" s="22" t="s">
        <v>884</v>
      </c>
    </row>
    <row r="229">
      <c r="A229" s="22" t="s">
        <v>238</v>
      </c>
      <c r="B229" s="22" t="s">
        <v>885</v>
      </c>
    </row>
    <row r="230">
      <c r="A230" s="22" t="s">
        <v>239</v>
      </c>
      <c r="B230" s="22" t="s">
        <v>886</v>
      </c>
    </row>
    <row r="231">
      <c r="A231" s="22" t="s">
        <v>240</v>
      </c>
      <c r="B231" s="22" t="s">
        <v>887</v>
      </c>
    </row>
    <row r="232">
      <c r="A232" s="22" t="s">
        <v>241</v>
      </c>
      <c r="B232" s="22" t="s">
        <v>888</v>
      </c>
    </row>
    <row r="233">
      <c r="A233" s="22" t="s">
        <v>242</v>
      </c>
      <c r="B233" s="22" t="s">
        <v>889</v>
      </c>
    </row>
    <row r="234">
      <c r="A234" s="22" t="s">
        <v>243</v>
      </c>
      <c r="B234" s="22" t="s">
        <v>890</v>
      </c>
    </row>
    <row r="235">
      <c r="A235" s="22" t="s">
        <v>244</v>
      </c>
      <c r="B235" s="22" t="s">
        <v>891</v>
      </c>
    </row>
    <row r="236">
      <c r="A236" s="22" t="s">
        <v>245</v>
      </c>
      <c r="B236" s="22" t="s">
        <v>892</v>
      </c>
    </row>
    <row r="237">
      <c r="A237" s="22" t="s">
        <v>246</v>
      </c>
      <c r="B237" s="22" t="s">
        <v>893</v>
      </c>
    </row>
    <row r="238">
      <c r="A238" s="22" t="s">
        <v>247</v>
      </c>
      <c r="B238" s="22" t="s">
        <v>894</v>
      </c>
    </row>
    <row r="239">
      <c r="A239" s="22" t="s">
        <v>248</v>
      </c>
      <c r="B239" s="22" t="s">
        <v>895</v>
      </c>
    </row>
    <row r="240">
      <c r="A240" s="22" t="s">
        <v>249</v>
      </c>
      <c r="B240" s="22" t="s">
        <v>896</v>
      </c>
    </row>
    <row r="241">
      <c r="A241" s="22" t="s">
        <v>250</v>
      </c>
      <c r="B241" s="22" t="s">
        <v>897</v>
      </c>
    </row>
    <row r="242">
      <c r="A242" s="22" t="s">
        <v>251</v>
      </c>
      <c r="B242" s="22" t="s">
        <v>898</v>
      </c>
    </row>
    <row r="243">
      <c r="A243" s="22" t="s">
        <v>252</v>
      </c>
      <c r="B243" s="22" t="s">
        <v>899</v>
      </c>
    </row>
    <row r="244">
      <c r="A244" s="22" t="s">
        <v>253</v>
      </c>
      <c r="B244" s="22" t="s">
        <v>900</v>
      </c>
    </row>
    <row r="245">
      <c r="A245" s="22" t="s">
        <v>254</v>
      </c>
      <c r="B245" s="22" t="s">
        <v>901</v>
      </c>
    </row>
    <row r="246">
      <c r="A246" s="22" t="s">
        <v>255</v>
      </c>
      <c r="B246" s="22" t="s">
        <v>902</v>
      </c>
    </row>
    <row r="247">
      <c r="A247" s="22" t="s">
        <v>256</v>
      </c>
      <c r="B247" s="22" t="s">
        <v>903</v>
      </c>
    </row>
    <row r="248">
      <c r="A248" s="22" t="s">
        <v>257</v>
      </c>
      <c r="B248" s="22" t="s">
        <v>904</v>
      </c>
    </row>
    <row r="249">
      <c r="A249" s="22" t="s">
        <v>258</v>
      </c>
      <c r="B249" s="22" t="s">
        <v>905</v>
      </c>
    </row>
    <row r="250">
      <c r="A250" s="22" t="s">
        <v>259</v>
      </c>
      <c r="B250" s="22" t="s">
        <v>906</v>
      </c>
    </row>
    <row r="251">
      <c r="A251" s="22" t="s">
        <v>260</v>
      </c>
      <c r="B251" s="22" t="s">
        <v>907</v>
      </c>
    </row>
    <row r="252">
      <c r="A252" s="22" t="s">
        <v>261</v>
      </c>
      <c r="B252" s="22" t="s">
        <v>908</v>
      </c>
    </row>
    <row r="253">
      <c r="A253" s="22" t="s">
        <v>262</v>
      </c>
      <c r="B253" s="22" t="s">
        <v>909</v>
      </c>
    </row>
    <row r="254">
      <c r="A254" s="22" t="s">
        <v>263</v>
      </c>
      <c r="B254" s="22" t="s">
        <v>910</v>
      </c>
    </row>
    <row r="255">
      <c r="A255" s="22" t="s">
        <v>264</v>
      </c>
      <c r="B255" s="22" t="s">
        <v>911</v>
      </c>
    </row>
    <row r="256">
      <c r="A256" s="22" t="s">
        <v>265</v>
      </c>
      <c r="B256" s="22" t="s">
        <v>912</v>
      </c>
    </row>
    <row r="257">
      <c r="A257" s="22" t="s">
        <v>266</v>
      </c>
      <c r="B257" s="22" t="s">
        <v>913</v>
      </c>
    </row>
    <row r="258">
      <c r="A258" s="22" t="s">
        <v>267</v>
      </c>
      <c r="B258" s="22" t="s">
        <v>914</v>
      </c>
    </row>
    <row r="259">
      <c r="A259" s="22" t="s">
        <v>268</v>
      </c>
      <c r="B259" s="22" t="s">
        <v>915</v>
      </c>
    </row>
    <row r="260">
      <c r="A260" s="22" t="s">
        <v>269</v>
      </c>
      <c r="B260" s="22" t="s">
        <v>916</v>
      </c>
    </row>
    <row r="261">
      <c r="A261" s="22" t="s">
        <v>270</v>
      </c>
      <c r="B261" s="22" t="s">
        <v>917</v>
      </c>
    </row>
    <row r="262">
      <c r="A262" s="22" t="s">
        <v>271</v>
      </c>
      <c r="B262" s="22" t="s">
        <v>918</v>
      </c>
    </row>
    <row r="263">
      <c r="A263" s="22" t="s">
        <v>272</v>
      </c>
      <c r="B263" s="22" t="s">
        <v>919</v>
      </c>
    </row>
    <row r="264">
      <c r="A264" s="22" t="s">
        <v>273</v>
      </c>
      <c r="B264" s="22" t="s">
        <v>920</v>
      </c>
    </row>
    <row r="265">
      <c r="A265" s="22" t="s">
        <v>274</v>
      </c>
      <c r="B265" s="22" t="s">
        <v>921</v>
      </c>
    </row>
    <row r="266">
      <c r="A266" s="22" t="s">
        <v>275</v>
      </c>
      <c r="B266" s="22" t="s">
        <v>922</v>
      </c>
    </row>
    <row r="267">
      <c r="A267" s="22" t="s">
        <v>276</v>
      </c>
      <c r="B267" s="22" t="s">
        <v>923</v>
      </c>
    </row>
    <row r="268">
      <c r="A268" s="22" t="s">
        <v>277</v>
      </c>
      <c r="B268" s="22" t="s">
        <v>924</v>
      </c>
    </row>
    <row r="269">
      <c r="A269" s="22" t="s">
        <v>278</v>
      </c>
      <c r="B269" s="22" t="s">
        <v>925</v>
      </c>
    </row>
    <row r="270">
      <c r="A270" s="22" t="s">
        <v>279</v>
      </c>
      <c r="B270" s="22" t="s">
        <v>926</v>
      </c>
    </row>
    <row r="271">
      <c r="A271" s="22" t="s">
        <v>280</v>
      </c>
      <c r="B271" s="22" t="s">
        <v>927</v>
      </c>
    </row>
    <row r="272">
      <c r="A272" s="22" t="s">
        <v>281</v>
      </c>
      <c r="B272" s="22" t="s">
        <v>928</v>
      </c>
    </row>
    <row r="273">
      <c r="A273" s="22" t="s">
        <v>42</v>
      </c>
      <c r="B273" s="22" t="s">
        <v>929</v>
      </c>
    </row>
    <row r="274">
      <c r="A274" s="22" t="s">
        <v>282</v>
      </c>
      <c r="B274" s="22" t="s">
        <v>930</v>
      </c>
    </row>
    <row r="275">
      <c r="A275" s="22" t="s">
        <v>60</v>
      </c>
      <c r="B275" s="22" t="s">
        <v>931</v>
      </c>
    </row>
    <row r="276">
      <c r="A276" s="22" t="s">
        <v>43</v>
      </c>
      <c r="B276" s="22" t="s">
        <v>932</v>
      </c>
    </row>
    <row r="277">
      <c r="A277" s="22" t="s">
        <v>283</v>
      </c>
      <c r="B277" s="22" t="s">
        <v>933</v>
      </c>
    </row>
    <row r="278">
      <c r="A278" s="22" t="s">
        <v>89</v>
      </c>
      <c r="B278" s="22" t="s">
        <v>934</v>
      </c>
    </row>
    <row r="279">
      <c r="A279" s="22" t="s">
        <v>14</v>
      </c>
      <c r="B279" s="22" t="s">
        <v>935</v>
      </c>
    </row>
    <row r="280">
      <c r="A280" s="22" t="s">
        <v>99</v>
      </c>
      <c r="B280" s="22" t="s">
        <v>936</v>
      </c>
    </row>
    <row r="281">
      <c r="A281" s="22" t="s">
        <v>284</v>
      </c>
      <c r="B281" s="22" t="s">
        <v>937</v>
      </c>
    </row>
    <row r="282">
      <c r="A282" s="22" t="s">
        <v>285</v>
      </c>
      <c r="B282" s="22" t="s">
        <v>938</v>
      </c>
    </row>
    <row r="283">
      <c r="A283" s="22" t="s">
        <v>286</v>
      </c>
      <c r="B283" s="22" t="s">
        <v>939</v>
      </c>
    </row>
    <row r="284">
      <c r="A284" s="22" t="s">
        <v>287</v>
      </c>
      <c r="B284" s="22" t="s">
        <v>940</v>
      </c>
    </row>
    <row r="285">
      <c r="A285" s="22" t="s">
        <v>288</v>
      </c>
      <c r="B285" s="22" t="s">
        <v>941</v>
      </c>
    </row>
    <row r="286">
      <c r="A286" s="22" t="s">
        <v>100</v>
      </c>
      <c r="B286" s="22" t="s">
        <v>942</v>
      </c>
    </row>
    <row r="287">
      <c r="A287" s="22" t="s">
        <v>289</v>
      </c>
      <c r="B287" s="22" t="s">
        <v>943</v>
      </c>
    </row>
    <row r="288">
      <c r="A288" s="22" t="s">
        <v>290</v>
      </c>
      <c r="B288" s="22" t="s">
        <v>944</v>
      </c>
    </row>
    <row r="289">
      <c r="A289" s="22" t="s">
        <v>50</v>
      </c>
      <c r="B289" s="22" t="s">
        <v>945</v>
      </c>
    </row>
    <row r="290">
      <c r="A290" s="22" t="s">
        <v>291</v>
      </c>
      <c r="B290" s="22" t="s">
        <v>946</v>
      </c>
    </row>
    <row r="291">
      <c r="A291" s="22" t="s">
        <v>9</v>
      </c>
      <c r="B291" s="22" t="s">
        <v>947</v>
      </c>
    </row>
    <row r="292">
      <c r="A292" s="22" t="s">
        <v>292</v>
      </c>
      <c r="B292" s="22" t="s">
        <v>948</v>
      </c>
    </row>
    <row r="293">
      <c r="A293" s="22" t="s">
        <v>293</v>
      </c>
      <c r="B293" s="22" t="s">
        <v>949</v>
      </c>
    </row>
    <row r="294">
      <c r="A294" s="22" t="s">
        <v>44</v>
      </c>
      <c r="B294" s="22" t="s">
        <v>950</v>
      </c>
    </row>
    <row r="295">
      <c r="A295" s="22" t="s">
        <v>33</v>
      </c>
      <c r="B295" s="22" t="s">
        <v>951</v>
      </c>
    </row>
    <row r="296">
      <c r="A296" s="22" t="s">
        <v>16</v>
      </c>
      <c r="B296" s="22" t="s">
        <v>952</v>
      </c>
    </row>
    <row r="297">
      <c r="A297" s="22" t="s">
        <v>24</v>
      </c>
      <c r="B297" s="22" t="s">
        <v>953</v>
      </c>
    </row>
    <row r="298">
      <c r="A298" s="22" t="s">
        <v>294</v>
      </c>
      <c r="B298" s="22" t="s">
        <v>954</v>
      </c>
    </row>
    <row r="299">
      <c r="A299" s="22" t="s">
        <v>295</v>
      </c>
      <c r="B299" s="22" t="s">
        <v>955</v>
      </c>
    </row>
    <row r="300">
      <c r="A300" s="22" t="s">
        <v>296</v>
      </c>
      <c r="B300" s="22" t="s">
        <v>956</v>
      </c>
    </row>
    <row r="301">
      <c r="A301" s="22" t="s">
        <v>92</v>
      </c>
      <c r="B301" s="22" t="s">
        <v>957</v>
      </c>
    </row>
    <row r="302">
      <c r="A302" s="22" t="s">
        <v>62</v>
      </c>
      <c r="B302" s="22" t="s">
        <v>958</v>
      </c>
    </row>
    <row r="303">
      <c r="A303" s="22" t="s">
        <v>297</v>
      </c>
      <c r="B303" s="22" t="s">
        <v>959</v>
      </c>
    </row>
    <row r="304">
      <c r="A304" s="22" t="s">
        <v>298</v>
      </c>
      <c r="B304" s="22" t="s">
        <v>960</v>
      </c>
    </row>
    <row r="305">
      <c r="A305" s="22" t="s">
        <v>63</v>
      </c>
      <c r="B305" s="22" t="s">
        <v>961</v>
      </c>
    </row>
    <row r="306">
      <c r="A306" s="22" t="s">
        <v>299</v>
      </c>
      <c r="B306" s="22" t="s">
        <v>962</v>
      </c>
    </row>
    <row r="307">
      <c r="A307" s="22" t="s">
        <v>300</v>
      </c>
      <c r="B307" s="22" t="s">
        <v>963</v>
      </c>
    </row>
    <row r="308">
      <c r="A308" s="22" t="s">
        <v>301</v>
      </c>
      <c r="B308" s="22" t="s">
        <v>964</v>
      </c>
    </row>
    <row r="309">
      <c r="A309" s="22" t="s">
        <v>41</v>
      </c>
      <c r="B309" s="22" t="s">
        <v>965</v>
      </c>
    </row>
    <row r="310">
      <c r="A310" s="22" t="s">
        <v>302</v>
      </c>
      <c r="B310" s="22" t="s">
        <v>966</v>
      </c>
    </row>
    <row r="311">
      <c r="A311" s="22" t="s">
        <v>57</v>
      </c>
      <c r="B311" s="22" t="s">
        <v>967</v>
      </c>
    </row>
    <row r="312">
      <c r="A312" s="22" t="s">
        <v>303</v>
      </c>
      <c r="B312" s="22" t="s">
        <v>968</v>
      </c>
    </row>
    <row r="313">
      <c r="A313" s="22" t="s">
        <v>304</v>
      </c>
      <c r="B313" s="22" t="s">
        <v>969</v>
      </c>
    </row>
    <row r="314">
      <c r="A314" s="22" t="s">
        <v>31</v>
      </c>
      <c r="B314" s="22" t="s">
        <v>970</v>
      </c>
    </row>
    <row r="315">
      <c r="A315" s="22" t="s">
        <v>305</v>
      </c>
      <c r="B315" s="22" t="s">
        <v>971</v>
      </c>
    </row>
    <row r="316">
      <c r="A316" s="22" t="s">
        <v>306</v>
      </c>
      <c r="B316" s="22" t="s">
        <v>972</v>
      </c>
    </row>
    <row r="317">
      <c r="A317" s="22" t="s">
        <v>307</v>
      </c>
      <c r="B317" s="22" t="s">
        <v>973</v>
      </c>
    </row>
    <row r="318">
      <c r="A318" s="22" t="s">
        <v>308</v>
      </c>
      <c r="B318" s="22" t="s">
        <v>974</v>
      </c>
    </row>
    <row r="319">
      <c r="A319" s="22" t="s">
        <v>29</v>
      </c>
      <c r="B319" s="22" t="s">
        <v>975</v>
      </c>
    </row>
    <row r="320">
      <c r="A320" s="22" t="s">
        <v>309</v>
      </c>
      <c r="B320" s="22" t="s">
        <v>976</v>
      </c>
    </row>
    <row r="321">
      <c r="A321" s="22" t="s">
        <v>38</v>
      </c>
      <c r="B321" s="22" t="s">
        <v>977</v>
      </c>
    </row>
    <row r="322">
      <c r="A322" s="22" t="s">
        <v>310</v>
      </c>
      <c r="B322" s="22" t="s">
        <v>978</v>
      </c>
    </row>
    <row r="323">
      <c r="A323" s="22" t="s">
        <v>311</v>
      </c>
      <c r="B323" s="22" t="s">
        <v>979</v>
      </c>
    </row>
    <row r="324">
      <c r="A324" s="22" t="s">
        <v>312</v>
      </c>
      <c r="B324" s="22" t="s">
        <v>980</v>
      </c>
    </row>
    <row r="325">
      <c r="A325" s="22" t="s">
        <v>313</v>
      </c>
      <c r="B325" s="22" t="s">
        <v>981</v>
      </c>
    </row>
    <row r="326">
      <c r="A326" s="22" t="s">
        <v>314</v>
      </c>
      <c r="B326" s="22" t="s">
        <v>982</v>
      </c>
    </row>
    <row r="327">
      <c r="A327" s="22" t="s">
        <v>64</v>
      </c>
      <c r="B327" s="22" t="s">
        <v>983</v>
      </c>
    </row>
    <row r="328">
      <c r="A328" s="22" t="s">
        <v>45</v>
      </c>
      <c r="B328" s="22" t="s">
        <v>984</v>
      </c>
    </row>
    <row r="329">
      <c r="A329" s="22" t="s">
        <v>315</v>
      </c>
      <c r="B329" s="22" t="s">
        <v>985</v>
      </c>
    </row>
    <row r="330">
      <c r="A330" s="22" t="s">
        <v>316</v>
      </c>
      <c r="B330" s="22" t="s">
        <v>986</v>
      </c>
    </row>
    <row r="331">
      <c r="A331" s="22" t="s">
        <v>317</v>
      </c>
      <c r="B331" s="22" t="s">
        <v>987</v>
      </c>
    </row>
    <row r="332">
      <c r="A332" s="22" t="s">
        <v>318</v>
      </c>
      <c r="B332" s="22" t="s">
        <v>988</v>
      </c>
    </row>
    <row r="333">
      <c r="A333" s="22" t="s">
        <v>319</v>
      </c>
      <c r="B333" s="22" t="s">
        <v>989</v>
      </c>
    </row>
    <row r="334">
      <c r="A334" s="22" t="s">
        <v>320</v>
      </c>
      <c r="B334" s="22" t="s">
        <v>990</v>
      </c>
    </row>
    <row r="335">
      <c r="A335" s="22" t="s">
        <v>321</v>
      </c>
      <c r="B335" s="22" t="s">
        <v>991</v>
      </c>
    </row>
    <row r="336">
      <c r="A336" s="22" t="s">
        <v>322</v>
      </c>
      <c r="B336" s="22" t="s">
        <v>992</v>
      </c>
    </row>
    <row r="337">
      <c r="A337" s="22" t="s">
        <v>323</v>
      </c>
      <c r="B337" s="22" t="s">
        <v>993</v>
      </c>
    </row>
    <row r="338">
      <c r="A338" s="22" t="s">
        <v>324</v>
      </c>
      <c r="B338" s="22" t="s">
        <v>994</v>
      </c>
    </row>
    <row r="339">
      <c r="A339" s="22" t="s">
        <v>325</v>
      </c>
      <c r="B339" s="22" t="s">
        <v>995</v>
      </c>
    </row>
    <row r="340">
      <c r="A340" s="22" t="s">
        <v>326</v>
      </c>
      <c r="B340" s="22" t="s">
        <v>996</v>
      </c>
    </row>
    <row r="341">
      <c r="A341" s="22" t="s">
        <v>327</v>
      </c>
      <c r="B341" s="22" t="s">
        <v>997</v>
      </c>
    </row>
    <row r="342">
      <c r="A342" s="22" t="s">
        <v>328</v>
      </c>
      <c r="B342" s="22" t="s">
        <v>998</v>
      </c>
    </row>
    <row r="343">
      <c r="A343" s="22" t="s">
        <v>329</v>
      </c>
      <c r="B343" s="22" t="s">
        <v>999</v>
      </c>
    </row>
    <row r="344">
      <c r="A344" s="22" t="s">
        <v>330</v>
      </c>
      <c r="B344" s="22" t="s">
        <v>1000</v>
      </c>
    </row>
    <row r="345">
      <c r="A345" s="22" t="s">
        <v>331</v>
      </c>
      <c r="B345" s="22" t="s">
        <v>1001</v>
      </c>
    </row>
    <row r="346">
      <c r="A346" s="22" t="s">
        <v>97</v>
      </c>
      <c r="B346" s="22" t="s">
        <v>1002</v>
      </c>
    </row>
    <row r="347">
      <c r="A347" s="22" t="s">
        <v>332</v>
      </c>
      <c r="B347" s="22" t="s">
        <v>1003</v>
      </c>
    </row>
    <row r="348">
      <c r="A348" s="22" t="s">
        <v>333</v>
      </c>
      <c r="B348" s="22" t="s">
        <v>1004</v>
      </c>
    </row>
    <row r="349">
      <c r="A349" s="22" t="s">
        <v>90</v>
      </c>
      <c r="B349" s="22" t="s">
        <v>1005</v>
      </c>
    </row>
    <row r="350">
      <c r="A350" s="22" t="s">
        <v>334</v>
      </c>
      <c r="B350" s="22" t="s">
        <v>1006</v>
      </c>
    </row>
    <row r="351">
      <c r="A351" s="22" t="s">
        <v>335</v>
      </c>
      <c r="B351" s="22" t="s">
        <v>1007</v>
      </c>
    </row>
    <row r="352">
      <c r="A352" s="22" t="s">
        <v>336</v>
      </c>
      <c r="B352" s="22" t="s">
        <v>1008</v>
      </c>
    </row>
    <row r="353">
      <c r="A353" s="22" t="s">
        <v>337</v>
      </c>
      <c r="B353" s="22" t="s">
        <v>1009</v>
      </c>
    </row>
    <row r="354">
      <c r="A354" s="22" t="s">
        <v>37</v>
      </c>
      <c r="B354" s="22" t="s">
        <v>1010</v>
      </c>
    </row>
    <row r="355">
      <c r="A355" s="22" t="s">
        <v>98</v>
      </c>
      <c r="B355" s="22" t="s">
        <v>1011</v>
      </c>
    </row>
    <row r="356">
      <c r="A356" s="22" t="s">
        <v>338</v>
      </c>
      <c r="B356" s="22" t="s">
        <v>1012</v>
      </c>
    </row>
    <row r="357">
      <c r="A357" s="22" t="s">
        <v>35</v>
      </c>
      <c r="B357" s="22" t="s">
        <v>1013</v>
      </c>
    </row>
    <row r="358">
      <c r="A358" s="22" t="s">
        <v>339</v>
      </c>
      <c r="B358" s="22" t="s">
        <v>1014</v>
      </c>
    </row>
    <row r="359">
      <c r="A359" s="22" t="s">
        <v>340</v>
      </c>
      <c r="B359" s="22" t="s">
        <v>1015</v>
      </c>
    </row>
    <row r="360">
      <c r="A360" s="22" t="s">
        <v>341</v>
      </c>
      <c r="B360" s="22" t="s">
        <v>1016</v>
      </c>
    </row>
    <row r="361">
      <c r="A361" s="22" t="s">
        <v>342</v>
      </c>
      <c r="B361" s="22" t="s">
        <v>1017</v>
      </c>
    </row>
    <row r="362">
      <c r="A362" s="22" t="s">
        <v>343</v>
      </c>
      <c r="B362" s="22" t="s">
        <v>1018</v>
      </c>
    </row>
    <row r="363">
      <c r="A363" s="22" t="s">
        <v>344</v>
      </c>
      <c r="B363" s="22" t="s">
        <v>1019</v>
      </c>
    </row>
    <row r="364">
      <c r="A364" s="22" t="s">
        <v>345</v>
      </c>
      <c r="B364" s="22" t="s">
        <v>1020</v>
      </c>
    </row>
    <row r="365">
      <c r="A365" s="22" t="s">
        <v>346</v>
      </c>
      <c r="B365" s="22" t="s">
        <v>1021</v>
      </c>
    </row>
    <row r="366">
      <c r="A366" s="22" t="s">
        <v>347</v>
      </c>
      <c r="B366" s="22" t="s">
        <v>1022</v>
      </c>
    </row>
    <row r="367">
      <c r="A367" s="22" t="s">
        <v>348</v>
      </c>
      <c r="B367" s="22" t="s">
        <v>1023</v>
      </c>
    </row>
    <row r="368">
      <c r="A368" s="22" t="s">
        <v>349</v>
      </c>
      <c r="B368" s="22" t="s">
        <v>1024</v>
      </c>
    </row>
    <row r="369">
      <c r="A369" s="22" t="s">
        <v>350</v>
      </c>
      <c r="B369" s="22" t="s">
        <v>1025</v>
      </c>
    </row>
    <row r="370">
      <c r="A370" s="22" t="s">
        <v>351</v>
      </c>
      <c r="B370" s="22" t="s">
        <v>1026</v>
      </c>
    </row>
    <row r="371">
      <c r="A371" s="22" t="s">
        <v>352</v>
      </c>
      <c r="B371" s="22" t="s">
        <v>1027</v>
      </c>
    </row>
    <row r="372">
      <c r="A372" s="22" t="s">
        <v>353</v>
      </c>
      <c r="B372" s="22" t="s">
        <v>1028</v>
      </c>
    </row>
    <row r="373">
      <c r="A373" s="22" t="s">
        <v>354</v>
      </c>
      <c r="B373" s="22" t="s">
        <v>1029</v>
      </c>
    </row>
    <row r="374">
      <c r="A374" s="22" t="s">
        <v>355</v>
      </c>
      <c r="B374" s="22" t="s">
        <v>1030</v>
      </c>
    </row>
    <row r="375">
      <c r="A375" s="22" t="s">
        <v>356</v>
      </c>
      <c r="B375" s="22" t="s">
        <v>1031</v>
      </c>
    </row>
    <row r="376">
      <c r="A376" s="22" t="s">
        <v>357</v>
      </c>
      <c r="B376" s="22" t="s">
        <v>1032</v>
      </c>
    </row>
    <row r="377">
      <c r="A377" s="22" t="s">
        <v>358</v>
      </c>
      <c r="B377" s="22" t="s">
        <v>1033</v>
      </c>
    </row>
    <row r="378">
      <c r="A378" s="22" t="s">
        <v>359</v>
      </c>
      <c r="B378" s="22" t="s">
        <v>1034</v>
      </c>
    </row>
    <row r="379">
      <c r="A379" s="22" t="s">
        <v>360</v>
      </c>
      <c r="B379" s="22" t="s">
        <v>1035</v>
      </c>
    </row>
    <row r="380">
      <c r="A380" s="22" t="s">
        <v>361</v>
      </c>
      <c r="B380" s="22" t="s">
        <v>1036</v>
      </c>
    </row>
    <row r="381">
      <c r="A381" s="22" t="s">
        <v>362</v>
      </c>
      <c r="B381" s="22" t="s">
        <v>1037</v>
      </c>
    </row>
    <row r="382">
      <c r="A382" s="22" t="s">
        <v>363</v>
      </c>
      <c r="B382" s="22" t="s">
        <v>1038</v>
      </c>
    </row>
    <row r="383">
      <c r="A383" s="22" t="s">
        <v>364</v>
      </c>
      <c r="B383" s="22" t="s">
        <v>1039</v>
      </c>
    </row>
    <row r="384">
      <c r="A384" s="22" t="s">
        <v>365</v>
      </c>
      <c r="B384" s="22" t="s">
        <v>1040</v>
      </c>
    </row>
    <row r="385">
      <c r="A385" s="22" t="s">
        <v>366</v>
      </c>
      <c r="B385" s="22" t="s">
        <v>1041</v>
      </c>
    </row>
    <row r="386">
      <c r="A386" s="22" t="s">
        <v>367</v>
      </c>
      <c r="B386" s="22" t="s">
        <v>1042</v>
      </c>
    </row>
    <row r="387">
      <c r="A387" s="22" t="s">
        <v>368</v>
      </c>
      <c r="B387" s="22" t="s">
        <v>1043</v>
      </c>
    </row>
    <row r="388">
      <c r="A388" s="22" t="s">
        <v>369</v>
      </c>
      <c r="B388" s="22" t="s">
        <v>1044</v>
      </c>
    </row>
    <row r="389">
      <c r="A389" s="22" t="s">
        <v>370</v>
      </c>
      <c r="B389" s="22" t="s">
        <v>1045</v>
      </c>
    </row>
    <row r="390">
      <c r="A390" s="22" t="s">
        <v>371</v>
      </c>
      <c r="B390" s="22" t="s">
        <v>1046</v>
      </c>
    </row>
    <row r="391">
      <c r="A391" s="22" t="s">
        <v>372</v>
      </c>
      <c r="B391" s="22" t="s">
        <v>1047</v>
      </c>
    </row>
    <row r="392">
      <c r="A392" s="22" t="s">
        <v>373</v>
      </c>
      <c r="B392" s="22" t="s">
        <v>1048</v>
      </c>
    </row>
    <row r="393">
      <c r="A393" s="22" t="s">
        <v>374</v>
      </c>
      <c r="B393" s="22" t="s">
        <v>1049</v>
      </c>
    </row>
    <row r="394">
      <c r="A394" s="22" t="s">
        <v>375</v>
      </c>
      <c r="B394" s="22" t="s">
        <v>1050</v>
      </c>
    </row>
    <row r="395">
      <c r="A395" s="22" t="s">
        <v>376</v>
      </c>
      <c r="B395" s="22" t="s">
        <v>1051</v>
      </c>
    </row>
    <row r="396">
      <c r="A396" s="22" t="s">
        <v>65</v>
      </c>
      <c r="B396" s="22" t="s">
        <v>1052</v>
      </c>
    </row>
    <row r="397">
      <c r="A397" s="22" t="s">
        <v>377</v>
      </c>
      <c r="B397" s="22" t="s">
        <v>1053</v>
      </c>
    </row>
    <row r="398">
      <c r="A398" s="22" t="s">
        <v>378</v>
      </c>
      <c r="B398" s="22" t="s">
        <v>1054</v>
      </c>
    </row>
    <row r="399">
      <c r="A399" s="22" t="s">
        <v>379</v>
      </c>
      <c r="B399" s="22" t="s">
        <v>1055</v>
      </c>
    </row>
    <row r="400">
      <c r="A400" s="22" t="s">
        <v>380</v>
      </c>
      <c r="B400" s="22" t="s">
        <v>1056</v>
      </c>
    </row>
    <row r="401">
      <c r="A401" s="22" t="s">
        <v>511</v>
      </c>
      <c r="B401" s="22" t="s">
        <v>1057</v>
      </c>
    </row>
    <row r="402">
      <c r="A402" s="22" t="s">
        <v>28</v>
      </c>
      <c r="B402" s="22" t="s">
        <v>1058</v>
      </c>
    </row>
    <row r="403">
      <c r="A403" s="22" t="s">
        <v>381</v>
      </c>
      <c r="B403" s="22" t="s">
        <v>1059</v>
      </c>
    </row>
    <row r="404">
      <c r="A404" s="22" t="s">
        <v>382</v>
      </c>
      <c r="B404" s="22" t="s">
        <v>1060</v>
      </c>
    </row>
    <row r="405">
      <c r="A405" s="22" t="s">
        <v>383</v>
      </c>
      <c r="B405" s="22" t="s">
        <v>1061</v>
      </c>
    </row>
    <row r="406">
      <c r="A406" s="22" t="s">
        <v>384</v>
      </c>
      <c r="B406" s="22" t="s">
        <v>1062</v>
      </c>
    </row>
    <row r="407">
      <c r="A407" s="22" t="s">
        <v>385</v>
      </c>
      <c r="B407" s="22" t="s">
        <v>1063</v>
      </c>
    </row>
    <row r="408">
      <c r="A408" s="22" t="s">
        <v>386</v>
      </c>
      <c r="B408" s="22" t="s">
        <v>1064</v>
      </c>
    </row>
    <row r="409">
      <c r="A409" s="22" t="s">
        <v>387</v>
      </c>
      <c r="B409" s="22" t="s">
        <v>1065</v>
      </c>
    </row>
    <row r="410">
      <c r="A410" s="22" t="s">
        <v>388</v>
      </c>
      <c r="B410" s="22" t="s">
        <v>1066</v>
      </c>
    </row>
    <row r="411">
      <c r="A411" s="22" t="s">
        <v>389</v>
      </c>
      <c r="B411" s="22" t="s">
        <v>1067</v>
      </c>
    </row>
    <row r="412">
      <c r="A412" s="22" t="s">
        <v>390</v>
      </c>
      <c r="B412" s="22" t="s">
        <v>1068</v>
      </c>
    </row>
    <row r="413">
      <c r="A413" s="22" t="s">
        <v>391</v>
      </c>
      <c r="B413" s="22" t="s">
        <v>1069</v>
      </c>
    </row>
    <row r="414">
      <c r="A414" s="22" t="s">
        <v>392</v>
      </c>
      <c r="B414" s="22" t="s">
        <v>1070</v>
      </c>
    </row>
    <row r="415">
      <c r="A415" s="22" t="s">
        <v>393</v>
      </c>
      <c r="B415" s="22" t="s">
        <v>1071</v>
      </c>
    </row>
    <row r="416">
      <c r="A416" s="22" t="s">
        <v>394</v>
      </c>
      <c r="B416" s="22" t="s">
        <v>1072</v>
      </c>
    </row>
    <row r="417">
      <c r="A417" s="22" t="s">
        <v>395</v>
      </c>
      <c r="B417" s="22" t="s">
        <v>1073</v>
      </c>
    </row>
    <row r="418">
      <c r="A418" s="22" t="s">
        <v>396</v>
      </c>
      <c r="B418" s="22" t="s">
        <v>1074</v>
      </c>
    </row>
    <row r="419">
      <c r="A419" s="22" t="s">
        <v>397</v>
      </c>
      <c r="B419" s="22" t="s">
        <v>1075</v>
      </c>
    </row>
    <row r="420">
      <c r="A420" s="22" t="s">
        <v>398</v>
      </c>
      <c r="B420" s="22" t="s">
        <v>1076</v>
      </c>
    </row>
    <row r="421">
      <c r="A421" s="22" t="s">
        <v>399</v>
      </c>
      <c r="B421" s="22" t="s">
        <v>1077</v>
      </c>
    </row>
    <row r="422">
      <c r="A422" s="22" t="s">
        <v>400</v>
      </c>
      <c r="B422" s="22" t="s">
        <v>1078</v>
      </c>
    </row>
    <row r="423">
      <c r="A423" s="22" t="s">
        <v>401</v>
      </c>
      <c r="B423" s="22" t="s">
        <v>1079</v>
      </c>
    </row>
    <row r="424">
      <c r="A424" s="22" t="s">
        <v>402</v>
      </c>
      <c r="B424" s="22" t="s">
        <v>1080</v>
      </c>
    </row>
    <row r="425">
      <c r="A425" s="22" t="s">
        <v>403</v>
      </c>
      <c r="B425" s="22" t="s">
        <v>1081</v>
      </c>
    </row>
    <row r="426">
      <c r="A426" s="22" t="s">
        <v>404</v>
      </c>
      <c r="B426" s="22" t="s">
        <v>1082</v>
      </c>
    </row>
    <row r="427">
      <c r="A427" s="22" t="s">
        <v>405</v>
      </c>
      <c r="B427" s="22" t="s">
        <v>1083</v>
      </c>
    </row>
    <row r="428">
      <c r="A428" s="22" t="s">
        <v>406</v>
      </c>
      <c r="B428" s="22" t="s">
        <v>1084</v>
      </c>
    </row>
    <row r="429">
      <c r="A429" s="22" t="s">
        <v>407</v>
      </c>
      <c r="B429" s="22" t="s">
        <v>1085</v>
      </c>
    </row>
    <row r="430">
      <c r="A430" s="22" t="s">
        <v>408</v>
      </c>
      <c r="B430" s="22" t="s">
        <v>1086</v>
      </c>
    </row>
    <row r="431">
      <c r="A431" s="22" t="s">
        <v>409</v>
      </c>
      <c r="B431" s="22" t="s">
        <v>1087</v>
      </c>
    </row>
    <row r="432">
      <c r="A432" s="22" t="s">
        <v>410</v>
      </c>
      <c r="B432" s="22" t="s">
        <v>1088</v>
      </c>
    </row>
    <row r="433">
      <c r="A433" s="22" t="s">
        <v>411</v>
      </c>
      <c r="B433" s="22" t="s">
        <v>1089</v>
      </c>
    </row>
    <row r="434">
      <c r="A434" s="22" t="s">
        <v>66</v>
      </c>
      <c r="B434" s="22" t="s">
        <v>1090</v>
      </c>
    </row>
    <row r="435">
      <c r="A435" s="22" t="s">
        <v>412</v>
      </c>
      <c r="B435" s="22" t="s">
        <v>1091</v>
      </c>
    </row>
    <row r="436">
      <c r="A436" s="22" t="s">
        <v>413</v>
      </c>
      <c r="B436" s="22" t="s">
        <v>1092</v>
      </c>
    </row>
    <row r="437">
      <c r="A437" s="22" t="s">
        <v>67</v>
      </c>
      <c r="B437" s="22" t="s">
        <v>1093</v>
      </c>
    </row>
    <row r="438">
      <c r="A438" s="22" t="s">
        <v>68</v>
      </c>
      <c r="B438" s="22" t="s">
        <v>1094</v>
      </c>
    </row>
    <row r="439">
      <c r="A439" s="22" t="s">
        <v>69</v>
      </c>
      <c r="B439" s="22" t="s">
        <v>1095</v>
      </c>
    </row>
    <row r="440">
      <c r="A440" s="22" t="s">
        <v>414</v>
      </c>
      <c r="B440" s="22" t="s">
        <v>1096</v>
      </c>
    </row>
    <row r="441">
      <c r="A441" s="22" t="s">
        <v>415</v>
      </c>
      <c r="B441" s="22" t="s">
        <v>1097</v>
      </c>
    </row>
    <row r="442">
      <c r="A442" s="22" t="s">
        <v>416</v>
      </c>
      <c r="B442" s="22" t="s">
        <v>1098</v>
      </c>
    </row>
    <row r="443">
      <c r="A443" s="22" t="s">
        <v>417</v>
      </c>
      <c r="B443" s="22" t="s">
        <v>1099</v>
      </c>
    </row>
    <row r="444">
      <c r="A444" s="22" t="s">
        <v>418</v>
      </c>
      <c r="B444" s="22" t="s">
        <v>1100</v>
      </c>
    </row>
    <row r="445">
      <c r="A445" s="22" t="s">
        <v>70</v>
      </c>
      <c r="B445" s="22" t="s">
        <v>1101</v>
      </c>
    </row>
    <row r="446">
      <c r="A446" s="22" t="s">
        <v>419</v>
      </c>
      <c r="B446" s="22" t="s">
        <v>1102</v>
      </c>
    </row>
    <row r="447">
      <c r="A447" s="22" t="s">
        <v>71</v>
      </c>
      <c r="B447" s="22" t="s">
        <v>1103</v>
      </c>
    </row>
    <row r="448">
      <c r="A448" s="22" t="s">
        <v>420</v>
      </c>
      <c r="B448" s="22" t="s">
        <v>1104</v>
      </c>
    </row>
    <row r="449">
      <c r="A449" s="22" t="s">
        <v>36</v>
      </c>
      <c r="B449" s="22" t="s">
        <v>1105</v>
      </c>
    </row>
    <row r="450">
      <c r="A450" s="22" t="s">
        <v>421</v>
      </c>
      <c r="B450" s="22" t="s">
        <v>1106</v>
      </c>
    </row>
    <row r="451">
      <c r="A451" s="22" t="s">
        <v>422</v>
      </c>
      <c r="B451" s="22" t="s">
        <v>1107</v>
      </c>
    </row>
    <row r="452">
      <c r="A452" s="22" t="s">
        <v>51</v>
      </c>
      <c r="B452" s="22" t="s">
        <v>1108</v>
      </c>
    </row>
    <row r="453">
      <c r="A453" s="22" t="s">
        <v>87</v>
      </c>
      <c r="B453" s="22" t="s">
        <v>1109</v>
      </c>
    </row>
    <row r="454">
      <c r="A454" s="22" t="s">
        <v>58</v>
      </c>
      <c r="B454" s="22" t="s">
        <v>1110</v>
      </c>
    </row>
    <row r="455">
      <c r="A455" s="22" t="s">
        <v>72</v>
      </c>
      <c r="B455" s="22" t="s">
        <v>1111</v>
      </c>
    </row>
    <row r="456">
      <c r="A456" s="22" t="s">
        <v>46</v>
      </c>
      <c r="B456" s="22" t="s">
        <v>1112</v>
      </c>
    </row>
    <row r="457">
      <c r="A457" s="22" t="s">
        <v>55</v>
      </c>
      <c r="B457" s="22" t="s">
        <v>1113</v>
      </c>
    </row>
    <row r="458">
      <c r="A458" s="22" t="s">
        <v>423</v>
      </c>
      <c r="B458" s="22" t="s">
        <v>1114</v>
      </c>
    </row>
    <row r="459">
      <c r="A459" s="22" t="s">
        <v>52</v>
      </c>
      <c r="B459" s="22" t="s">
        <v>1115</v>
      </c>
    </row>
    <row r="460">
      <c r="A460" s="22" t="s">
        <v>424</v>
      </c>
      <c r="B460" s="22" t="s">
        <v>1116</v>
      </c>
    </row>
    <row r="461">
      <c r="A461" s="22" t="s">
        <v>73</v>
      </c>
      <c r="B461" s="22" t="s">
        <v>1117</v>
      </c>
    </row>
    <row r="462">
      <c r="A462" s="22" t="s">
        <v>74</v>
      </c>
      <c r="B462" s="22" t="s">
        <v>1118</v>
      </c>
    </row>
    <row r="463">
      <c r="A463" s="22" t="s">
        <v>425</v>
      </c>
      <c r="B463" s="22" t="s">
        <v>1119</v>
      </c>
    </row>
    <row r="464">
      <c r="A464" s="22" t="s">
        <v>20</v>
      </c>
      <c r="B464" s="22" t="s">
        <v>1120</v>
      </c>
    </row>
    <row r="465">
      <c r="A465" s="22" t="s">
        <v>426</v>
      </c>
      <c r="B465" s="22" t="s">
        <v>1121</v>
      </c>
    </row>
    <row r="466">
      <c r="A466" s="22" t="s">
        <v>427</v>
      </c>
      <c r="B466" s="22" t="s">
        <v>1122</v>
      </c>
    </row>
    <row r="467">
      <c r="A467" s="22" t="s">
        <v>428</v>
      </c>
      <c r="B467" s="22" t="s">
        <v>1123</v>
      </c>
    </row>
    <row r="468">
      <c r="A468" s="22" t="s">
        <v>429</v>
      </c>
      <c r="B468" s="22" t="s">
        <v>1124</v>
      </c>
    </row>
    <row r="469">
      <c r="A469" s="22" t="s">
        <v>513</v>
      </c>
      <c r="B469" s="22" t="s">
        <v>1125</v>
      </c>
    </row>
    <row r="470">
      <c r="A470" s="22" t="s">
        <v>514</v>
      </c>
      <c r="B470" s="22" t="s">
        <v>1126</v>
      </c>
    </row>
    <row r="471">
      <c r="A471" s="22" t="s">
        <v>515</v>
      </c>
      <c r="B471" s="22" t="s">
        <v>1127</v>
      </c>
    </row>
    <row r="472">
      <c r="A472" s="22" t="s">
        <v>516</v>
      </c>
      <c r="B472" s="22" t="s">
        <v>1128</v>
      </c>
    </row>
    <row r="473">
      <c r="A473" s="22" t="s">
        <v>25</v>
      </c>
      <c r="B473" s="22" t="s">
        <v>1129</v>
      </c>
    </row>
    <row r="474">
      <c r="A474" s="22" t="s">
        <v>517</v>
      </c>
      <c r="B474" s="22" t="s">
        <v>1130</v>
      </c>
    </row>
    <row r="475">
      <c r="A475" s="22" t="s">
        <v>518</v>
      </c>
      <c r="B475" s="22" t="s">
        <v>1131</v>
      </c>
    </row>
    <row r="476">
      <c r="A476" s="22" t="s">
        <v>75</v>
      </c>
      <c r="B476" s="22" t="s">
        <v>1132</v>
      </c>
    </row>
    <row r="477">
      <c r="A477" s="22" t="s">
        <v>519</v>
      </c>
      <c r="B477" s="22" t="s">
        <v>1133</v>
      </c>
    </row>
    <row r="478">
      <c r="A478" s="22" t="s">
        <v>520</v>
      </c>
      <c r="B478" s="22" t="s">
        <v>1134</v>
      </c>
    </row>
    <row r="479">
      <c r="A479" s="22" t="s">
        <v>76</v>
      </c>
      <c r="B479" s="22" t="s">
        <v>1135</v>
      </c>
    </row>
    <row r="480">
      <c r="A480" s="22" t="s">
        <v>521</v>
      </c>
      <c r="B480" s="22" t="s">
        <v>1136</v>
      </c>
    </row>
    <row r="481">
      <c r="A481" s="22" t="s">
        <v>522</v>
      </c>
      <c r="B481" s="22" t="s">
        <v>1137</v>
      </c>
    </row>
    <row r="482">
      <c r="A482" s="22" t="s">
        <v>512</v>
      </c>
      <c r="B482" s="22" t="s">
        <v>1138</v>
      </c>
    </row>
    <row r="483">
      <c r="A483" s="22" t="s">
        <v>77</v>
      </c>
      <c r="B483" s="22" t="s">
        <v>1139</v>
      </c>
    </row>
    <row r="484">
      <c r="A484" s="22" t="s">
        <v>523</v>
      </c>
      <c r="B484" s="22" t="s">
        <v>1140</v>
      </c>
    </row>
    <row r="485">
      <c r="A485" s="22" t="s">
        <v>47</v>
      </c>
      <c r="B485" s="22" t="s">
        <v>1141</v>
      </c>
    </row>
    <row r="486">
      <c r="A486" s="22" t="s">
        <v>78</v>
      </c>
      <c r="B486" s="22" t="s">
        <v>1142</v>
      </c>
    </row>
    <row r="487">
      <c r="A487" s="22" t="s">
        <v>49</v>
      </c>
      <c r="B487" s="22" t="s">
        <v>1143</v>
      </c>
    </row>
    <row r="488">
      <c r="A488" s="22" t="s">
        <v>26</v>
      </c>
      <c r="B488" s="22" t="s">
        <v>1144</v>
      </c>
    </row>
    <row r="489">
      <c r="A489" s="22" t="s">
        <v>79</v>
      </c>
      <c r="B489" s="22" t="s">
        <v>1145</v>
      </c>
    </row>
    <row r="490">
      <c r="A490" s="22" t="s">
        <v>524</v>
      </c>
      <c r="B490" s="22" t="s">
        <v>1146</v>
      </c>
    </row>
    <row r="491">
      <c r="A491" s="22" t="s">
        <v>525</v>
      </c>
      <c r="B491" s="22" t="s">
        <v>1147</v>
      </c>
    </row>
    <row r="492">
      <c r="A492" s="22" t="s">
        <v>526</v>
      </c>
      <c r="B492" s="22" t="s">
        <v>1148</v>
      </c>
    </row>
    <row r="493">
      <c r="A493" s="22" t="s">
        <v>53</v>
      </c>
      <c r="B493" s="22" t="s">
        <v>1149</v>
      </c>
    </row>
    <row r="494">
      <c r="A494" s="22" t="s">
        <v>80</v>
      </c>
      <c r="B494" s="22" t="s">
        <v>1150</v>
      </c>
    </row>
    <row r="495">
      <c r="A495" s="22" t="s">
        <v>527</v>
      </c>
      <c r="B495" s="22" t="s">
        <v>1151</v>
      </c>
    </row>
    <row r="496">
      <c r="A496" s="22" t="s">
        <v>528</v>
      </c>
      <c r="B496" s="22" t="s">
        <v>1152</v>
      </c>
    </row>
    <row r="497">
      <c r="A497" s="22" t="s">
        <v>529</v>
      </c>
      <c r="B497" s="22" t="s">
        <v>1153</v>
      </c>
    </row>
    <row r="498">
      <c r="A498" s="22" t="s">
        <v>530</v>
      </c>
      <c r="B498" s="22" t="s">
        <v>1154</v>
      </c>
    </row>
    <row r="499">
      <c r="A499" s="22" t="s">
        <v>531</v>
      </c>
      <c r="B499" s="22" t="s">
        <v>1155</v>
      </c>
    </row>
    <row r="500">
      <c r="A500" s="22" t="s">
        <v>532</v>
      </c>
      <c r="B500" s="22" t="s">
        <v>1156</v>
      </c>
    </row>
    <row r="501">
      <c r="A501" s="22" t="s">
        <v>533</v>
      </c>
      <c r="B501" s="22" t="s">
        <v>1157</v>
      </c>
    </row>
    <row r="502">
      <c r="A502" s="22" t="s">
        <v>81</v>
      </c>
      <c r="B502" s="22" t="s">
        <v>1158</v>
      </c>
    </row>
    <row r="503">
      <c r="A503" s="22" t="s">
        <v>534</v>
      </c>
      <c r="B503" s="22" t="s">
        <v>1159</v>
      </c>
    </row>
    <row r="504">
      <c r="A504" s="22" t="s">
        <v>22</v>
      </c>
      <c r="B504" s="22" t="s">
        <v>1160</v>
      </c>
    </row>
    <row r="505">
      <c r="A505" s="22" t="s">
        <v>535</v>
      </c>
      <c r="B505" s="22" t="s">
        <v>1161</v>
      </c>
    </row>
    <row r="506">
      <c r="A506" s="22" t="s">
        <v>82</v>
      </c>
      <c r="B506" s="22" t="s">
        <v>1162</v>
      </c>
    </row>
    <row r="507">
      <c r="A507" s="22" t="s">
        <v>536</v>
      </c>
      <c r="B507" s="22" t="s">
        <v>1163</v>
      </c>
    </row>
    <row r="508">
      <c r="A508" s="22" t="s">
        <v>537</v>
      </c>
      <c r="B508" s="22" t="s">
        <v>1164</v>
      </c>
    </row>
    <row r="509">
      <c r="A509" s="22" t="s">
        <v>538</v>
      </c>
      <c r="B509" s="22" t="s">
        <v>1165</v>
      </c>
    </row>
    <row r="510">
      <c r="A510" s="22" t="s">
        <v>539</v>
      </c>
      <c r="B510" s="22" t="s">
        <v>1166</v>
      </c>
    </row>
    <row r="511">
      <c r="A511" s="22" t="s">
        <v>83</v>
      </c>
      <c r="B511" s="22" t="s">
        <v>1167</v>
      </c>
    </row>
    <row r="512">
      <c r="A512" s="22" t="s">
        <v>59</v>
      </c>
      <c r="B512" s="22" t="s">
        <v>1168</v>
      </c>
    </row>
    <row r="513">
      <c r="A513" s="22" t="s">
        <v>54</v>
      </c>
      <c r="B513" s="22" t="s">
        <v>1169</v>
      </c>
    </row>
    <row r="514">
      <c r="A514" s="22" t="s">
        <v>540</v>
      </c>
      <c r="B514" s="22" t="s">
        <v>1170</v>
      </c>
    </row>
    <row r="515">
      <c r="A515" s="22" t="s">
        <v>541</v>
      </c>
      <c r="B515" s="22" t="s">
        <v>1171</v>
      </c>
    </row>
    <row r="516">
      <c r="A516" s="22" t="s">
        <v>542</v>
      </c>
      <c r="B516" s="22" t="s">
        <v>1172</v>
      </c>
    </row>
    <row r="517">
      <c r="A517" s="22" t="s">
        <v>543</v>
      </c>
      <c r="B517" s="22" t="s">
        <v>1173</v>
      </c>
    </row>
    <row r="518">
      <c r="A518" s="22" t="s">
        <v>1174</v>
      </c>
      <c r="B518" s="22" t="s">
        <v>1175</v>
      </c>
    </row>
    <row r="519">
      <c r="A519" s="22" t="s">
        <v>32</v>
      </c>
      <c r="B519" s="22" t="s">
        <v>1176</v>
      </c>
    </row>
    <row r="520">
      <c r="A520" s="22" t="s">
        <v>1177</v>
      </c>
      <c r="B520" s="22" t="s">
        <v>1178</v>
      </c>
    </row>
    <row r="521">
      <c r="A521" s="22" t="s">
        <v>1179</v>
      </c>
      <c r="B521" s="22" t="s">
        <v>1180</v>
      </c>
    </row>
    <row r="522">
      <c r="A522" s="22" t="s">
        <v>91</v>
      </c>
      <c r="B522" s="22" t="s">
        <v>1181</v>
      </c>
    </row>
    <row r="523">
      <c r="A523" s="22" t="s">
        <v>1182</v>
      </c>
      <c r="B523" s="22" t="s">
        <v>1183</v>
      </c>
    </row>
    <row r="524">
      <c r="A524" s="22" t="s">
        <v>1184</v>
      </c>
      <c r="B524" s="22" t="s">
        <v>1185</v>
      </c>
    </row>
    <row r="525">
      <c r="A525" s="22" t="s">
        <v>1186</v>
      </c>
      <c r="B525" s="22" t="s">
        <v>1187</v>
      </c>
    </row>
    <row r="526">
      <c r="A526" s="22" t="s">
        <v>1188</v>
      </c>
      <c r="B526" s="22" t="s">
        <v>1189</v>
      </c>
    </row>
    <row r="527">
      <c r="A527" s="22" t="s">
        <v>1190</v>
      </c>
      <c r="B527" s="22" t="s">
        <v>1191</v>
      </c>
    </row>
    <row r="528">
      <c r="A528" s="22" t="s">
        <v>1192</v>
      </c>
      <c r="B528" s="22" t="s">
        <v>1193</v>
      </c>
    </row>
    <row r="529">
      <c r="A529" s="22" t="s">
        <v>1194</v>
      </c>
      <c r="B529" s="22" t="s">
        <v>1195</v>
      </c>
    </row>
    <row r="530">
      <c r="A530" s="22" t="s">
        <v>1196</v>
      </c>
      <c r="B530" s="22" t="s">
        <v>1197</v>
      </c>
    </row>
    <row r="531">
      <c r="A531" s="22" t="s">
        <v>1198</v>
      </c>
      <c r="B531" s="22" t="s">
        <v>1199</v>
      </c>
    </row>
    <row r="532">
      <c r="A532" s="22" t="s">
        <v>1200</v>
      </c>
      <c r="B532" s="22" t="s">
        <v>1201</v>
      </c>
    </row>
    <row r="533">
      <c r="A533" s="22" t="s">
        <v>1202</v>
      </c>
      <c r="B533" s="22" t="s">
        <v>1203</v>
      </c>
    </row>
    <row r="534">
      <c r="A534" s="22" t="s">
        <v>1204</v>
      </c>
      <c r="B534" s="22" t="s">
        <v>1205</v>
      </c>
    </row>
    <row r="535">
      <c r="A535" s="22" t="s">
        <v>1206</v>
      </c>
      <c r="B535" s="22" t="s">
        <v>1207</v>
      </c>
    </row>
    <row r="536">
      <c r="A536" s="22" t="s">
        <v>48</v>
      </c>
      <c r="B536" s="22" t="s">
        <v>1208</v>
      </c>
    </row>
    <row r="537">
      <c r="A537" s="22" t="s">
        <v>84</v>
      </c>
      <c r="B537" s="22" t="s">
        <v>1209</v>
      </c>
    </row>
    <row r="538">
      <c r="A538" s="22" t="s">
        <v>1210</v>
      </c>
      <c r="B538" s="22" t="s">
        <v>1211</v>
      </c>
    </row>
    <row r="539">
      <c r="A539" s="22" t="s">
        <v>1212</v>
      </c>
      <c r="B539" s="22" t="s">
        <v>1213</v>
      </c>
    </row>
    <row r="540">
      <c r="A540" s="22" t="s">
        <v>1214</v>
      </c>
      <c r="B540" s="22" t="s">
        <v>1215</v>
      </c>
    </row>
    <row r="541">
      <c r="A541" s="14" t="s">
        <v>85</v>
      </c>
      <c r="B541" s="14" t="s">
        <v>1216</v>
      </c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5"/>
  </cols>
  <sheetData>
    <row r="1">
      <c r="A1" s="22" t="s">
        <v>1217</v>
      </c>
      <c r="B1" s="22" t="s">
        <v>1218</v>
      </c>
      <c r="C1" s="22" t="s">
        <v>1219</v>
      </c>
      <c r="F1" s="22" t="s">
        <v>657</v>
      </c>
      <c r="G1" s="24" t="s">
        <v>656</v>
      </c>
    </row>
    <row r="2">
      <c r="A2" s="22" t="s">
        <v>1220</v>
      </c>
      <c r="B2" s="22" t="s">
        <v>1221</v>
      </c>
      <c r="C2" s="22" t="s">
        <v>1222</v>
      </c>
      <c r="D2" s="50" t="str">
        <f t="shared" ref="D2:D1458" si="1">VLOOKUP(C2, F$2:G$500, 2, 0)</f>
        <v>2025rkumaran</v>
      </c>
      <c r="F2" s="24" t="s">
        <v>1223</v>
      </c>
      <c r="G2" s="22" t="s">
        <v>572</v>
      </c>
      <c r="H2" s="21">
        <f t="shared" ref="H2:H469" si="2">COUNTIF(D:D, G2)</f>
        <v>6</v>
      </c>
    </row>
    <row r="3">
      <c r="A3" s="22" t="s">
        <v>1224</v>
      </c>
      <c r="B3" s="22" t="s">
        <v>1221</v>
      </c>
      <c r="C3" s="22" t="s">
        <v>1225</v>
      </c>
      <c r="D3" s="50" t="str">
        <f t="shared" si="1"/>
        <v>2025ywang</v>
      </c>
      <c r="F3" s="22" t="s">
        <v>1226</v>
      </c>
      <c r="G3" s="22" t="s">
        <v>573</v>
      </c>
      <c r="H3" s="21">
        <f t="shared" si="2"/>
        <v>0</v>
      </c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  <c r="EX3" s="21"/>
      <c r="EY3" s="21"/>
      <c r="EZ3" s="21"/>
      <c r="FA3" s="21"/>
      <c r="FB3" s="21"/>
      <c r="FC3" s="21"/>
      <c r="FD3" s="21"/>
      <c r="FE3" s="21"/>
      <c r="FF3" s="21"/>
      <c r="FG3" s="21"/>
      <c r="FH3" s="21"/>
      <c r="FI3" s="21"/>
      <c r="FJ3" s="21"/>
      <c r="FK3" s="21"/>
      <c r="FL3" s="21"/>
      <c r="FM3" s="21"/>
      <c r="FN3" s="21"/>
      <c r="FO3" s="21"/>
      <c r="FP3" s="21"/>
      <c r="FQ3" s="21"/>
      <c r="FR3" s="21"/>
      <c r="FS3" s="21"/>
      <c r="FT3" s="21"/>
      <c r="FU3" s="21"/>
      <c r="FV3" s="21"/>
      <c r="FW3" s="21"/>
      <c r="FX3" s="21"/>
      <c r="FY3" s="21"/>
      <c r="FZ3" s="21"/>
      <c r="GA3" s="21"/>
      <c r="GB3" s="21"/>
      <c r="GC3" s="21"/>
      <c r="GD3" s="21"/>
      <c r="GE3" s="21"/>
      <c r="GF3" s="21"/>
      <c r="GG3" s="21"/>
      <c r="GH3" s="21"/>
      <c r="GI3" s="21"/>
      <c r="GJ3" s="21"/>
      <c r="GK3" s="21"/>
      <c r="GL3" s="21"/>
      <c r="GM3" s="21"/>
      <c r="GN3" s="21"/>
      <c r="GO3" s="21"/>
      <c r="GP3" s="21"/>
      <c r="GQ3" s="21"/>
      <c r="GR3" s="21"/>
      <c r="GS3" s="21"/>
      <c r="GT3" s="21"/>
      <c r="GU3" s="21"/>
      <c r="GV3" s="21"/>
      <c r="GW3" s="21"/>
      <c r="GX3" s="21"/>
      <c r="GY3" s="21"/>
      <c r="GZ3" s="21"/>
      <c r="HA3" s="21"/>
      <c r="HB3" s="21"/>
      <c r="HC3" s="21"/>
      <c r="HD3" s="21"/>
      <c r="HE3" s="21"/>
      <c r="HF3" s="21"/>
      <c r="HG3" s="21"/>
      <c r="HH3" s="21"/>
      <c r="HI3" s="21"/>
      <c r="HJ3" s="21"/>
      <c r="HK3" s="21"/>
      <c r="HL3" s="21"/>
      <c r="HM3" s="21"/>
      <c r="HN3" s="21"/>
      <c r="HO3" s="21"/>
      <c r="HP3" s="21"/>
      <c r="HQ3" s="21"/>
      <c r="HR3" s="21"/>
      <c r="HS3" s="21"/>
      <c r="HT3" s="21"/>
    </row>
    <row r="4">
      <c r="A4" s="22" t="s">
        <v>1227</v>
      </c>
      <c r="B4" s="22" t="s">
        <v>1221</v>
      </c>
      <c r="C4" s="22" t="s">
        <v>670</v>
      </c>
      <c r="D4" s="50" t="str">
        <f t="shared" si="1"/>
        <v>2026elee</v>
      </c>
      <c r="F4" s="22" t="s">
        <v>658</v>
      </c>
      <c r="G4" s="22" t="s">
        <v>437</v>
      </c>
      <c r="H4" s="21">
        <f t="shared" si="2"/>
        <v>0</v>
      </c>
      <c r="J4" s="21"/>
      <c r="K4" s="21" t="s">
        <v>583</v>
      </c>
      <c r="L4" s="21" t="s">
        <v>558</v>
      </c>
      <c r="M4" s="21" t="s">
        <v>594</v>
      </c>
      <c r="N4" s="21" t="s">
        <v>560</v>
      </c>
      <c r="O4" s="21" t="s">
        <v>569</v>
      </c>
      <c r="P4" s="21" t="s">
        <v>565</v>
      </c>
      <c r="Q4" s="21" t="s">
        <v>578</v>
      </c>
      <c r="R4" s="21" t="s">
        <v>614</v>
      </c>
      <c r="S4" s="21" t="s">
        <v>571</v>
      </c>
      <c r="T4" s="21" t="s">
        <v>566</v>
      </c>
      <c r="U4" s="21" t="s">
        <v>572</v>
      </c>
      <c r="V4" s="21" t="s">
        <v>582</v>
      </c>
      <c r="W4" s="21" t="s">
        <v>581</v>
      </c>
      <c r="X4" s="21" t="s">
        <v>622</v>
      </c>
      <c r="Y4" s="21" t="s">
        <v>568</v>
      </c>
      <c r="Z4" s="21" t="s">
        <v>577</v>
      </c>
      <c r="AA4" s="21" t="s">
        <v>644</v>
      </c>
      <c r="AB4" s="21" t="s">
        <v>592</v>
      </c>
      <c r="AC4" s="21" t="s">
        <v>56</v>
      </c>
      <c r="AD4" s="21" t="s">
        <v>433</v>
      </c>
      <c r="AE4" s="21" t="s">
        <v>435</v>
      </c>
      <c r="AF4" s="21" t="s">
        <v>219</v>
      </c>
      <c r="AG4" s="21" t="s">
        <v>466</v>
      </c>
      <c r="AH4" s="21" t="s">
        <v>287</v>
      </c>
      <c r="AI4" s="21" t="s">
        <v>34</v>
      </c>
      <c r="AJ4" s="21" t="s">
        <v>102</v>
      </c>
      <c r="AK4" s="21" t="s">
        <v>103</v>
      </c>
      <c r="AL4" s="21" t="s">
        <v>434</v>
      </c>
      <c r="AM4" s="21" t="s">
        <v>430</v>
      </c>
      <c r="AN4" s="21" t="s">
        <v>128</v>
      </c>
      <c r="AO4" s="21" t="s">
        <v>120</v>
      </c>
      <c r="AP4" s="21" t="s">
        <v>441</v>
      </c>
      <c r="AQ4" s="21" t="s">
        <v>483</v>
      </c>
      <c r="AR4" s="21" t="s">
        <v>488</v>
      </c>
      <c r="AS4" s="21" t="s">
        <v>13</v>
      </c>
      <c r="AT4" s="21" t="s">
        <v>137</v>
      </c>
      <c r="AU4" s="21" t="s">
        <v>449</v>
      </c>
      <c r="AV4" s="21" t="s">
        <v>432</v>
      </c>
      <c r="AW4" s="21" t="s">
        <v>188</v>
      </c>
      <c r="AX4" s="21" t="s">
        <v>10</v>
      </c>
      <c r="AY4" s="21" t="s">
        <v>95</v>
      </c>
      <c r="AZ4" s="21" t="s">
        <v>354</v>
      </c>
      <c r="BA4" s="21" t="s">
        <v>156</v>
      </c>
      <c r="BB4" s="21" t="s">
        <v>463</v>
      </c>
      <c r="BC4" s="21" t="s">
        <v>21</v>
      </c>
      <c r="BD4" s="21" t="s">
        <v>8</v>
      </c>
      <c r="BE4" s="21" t="s">
        <v>113</v>
      </c>
      <c r="BF4" s="21" t="s">
        <v>459</v>
      </c>
      <c r="BG4" s="21" t="s">
        <v>442</v>
      </c>
      <c r="BH4" s="21" t="s">
        <v>475</v>
      </c>
      <c r="BI4" s="21" t="s">
        <v>93</v>
      </c>
      <c r="BJ4" s="21" t="s">
        <v>337</v>
      </c>
      <c r="BK4" s="21" t="s">
        <v>138</v>
      </c>
      <c r="BL4" s="21" t="s">
        <v>37</v>
      </c>
      <c r="BM4" s="21" t="s">
        <v>23</v>
      </c>
      <c r="BN4" s="21" t="s">
        <v>185</v>
      </c>
      <c r="BO4" s="21" t="s">
        <v>18</v>
      </c>
      <c r="BP4" s="21" t="s">
        <v>223</v>
      </c>
      <c r="BQ4" s="21" t="s">
        <v>200</v>
      </c>
      <c r="BR4" s="21" t="s">
        <v>234</v>
      </c>
      <c r="BS4" s="21" t="s">
        <v>286</v>
      </c>
      <c r="BT4" s="21" t="s">
        <v>280</v>
      </c>
      <c r="BU4" s="21" t="s">
        <v>212</v>
      </c>
      <c r="BV4" s="21" t="s">
        <v>168</v>
      </c>
      <c r="BW4" s="21" t="s">
        <v>163</v>
      </c>
      <c r="BX4" s="21" t="s">
        <v>86</v>
      </c>
      <c r="BY4" s="21" t="s">
        <v>140</v>
      </c>
      <c r="BZ4" s="21" t="s">
        <v>94</v>
      </c>
      <c r="CA4" s="21" t="s">
        <v>307</v>
      </c>
      <c r="CB4" s="21" t="s">
        <v>172</v>
      </c>
      <c r="CC4" s="21" t="s">
        <v>243</v>
      </c>
      <c r="CD4" s="21" t="s">
        <v>24</v>
      </c>
      <c r="CE4" s="21" t="s">
        <v>272</v>
      </c>
      <c r="CF4" s="21" t="s">
        <v>38</v>
      </c>
      <c r="CG4" s="21" t="s">
        <v>29</v>
      </c>
      <c r="CH4" s="21" t="s">
        <v>15</v>
      </c>
      <c r="CI4" s="21" t="s">
        <v>142</v>
      </c>
      <c r="CJ4" s="21" t="s">
        <v>339</v>
      </c>
      <c r="CK4" s="21" t="s">
        <v>209</v>
      </c>
      <c r="CL4" s="21" t="s">
        <v>197</v>
      </c>
      <c r="CM4" s="21" t="s">
        <v>284</v>
      </c>
      <c r="CN4" s="21" t="s">
        <v>313</v>
      </c>
      <c r="CO4" s="21" t="s">
        <v>199</v>
      </c>
      <c r="CP4" s="21" t="s">
        <v>19</v>
      </c>
      <c r="CQ4" s="21" t="s">
        <v>146</v>
      </c>
      <c r="CR4" s="21" t="s">
        <v>250</v>
      </c>
      <c r="CS4" s="21" t="s">
        <v>96</v>
      </c>
      <c r="CT4" s="21" t="s">
        <v>249</v>
      </c>
      <c r="CU4" s="21" t="s">
        <v>193</v>
      </c>
      <c r="CV4" s="21" t="s">
        <v>130</v>
      </c>
      <c r="CW4" s="21" t="s">
        <v>221</v>
      </c>
      <c r="CX4" s="21" t="s">
        <v>144</v>
      </c>
      <c r="CY4" s="21" t="s">
        <v>31</v>
      </c>
      <c r="CZ4" s="21" t="s">
        <v>311</v>
      </c>
      <c r="DA4" s="21" t="s">
        <v>202</v>
      </c>
      <c r="DB4" s="21" t="s">
        <v>150</v>
      </c>
      <c r="DC4" s="21" t="s">
        <v>314</v>
      </c>
      <c r="DD4" s="21" t="s">
        <v>39</v>
      </c>
      <c r="DE4" s="21" t="s">
        <v>353</v>
      </c>
      <c r="DF4" s="21" t="s">
        <v>358</v>
      </c>
      <c r="DG4" s="21" t="s">
        <v>222</v>
      </c>
      <c r="DH4" s="21" t="s">
        <v>11</v>
      </c>
      <c r="DI4" s="21" t="s">
        <v>60</v>
      </c>
      <c r="DJ4" s="21" t="s">
        <v>279</v>
      </c>
      <c r="DK4" s="21" t="s">
        <v>207</v>
      </c>
      <c r="DL4" s="21" t="s">
        <v>88</v>
      </c>
      <c r="DM4" s="21" t="s">
        <v>316</v>
      </c>
      <c r="DN4" s="21" t="s">
        <v>269</v>
      </c>
      <c r="DO4" s="21" t="s">
        <v>40</v>
      </c>
      <c r="DP4" s="21" t="s">
        <v>299</v>
      </c>
      <c r="DQ4" s="21" t="s">
        <v>283</v>
      </c>
      <c r="DR4" s="21" t="s">
        <v>169</v>
      </c>
      <c r="DS4" s="21" t="s">
        <v>179</v>
      </c>
      <c r="DT4" s="21" t="s">
        <v>12</v>
      </c>
      <c r="DU4" s="21" t="s">
        <v>364</v>
      </c>
      <c r="DV4" s="21" t="s">
        <v>61</v>
      </c>
      <c r="DW4" s="21" t="s">
        <v>159</v>
      </c>
      <c r="DX4" s="21" t="s">
        <v>181</v>
      </c>
      <c r="DY4" s="21" t="s">
        <v>153</v>
      </c>
      <c r="DZ4" s="21" t="s">
        <v>17</v>
      </c>
      <c r="EA4" s="21" t="s">
        <v>317</v>
      </c>
      <c r="EB4" s="21" t="s">
        <v>198</v>
      </c>
      <c r="EC4" s="21" t="s">
        <v>173</v>
      </c>
      <c r="ED4" s="21" t="s">
        <v>127</v>
      </c>
      <c r="EE4" s="21" t="s">
        <v>134</v>
      </c>
      <c r="EF4" s="21" t="s">
        <v>300</v>
      </c>
      <c r="EG4" s="21" t="s">
        <v>343</v>
      </c>
      <c r="EH4" s="21" t="s">
        <v>349</v>
      </c>
      <c r="EI4" s="21" t="s">
        <v>292</v>
      </c>
      <c r="EJ4" s="21" t="s">
        <v>302</v>
      </c>
      <c r="EK4" s="21" t="s">
        <v>90</v>
      </c>
      <c r="EL4" s="21" t="s">
        <v>304</v>
      </c>
      <c r="EM4" s="21" t="s">
        <v>332</v>
      </c>
      <c r="EN4" s="21" t="s">
        <v>92</v>
      </c>
      <c r="EO4" s="21" t="s">
        <v>326</v>
      </c>
      <c r="EP4" s="21" t="s">
        <v>336</v>
      </c>
      <c r="EQ4" s="21" t="s">
        <v>281</v>
      </c>
      <c r="ER4" s="21" t="s">
        <v>340</v>
      </c>
      <c r="ES4" s="21" t="s">
        <v>62</v>
      </c>
      <c r="ET4" s="21" t="s">
        <v>57</v>
      </c>
      <c r="EU4" s="21" t="s">
        <v>309</v>
      </c>
      <c r="EV4" s="21" t="s">
        <v>347</v>
      </c>
      <c r="EW4" s="21" t="s">
        <v>41</v>
      </c>
      <c r="EX4" s="21" t="s">
        <v>361</v>
      </c>
      <c r="EY4" s="21" t="s">
        <v>89</v>
      </c>
      <c r="EZ4" s="21" t="s">
        <v>297</v>
      </c>
      <c r="FA4" s="21" t="s">
        <v>310</v>
      </c>
      <c r="FB4" s="21" t="s">
        <v>348</v>
      </c>
      <c r="FC4" s="21" t="s">
        <v>350</v>
      </c>
      <c r="FD4" s="21" t="s">
        <v>100</v>
      </c>
      <c r="FE4" s="21" t="s">
        <v>355</v>
      </c>
      <c r="FF4" s="21" t="s">
        <v>50</v>
      </c>
      <c r="FG4" s="21" t="s">
        <v>288</v>
      </c>
      <c r="FH4" s="21" t="s">
        <v>97</v>
      </c>
      <c r="FI4" s="21" t="s">
        <v>42</v>
      </c>
      <c r="FJ4" s="21" t="s">
        <v>278</v>
      </c>
      <c r="FK4" s="21" t="s">
        <v>334</v>
      </c>
      <c r="FL4" s="21" t="s">
        <v>345</v>
      </c>
      <c r="FM4" s="21" t="s">
        <v>322</v>
      </c>
      <c r="FN4" s="21" t="s">
        <v>306</v>
      </c>
      <c r="FO4" s="21" t="s">
        <v>44</v>
      </c>
      <c r="FP4" s="21" t="s">
        <v>328</v>
      </c>
      <c r="FQ4" s="21" t="s">
        <v>318</v>
      </c>
      <c r="FR4" s="21" t="s">
        <v>351</v>
      </c>
      <c r="FS4" s="21" t="s">
        <v>64</v>
      </c>
      <c r="FT4" s="21" t="s">
        <v>365</v>
      </c>
      <c r="FU4" s="21" t="s">
        <v>346</v>
      </c>
      <c r="FV4" s="21" t="s">
        <v>305</v>
      </c>
      <c r="FW4" s="21" t="s">
        <v>35</v>
      </c>
      <c r="FX4" s="21" t="s">
        <v>321</v>
      </c>
      <c r="FY4" s="21" t="s">
        <v>324</v>
      </c>
      <c r="FZ4" s="21" t="s">
        <v>331</v>
      </c>
      <c r="GA4" s="21" t="s">
        <v>363</v>
      </c>
      <c r="GB4" s="21" t="s">
        <v>312</v>
      </c>
      <c r="GC4" s="21" t="s">
        <v>327</v>
      </c>
      <c r="GD4" s="21" t="s">
        <v>308</v>
      </c>
      <c r="GE4" s="21" t="s">
        <v>293</v>
      </c>
      <c r="GF4" s="21" t="s">
        <v>295</v>
      </c>
      <c r="GG4" s="21" t="s">
        <v>315</v>
      </c>
      <c r="GH4" s="21" t="s">
        <v>341</v>
      </c>
      <c r="GI4" s="21" t="s">
        <v>357</v>
      </c>
      <c r="GJ4" s="21" t="s">
        <v>301</v>
      </c>
      <c r="GK4" s="21" t="s">
        <v>276</v>
      </c>
      <c r="GL4" s="21" t="s">
        <v>303</v>
      </c>
      <c r="GM4" s="21" t="s">
        <v>356</v>
      </c>
      <c r="GN4" s="21" t="s">
        <v>16</v>
      </c>
      <c r="GO4" s="21" t="s">
        <v>359</v>
      </c>
      <c r="GP4" s="21" t="s">
        <v>323</v>
      </c>
      <c r="GQ4" s="21" t="s">
        <v>333</v>
      </c>
      <c r="GR4" s="21" t="s">
        <v>98</v>
      </c>
      <c r="GS4" s="21" t="s">
        <v>319</v>
      </c>
      <c r="GT4" s="21" t="s">
        <v>360</v>
      </c>
      <c r="GU4" s="21" t="s">
        <v>277</v>
      </c>
      <c r="GV4" s="21" t="s">
        <v>338</v>
      </c>
      <c r="GW4" s="21" t="s">
        <v>289</v>
      </c>
      <c r="GX4" s="21" t="s">
        <v>43</v>
      </c>
      <c r="GY4" s="21" t="s">
        <v>45</v>
      </c>
      <c r="GZ4" s="21" t="s">
        <v>329</v>
      </c>
      <c r="HA4" s="21" t="s">
        <v>342</v>
      </c>
      <c r="HB4" s="21" t="s">
        <v>320</v>
      </c>
      <c r="HC4" s="21" t="s">
        <v>330</v>
      </c>
      <c r="HD4" s="21" t="s">
        <v>325</v>
      </c>
      <c r="HE4" s="21" t="s">
        <v>298</v>
      </c>
      <c r="HF4" s="21" t="s">
        <v>352</v>
      </c>
      <c r="HG4" s="21" t="s">
        <v>294</v>
      </c>
      <c r="HH4" s="21" t="s">
        <v>344</v>
      </c>
      <c r="HI4" s="21" t="s">
        <v>9</v>
      </c>
      <c r="HJ4" s="21" t="s">
        <v>14</v>
      </c>
      <c r="HK4" s="21" t="s">
        <v>63</v>
      </c>
      <c r="HL4" s="21" t="s">
        <v>296</v>
      </c>
      <c r="HM4" s="21" t="s">
        <v>282</v>
      </c>
      <c r="HN4" s="21" t="s">
        <v>291</v>
      </c>
      <c r="HO4" s="21" t="s">
        <v>33</v>
      </c>
      <c r="HP4" s="21" t="s">
        <v>99</v>
      </c>
      <c r="HQ4" s="21" t="s">
        <v>290</v>
      </c>
      <c r="HR4" s="21" t="s">
        <v>335</v>
      </c>
      <c r="HS4" s="21" t="e">
        <v>#N/A</v>
      </c>
      <c r="HT4" s="21" t="s">
        <v>1228</v>
      </c>
    </row>
    <row r="5">
      <c r="A5" s="22" t="s">
        <v>1229</v>
      </c>
      <c r="B5" s="22" t="s">
        <v>1221</v>
      </c>
      <c r="C5" s="22" t="s">
        <v>1230</v>
      </c>
      <c r="D5" s="50" t="str">
        <f t="shared" si="1"/>
        <v>2025jhao</v>
      </c>
      <c r="F5" s="22" t="s">
        <v>659</v>
      </c>
      <c r="G5" s="22" t="s">
        <v>430</v>
      </c>
      <c r="H5" s="21">
        <f t="shared" si="2"/>
        <v>1</v>
      </c>
      <c r="J5" s="21" t="s">
        <v>1231</v>
      </c>
      <c r="K5" s="21">
        <v>2.0</v>
      </c>
      <c r="L5" s="21">
        <v>5.0</v>
      </c>
      <c r="M5" s="21">
        <v>13.0</v>
      </c>
      <c r="N5" s="21">
        <v>11.0</v>
      </c>
      <c r="O5" s="21">
        <v>7.0</v>
      </c>
      <c r="P5" s="21">
        <v>16.0</v>
      </c>
      <c r="Q5" s="21">
        <v>15.0</v>
      </c>
      <c r="R5" s="21">
        <v>1.0</v>
      </c>
      <c r="S5" s="21">
        <v>13.0</v>
      </c>
      <c r="T5" s="21">
        <v>12.0</v>
      </c>
      <c r="U5" s="21">
        <v>6.0</v>
      </c>
      <c r="V5" s="21">
        <v>3.0</v>
      </c>
      <c r="W5" s="21">
        <v>9.0</v>
      </c>
      <c r="X5" s="21">
        <v>1.0</v>
      </c>
      <c r="Y5" s="21">
        <v>11.0</v>
      </c>
      <c r="Z5" s="21">
        <v>7.0</v>
      </c>
      <c r="AA5" s="21">
        <v>1.0</v>
      </c>
      <c r="AB5" s="21">
        <v>6.0</v>
      </c>
      <c r="AC5" s="21">
        <v>16.0</v>
      </c>
      <c r="AD5" s="21">
        <v>6.0</v>
      </c>
      <c r="AE5" s="21">
        <v>6.0</v>
      </c>
      <c r="AF5" s="21">
        <v>8.0</v>
      </c>
      <c r="AG5" s="21">
        <v>6.0</v>
      </c>
      <c r="AH5" s="21">
        <v>1.0</v>
      </c>
      <c r="AI5" s="21">
        <v>19.0</v>
      </c>
      <c r="AJ5" s="21">
        <v>1.0</v>
      </c>
      <c r="AK5" s="21">
        <v>13.0</v>
      </c>
      <c r="AL5" s="21">
        <v>6.0</v>
      </c>
      <c r="AM5" s="21">
        <v>1.0</v>
      </c>
      <c r="AN5" s="21">
        <v>2.0</v>
      </c>
      <c r="AO5" s="21">
        <v>1.0</v>
      </c>
      <c r="AP5" s="21">
        <v>11.0</v>
      </c>
      <c r="AQ5" s="21">
        <v>4.0</v>
      </c>
      <c r="AR5" s="21">
        <v>2.0</v>
      </c>
      <c r="AS5" s="21">
        <v>15.0</v>
      </c>
      <c r="AT5" s="21">
        <v>4.0</v>
      </c>
      <c r="AU5" s="21">
        <v>1.0</v>
      </c>
      <c r="AV5" s="21">
        <v>7.0</v>
      </c>
      <c r="AW5" s="21">
        <v>8.0</v>
      </c>
      <c r="AX5" s="21">
        <v>8.0</v>
      </c>
      <c r="AY5" s="21">
        <v>1.0</v>
      </c>
      <c r="AZ5" s="21">
        <v>1.0</v>
      </c>
      <c r="BA5" s="21">
        <v>1.0</v>
      </c>
      <c r="BB5" s="21">
        <v>1.0</v>
      </c>
      <c r="BC5" s="21">
        <v>13.0</v>
      </c>
      <c r="BD5" s="21">
        <v>20.0</v>
      </c>
      <c r="BE5" s="21">
        <v>1.0</v>
      </c>
      <c r="BF5" s="21">
        <v>1.0</v>
      </c>
      <c r="BG5" s="21">
        <v>13.0</v>
      </c>
      <c r="BH5" s="21">
        <v>6.0</v>
      </c>
      <c r="BI5" s="21">
        <v>3.0</v>
      </c>
      <c r="BJ5" s="21">
        <v>1.0</v>
      </c>
      <c r="BK5" s="21">
        <v>5.0</v>
      </c>
      <c r="BL5" s="21">
        <v>5.0</v>
      </c>
      <c r="BM5" s="21">
        <v>12.0</v>
      </c>
      <c r="BN5" s="21">
        <v>9.0</v>
      </c>
      <c r="BO5" s="21">
        <v>1.0</v>
      </c>
      <c r="BP5" s="21">
        <v>5.0</v>
      </c>
      <c r="BQ5" s="21">
        <v>1.0</v>
      </c>
      <c r="BR5" s="21">
        <v>8.0</v>
      </c>
      <c r="BS5" s="21">
        <v>9.0</v>
      </c>
      <c r="BT5" s="21">
        <v>4.0</v>
      </c>
      <c r="BU5" s="21">
        <v>6.0</v>
      </c>
      <c r="BV5" s="21">
        <v>1.0</v>
      </c>
      <c r="BW5" s="21">
        <v>2.0</v>
      </c>
      <c r="BX5" s="21">
        <v>6.0</v>
      </c>
      <c r="BY5" s="21">
        <v>12.0</v>
      </c>
      <c r="BZ5" s="21">
        <v>9.0</v>
      </c>
      <c r="CA5" s="21">
        <v>1.0</v>
      </c>
      <c r="CB5" s="21">
        <v>2.0</v>
      </c>
      <c r="CC5" s="21">
        <v>5.0</v>
      </c>
      <c r="CD5" s="21">
        <v>14.0</v>
      </c>
      <c r="CE5" s="21">
        <v>13.0</v>
      </c>
      <c r="CF5" s="21">
        <v>12.0</v>
      </c>
      <c r="CG5" s="21">
        <v>19.0</v>
      </c>
      <c r="CH5" s="21">
        <v>14.0</v>
      </c>
      <c r="CI5" s="21">
        <v>1.0</v>
      </c>
      <c r="CJ5" s="21">
        <v>2.0</v>
      </c>
      <c r="CK5" s="21">
        <v>7.0</v>
      </c>
      <c r="CL5" s="21">
        <v>6.0</v>
      </c>
      <c r="CM5" s="21">
        <v>2.0</v>
      </c>
      <c r="CN5" s="21">
        <v>5.0</v>
      </c>
      <c r="CO5" s="21">
        <v>1.0</v>
      </c>
      <c r="CP5" s="21">
        <v>12.0</v>
      </c>
      <c r="CQ5" s="21">
        <v>13.0</v>
      </c>
      <c r="CR5" s="21">
        <v>1.0</v>
      </c>
      <c r="CS5" s="21">
        <v>4.0</v>
      </c>
      <c r="CT5" s="21">
        <v>1.0</v>
      </c>
      <c r="CU5" s="21">
        <v>5.0</v>
      </c>
      <c r="CV5" s="21">
        <v>1.0</v>
      </c>
      <c r="CW5" s="21">
        <v>2.0</v>
      </c>
      <c r="CX5" s="21">
        <v>3.0</v>
      </c>
      <c r="CY5" s="21">
        <v>10.0</v>
      </c>
      <c r="CZ5" s="21">
        <v>3.0</v>
      </c>
      <c r="DA5" s="21">
        <v>5.0</v>
      </c>
      <c r="DB5" s="21">
        <v>5.0</v>
      </c>
      <c r="DC5" s="21">
        <v>2.0</v>
      </c>
      <c r="DD5" s="21">
        <v>3.0</v>
      </c>
      <c r="DE5" s="21">
        <v>2.0</v>
      </c>
      <c r="DF5" s="21">
        <v>1.0</v>
      </c>
      <c r="DG5" s="21">
        <v>4.0</v>
      </c>
      <c r="DH5" s="21">
        <v>21.0</v>
      </c>
      <c r="DI5" s="21">
        <v>16.0</v>
      </c>
      <c r="DJ5" s="21">
        <v>8.0</v>
      </c>
      <c r="DK5" s="21">
        <v>16.0</v>
      </c>
      <c r="DL5" s="21">
        <v>19.0</v>
      </c>
      <c r="DM5" s="21">
        <v>1.0</v>
      </c>
      <c r="DN5" s="21">
        <v>1.0</v>
      </c>
      <c r="DO5" s="21">
        <v>16.0</v>
      </c>
      <c r="DP5" s="21">
        <v>4.0</v>
      </c>
      <c r="DQ5" s="21">
        <v>3.0</v>
      </c>
      <c r="DR5" s="21">
        <v>5.0</v>
      </c>
      <c r="DS5" s="21">
        <v>6.0</v>
      </c>
      <c r="DT5" s="21">
        <v>12.0</v>
      </c>
      <c r="DU5" s="21">
        <v>1.0</v>
      </c>
      <c r="DV5" s="21">
        <v>10.0</v>
      </c>
      <c r="DW5" s="21">
        <v>1.0</v>
      </c>
      <c r="DX5" s="21">
        <v>10.0</v>
      </c>
      <c r="DY5" s="21">
        <v>13.0</v>
      </c>
      <c r="DZ5" s="21">
        <v>17.0</v>
      </c>
      <c r="EA5" s="21">
        <v>1.0</v>
      </c>
      <c r="EB5" s="21">
        <v>11.0</v>
      </c>
      <c r="EC5" s="21">
        <v>10.0</v>
      </c>
      <c r="ED5" s="21">
        <v>2.0</v>
      </c>
      <c r="EE5" s="21">
        <v>17.0</v>
      </c>
      <c r="EF5" s="21">
        <v>9.0</v>
      </c>
      <c r="EG5" s="21">
        <v>4.0</v>
      </c>
      <c r="EH5" s="21">
        <v>2.0</v>
      </c>
      <c r="EI5" s="21">
        <v>5.0</v>
      </c>
      <c r="EJ5" s="21">
        <v>10.0</v>
      </c>
      <c r="EK5" s="21">
        <v>8.0</v>
      </c>
      <c r="EL5" s="21">
        <v>6.0</v>
      </c>
      <c r="EM5" s="21">
        <v>1.0</v>
      </c>
      <c r="EN5" s="21">
        <v>11.0</v>
      </c>
      <c r="EO5" s="21">
        <v>5.0</v>
      </c>
      <c r="EP5" s="21">
        <v>8.0</v>
      </c>
      <c r="EQ5" s="21">
        <v>2.0</v>
      </c>
      <c r="ER5" s="21">
        <v>2.0</v>
      </c>
      <c r="ES5" s="21">
        <v>3.0</v>
      </c>
      <c r="ET5" s="21">
        <v>14.0</v>
      </c>
      <c r="EU5" s="21">
        <v>6.0</v>
      </c>
      <c r="EV5" s="21">
        <v>1.0</v>
      </c>
      <c r="EW5" s="21">
        <v>13.0</v>
      </c>
      <c r="EX5" s="21">
        <v>1.0</v>
      </c>
      <c r="EY5" s="21">
        <v>20.0</v>
      </c>
      <c r="EZ5" s="21">
        <v>18.0</v>
      </c>
      <c r="FA5" s="21">
        <v>1.0</v>
      </c>
      <c r="FB5" s="21">
        <v>1.0</v>
      </c>
      <c r="FC5" s="21">
        <v>1.0</v>
      </c>
      <c r="FD5" s="21">
        <v>13.0</v>
      </c>
      <c r="FE5" s="21">
        <v>2.0</v>
      </c>
      <c r="FF5" s="21">
        <v>2.0</v>
      </c>
      <c r="FG5" s="21">
        <v>6.0</v>
      </c>
      <c r="FH5" s="21">
        <v>10.0</v>
      </c>
      <c r="FI5" s="21">
        <v>14.0</v>
      </c>
      <c r="FJ5" s="21">
        <v>5.0</v>
      </c>
      <c r="FK5" s="21">
        <v>4.0</v>
      </c>
      <c r="FL5" s="21">
        <v>2.0</v>
      </c>
      <c r="FM5" s="21">
        <v>4.0</v>
      </c>
      <c r="FN5" s="21">
        <v>6.0</v>
      </c>
      <c r="FO5" s="21">
        <v>11.0</v>
      </c>
      <c r="FP5" s="21">
        <v>2.0</v>
      </c>
      <c r="FQ5" s="21">
        <v>7.0</v>
      </c>
      <c r="FR5" s="21">
        <v>13.0</v>
      </c>
      <c r="FS5" s="21">
        <v>9.0</v>
      </c>
      <c r="FT5" s="21">
        <v>2.0</v>
      </c>
      <c r="FU5" s="21">
        <v>7.0</v>
      </c>
      <c r="FV5" s="21">
        <v>7.0</v>
      </c>
      <c r="FW5" s="21">
        <v>2.0</v>
      </c>
      <c r="FX5" s="21">
        <v>6.0</v>
      </c>
      <c r="FY5" s="21">
        <v>1.0</v>
      </c>
      <c r="FZ5" s="21">
        <v>2.0</v>
      </c>
      <c r="GA5" s="21">
        <v>1.0</v>
      </c>
      <c r="GB5" s="21">
        <v>16.0</v>
      </c>
      <c r="GC5" s="21">
        <v>7.0</v>
      </c>
      <c r="GD5" s="21">
        <v>1.0</v>
      </c>
      <c r="GE5" s="21">
        <v>9.0</v>
      </c>
      <c r="GF5" s="21">
        <v>1.0</v>
      </c>
      <c r="GG5" s="21">
        <v>1.0</v>
      </c>
      <c r="GH5" s="21">
        <v>5.0</v>
      </c>
      <c r="GI5" s="21">
        <v>1.0</v>
      </c>
      <c r="GJ5" s="21">
        <v>3.0</v>
      </c>
      <c r="GK5" s="21">
        <v>2.0</v>
      </c>
      <c r="GL5" s="21">
        <v>14.0</v>
      </c>
      <c r="GM5" s="21">
        <v>4.0</v>
      </c>
      <c r="GN5" s="21">
        <v>6.0</v>
      </c>
      <c r="GO5" s="21">
        <v>1.0</v>
      </c>
      <c r="GP5" s="21">
        <v>2.0</v>
      </c>
      <c r="GQ5" s="21">
        <v>8.0</v>
      </c>
      <c r="GR5" s="21">
        <v>4.0</v>
      </c>
      <c r="GS5" s="21">
        <v>7.0</v>
      </c>
      <c r="GT5" s="21">
        <v>2.0</v>
      </c>
      <c r="GU5" s="21">
        <v>12.0</v>
      </c>
      <c r="GV5" s="21">
        <v>1.0</v>
      </c>
      <c r="GW5" s="21">
        <v>1.0</v>
      </c>
      <c r="GX5" s="21">
        <v>16.0</v>
      </c>
      <c r="GY5" s="21">
        <v>11.0</v>
      </c>
      <c r="GZ5" s="21">
        <v>2.0</v>
      </c>
      <c r="HA5" s="21">
        <v>4.0</v>
      </c>
      <c r="HB5" s="21">
        <v>2.0</v>
      </c>
      <c r="HC5" s="21">
        <v>1.0</v>
      </c>
      <c r="HD5" s="21">
        <v>16.0</v>
      </c>
      <c r="HE5" s="21">
        <v>9.0</v>
      </c>
      <c r="HF5" s="21">
        <v>2.0</v>
      </c>
      <c r="HG5" s="21">
        <v>6.0</v>
      </c>
      <c r="HH5" s="21">
        <v>4.0</v>
      </c>
      <c r="HI5" s="21">
        <v>20.0</v>
      </c>
      <c r="HJ5" s="21">
        <v>19.0</v>
      </c>
      <c r="HK5" s="21">
        <v>18.0</v>
      </c>
      <c r="HL5" s="21">
        <v>7.0</v>
      </c>
      <c r="HM5" s="21">
        <v>4.0</v>
      </c>
      <c r="HN5" s="21">
        <v>7.0</v>
      </c>
      <c r="HO5" s="21">
        <v>17.0</v>
      </c>
      <c r="HP5" s="21">
        <v>6.0</v>
      </c>
      <c r="HQ5" s="21">
        <v>14.0</v>
      </c>
      <c r="HR5" s="21">
        <v>4.0</v>
      </c>
      <c r="HS5" s="21">
        <v>26.0</v>
      </c>
      <c r="HT5" s="21">
        <v>1457.0</v>
      </c>
    </row>
    <row r="6">
      <c r="A6" s="22" t="s">
        <v>1232</v>
      </c>
      <c r="B6" s="22" t="s">
        <v>1221</v>
      </c>
      <c r="C6" s="22" t="s">
        <v>668</v>
      </c>
      <c r="D6" s="50" t="str">
        <f t="shared" si="1"/>
        <v>2026ludeshi</v>
      </c>
      <c r="F6" s="22" t="s">
        <v>660</v>
      </c>
      <c r="G6" s="22" t="s">
        <v>10</v>
      </c>
      <c r="H6" s="21">
        <f t="shared" si="2"/>
        <v>8</v>
      </c>
    </row>
    <row r="7">
      <c r="A7" s="22" t="s">
        <v>1233</v>
      </c>
      <c r="B7" s="22" t="s">
        <v>1221</v>
      </c>
      <c r="C7" s="22" t="s">
        <v>662</v>
      </c>
      <c r="D7" s="50" t="str">
        <f t="shared" si="1"/>
        <v>2026rwang</v>
      </c>
      <c r="F7" s="22" t="s">
        <v>661</v>
      </c>
      <c r="G7" s="22" t="s">
        <v>431</v>
      </c>
      <c r="H7" s="21">
        <f t="shared" si="2"/>
        <v>0</v>
      </c>
    </row>
    <row r="8">
      <c r="A8" s="22" t="s">
        <v>1234</v>
      </c>
      <c r="B8" s="22" t="s">
        <v>1221</v>
      </c>
      <c r="C8" s="22" t="s">
        <v>660</v>
      </c>
      <c r="D8" s="50" t="str">
        <f t="shared" si="1"/>
        <v>2026mzhao</v>
      </c>
      <c r="F8" s="22" t="s">
        <v>662</v>
      </c>
      <c r="G8" s="22" t="s">
        <v>8</v>
      </c>
      <c r="H8" s="21">
        <f t="shared" si="2"/>
        <v>20</v>
      </c>
    </row>
    <row r="9">
      <c r="A9" s="22" t="s">
        <v>1235</v>
      </c>
      <c r="B9" s="22" t="s">
        <v>1236</v>
      </c>
      <c r="C9" s="22" t="s">
        <v>662</v>
      </c>
      <c r="D9" s="50" t="str">
        <f t="shared" si="1"/>
        <v>2026rwang</v>
      </c>
      <c r="F9" s="22" t="s">
        <v>663</v>
      </c>
      <c r="G9" s="22" t="s">
        <v>438</v>
      </c>
      <c r="H9" s="21">
        <f t="shared" si="2"/>
        <v>0</v>
      </c>
    </row>
    <row r="10">
      <c r="A10" s="22" t="s">
        <v>1237</v>
      </c>
      <c r="B10" s="22" t="s">
        <v>1221</v>
      </c>
      <c r="C10" s="22" t="s">
        <v>896</v>
      </c>
      <c r="D10" s="50" t="str">
        <f t="shared" si="1"/>
        <v>2027jyuan</v>
      </c>
      <c r="F10" s="22" t="s">
        <v>664</v>
      </c>
      <c r="G10" s="22" t="s">
        <v>439</v>
      </c>
      <c r="H10" s="21">
        <f t="shared" si="2"/>
        <v>0</v>
      </c>
    </row>
    <row r="11">
      <c r="A11" s="22" t="s">
        <v>1238</v>
      </c>
      <c r="B11" s="22" t="s">
        <v>1221</v>
      </c>
      <c r="C11" s="22" t="s">
        <v>1239</v>
      </c>
      <c r="D11" s="50" t="str">
        <f t="shared" si="1"/>
        <v>2025alee1</v>
      </c>
      <c r="F11" s="22" t="s">
        <v>665</v>
      </c>
      <c r="G11" s="22" t="s">
        <v>433</v>
      </c>
      <c r="H11" s="21">
        <f t="shared" si="2"/>
        <v>6</v>
      </c>
    </row>
    <row r="12">
      <c r="A12" s="22" t="s">
        <v>1240</v>
      </c>
      <c r="B12" s="22" t="s">
        <v>1221</v>
      </c>
      <c r="C12" s="22" t="s">
        <v>776</v>
      </c>
      <c r="D12" s="50" t="str">
        <f t="shared" si="1"/>
        <v>2026mzuo</v>
      </c>
      <c r="F12" s="22" t="s">
        <v>1241</v>
      </c>
      <c r="G12" s="22" t="s">
        <v>571</v>
      </c>
      <c r="H12" s="21">
        <f t="shared" si="2"/>
        <v>13</v>
      </c>
    </row>
    <row r="13">
      <c r="A13" s="22" t="s">
        <v>1242</v>
      </c>
      <c r="B13" s="22" t="s">
        <v>1221</v>
      </c>
      <c r="C13" s="22" t="s">
        <v>806</v>
      </c>
      <c r="D13" s="50" t="str">
        <f t="shared" si="1"/>
        <v>2026jma</v>
      </c>
      <c r="F13" s="22" t="s">
        <v>666</v>
      </c>
      <c r="G13" s="22" t="s">
        <v>440</v>
      </c>
      <c r="H13" s="21">
        <f t="shared" si="2"/>
        <v>0</v>
      </c>
    </row>
    <row r="14">
      <c r="A14" s="22" t="s">
        <v>1243</v>
      </c>
      <c r="B14" s="22" t="s">
        <v>1221</v>
      </c>
      <c r="C14" s="22" t="s">
        <v>690</v>
      </c>
      <c r="D14" s="50" t="str">
        <f t="shared" si="1"/>
        <v>2026rsingh2</v>
      </c>
      <c r="F14" s="22" t="s">
        <v>667</v>
      </c>
      <c r="G14" s="22" t="s">
        <v>441</v>
      </c>
      <c r="H14" s="21">
        <f t="shared" si="2"/>
        <v>11</v>
      </c>
    </row>
    <row r="15">
      <c r="A15" s="22" t="s">
        <v>1244</v>
      </c>
      <c r="B15" s="22" t="s">
        <v>1221</v>
      </c>
      <c r="C15" s="22" t="s">
        <v>1245</v>
      </c>
      <c r="D15" s="50" t="str">
        <f t="shared" si="1"/>
        <v>2025jrogando</v>
      </c>
      <c r="F15" s="22" t="s">
        <v>1246</v>
      </c>
      <c r="G15" s="22" t="s">
        <v>574</v>
      </c>
      <c r="H15" s="21">
        <f t="shared" si="2"/>
        <v>0</v>
      </c>
    </row>
    <row r="16">
      <c r="A16" s="22" t="s">
        <v>1247</v>
      </c>
      <c r="B16" s="22" t="s">
        <v>1221</v>
      </c>
      <c r="C16" s="22" t="s">
        <v>785</v>
      </c>
      <c r="D16" s="50" t="str">
        <f t="shared" si="1"/>
        <v>2027pdu</v>
      </c>
      <c r="F16" s="22" t="s">
        <v>668</v>
      </c>
      <c r="G16" s="22" t="s">
        <v>432</v>
      </c>
      <c r="H16" s="21">
        <f t="shared" si="2"/>
        <v>7</v>
      </c>
    </row>
    <row r="17">
      <c r="A17" s="22" t="s">
        <v>1248</v>
      </c>
      <c r="B17" s="22" t="s">
        <v>1221</v>
      </c>
      <c r="C17" s="22" t="s">
        <v>843</v>
      </c>
      <c r="D17" s="50" t="str">
        <f t="shared" si="1"/>
        <v>2027vraj</v>
      </c>
      <c r="F17" s="22" t="s">
        <v>669</v>
      </c>
      <c r="G17" s="22" t="s">
        <v>442</v>
      </c>
      <c r="H17" s="21">
        <f t="shared" si="2"/>
        <v>13</v>
      </c>
    </row>
    <row r="18">
      <c r="A18" s="22" t="s">
        <v>1249</v>
      </c>
      <c r="B18" s="22" t="s">
        <v>1221</v>
      </c>
      <c r="C18" s="22" t="s">
        <v>1250</v>
      </c>
      <c r="D18" s="50" t="str">
        <f t="shared" si="1"/>
        <v>2025agu</v>
      </c>
      <c r="F18" s="22" t="s">
        <v>1251</v>
      </c>
      <c r="G18" s="22" t="s">
        <v>575</v>
      </c>
      <c r="H18" s="21">
        <f t="shared" si="2"/>
        <v>0</v>
      </c>
    </row>
    <row r="19">
      <c r="A19" s="22" t="s">
        <v>1252</v>
      </c>
      <c r="B19" s="22" t="s">
        <v>1221</v>
      </c>
      <c r="C19" s="22" t="s">
        <v>833</v>
      </c>
      <c r="D19" s="50" t="str">
        <f t="shared" si="1"/>
        <v>2026lzhu</v>
      </c>
      <c r="F19" s="22" t="s">
        <v>670</v>
      </c>
      <c r="G19" s="22" t="s">
        <v>434</v>
      </c>
      <c r="H19" s="21">
        <f t="shared" si="2"/>
        <v>6</v>
      </c>
    </row>
    <row r="20">
      <c r="A20" s="22" t="s">
        <v>1253</v>
      </c>
      <c r="B20" s="22" t="s">
        <v>1221</v>
      </c>
      <c r="C20" s="22" t="s">
        <v>818</v>
      </c>
      <c r="D20" s="50" t="str">
        <f t="shared" si="1"/>
        <v>2027ayan</v>
      </c>
      <c r="F20" s="22" t="s">
        <v>1222</v>
      </c>
      <c r="G20" s="22" t="s">
        <v>568</v>
      </c>
      <c r="H20" s="21">
        <f t="shared" si="2"/>
        <v>11</v>
      </c>
    </row>
    <row r="21">
      <c r="A21" s="22" t="s">
        <v>1254</v>
      </c>
      <c r="B21" s="22" t="s">
        <v>1221</v>
      </c>
      <c r="C21" s="22" t="s">
        <v>1255</v>
      </c>
      <c r="D21" s="50" t="str">
        <f t="shared" si="1"/>
        <v>2025apagidi</v>
      </c>
      <c r="F21" s="22" t="s">
        <v>1256</v>
      </c>
      <c r="G21" s="22" t="s">
        <v>576</v>
      </c>
      <c r="H21" s="21">
        <f t="shared" si="2"/>
        <v>0</v>
      </c>
    </row>
    <row r="22">
      <c r="A22" s="22" t="s">
        <v>1257</v>
      </c>
      <c r="B22" s="22" t="s">
        <v>1221</v>
      </c>
      <c r="C22" s="22" t="s">
        <v>688</v>
      </c>
      <c r="D22" s="50" t="str">
        <f t="shared" si="1"/>
        <v>2026cmorimot</v>
      </c>
      <c r="F22" s="22" t="s">
        <v>1258</v>
      </c>
      <c r="G22" s="22" t="s">
        <v>577</v>
      </c>
      <c r="H22" s="21">
        <f t="shared" si="2"/>
        <v>7</v>
      </c>
    </row>
    <row r="23">
      <c r="A23" s="22" t="s">
        <v>1259</v>
      </c>
      <c r="B23" s="22" t="s">
        <v>1221</v>
      </c>
      <c r="C23" s="22" t="s">
        <v>808</v>
      </c>
      <c r="D23" s="50" t="str">
        <f t="shared" si="1"/>
        <v>2027sbisht</v>
      </c>
      <c r="F23" s="22" t="s">
        <v>671</v>
      </c>
      <c r="G23" s="22" t="s">
        <v>443</v>
      </c>
      <c r="H23" s="21">
        <f t="shared" si="2"/>
        <v>0</v>
      </c>
    </row>
    <row r="24">
      <c r="A24" s="22" t="s">
        <v>1260</v>
      </c>
      <c r="B24" s="22" t="s">
        <v>1221</v>
      </c>
      <c r="C24" s="22" t="s">
        <v>770</v>
      </c>
      <c r="D24" s="50" t="str">
        <f t="shared" si="1"/>
        <v>2027bko</v>
      </c>
      <c r="F24" s="22" t="s">
        <v>672</v>
      </c>
      <c r="G24" s="22" t="s">
        <v>444</v>
      </c>
      <c r="H24" s="21">
        <f t="shared" si="2"/>
        <v>0</v>
      </c>
    </row>
    <row r="25">
      <c r="A25" s="22" t="s">
        <v>1261</v>
      </c>
      <c r="B25" s="22" t="s">
        <v>1221</v>
      </c>
      <c r="C25" s="22" t="s">
        <v>823</v>
      </c>
      <c r="D25" s="50" t="str">
        <f t="shared" si="1"/>
        <v>2027spark</v>
      </c>
      <c r="F25" s="22" t="s">
        <v>673</v>
      </c>
      <c r="G25" s="22" t="s">
        <v>445</v>
      </c>
      <c r="H25" s="21">
        <f t="shared" si="2"/>
        <v>0</v>
      </c>
    </row>
    <row r="26">
      <c r="A26" s="22" t="s">
        <v>1262</v>
      </c>
      <c r="B26" s="22" t="s">
        <v>1221</v>
      </c>
      <c r="C26" s="22" t="s">
        <v>1263</v>
      </c>
      <c r="D26" s="50" t="str">
        <f t="shared" si="1"/>
        <v>2025jkim</v>
      </c>
      <c r="F26" s="22" t="s">
        <v>674</v>
      </c>
      <c r="G26" s="22" t="s">
        <v>30</v>
      </c>
      <c r="H26" s="21">
        <f t="shared" si="2"/>
        <v>0</v>
      </c>
    </row>
    <row r="27">
      <c r="A27" s="22" t="s">
        <v>1264</v>
      </c>
      <c r="B27" s="22" t="s">
        <v>1221</v>
      </c>
      <c r="C27" s="22" t="s">
        <v>775</v>
      </c>
      <c r="D27" s="50" t="str">
        <f t="shared" si="1"/>
        <v>2027cchen</v>
      </c>
      <c r="F27" s="22" t="s">
        <v>675</v>
      </c>
      <c r="G27" s="22" t="s">
        <v>446</v>
      </c>
      <c r="H27" s="21">
        <f t="shared" si="2"/>
        <v>0</v>
      </c>
    </row>
    <row r="28">
      <c r="A28" s="22" t="s">
        <v>1265</v>
      </c>
      <c r="B28" s="22" t="s">
        <v>1221</v>
      </c>
      <c r="C28" s="22" t="s">
        <v>878</v>
      </c>
      <c r="D28" s="50" t="str">
        <f t="shared" si="1"/>
        <v>2027nliang</v>
      </c>
      <c r="F28" s="22" t="s">
        <v>676</v>
      </c>
      <c r="G28" s="22" t="s">
        <v>447</v>
      </c>
      <c r="H28" s="21">
        <f t="shared" si="2"/>
        <v>0</v>
      </c>
    </row>
    <row r="29">
      <c r="A29" s="22" t="s">
        <v>1266</v>
      </c>
      <c r="B29" s="22" t="s">
        <v>1221</v>
      </c>
      <c r="C29" s="22" t="s">
        <v>758</v>
      </c>
      <c r="D29" s="50" t="str">
        <f t="shared" si="1"/>
        <v>2026fzhang</v>
      </c>
      <c r="F29" s="22" t="s">
        <v>1250</v>
      </c>
      <c r="G29" s="22" t="s">
        <v>558</v>
      </c>
      <c r="H29" s="21">
        <f t="shared" si="2"/>
        <v>5</v>
      </c>
    </row>
    <row r="30">
      <c r="A30" s="22" t="s">
        <v>1267</v>
      </c>
      <c r="B30" s="22" t="s">
        <v>1221</v>
      </c>
      <c r="C30" s="22" t="s">
        <v>854</v>
      </c>
      <c r="D30" s="50" t="str">
        <f t="shared" si="1"/>
        <v>2027hqin</v>
      </c>
      <c r="F30" s="22" t="s">
        <v>677</v>
      </c>
      <c r="G30" s="22" t="s">
        <v>448</v>
      </c>
      <c r="H30" s="21">
        <f t="shared" si="2"/>
        <v>0</v>
      </c>
    </row>
    <row r="31">
      <c r="A31" s="22" t="s">
        <v>1268</v>
      </c>
      <c r="B31" s="22" t="s">
        <v>1221</v>
      </c>
      <c r="C31" s="22" t="s">
        <v>822</v>
      </c>
      <c r="D31" s="50" t="str">
        <f t="shared" si="1"/>
        <v>2027skuncha</v>
      </c>
      <c r="F31" s="22" t="s">
        <v>678</v>
      </c>
      <c r="G31" s="22" t="s">
        <v>449</v>
      </c>
      <c r="H31" s="21">
        <f t="shared" si="2"/>
        <v>1</v>
      </c>
    </row>
    <row r="32">
      <c r="A32" s="22" t="s">
        <v>1269</v>
      </c>
      <c r="B32" s="22" t="s">
        <v>1221</v>
      </c>
      <c r="C32" s="22" t="s">
        <v>699</v>
      </c>
      <c r="D32" s="50" t="str">
        <f t="shared" si="1"/>
        <v>2026anarayan</v>
      </c>
      <c r="F32" s="22" t="s">
        <v>679</v>
      </c>
      <c r="G32" s="22" t="s">
        <v>450</v>
      </c>
      <c r="H32" s="21">
        <f t="shared" si="2"/>
        <v>0</v>
      </c>
    </row>
    <row r="33">
      <c r="A33" s="22" t="s">
        <v>1270</v>
      </c>
      <c r="B33" s="22" t="s">
        <v>1221</v>
      </c>
      <c r="C33" s="22" t="s">
        <v>777</v>
      </c>
      <c r="D33" s="50" t="str">
        <f t="shared" si="1"/>
        <v>2027esombhat</v>
      </c>
      <c r="F33" s="22" t="s">
        <v>680</v>
      </c>
      <c r="G33" s="22" t="s">
        <v>451</v>
      </c>
      <c r="H33" s="21">
        <f t="shared" si="2"/>
        <v>0</v>
      </c>
    </row>
    <row r="34">
      <c r="A34" s="22" t="s">
        <v>1271</v>
      </c>
      <c r="B34" s="22" t="s">
        <v>1221</v>
      </c>
      <c r="C34" s="22" t="s">
        <v>732</v>
      </c>
      <c r="D34" s="50" t="str">
        <f t="shared" si="1"/>
        <v>2026ejaldint</v>
      </c>
      <c r="F34" s="22" t="s">
        <v>681</v>
      </c>
      <c r="G34" s="22" t="s">
        <v>452</v>
      </c>
      <c r="H34" s="21">
        <f t="shared" si="2"/>
        <v>0</v>
      </c>
    </row>
    <row r="35">
      <c r="A35" s="22" t="s">
        <v>1272</v>
      </c>
      <c r="B35" s="22" t="s">
        <v>1221</v>
      </c>
      <c r="C35" s="22" t="s">
        <v>929</v>
      </c>
      <c r="D35" s="50" t="str">
        <f t="shared" si="1"/>
        <v>2028dhe</v>
      </c>
      <c r="F35" s="22" t="s">
        <v>682</v>
      </c>
      <c r="G35" s="22" t="s">
        <v>453</v>
      </c>
      <c r="H35" s="21">
        <f t="shared" si="2"/>
        <v>0</v>
      </c>
    </row>
    <row r="36">
      <c r="A36" s="22" t="s">
        <v>1273</v>
      </c>
      <c r="B36" s="22" t="s">
        <v>1221</v>
      </c>
      <c r="C36" s="22" t="s">
        <v>717</v>
      </c>
      <c r="D36" s="50" t="str">
        <f t="shared" si="1"/>
        <v>2026jhernand</v>
      </c>
      <c r="F36" s="22" t="s">
        <v>1263</v>
      </c>
      <c r="G36" s="22" t="s">
        <v>578</v>
      </c>
      <c r="H36" s="21">
        <f t="shared" si="2"/>
        <v>15</v>
      </c>
    </row>
    <row r="37">
      <c r="A37" s="22" t="s">
        <v>1274</v>
      </c>
      <c r="B37" s="22" t="s">
        <v>1221</v>
      </c>
      <c r="C37" s="22" t="s">
        <v>669</v>
      </c>
      <c r="D37" s="50" t="str">
        <f t="shared" si="1"/>
        <v>2026sshen</v>
      </c>
      <c r="F37" s="22" t="s">
        <v>683</v>
      </c>
      <c r="G37" s="22" t="s">
        <v>454</v>
      </c>
      <c r="H37" s="21">
        <f t="shared" si="2"/>
        <v>0</v>
      </c>
    </row>
    <row r="38">
      <c r="A38" s="22" t="s">
        <v>1275</v>
      </c>
      <c r="B38" s="22" t="s">
        <v>1221</v>
      </c>
      <c r="C38" s="22" t="s">
        <v>949</v>
      </c>
      <c r="D38" s="50" t="str">
        <f t="shared" si="1"/>
        <v>2028jli1</v>
      </c>
      <c r="F38" s="22" t="s">
        <v>684</v>
      </c>
      <c r="G38" s="22" t="s">
        <v>455</v>
      </c>
      <c r="H38" s="21">
        <f t="shared" si="2"/>
        <v>0</v>
      </c>
    </row>
    <row r="39">
      <c r="A39" s="22" t="s">
        <v>1276</v>
      </c>
      <c r="B39" s="22" t="s">
        <v>1221</v>
      </c>
      <c r="C39" s="22" t="s">
        <v>939</v>
      </c>
      <c r="D39" s="50" t="str">
        <f t="shared" si="1"/>
        <v>2027apesalad</v>
      </c>
      <c r="F39" s="22" t="s">
        <v>685</v>
      </c>
      <c r="G39" s="22" t="s">
        <v>435</v>
      </c>
      <c r="H39" s="21">
        <f t="shared" si="2"/>
        <v>6</v>
      </c>
    </row>
    <row r="40">
      <c r="A40" s="22" t="s">
        <v>1277</v>
      </c>
      <c r="B40" s="22" t="s">
        <v>1221</v>
      </c>
      <c r="C40" s="22" t="s">
        <v>919</v>
      </c>
      <c r="D40" s="50" t="str">
        <f t="shared" si="1"/>
        <v>2027ekim</v>
      </c>
      <c r="F40" s="22" t="s">
        <v>1278</v>
      </c>
      <c r="G40" s="22" t="s">
        <v>579</v>
      </c>
      <c r="H40" s="21">
        <f t="shared" si="2"/>
        <v>0</v>
      </c>
    </row>
    <row r="41">
      <c r="A41" s="22" t="s">
        <v>1279</v>
      </c>
      <c r="B41" s="22" t="s">
        <v>1221</v>
      </c>
      <c r="C41" s="22" t="s">
        <v>941</v>
      </c>
      <c r="D41" s="50" t="str">
        <f t="shared" si="1"/>
        <v>2028dbhooma</v>
      </c>
      <c r="F41" s="22" t="s">
        <v>1280</v>
      </c>
      <c r="G41" s="22" t="s">
        <v>580</v>
      </c>
      <c r="H41" s="21">
        <f t="shared" si="2"/>
        <v>0</v>
      </c>
    </row>
    <row r="42">
      <c r="A42" s="22" t="s">
        <v>1281</v>
      </c>
      <c r="B42" s="22" t="s">
        <v>1221</v>
      </c>
      <c r="C42" s="22" t="s">
        <v>933</v>
      </c>
      <c r="D42" s="50" t="str">
        <f t="shared" si="1"/>
        <v>2027sdamico</v>
      </c>
      <c r="F42" s="22" t="s">
        <v>1282</v>
      </c>
      <c r="G42" s="22" t="s">
        <v>581</v>
      </c>
      <c r="H42" s="21">
        <f t="shared" si="2"/>
        <v>9</v>
      </c>
    </row>
    <row r="43">
      <c r="A43" s="22" t="s">
        <v>1283</v>
      </c>
      <c r="B43" s="22" t="s">
        <v>1221</v>
      </c>
      <c r="C43" s="22" t="s">
        <v>942</v>
      </c>
      <c r="D43" s="50" t="str">
        <f t="shared" si="1"/>
        <v>2028che</v>
      </c>
      <c r="F43" s="22" t="s">
        <v>686</v>
      </c>
      <c r="G43" s="22" t="s">
        <v>456</v>
      </c>
      <c r="H43" s="21">
        <f t="shared" si="2"/>
        <v>0</v>
      </c>
    </row>
    <row r="44">
      <c r="A44" s="22" t="s">
        <v>1284</v>
      </c>
      <c r="B44" s="22" t="s">
        <v>1221</v>
      </c>
      <c r="C44" s="22" t="s">
        <v>937</v>
      </c>
      <c r="D44" s="50" t="str">
        <f t="shared" si="1"/>
        <v>2027ijoshi</v>
      </c>
      <c r="F44" s="22" t="s">
        <v>1285</v>
      </c>
      <c r="G44" s="22" t="s">
        <v>563</v>
      </c>
      <c r="H44" s="21">
        <f t="shared" si="2"/>
        <v>0</v>
      </c>
    </row>
    <row r="45">
      <c r="A45" s="22" t="s">
        <v>1286</v>
      </c>
      <c r="B45" s="22" t="s">
        <v>1221</v>
      </c>
      <c r="C45" s="22" t="s">
        <v>955</v>
      </c>
      <c r="D45" s="50" t="str">
        <f t="shared" si="1"/>
        <v>2028jloyolag</v>
      </c>
      <c r="F45" s="22" t="s">
        <v>687</v>
      </c>
      <c r="G45" s="22" t="s">
        <v>457</v>
      </c>
      <c r="H45" s="21">
        <f t="shared" si="2"/>
        <v>0</v>
      </c>
    </row>
    <row r="46">
      <c r="A46" s="22" t="s">
        <v>1287</v>
      </c>
      <c r="B46" s="22" t="s">
        <v>1221</v>
      </c>
      <c r="C46" s="22" t="s">
        <v>953</v>
      </c>
      <c r="D46" s="50" t="str">
        <f t="shared" si="1"/>
        <v>2027eguo</v>
      </c>
      <c r="F46" s="22" t="s">
        <v>1288</v>
      </c>
      <c r="G46" s="22" t="s">
        <v>582</v>
      </c>
      <c r="H46" s="21">
        <f t="shared" si="2"/>
        <v>3</v>
      </c>
    </row>
    <row r="47">
      <c r="A47" s="22" t="s">
        <v>1289</v>
      </c>
      <c r="B47" s="22" t="s">
        <v>1221</v>
      </c>
      <c r="C47" s="22" t="s">
        <v>934</v>
      </c>
      <c r="D47" s="50" t="str">
        <f t="shared" si="1"/>
        <v>2028bhan</v>
      </c>
      <c r="F47" s="22" t="s">
        <v>1290</v>
      </c>
      <c r="G47" s="22" t="s">
        <v>583</v>
      </c>
      <c r="H47" s="21">
        <f t="shared" si="2"/>
        <v>2</v>
      </c>
    </row>
    <row r="48">
      <c r="A48" s="22" t="s">
        <v>1291</v>
      </c>
      <c r="B48" s="22" t="s">
        <v>1221</v>
      </c>
      <c r="C48" s="22" t="s">
        <v>951</v>
      </c>
      <c r="D48" s="50" t="str">
        <f t="shared" si="1"/>
        <v>2028yli</v>
      </c>
      <c r="F48" s="22" t="s">
        <v>1292</v>
      </c>
      <c r="G48" s="22" t="s">
        <v>584</v>
      </c>
      <c r="H48" s="21">
        <f t="shared" si="2"/>
        <v>0</v>
      </c>
    </row>
    <row r="49">
      <c r="A49" s="22" t="s">
        <v>1293</v>
      </c>
      <c r="B49" s="22" t="s">
        <v>1221</v>
      </c>
      <c r="C49" s="22" t="s">
        <v>946</v>
      </c>
      <c r="D49" s="50" t="str">
        <f t="shared" si="1"/>
        <v>2028ykang</v>
      </c>
      <c r="F49" s="22" t="s">
        <v>1294</v>
      </c>
      <c r="G49" s="22" t="s">
        <v>570</v>
      </c>
      <c r="H49" s="21">
        <f t="shared" si="2"/>
        <v>0</v>
      </c>
    </row>
    <row r="50">
      <c r="A50" s="22" t="s">
        <v>1295</v>
      </c>
      <c r="B50" s="22" t="s">
        <v>1221</v>
      </c>
      <c r="C50" s="22" t="s">
        <v>928</v>
      </c>
      <c r="D50" s="50" t="str">
        <f t="shared" si="1"/>
        <v>2028apothira</v>
      </c>
      <c r="F50" s="22" t="s">
        <v>1230</v>
      </c>
      <c r="G50" s="22" t="s">
        <v>565</v>
      </c>
      <c r="H50" s="21">
        <f t="shared" si="2"/>
        <v>16</v>
      </c>
    </row>
    <row r="51">
      <c r="A51" s="22" t="s">
        <v>1296</v>
      </c>
      <c r="B51" s="22" t="s">
        <v>1221</v>
      </c>
      <c r="C51" s="22" t="s">
        <v>965</v>
      </c>
      <c r="D51" s="50" t="str">
        <f t="shared" si="1"/>
        <v>2028athota</v>
      </c>
      <c r="F51" s="22" t="s">
        <v>688</v>
      </c>
      <c r="G51" s="22" t="s">
        <v>34</v>
      </c>
      <c r="H51" s="21">
        <f t="shared" si="2"/>
        <v>19</v>
      </c>
    </row>
    <row r="52">
      <c r="A52" s="22" t="s">
        <v>1297</v>
      </c>
      <c r="B52" s="22" t="s">
        <v>1221</v>
      </c>
      <c r="C52" s="22" t="s">
        <v>952</v>
      </c>
      <c r="D52" s="50" t="str">
        <f t="shared" si="1"/>
        <v>2028mlin</v>
      </c>
      <c r="F52" s="22" t="s">
        <v>689</v>
      </c>
      <c r="G52" s="22" t="s">
        <v>458</v>
      </c>
      <c r="H52" s="21">
        <f t="shared" si="2"/>
        <v>0</v>
      </c>
    </row>
    <row r="53">
      <c r="A53" s="22" t="s">
        <v>1298</v>
      </c>
      <c r="B53" s="22" t="s">
        <v>1221</v>
      </c>
      <c r="C53" s="22" t="s">
        <v>950</v>
      </c>
      <c r="D53" s="50" t="str">
        <f t="shared" si="1"/>
        <v>2028dvladimi</v>
      </c>
      <c r="F53" s="22" t="s">
        <v>690</v>
      </c>
      <c r="G53" s="22" t="s">
        <v>21</v>
      </c>
      <c r="H53" s="21">
        <f t="shared" si="2"/>
        <v>13</v>
      </c>
    </row>
    <row r="54">
      <c r="A54" s="22" t="s">
        <v>1299</v>
      </c>
      <c r="B54" s="22" t="s">
        <v>1221</v>
      </c>
      <c r="C54" s="22" t="s">
        <v>944</v>
      </c>
      <c r="D54" s="50" t="str">
        <f t="shared" si="1"/>
        <v>2028zrasti</v>
      </c>
      <c r="F54" s="22" t="s">
        <v>691</v>
      </c>
      <c r="G54" s="22" t="s">
        <v>459</v>
      </c>
      <c r="H54" s="21">
        <f t="shared" si="2"/>
        <v>1</v>
      </c>
    </row>
    <row r="55">
      <c r="A55" s="22" t="s">
        <v>1300</v>
      </c>
      <c r="B55" s="22" t="s">
        <v>1221</v>
      </c>
      <c r="C55" s="22" t="s">
        <v>936</v>
      </c>
      <c r="D55" s="50" t="str">
        <f t="shared" si="1"/>
        <v>2028ylin</v>
      </c>
      <c r="F55" s="22" t="s">
        <v>1301</v>
      </c>
      <c r="G55" s="22" t="s">
        <v>562</v>
      </c>
      <c r="H55" s="21">
        <f t="shared" si="2"/>
        <v>0</v>
      </c>
    </row>
    <row r="56">
      <c r="A56" s="22" t="s">
        <v>1302</v>
      </c>
      <c r="B56" s="22" t="s">
        <v>1221</v>
      </c>
      <c r="C56" s="22" t="s">
        <v>959</v>
      </c>
      <c r="D56" s="50" t="str">
        <f t="shared" si="1"/>
        <v>2028bjonuzaj</v>
      </c>
      <c r="F56" s="22" t="s">
        <v>1303</v>
      </c>
      <c r="G56" s="22" t="s">
        <v>585</v>
      </c>
      <c r="H56" s="21">
        <f t="shared" si="2"/>
        <v>0</v>
      </c>
    </row>
    <row r="57">
      <c r="A57" s="22" t="s">
        <v>1304</v>
      </c>
      <c r="B57" s="22" t="s">
        <v>1221</v>
      </c>
      <c r="C57" s="22" t="s">
        <v>943</v>
      </c>
      <c r="D57" s="50" t="str">
        <f t="shared" si="1"/>
        <v>2028rtian</v>
      </c>
      <c r="F57" s="22" t="s">
        <v>692</v>
      </c>
      <c r="G57" s="22" t="s">
        <v>460</v>
      </c>
      <c r="H57" s="21">
        <f t="shared" si="2"/>
        <v>0</v>
      </c>
    </row>
    <row r="58">
      <c r="A58" s="22" t="s">
        <v>1305</v>
      </c>
      <c r="B58" s="22" t="s">
        <v>1221</v>
      </c>
      <c r="C58" s="22" t="s">
        <v>961</v>
      </c>
      <c r="D58" s="50" t="str">
        <f t="shared" si="1"/>
        <v>2028tdeng</v>
      </c>
      <c r="F58" s="22" t="s">
        <v>693</v>
      </c>
      <c r="G58" s="22" t="s">
        <v>436</v>
      </c>
      <c r="H58" s="21">
        <f t="shared" si="2"/>
        <v>0</v>
      </c>
    </row>
    <row r="59">
      <c r="A59" s="22" t="s">
        <v>1306</v>
      </c>
      <c r="B59" s="22" t="s">
        <v>1221</v>
      </c>
      <c r="C59" s="22" t="s">
        <v>968</v>
      </c>
      <c r="D59" s="50" t="str">
        <f t="shared" si="1"/>
        <v>2028lmeng</v>
      </c>
      <c r="F59" s="22" t="s">
        <v>694</v>
      </c>
      <c r="G59" s="22" t="s">
        <v>461</v>
      </c>
      <c r="H59" s="21">
        <f t="shared" si="2"/>
        <v>0</v>
      </c>
    </row>
    <row r="60">
      <c r="A60" s="22" t="s">
        <v>1307</v>
      </c>
      <c r="B60" s="22" t="s">
        <v>1221</v>
      </c>
      <c r="C60" s="22" t="s">
        <v>925</v>
      </c>
      <c r="D60" s="50" t="str">
        <f t="shared" si="1"/>
        <v>2028dhwang</v>
      </c>
      <c r="F60" s="22" t="s">
        <v>695</v>
      </c>
      <c r="G60" s="22" t="s">
        <v>462</v>
      </c>
      <c r="H60" s="21">
        <f t="shared" si="2"/>
        <v>0</v>
      </c>
    </row>
    <row r="61">
      <c r="A61" s="22" t="s">
        <v>1308</v>
      </c>
      <c r="B61" s="22" t="s">
        <v>1221</v>
      </c>
      <c r="C61" s="22" t="s">
        <v>756</v>
      </c>
      <c r="D61" s="50" t="str">
        <f t="shared" si="1"/>
        <v>2026abaradhi</v>
      </c>
      <c r="F61" s="22" t="s">
        <v>696</v>
      </c>
      <c r="G61" s="22" t="s">
        <v>463</v>
      </c>
      <c r="H61" s="21">
        <f t="shared" si="2"/>
        <v>1</v>
      </c>
    </row>
    <row r="62">
      <c r="A62" s="22" t="s">
        <v>1309</v>
      </c>
      <c r="B62" s="22" t="s">
        <v>1221</v>
      </c>
      <c r="C62" s="22" t="s">
        <v>971</v>
      </c>
      <c r="D62" s="50" t="str">
        <f t="shared" si="1"/>
        <v>2028gagilan</v>
      </c>
      <c r="F62" s="22" t="s">
        <v>697</v>
      </c>
      <c r="G62" s="22" t="s">
        <v>464</v>
      </c>
      <c r="H62" s="21">
        <f t="shared" si="2"/>
        <v>0</v>
      </c>
    </row>
    <row r="63">
      <c r="A63" s="22" t="s">
        <v>1310</v>
      </c>
      <c r="B63" s="22" t="s">
        <v>1221</v>
      </c>
      <c r="C63" s="22" t="s">
        <v>931</v>
      </c>
      <c r="D63" s="50" t="str">
        <f t="shared" si="1"/>
        <v>2027pyoo</v>
      </c>
      <c r="F63" s="22" t="s">
        <v>698</v>
      </c>
      <c r="G63" s="22" t="s">
        <v>465</v>
      </c>
      <c r="H63" s="21">
        <f t="shared" si="2"/>
        <v>0</v>
      </c>
    </row>
    <row r="64">
      <c r="A64" s="22" t="s">
        <v>1311</v>
      </c>
      <c r="B64" s="22" t="s">
        <v>1221</v>
      </c>
      <c r="C64" s="22" t="s">
        <v>948</v>
      </c>
      <c r="D64" s="50" t="str">
        <f t="shared" si="1"/>
        <v>2028adeevi</v>
      </c>
      <c r="F64" s="22" t="s">
        <v>699</v>
      </c>
      <c r="G64" s="22" t="s">
        <v>466</v>
      </c>
      <c r="H64" s="21">
        <f t="shared" si="2"/>
        <v>6</v>
      </c>
    </row>
    <row r="65">
      <c r="A65" s="22" t="s">
        <v>1312</v>
      </c>
      <c r="B65" s="22" t="s">
        <v>1221</v>
      </c>
      <c r="C65" s="22" t="s">
        <v>958</v>
      </c>
      <c r="D65" s="50" t="str">
        <f t="shared" si="1"/>
        <v>2028asomired</v>
      </c>
      <c r="F65" s="22" t="s">
        <v>1313</v>
      </c>
      <c r="G65" s="22" t="s">
        <v>586</v>
      </c>
      <c r="H65" s="21">
        <f t="shared" si="2"/>
        <v>0</v>
      </c>
    </row>
    <row r="66">
      <c r="A66" s="22" t="s">
        <v>1314</v>
      </c>
      <c r="B66" s="22" t="s">
        <v>1221</v>
      </c>
      <c r="C66" s="22" t="s">
        <v>967</v>
      </c>
      <c r="D66" s="50" t="str">
        <f t="shared" si="1"/>
        <v>2028asu</v>
      </c>
      <c r="F66" s="22" t="s">
        <v>700</v>
      </c>
      <c r="G66" s="22" t="s">
        <v>467</v>
      </c>
      <c r="H66" s="21">
        <f t="shared" si="2"/>
        <v>0</v>
      </c>
    </row>
    <row r="67">
      <c r="A67" s="22" t="s">
        <v>1315</v>
      </c>
      <c r="B67" s="22" t="s">
        <v>1221</v>
      </c>
      <c r="C67" s="22" t="s">
        <v>970</v>
      </c>
      <c r="D67" s="50" t="str">
        <f t="shared" si="1"/>
        <v>2027mbu</v>
      </c>
      <c r="F67" s="22" t="s">
        <v>701</v>
      </c>
      <c r="G67" s="22" t="s">
        <v>468</v>
      </c>
      <c r="H67" s="21">
        <f t="shared" si="2"/>
        <v>0</v>
      </c>
    </row>
    <row r="68">
      <c r="A68" s="22" t="s">
        <v>1316</v>
      </c>
      <c r="B68" s="22" t="s">
        <v>1221</v>
      </c>
      <c r="C68" s="22" t="s">
        <v>963</v>
      </c>
      <c r="D68" s="50" t="str">
        <f t="shared" si="1"/>
        <v>2028aangirek</v>
      </c>
      <c r="F68" s="22" t="s">
        <v>702</v>
      </c>
      <c r="G68" s="22" t="s">
        <v>469</v>
      </c>
      <c r="H68" s="21">
        <f t="shared" si="2"/>
        <v>0</v>
      </c>
    </row>
    <row r="69">
      <c r="A69" s="22" t="s">
        <v>1317</v>
      </c>
      <c r="B69" s="22" t="s">
        <v>1221</v>
      </c>
      <c r="C69" s="22" t="s">
        <v>868</v>
      </c>
      <c r="D69" s="50" t="str">
        <f t="shared" si="1"/>
        <v>2027ochu</v>
      </c>
      <c r="F69" s="22" t="s">
        <v>1255</v>
      </c>
      <c r="G69" s="22" t="s">
        <v>560</v>
      </c>
      <c r="H69" s="21">
        <f t="shared" si="2"/>
        <v>11</v>
      </c>
    </row>
    <row r="70">
      <c r="A70" s="22" t="s">
        <v>1318</v>
      </c>
      <c r="B70" s="22" t="s">
        <v>1221</v>
      </c>
      <c r="C70" s="22" t="s">
        <v>927</v>
      </c>
      <c r="D70" s="50" t="str">
        <f t="shared" si="1"/>
        <v>2027arao</v>
      </c>
      <c r="F70" s="22" t="s">
        <v>703</v>
      </c>
      <c r="G70" s="22" t="s">
        <v>470</v>
      </c>
      <c r="H70" s="21">
        <f t="shared" si="2"/>
        <v>0</v>
      </c>
    </row>
    <row r="71">
      <c r="A71" s="22" t="s">
        <v>1319</v>
      </c>
      <c r="B71" s="22" t="s">
        <v>1221</v>
      </c>
      <c r="C71" s="22" t="s">
        <v>964</v>
      </c>
      <c r="D71" s="50" t="str">
        <f t="shared" si="1"/>
        <v>2028ldober</v>
      </c>
      <c r="F71" s="22" t="s">
        <v>1320</v>
      </c>
      <c r="G71" s="22" t="s">
        <v>587</v>
      </c>
      <c r="H71" s="21">
        <f t="shared" si="2"/>
        <v>0</v>
      </c>
    </row>
    <row r="72">
      <c r="A72" s="22" t="s">
        <v>1321</v>
      </c>
      <c r="B72" s="22" t="s">
        <v>1221</v>
      </c>
      <c r="C72" s="22" t="s">
        <v>957</v>
      </c>
      <c r="D72" s="50" t="str">
        <f t="shared" si="1"/>
        <v>2028aliu</v>
      </c>
      <c r="F72" s="22" t="s">
        <v>704</v>
      </c>
      <c r="G72" s="22" t="s">
        <v>471</v>
      </c>
      <c r="H72" s="21">
        <f t="shared" si="2"/>
        <v>0</v>
      </c>
    </row>
    <row r="73">
      <c r="A73" s="22" t="s">
        <v>1322</v>
      </c>
      <c r="B73" s="22" t="s">
        <v>1221</v>
      </c>
      <c r="C73" s="22" t="s">
        <v>973</v>
      </c>
      <c r="D73" s="50" t="str">
        <f t="shared" si="1"/>
        <v>2027ddeng</v>
      </c>
      <c r="F73" s="22" t="s">
        <v>1323</v>
      </c>
      <c r="G73" s="22" t="s">
        <v>618</v>
      </c>
      <c r="H73" s="21">
        <f t="shared" si="2"/>
        <v>0</v>
      </c>
    </row>
    <row r="74">
      <c r="A74" s="22" t="s">
        <v>1324</v>
      </c>
      <c r="B74" s="22" t="s">
        <v>1221</v>
      </c>
      <c r="C74" s="22" t="s">
        <v>940</v>
      </c>
      <c r="D74" s="50" t="str">
        <f t="shared" si="1"/>
        <v>2026apabolu</v>
      </c>
      <c r="F74" s="22" t="s">
        <v>1325</v>
      </c>
      <c r="G74" s="22" t="s">
        <v>588</v>
      </c>
      <c r="H74" s="21">
        <f t="shared" si="2"/>
        <v>0</v>
      </c>
    </row>
    <row r="75">
      <c r="A75" s="22" t="s">
        <v>1326</v>
      </c>
      <c r="B75" s="22" t="s">
        <v>1221</v>
      </c>
      <c r="C75" s="22" t="s">
        <v>930</v>
      </c>
      <c r="D75" s="50" t="str">
        <f t="shared" si="1"/>
        <v>2028wmcquirt</v>
      </c>
      <c r="F75" s="22" t="s">
        <v>1327</v>
      </c>
      <c r="G75" s="22" t="s">
        <v>589</v>
      </c>
      <c r="H75" s="21">
        <f t="shared" si="2"/>
        <v>0</v>
      </c>
    </row>
    <row r="76">
      <c r="A76" s="22" t="s">
        <v>1328</v>
      </c>
      <c r="B76" s="22" t="s">
        <v>1221</v>
      </c>
      <c r="C76" s="22" t="s">
        <v>830</v>
      </c>
      <c r="D76" s="50" t="str">
        <f t="shared" si="1"/>
        <v>2027rguo</v>
      </c>
      <c r="F76" s="22" t="s">
        <v>1329</v>
      </c>
      <c r="G76" s="22" t="s">
        <v>590</v>
      </c>
      <c r="H76" s="21">
        <f t="shared" si="2"/>
        <v>0</v>
      </c>
    </row>
    <row r="77">
      <c r="A77" s="22" t="s">
        <v>1330</v>
      </c>
      <c r="B77" s="22" t="s">
        <v>1221</v>
      </c>
      <c r="C77" s="22" t="s">
        <v>974</v>
      </c>
      <c r="D77" s="50" t="str">
        <f t="shared" si="1"/>
        <v>2028jjesudas</v>
      </c>
      <c r="F77" s="22" t="s">
        <v>1331</v>
      </c>
      <c r="G77" s="22" t="s">
        <v>591</v>
      </c>
      <c r="H77" s="21">
        <f t="shared" si="2"/>
        <v>0</v>
      </c>
    </row>
    <row r="78">
      <c r="A78" s="22" t="s">
        <v>1332</v>
      </c>
      <c r="B78" s="22" t="s">
        <v>1221</v>
      </c>
      <c r="C78" s="22" t="s">
        <v>947</v>
      </c>
      <c r="D78" s="50" t="str">
        <f t="shared" si="1"/>
        <v>2028syan</v>
      </c>
      <c r="F78" s="22" t="s">
        <v>1333</v>
      </c>
      <c r="G78" s="22" t="s">
        <v>566</v>
      </c>
      <c r="H78" s="21">
        <f t="shared" si="2"/>
        <v>12</v>
      </c>
    </row>
    <row r="79">
      <c r="A79" s="22" t="s">
        <v>1334</v>
      </c>
      <c r="B79" s="22" t="s">
        <v>1221</v>
      </c>
      <c r="C79" s="22" t="s">
        <v>960</v>
      </c>
      <c r="D79" s="50" t="str">
        <f t="shared" si="1"/>
        <v>2028srao</v>
      </c>
      <c r="F79" s="22" t="s">
        <v>1225</v>
      </c>
      <c r="G79" s="22" t="s">
        <v>592</v>
      </c>
      <c r="H79" s="21">
        <f t="shared" si="2"/>
        <v>6</v>
      </c>
    </row>
    <row r="80">
      <c r="A80" s="22" t="s">
        <v>1335</v>
      </c>
      <c r="B80" s="22" t="s">
        <v>1221</v>
      </c>
      <c r="C80" s="22" t="s">
        <v>924</v>
      </c>
      <c r="D80" s="50" t="str">
        <f t="shared" si="1"/>
        <v>2028relias</v>
      </c>
      <c r="F80" s="22" t="s">
        <v>705</v>
      </c>
      <c r="G80" s="22" t="s">
        <v>472</v>
      </c>
      <c r="H80" s="21">
        <f t="shared" si="2"/>
        <v>0</v>
      </c>
    </row>
    <row r="81">
      <c r="A81" s="22" t="s">
        <v>1336</v>
      </c>
      <c r="B81" s="22" t="s">
        <v>1221</v>
      </c>
      <c r="C81" s="22" t="s">
        <v>969</v>
      </c>
      <c r="D81" s="50" t="str">
        <f t="shared" si="1"/>
        <v>2028ahuang</v>
      </c>
      <c r="F81" s="22" t="s">
        <v>706</v>
      </c>
      <c r="G81" s="22" t="s">
        <v>473</v>
      </c>
      <c r="H81" s="21">
        <f t="shared" si="2"/>
        <v>0</v>
      </c>
    </row>
    <row r="82">
      <c r="A82" s="22" t="s">
        <v>1337</v>
      </c>
      <c r="B82" s="22" t="s">
        <v>1221</v>
      </c>
      <c r="C82" s="22" t="s">
        <v>932</v>
      </c>
      <c r="D82" s="50" t="str">
        <f t="shared" si="1"/>
        <v>2028rzhao</v>
      </c>
      <c r="F82" s="22" t="s">
        <v>707</v>
      </c>
      <c r="G82" s="22" t="s">
        <v>474</v>
      </c>
      <c r="H82" s="21">
        <f t="shared" si="2"/>
        <v>0</v>
      </c>
    </row>
    <row r="83">
      <c r="A83" s="22" t="s">
        <v>1338</v>
      </c>
      <c r="B83" s="22" t="s">
        <v>1221</v>
      </c>
      <c r="C83" s="22" t="s">
        <v>956</v>
      </c>
      <c r="D83" s="50" t="str">
        <f t="shared" si="1"/>
        <v>2028vlee</v>
      </c>
      <c r="F83" s="22" t="s">
        <v>1339</v>
      </c>
      <c r="G83" s="22" t="s">
        <v>593</v>
      </c>
      <c r="H83" s="21">
        <f t="shared" si="2"/>
        <v>0</v>
      </c>
    </row>
    <row r="84">
      <c r="A84" s="22" t="s">
        <v>1340</v>
      </c>
      <c r="B84" s="22" t="s">
        <v>1221</v>
      </c>
      <c r="C84" s="22" t="s">
        <v>954</v>
      </c>
      <c r="D84" s="50" t="str">
        <f t="shared" si="1"/>
        <v>2028ssurapan</v>
      </c>
      <c r="F84" s="22" t="s">
        <v>708</v>
      </c>
      <c r="G84" s="22" t="s">
        <v>510</v>
      </c>
      <c r="H84" s="21">
        <f t="shared" si="2"/>
        <v>0</v>
      </c>
    </row>
    <row r="85">
      <c r="A85" s="22" t="s">
        <v>1341</v>
      </c>
      <c r="B85" s="22" t="s">
        <v>1221</v>
      </c>
      <c r="C85" s="22" t="s">
        <v>966</v>
      </c>
      <c r="D85" s="50" t="str">
        <f t="shared" si="1"/>
        <v>2028adoppala</v>
      </c>
      <c r="F85" s="22" t="s">
        <v>709</v>
      </c>
      <c r="G85" s="22" t="s">
        <v>475</v>
      </c>
      <c r="H85" s="21">
        <f t="shared" si="2"/>
        <v>6</v>
      </c>
    </row>
    <row r="86">
      <c r="A86" s="22" t="s">
        <v>1342</v>
      </c>
      <c r="B86" s="22" t="s">
        <v>1221</v>
      </c>
      <c r="C86" s="22" t="s">
        <v>1288</v>
      </c>
      <c r="D86" s="50" t="str">
        <f t="shared" si="1"/>
        <v>2025mlin</v>
      </c>
      <c r="F86" s="22" t="s">
        <v>710</v>
      </c>
      <c r="G86" s="22" t="s">
        <v>476</v>
      </c>
      <c r="H86" s="21">
        <f t="shared" si="2"/>
        <v>0</v>
      </c>
    </row>
    <row r="87">
      <c r="A87" s="22" t="s">
        <v>1343</v>
      </c>
      <c r="B87" s="22" t="s">
        <v>1221</v>
      </c>
      <c r="C87" s="22" t="s">
        <v>709</v>
      </c>
      <c r="D87" s="50" t="str">
        <f t="shared" si="1"/>
        <v>2026swettimu</v>
      </c>
      <c r="F87" s="22" t="s">
        <v>1239</v>
      </c>
      <c r="G87" s="22" t="s">
        <v>594</v>
      </c>
      <c r="H87" s="21">
        <f t="shared" si="2"/>
        <v>13</v>
      </c>
    </row>
    <row r="88">
      <c r="A88" s="22" t="s">
        <v>1344</v>
      </c>
      <c r="B88" s="22" t="s">
        <v>1221</v>
      </c>
      <c r="C88" s="22" t="s">
        <v>1333</v>
      </c>
      <c r="D88" s="50" t="str">
        <f t="shared" si="1"/>
        <v>2025mburch</v>
      </c>
      <c r="F88" s="22" t="s">
        <v>711</v>
      </c>
      <c r="G88" s="22" t="s">
        <v>477</v>
      </c>
      <c r="H88" s="21">
        <f t="shared" si="2"/>
        <v>0</v>
      </c>
    </row>
    <row r="89">
      <c r="A89" s="22" t="s">
        <v>1345</v>
      </c>
      <c r="B89" s="22" t="s">
        <v>1221</v>
      </c>
      <c r="C89" s="22" t="s">
        <v>814</v>
      </c>
      <c r="D89" s="50" t="str">
        <f t="shared" si="1"/>
        <v>2027vcao</v>
      </c>
      <c r="F89" s="22" t="s">
        <v>712</v>
      </c>
      <c r="G89" s="22" t="s">
        <v>478</v>
      </c>
      <c r="H89" s="21">
        <f t="shared" si="2"/>
        <v>0</v>
      </c>
    </row>
    <row r="90">
      <c r="A90" s="22" t="s">
        <v>1346</v>
      </c>
      <c r="B90" s="22" t="s">
        <v>1221</v>
      </c>
      <c r="C90" s="22" t="s">
        <v>972</v>
      </c>
      <c r="D90" s="50" t="str">
        <f t="shared" si="1"/>
        <v>2028dsubedi</v>
      </c>
      <c r="F90" s="22" t="s">
        <v>1347</v>
      </c>
      <c r="G90" s="22" t="s">
        <v>595</v>
      </c>
      <c r="H90" s="21">
        <f t="shared" si="2"/>
        <v>0</v>
      </c>
    </row>
    <row r="91">
      <c r="A91" s="22" t="s">
        <v>1348</v>
      </c>
      <c r="B91" s="22" t="s">
        <v>1221</v>
      </c>
      <c r="C91" s="22" t="s">
        <v>962</v>
      </c>
      <c r="D91" s="50" t="str">
        <f t="shared" si="1"/>
        <v>2027sbitar</v>
      </c>
      <c r="F91" s="22" t="s">
        <v>713</v>
      </c>
      <c r="G91" s="22" t="s">
        <v>479</v>
      </c>
      <c r="H91" s="21">
        <f t="shared" si="2"/>
        <v>0</v>
      </c>
    </row>
    <row r="92">
      <c r="A92" s="22" t="s">
        <v>1349</v>
      </c>
      <c r="B92" s="22" t="s">
        <v>1221</v>
      </c>
      <c r="C92" s="22" t="s">
        <v>667</v>
      </c>
      <c r="D92" s="50" t="str">
        <f t="shared" si="1"/>
        <v>2026iharchic</v>
      </c>
      <c r="F92" s="22" t="s">
        <v>1350</v>
      </c>
      <c r="G92" s="22" t="s">
        <v>596</v>
      </c>
      <c r="H92" s="21">
        <f t="shared" si="2"/>
        <v>0</v>
      </c>
    </row>
    <row r="93">
      <c r="A93" s="22" t="s">
        <v>1351</v>
      </c>
      <c r="B93" s="22" t="s">
        <v>1221</v>
      </c>
      <c r="C93" s="22" t="s">
        <v>945</v>
      </c>
      <c r="D93" s="50" t="str">
        <f t="shared" si="1"/>
        <v>2028cwang</v>
      </c>
      <c r="F93" s="22" t="s">
        <v>714</v>
      </c>
      <c r="G93" s="22" t="s">
        <v>480</v>
      </c>
      <c r="H93" s="21">
        <f t="shared" si="2"/>
        <v>0</v>
      </c>
    </row>
    <row r="94">
      <c r="A94" s="22" t="s">
        <v>1352</v>
      </c>
      <c r="B94" s="22" t="s">
        <v>1221</v>
      </c>
      <c r="C94" s="22" t="s">
        <v>975</v>
      </c>
      <c r="D94" s="50" t="str">
        <f t="shared" si="1"/>
        <v>2027eshan</v>
      </c>
      <c r="F94" s="22" t="s">
        <v>715</v>
      </c>
      <c r="G94" s="22" t="s">
        <v>481</v>
      </c>
      <c r="H94" s="21">
        <f t="shared" si="2"/>
        <v>0</v>
      </c>
    </row>
    <row r="95">
      <c r="A95" s="22" t="s">
        <v>1353</v>
      </c>
      <c r="B95" s="22" t="s">
        <v>1221</v>
      </c>
      <c r="C95" s="22" t="s">
        <v>788</v>
      </c>
      <c r="D95" s="50" t="str">
        <f t="shared" si="1"/>
        <v>2027itennyso</v>
      </c>
      <c r="F95" s="22" t="s">
        <v>1354</v>
      </c>
      <c r="G95" s="22" t="s">
        <v>597</v>
      </c>
      <c r="H95" s="21">
        <f t="shared" si="2"/>
        <v>0</v>
      </c>
    </row>
    <row r="96">
      <c r="A96" s="22" t="s">
        <v>1355</v>
      </c>
      <c r="B96" s="22" t="s">
        <v>1221</v>
      </c>
      <c r="C96" s="22" t="s">
        <v>881</v>
      </c>
      <c r="D96" s="50" t="str">
        <f t="shared" si="1"/>
        <v>2027aliu</v>
      </c>
      <c r="F96" s="22" t="s">
        <v>1356</v>
      </c>
      <c r="G96" s="22" t="s">
        <v>569</v>
      </c>
      <c r="H96" s="21">
        <f t="shared" si="2"/>
        <v>7</v>
      </c>
    </row>
    <row r="97">
      <c r="A97" s="22" t="s">
        <v>1357</v>
      </c>
      <c r="B97" s="22" t="s">
        <v>1221</v>
      </c>
      <c r="C97" s="22" t="s">
        <v>935</v>
      </c>
      <c r="D97" s="50" t="str">
        <f t="shared" si="1"/>
        <v>2028szhang</v>
      </c>
      <c r="F97" s="22" t="s">
        <v>1358</v>
      </c>
      <c r="G97" s="22" t="s">
        <v>598</v>
      </c>
      <c r="H97" s="21">
        <f t="shared" si="2"/>
        <v>0</v>
      </c>
    </row>
    <row r="98">
      <c r="A98" s="22" t="s">
        <v>1359</v>
      </c>
      <c r="B98" s="22" t="s">
        <v>1221</v>
      </c>
      <c r="C98" s="22" t="s">
        <v>976</v>
      </c>
      <c r="D98" s="50" t="str">
        <f t="shared" si="1"/>
        <v>2028asun</v>
      </c>
      <c r="F98" s="22" t="s">
        <v>1360</v>
      </c>
      <c r="G98" s="22" t="s">
        <v>599</v>
      </c>
      <c r="H98" s="21">
        <f t="shared" si="2"/>
        <v>0</v>
      </c>
    </row>
    <row r="99">
      <c r="A99" s="22" t="s">
        <v>1361</v>
      </c>
      <c r="B99" s="22" t="s">
        <v>1221</v>
      </c>
      <c r="C99" s="22" t="s">
        <v>977</v>
      </c>
      <c r="D99" s="50" t="str">
        <f t="shared" si="1"/>
        <v>2027eqiu</v>
      </c>
      <c r="F99" s="22" t="s">
        <v>1362</v>
      </c>
      <c r="G99" s="22" t="s">
        <v>600</v>
      </c>
      <c r="H99" s="21">
        <f t="shared" si="2"/>
        <v>0</v>
      </c>
    </row>
    <row r="100">
      <c r="A100" s="22" t="s">
        <v>1363</v>
      </c>
      <c r="B100" s="22" t="s">
        <v>1221</v>
      </c>
      <c r="C100" s="22" t="s">
        <v>842</v>
      </c>
      <c r="D100" s="50" t="str">
        <f t="shared" si="1"/>
        <v>2027hzanbrak</v>
      </c>
      <c r="F100" s="22" t="s">
        <v>1364</v>
      </c>
      <c r="G100" s="22" t="s">
        <v>601</v>
      </c>
      <c r="H100" s="21">
        <f t="shared" si="2"/>
        <v>0</v>
      </c>
    </row>
    <row r="101">
      <c r="A101" s="22" t="s">
        <v>1365</v>
      </c>
      <c r="B101" s="22" t="s">
        <v>1221</v>
      </c>
      <c r="C101" s="22" t="s">
        <v>1356</v>
      </c>
      <c r="D101" s="50" t="str">
        <f t="shared" si="1"/>
        <v>2025avijayra</v>
      </c>
      <c r="F101" s="22" t="s">
        <v>716</v>
      </c>
      <c r="G101" s="22" t="s">
        <v>482</v>
      </c>
      <c r="H101" s="21">
        <f t="shared" si="2"/>
        <v>0</v>
      </c>
    </row>
    <row r="102">
      <c r="A102" s="22" t="s">
        <v>1366</v>
      </c>
      <c r="B102" s="22" t="s">
        <v>1221</v>
      </c>
      <c r="C102" s="22" t="s">
        <v>764</v>
      </c>
      <c r="D102" s="50" t="str">
        <f t="shared" si="1"/>
        <v>2027zizzi</v>
      </c>
      <c r="F102" s="22" t="s">
        <v>717</v>
      </c>
      <c r="G102" s="22" t="s">
        <v>483</v>
      </c>
      <c r="H102" s="21">
        <f t="shared" si="2"/>
        <v>4</v>
      </c>
    </row>
    <row r="103">
      <c r="A103" s="22" t="s">
        <v>1367</v>
      </c>
      <c r="B103" s="22" t="s">
        <v>1221</v>
      </c>
      <c r="C103" s="22" t="s">
        <v>784</v>
      </c>
      <c r="D103" s="50" t="str">
        <f t="shared" si="1"/>
        <v>2027mthathin</v>
      </c>
      <c r="F103" s="22" t="s">
        <v>718</v>
      </c>
      <c r="G103" s="22" t="s">
        <v>484</v>
      </c>
      <c r="H103" s="21">
        <f t="shared" si="2"/>
        <v>0</v>
      </c>
    </row>
    <row r="104">
      <c r="A104" s="22" t="s">
        <v>1368</v>
      </c>
      <c r="B104" s="22" t="s">
        <v>1221</v>
      </c>
      <c r="C104" s="22" t="s">
        <v>1369</v>
      </c>
      <c r="D104" s="50" t="str">
        <f t="shared" si="1"/>
        <v>2025rafkhami</v>
      </c>
      <c r="F104" s="22" t="s">
        <v>719</v>
      </c>
      <c r="G104" s="22" t="s">
        <v>485</v>
      </c>
      <c r="H104" s="21">
        <f t="shared" si="2"/>
        <v>0</v>
      </c>
    </row>
    <row r="105">
      <c r="A105" s="22" t="s">
        <v>1370</v>
      </c>
      <c r="B105" s="22" t="s">
        <v>1236</v>
      </c>
      <c r="C105" s="22" t="s">
        <v>764</v>
      </c>
      <c r="D105" s="50" t="str">
        <f t="shared" si="1"/>
        <v>2027zizzi</v>
      </c>
      <c r="F105" s="22" t="s">
        <v>720</v>
      </c>
      <c r="G105" s="22" t="s">
        <v>486</v>
      </c>
      <c r="H105" s="21">
        <f t="shared" si="2"/>
        <v>0</v>
      </c>
    </row>
    <row r="106">
      <c r="A106" s="22" t="s">
        <v>1371</v>
      </c>
      <c r="B106" s="22" t="s">
        <v>1236</v>
      </c>
      <c r="C106" s="22" t="s">
        <v>767</v>
      </c>
      <c r="D106" s="50" t="str">
        <f t="shared" si="1"/>
        <v>2026jshi</v>
      </c>
      <c r="F106" s="22" t="s">
        <v>721</v>
      </c>
      <c r="G106" s="22" t="s">
        <v>487</v>
      </c>
      <c r="H106" s="21">
        <f t="shared" si="2"/>
        <v>0</v>
      </c>
    </row>
    <row r="107">
      <c r="A107" s="22" t="s">
        <v>1372</v>
      </c>
      <c r="B107" s="22" t="s">
        <v>1236</v>
      </c>
      <c r="C107" s="22" t="s">
        <v>667</v>
      </c>
      <c r="D107" s="50" t="str">
        <f t="shared" si="1"/>
        <v>2026iharchic</v>
      </c>
      <c r="F107" s="22" t="s">
        <v>722</v>
      </c>
      <c r="G107" s="22" t="s">
        <v>488</v>
      </c>
      <c r="H107" s="21">
        <f t="shared" si="2"/>
        <v>2</v>
      </c>
    </row>
    <row r="108">
      <c r="A108" s="22" t="s">
        <v>1373</v>
      </c>
      <c r="B108" s="22" t="s">
        <v>1236</v>
      </c>
      <c r="C108" s="22" t="s">
        <v>779</v>
      </c>
      <c r="D108" s="50" t="str">
        <f t="shared" si="1"/>
        <v>2027jdurr</v>
      </c>
      <c r="F108" s="22" t="s">
        <v>723</v>
      </c>
      <c r="G108" s="22" t="s">
        <v>489</v>
      </c>
      <c r="H108" s="21">
        <f t="shared" si="2"/>
        <v>0</v>
      </c>
    </row>
    <row r="109">
      <c r="A109" s="22" t="s">
        <v>1374</v>
      </c>
      <c r="B109" s="22" t="s">
        <v>1236</v>
      </c>
      <c r="C109" s="22" t="s">
        <v>842</v>
      </c>
      <c r="D109" s="50" t="str">
        <f t="shared" si="1"/>
        <v>2027hzanbrak</v>
      </c>
      <c r="F109" s="22" t="s">
        <v>724</v>
      </c>
      <c r="G109" s="22" t="s">
        <v>490</v>
      </c>
      <c r="H109" s="21">
        <f t="shared" si="2"/>
        <v>0</v>
      </c>
    </row>
    <row r="110">
      <c r="A110" s="22" t="s">
        <v>1375</v>
      </c>
      <c r="B110" s="22" t="s">
        <v>1236</v>
      </c>
      <c r="C110" s="22" t="s">
        <v>847</v>
      </c>
      <c r="D110" s="50" t="str">
        <f t="shared" si="1"/>
        <v>2027mtaher</v>
      </c>
      <c r="F110" s="22" t="s">
        <v>725</v>
      </c>
      <c r="G110" s="22" t="s">
        <v>491</v>
      </c>
      <c r="H110" s="21">
        <f t="shared" si="2"/>
        <v>0</v>
      </c>
    </row>
    <row r="111">
      <c r="A111" s="22" t="s">
        <v>1376</v>
      </c>
      <c r="B111" s="22" t="s">
        <v>1236</v>
      </c>
      <c r="C111" s="22" t="s">
        <v>685</v>
      </c>
      <c r="D111" s="50" t="str">
        <f t="shared" si="1"/>
        <v>2026akrishna</v>
      </c>
      <c r="F111" s="22" t="s">
        <v>726</v>
      </c>
      <c r="G111" s="22" t="s">
        <v>492</v>
      </c>
      <c r="H111" s="21">
        <f t="shared" si="2"/>
        <v>0</v>
      </c>
    </row>
    <row r="112">
      <c r="A112" s="22" t="s">
        <v>1377</v>
      </c>
      <c r="B112" s="22" t="s">
        <v>1236</v>
      </c>
      <c r="C112" s="22" t="s">
        <v>699</v>
      </c>
      <c r="D112" s="50" t="str">
        <f t="shared" si="1"/>
        <v>2026anarayan</v>
      </c>
      <c r="F112" s="22" t="s">
        <v>727</v>
      </c>
      <c r="G112" s="22" t="s">
        <v>493</v>
      </c>
      <c r="H112" s="21">
        <f t="shared" si="2"/>
        <v>0</v>
      </c>
    </row>
    <row r="113">
      <c r="A113" s="22" t="s">
        <v>1378</v>
      </c>
      <c r="B113" s="22" t="s">
        <v>1236</v>
      </c>
      <c r="C113" s="22" t="s">
        <v>756</v>
      </c>
      <c r="D113" s="50" t="str">
        <f t="shared" si="1"/>
        <v>2026abaradhi</v>
      </c>
      <c r="F113" s="22" t="s">
        <v>1379</v>
      </c>
      <c r="G113" s="22" t="s">
        <v>602</v>
      </c>
      <c r="H113" s="21">
        <f t="shared" si="2"/>
        <v>0</v>
      </c>
    </row>
    <row r="114">
      <c r="A114" s="22" t="s">
        <v>1380</v>
      </c>
      <c r="B114" s="22" t="s">
        <v>1236</v>
      </c>
      <c r="C114" s="22" t="s">
        <v>919</v>
      </c>
      <c r="D114" s="50" t="str">
        <f t="shared" si="1"/>
        <v>2027ekim</v>
      </c>
      <c r="F114" s="22" t="s">
        <v>728</v>
      </c>
      <c r="G114" s="22" t="s">
        <v>494</v>
      </c>
      <c r="H114" s="21">
        <f t="shared" si="2"/>
        <v>0</v>
      </c>
    </row>
    <row r="115">
      <c r="A115" s="22" t="s">
        <v>1381</v>
      </c>
      <c r="B115" s="22" t="s">
        <v>1236</v>
      </c>
      <c r="C115" s="22" t="s">
        <v>975</v>
      </c>
      <c r="D115" s="50" t="str">
        <f t="shared" si="1"/>
        <v>2027eshan</v>
      </c>
      <c r="F115" s="22" t="s">
        <v>729</v>
      </c>
      <c r="G115" s="22" t="s">
        <v>495</v>
      </c>
      <c r="H115" s="21">
        <f t="shared" si="2"/>
        <v>0</v>
      </c>
    </row>
    <row r="116">
      <c r="A116" s="22" t="s">
        <v>1382</v>
      </c>
      <c r="B116" s="22" t="s">
        <v>1236</v>
      </c>
      <c r="C116" s="22" t="s">
        <v>688</v>
      </c>
      <c r="D116" s="50" t="str">
        <f t="shared" si="1"/>
        <v>2026cmorimot</v>
      </c>
      <c r="F116" s="22" t="s">
        <v>1383</v>
      </c>
      <c r="G116" s="22" t="s">
        <v>603</v>
      </c>
      <c r="H116" s="21">
        <f t="shared" si="2"/>
        <v>0</v>
      </c>
    </row>
    <row r="117">
      <c r="A117" s="22" t="s">
        <v>1384</v>
      </c>
      <c r="B117" s="22" t="s">
        <v>1236</v>
      </c>
      <c r="C117" s="22" t="s">
        <v>960</v>
      </c>
      <c r="D117" s="50" t="str">
        <f t="shared" si="1"/>
        <v>2028srao</v>
      </c>
      <c r="F117" s="22" t="s">
        <v>730</v>
      </c>
      <c r="G117" s="22" t="s">
        <v>101</v>
      </c>
      <c r="H117" s="21">
        <f t="shared" si="2"/>
        <v>0</v>
      </c>
    </row>
    <row r="118">
      <c r="A118" s="22" t="s">
        <v>1385</v>
      </c>
      <c r="B118" s="22" t="s">
        <v>1236</v>
      </c>
      <c r="C118" s="22" t="s">
        <v>947</v>
      </c>
      <c r="D118" s="50" t="str">
        <f t="shared" si="1"/>
        <v>2028syan</v>
      </c>
      <c r="F118" s="22" t="s">
        <v>731</v>
      </c>
      <c r="G118" s="22" t="s">
        <v>102</v>
      </c>
      <c r="H118" s="21">
        <f t="shared" si="2"/>
        <v>1</v>
      </c>
    </row>
    <row r="119">
      <c r="A119" s="22" t="s">
        <v>1386</v>
      </c>
      <c r="B119" s="22" t="s">
        <v>1236</v>
      </c>
      <c r="C119" s="22" t="s">
        <v>717</v>
      </c>
      <c r="D119" s="50" t="str">
        <f t="shared" si="1"/>
        <v>2026jhernand</v>
      </c>
      <c r="F119" s="22" t="s">
        <v>1387</v>
      </c>
      <c r="G119" s="22" t="s">
        <v>604</v>
      </c>
      <c r="H119" s="21">
        <f t="shared" si="2"/>
        <v>0</v>
      </c>
    </row>
    <row r="120">
      <c r="A120" s="22" t="s">
        <v>1388</v>
      </c>
      <c r="B120" s="22" t="s">
        <v>1236</v>
      </c>
      <c r="C120" s="22" t="s">
        <v>845</v>
      </c>
      <c r="D120" s="50" t="str">
        <f t="shared" si="1"/>
        <v>2027akoundin</v>
      </c>
      <c r="F120" s="22" t="s">
        <v>732</v>
      </c>
      <c r="G120" s="22" t="s">
        <v>103</v>
      </c>
      <c r="H120" s="21">
        <f t="shared" si="2"/>
        <v>13</v>
      </c>
    </row>
    <row r="121">
      <c r="A121" s="22" t="s">
        <v>1389</v>
      </c>
      <c r="B121" s="22" t="s">
        <v>1236</v>
      </c>
      <c r="C121" s="22" t="s">
        <v>971</v>
      </c>
      <c r="D121" s="50" t="str">
        <f t="shared" si="1"/>
        <v>2028gagilan</v>
      </c>
      <c r="F121" s="22" t="s">
        <v>1390</v>
      </c>
      <c r="G121" s="22" t="s">
        <v>605</v>
      </c>
      <c r="H121" s="21">
        <f t="shared" si="2"/>
        <v>0</v>
      </c>
    </row>
    <row r="122">
      <c r="A122" s="22" t="s">
        <v>1391</v>
      </c>
      <c r="B122" s="22" t="s">
        <v>1236</v>
      </c>
      <c r="C122" s="22" t="s">
        <v>969</v>
      </c>
      <c r="D122" s="50" t="str">
        <f t="shared" si="1"/>
        <v>2028ahuang</v>
      </c>
      <c r="F122" s="22" t="s">
        <v>1392</v>
      </c>
      <c r="G122" s="22" t="s">
        <v>606</v>
      </c>
      <c r="H122" s="21">
        <f t="shared" si="2"/>
        <v>0</v>
      </c>
    </row>
    <row r="123">
      <c r="A123" s="22" t="s">
        <v>1393</v>
      </c>
      <c r="B123" s="22" t="s">
        <v>1236</v>
      </c>
      <c r="C123" s="22" t="s">
        <v>944</v>
      </c>
      <c r="D123" s="50" t="str">
        <f t="shared" si="1"/>
        <v>2028zrasti</v>
      </c>
      <c r="F123" s="22" t="s">
        <v>733</v>
      </c>
      <c r="G123" s="22" t="s">
        <v>104</v>
      </c>
      <c r="H123" s="21">
        <f t="shared" si="2"/>
        <v>0</v>
      </c>
    </row>
    <row r="124">
      <c r="A124" s="22" t="s">
        <v>1394</v>
      </c>
      <c r="B124" s="22" t="s">
        <v>1236</v>
      </c>
      <c r="C124" s="22" t="s">
        <v>788</v>
      </c>
      <c r="D124" s="50" t="str">
        <f t="shared" si="1"/>
        <v>2027itennyso</v>
      </c>
      <c r="F124" s="22" t="s">
        <v>734</v>
      </c>
      <c r="G124" s="22" t="s">
        <v>105</v>
      </c>
      <c r="H124" s="21">
        <f t="shared" si="2"/>
        <v>0</v>
      </c>
    </row>
    <row r="125">
      <c r="A125" s="22" t="s">
        <v>1395</v>
      </c>
      <c r="B125" s="22" t="s">
        <v>1236</v>
      </c>
      <c r="C125" s="22" t="s">
        <v>757</v>
      </c>
      <c r="D125" s="50" t="str">
        <f t="shared" si="1"/>
        <v>2027yzahid</v>
      </c>
      <c r="F125" s="22" t="s">
        <v>735</v>
      </c>
      <c r="G125" s="22" t="s">
        <v>106</v>
      </c>
      <c r="H125" s="21">
        <f t="shared" si="2"/>
        <v>0</v>
      </c>
    </row>
    <row r="126">
      <c r="A126" s="22" t="s">
        <v>1396</v>
      </c>
      <c r="B126" s="22" t="s">
        <v>1236</v>
      </c>
      <c r="C126" s="22" t="s">
        <v>816</v>
      </c>
      <c r="D126" s="50" t="str">
        <f t="shared" si="1"/>
        <v>2027achu</v>
      </c>
      <c r="F126" s="22" t="s">
        <v>736</v>
      </c>
      <c r="G126" s="22" t="s">
        <v>107</v>
      </c>
      <c r="H126" s="21">
        <f t="shared" si="2"/>
        <v>0</v>
      </c>
    </row>
    <row r="127">
      <c r="A127" s="22" t="s">
        <v>1397</v>
      </c>
      <c r="B127" s="22" t="s">
        <v>1236</v>
      </c>
      <c r="C127" s="22" t="s">
        <v>942</v>
      </c>
      <c r="D127" s="50" t="str">
        <f t="shared" si="1"/>
        <v>2028che</v>
      </c>
      <c r="F127" s="22" t="s">
        <v>737</v>
      </c>
      <c r="G127" s="22" t="s">
        <v>108</v>
      </c>
      <c r="H127" s="21">
        <f t="shared" si="2"/>
        <v>0</v>
      </c>
    </row>
    <row r="128">
      <c r="A128" s="22" t="s">
        <v>1398</v>
      </c>
      <c r="B128" s="22" t="s">
        <v>1236</v>
      </c>
      <c r="C128" s="22" t="s">
        <v>789</v>
      </c>
      <c r="D128" s="50" t="str">
        <f t="shared" si="1"/>
        <v>2027tho</v>
      </c>
      <c r="F128" s="22" t="s">
        <v>738</v>
      </c>
      <c r="G128" s="22" t="s">
        <v>109</v>
      </c>
      <c r="H128" s="21">
        <f t="shared" si="2"/>
        <v>0</v>
      </c>
    </row>
    <row r="129">
      <c r="A129" s="22" t="s">
        <v>1399</v>
      </c>
      <c r="B129" s="22" t="s">
        <v>1236</v>
      </c>
      <c r="C129" s="22" t="s">
        <v>959</v>
      </c>
      <c r="D129" s="50" t="str">
        <f t="shared" si="1"/>
        <v>2028bjonuzaj</v>
      </c>
      <c r="F129" s="22" t="s">
        <v>739</v>
      </c>
      <c r="G129" s="22" t="s">
        <v>110</v>
      </c>
      <c r="H129" s="21">
        <f t="shared" si="2"/>
        <v>0</v>
      </c>
    </row>
    <row r="130">
      <c r="A130" s="22" t="s">
        <v>1400</v>
      </c>
      <c r="B130" s="22" t="s">
        <v>1236</v>
      </c>
      <c r="C130" s="22" t="s">
        <v>690</v>
      </c>
      <c r="D130" s="50" t="str">
        <f t="shared" si="1"/>
        <v>2026rsingh2</v>
      </c>
      <c r="F130" s="22" t="s">
        <v>1401</v>
      </c>
      <c r="G130" s="22" t="s">
        <v>607</v>
      </c>
      <c r="H130" s="21">
        <f t="shared" si="2"/>
        <v>0</v>
      </c>
    </row>
    <row r="131">
      <c r="A131" s="22" t="s">
        <v>1402</v>
      </c>
      <c r="B131" s="22" t="s">
        <v>1236</v>
      </c>
      <c r="C131" s="22" t="s">
        <v>934</v>
      </c>
      <c r="D131" s="50" t="str">
        <f t="shared" si="1"/>
        <v>2028bhan</v>
      </c>
      <c r="F131" s="22" t="s">
        <v>1403</v>
      </c>
      <c r="G131" s="22" t="s">
        <v>608</v>
      </c>
      <c r="H131" s="21">
        <f t="shared" si="2"/>
        <v>0</v>
      </c>
    </row>
    <row r="132">
      <c r="A132" s="22" t="s">
        <v>1404</v>
      </c>
      <c r="B132" s="22" t="s">
        <v>1236</v>
      </c>
      <c r="C132" s="22" t="s">
        <v>1250</v>
      </c>
      <c r="D132" s="50" t="str">
        <f t="shared" si="1"/>
        <v>2025agu</v>
      </c>
      <c r="F132" s="22" t="s">
        <v>740</v>
      </c>
      <c r="G132" s="22" t="s">
        <v>111</v>
      </c>
      <c r="H132" s="21">
        <f t="shared" si="2"/>
        <v>0</v>
      </c>
    </row>
    <row r="133">
      <c r="A133" s="22" t="s">
        <v>1405</v>
      </c>
      <c r="B133" s="22" t="s">
        <v>1236</v>
      </c>
      <c r="C133" s="22" t="s">
        <v>966</v>
      </c>
      <c r="D133" s="50" t="str">
        <f t="shared" si="1"/>
        <v>2028adoppala</v>
      </c>
      <c r="F133" s="22" t="s">
        <v>741</v>
      </c>
      <c r="G133" s="22" t="s">
        <v>112</v>
      </c>
      <c r="H133" s="21">
        <f t="shared" si="2"/>
        <v>0</v>
      </c>
    </row>
    <row r="134">
      <c r="A134" s="22" t="s">
        <v>1406</v>
      </c>
      <c r="B134" s="22" t="s">
        <v>1236</v>
      </c>
      <c r="C134" s="22" t="s">
        <v>825</v>
      </c>
      <c r="D134" s="50" t="str">
        <f t="shared" si="1"/>
        <v>2027tdao</v>
      </c>
      <c r="F134" s="22" t="s">
        <v>1407</v>
      </c>
      <c r="G134" s="22" t="s">
        <v>609</v>
      </c>
      <c r="H134" s="21">
        <f t="shared" si="2"/>
        <v>0</v>
      </c>
    </row>
    <row r="135">
      <c r="A135" s="22" t="s">
        <v>1408</v>
      </c>
      <c r="B135" s="22" t="s">
        <v>1236</v>
      </c>
      <c r="C135" s="22" t="s">
        <v>809</v>
      </c>
      <c r="D135" s="50" t="str">
        <f t="shared" si="1"/>
        <v>2027sjain</v>
      </c>
      <c r="F135" s="22" t="s">
        <v>742</v>
      </c>
      <c r="G135" s="22" t="s">
        <v>113</v>
      </c>
      <c r="H135" s="21">
        <f t="shared" si="2"/>
        <v>1</v>
      </c>
    </row>
    <row r="136">
      <c r="A136" s="22" t="s">
        <v>1409</v>
      </c>
      <c r="B136" s="22" t="s">
        <v>1236</v>
      </c>
      <c r="C136" s="22" t="s">
        <v>668</v>
      </c>
      <c r="D136" s="50" t="str">
        <f t="shared" si="1"/>
        <v>2026ludeshi</v>
      </c>
      <c r="F136" s="22" t="s">
        <v>1410</v>
      </c>
      <c r="G136" s="22" t="s">
        <v>610</v>
      </c>
      <c r="H136" s="21">
        <f t="shared" si="2"/>
        <v>0</v>
      </c>
    </row>
    <row r="137">
      <c r="A137" s="22" t="s">
        <v>1411</v>
      </c>
      <c r="B137" s="22" t="s">
        <v>1236</v>
      </c>
      <c r="C137" s="22" t="s">
        <v>806</v>
      </c>
      <c r="D137" s="50" t="str">
        <f t="shared" si="1"/>
        <v>2026jma</v>
      </c>
      <c r="F137" s="22" t="s">
        <v>743</v>
      </c>
      <c r="G137" s="22" t="s">
        <v>114</v>
      </c>
      <c r="H137" s="21">
        <f t="shared" si="2"/>
        <v>0</v>
      </c>
    </row>
    <row r="138">
      <c r="A138" s="22" t="s">
        <v>1412</v>
      </c>
      <c r="B138" s="22" t="s">
        <v>1236</v>
      </c>
      <c r="C138" s="22" t="s">
        <v>939</v>
      </c>
      <c r="D138" s="50" t="str">
        <f t="shared" si="1"/>
        <v>2027apesalad</v>
      </c>
      <c r="F138" s="22" t="s">
        <v>744</v>
      </c>
      <c r="G138" s="22" t="s">
        <v>115</v>
      </c>
      <c r="H138" s="21">
        <f t="shared" si="2"/>
        <v>0</v>
      </c>
    </row>
    <row r="139">
      <c r="A139" s="22" t="s">
        <v>1413</v>
      </c>
      <c r="B139" s="22" t="s">
        <v>1236</v>
      </c>
      <c r="C139" s="22" t="s">
        <v>808</v>
      </c>
      <c r="D139" s="50" t="str">
        <f t="shared" si="1"/>
        <v>2027sbisht</v>
      </c>
      <c r="F139" s="22" t="s">
        <v>745</v>
      </c>
      <c r="G139" s="22" t="s">
        <v>116</v>
      </c>
      <c r="H139" s="21">
        <f t="shared" si="2"/>
        <v>0</v>
      </c>
    </row>
    <row r="140">
      <c r="A140" s="22" t="s">
        <v>1414</v>
      </c>
      <c r="B140" s="22" t="s">
        <v>1236</v>
      </c>
      <c r="C140" s="22" t="s">
        <v>785</v>
      </c>
      <c r="D140" s="50" t="str">
        <f t="shared" si="1"/>
        <v>2027pdu</v>
      </c>
      <c r="F140" s="22" t="s">
        <v>1415</v>
      </c>
      <c r="G140" s="22" t="s">
        <v>611</v>
      </c>
      <c r="H140" s="21">
        <f t="shared" si="2"/>
        <v>0</v>
      </c>
    </row>
    <row r="141">
      <c r="A141" s="22" t="s">
        <v>1416</v>
      </c>
      <c r="B141" s="22" t="s">
        <v>1236</v>
      </c>
      <c r="C141" s="22" t="s">
        <v>732</v>
      </c>
      <c r="D141" s="50" t="str">
        <f t="shared" si="1"/>
        <v>2026ejaldint</v>
      </c>
      <c r="F141" s="22" t="s">
        <v>1417</v>
      </c>
      <c r="G141" s="22" t="s">
        <v>612</v>
      </c>
      <c r="H141" s="21">
        <f t="shared" si="2"/>
        <v>0</v>
      </c>
    </row>
    <row r="142">
      <c r="A142" s="22" t="s">
        <v>1418</v>
      </c>
      <c r="B142" s="22" t="s">
        <v>1236</v>
      </c>
      <c r="C142" s="22" t="s">
        <v>844</v>
      </c>
      <c r="D142" s="50" t="str">
        <f t="shared" si="1"/>
        <v>2027isaxena</v>
      </c>
      <c r="F142" s="22" t="s">
        <v>746</v>
      </c>
      <c r="G142" s="22" t="s">
        <v>117</v>
      </c>
      <c r="H142" s="21">
        <f t="shared" si="2"/>
        <v>0</v>
      </c>
    </row>
    <row r="143">
      <c r="A143" s="22" t="s">
        <v>1419</v>
      </c>
      <c r="B143" s="22" t="s">
        <v>1236</v>
      </c>
      <c r="C143" s="22" t="s">
        <v>1241</v>
      </c>
      <c r="D143" s="50" t="str">
        <f t="shared" si="1"/>
        <v>2025jyoo</v>
      </c>
      <c r="F143" s="22" t="s">
        <v>747</v>
      </c>
      <c r="G143" s="22" t="s">
        <v>118</v>
      </c>
      <c r="H143" s="21">
        <f t="shared" si="2"/>
        <v>0</v>
      </c>
    </row>
    <row r="144">
      <c r="A144" s="22" t="s">
        <v>1420</v>
      </c>
      <c r="B144" s="22" t="s">
        <v>1236</v>
      </c>
      <c r="C144" s="22" t="s">
        <v>977</v>
      </c>
      <c r="D144" s="50" t="str">
        <f t="shared" si="1"/>
        <v>2027eqiu</v>
      </c>
      <c r="F144" s="22" t="s">
        <v>748</v>
      </c>
      <c r="G144" s="22" t="s">
        <v>119</v>
      </c>
      <c r="H144" s="21">
        <f t="shared" si="2"/>
        <v>0</v>
      </c>
    </row>
    <row r="145">
      <c r="A145" s="22" t="s">
        <v>1421</v>
      </c>
      <c r="B145" s="22" t="s">
        <v>1236</v>
      </c>
      <c r="C145" s="22" t="s">
        <v>1222</v>
      </c>
      <c r="D145" s="50" t="str">
        <f t="shared" si="1"/>
        <v>2025rkumaran</v>
      </c>
      <c r="F145" s="22" t="s">
        <v>749</v>
      </c>
      <c r="G145" s="22" t="s">
        <v>120</v>
      </c>
      <c r="H145" s="21">
        <f t="shared" si="2"/>
        <v>1</v>
      </c>
    </row>
    <row r="146">
      <c r="A146" s="22" t="s">
        <v>1422</v>
      </c>
      <c r="B146" s="22" t="s">
        <v>1236</v>
      </c>
      <c r="C146" s="22" t="s">
        <v>981</v>
      </c>
      <c r="D146" s="50" t="str">
        <f t="shared" si="1"/>
        <v>2027ikim</v>
      </c>
      <c r="F146" s="22" t="s">
        <v>750</v>
      </c>
      <c r="G146" s="22" t="s">
        <v>121</v>
      </c>
      <c r="H146" s="21">
        <f t="shared" si="2"/>
        <v>0</v>
      </c>
    </row>
    <row r="147">
      <c r="A147" s="22" t="s">
        <v>1423</v>
      </c>
      <c r="B147" s="22" t="s">
        <v>1236</v>
      </c>
      <c r="C147" s="22" t="s">
        <v>768</v>
      </c>
      <c r="D147" s="50" t="str">
        <f t="shared" si="1"/>
        <v>2027aanurag</v>
      </c>
      <c r="F147" s="22" t="s">
        <v>751</v>
      </c>
      <c r="G147" s="22" t="s">
        <v>122</v>
      </c>
      <c r="H147" s="21">
        <f t="shared" si="2"/>
        <v>0</v>
      </c>
    </row>
    <row r="148">
      <c r="A148" s="22" t="s">
        <v>1424</v>
      </c>
      <c r="B148" s="22" t="s">
        <v>1236</v>
      </c>
      <c r="C148" s="22" t="s">
        <v>1002</v>
      </c>
      <c r="D148" s="50" t="str">
        <f t="shared" si="1"/>
        <v>2028dduong</v>
      </c>
      <c r="F148" s="22" t="s">
        <v>752</v>
      </c>
      <c r="G148" s="22" t="s">
        <v>123</v>
      </c>
      <c r="H148" s="21">
        <f t="shared" si="2"/>
        <v>0</v>
      </c>
    </row>
    <row r="149">
      <c r="A149" s="22" t="s">
        <v>1425</v>
      </c>
      <c r="B149" s="22" t="s">
        <v>1236</v>
      </c>
      <c r="C149" s="22" t="s">
        <v>998</v>
      </c>
      <c r="D149" s="50" t="str">
        <f t="shared" si="1"/>
        <v>2028dwu</v>
      </c>
      <c r="F149" s="22" t="s">
        <v>753</v>
      </c>
      <c r="G149" s="22" t="s">
        <v>124</v>
      </c>
      <c r="H149" s="21">
        <f t="shared" si="2"/>
        <v>0</v>
      </c>
    </row>
    <row r="150">
      <c r="A150" s="22" t="s">
        <v>1426</v>
      </c>
      <c r="B150" s="22" t="s">
        <v>1236</v>
      </c>
      <c r="C150" s="22" t="s">
        <v>1282</v>
      </c>
      <c r="D150" s="50" t="str">
        <f t="shared" si="1"/>
        <v>2025mzhang</v>
      </c>
      <c r="F150" s="22" t="s">
        <v>754</v>
      </c>
      <c r="G150" s="22" t="s">
        <v>125</v>
      </c>
      <c r="H150" s="21">
        <f t="shared" si="2"/>
        <v>0</v>
      </c>
    </row>
    <row r="151">
      <c r="A151" s="22" t="s">
        <v>1427</v>
      </c>
      <c r="B151" s="22" t="s">
        <v>1236</v>
      </c>
      <c r="C151" s="22" t="s">
        <v>1003</v>
      </c>
      <c r="D151" s="50" t="str">
        <f t="shared" si="1"/>
        <v>2028alee</v>
      </c>
      <c r="F151" s="22" t="s">
        <v>755</v>
      </c>
      <c r="G151" s="22" t="s">
        <v>126</v>
      </c>
      <c r="H151" s="21">
        <f t="shared" si="2"/>
        <v>0</v>
      </c>
    </row>
    <row r="152">
      <c r="A152" s="22" t="s">
        <v>1428</v>
      </c>
      <c r="B152" s="22" t="s">
        <v>1236</v>
      </c>
      <c r="C152" s="22" t="s">
        <v>800</v>
      </c>
      <c r="D152" s="50" t="str">
        <f t="shared" si="1"/>
        <v>2027atalreja</v>
      </c>
      <c r="F152" s="22" t="s">
        <v>756</v>
      </c>
      <c r="G152" s="22" t="s">
        <v>56</v>
      </c>
      <c r="H152" s="21">
        <f t="shared" si="2"/>
        <v>16</v>
      </c>
    </row>
    <row r="153">
      <c r="A153" s="22" t="s">
        <v>1429</v>
      </c>
      <c r="B153" s="22" t="s">
        <v>1236</v>
      </c>
      <c r="C153" s="22" t="s">
        <v>838</v>
      </c>
      <c r="D153" s="50" t="str">
        <f t="shared" si="1"/>
        <v>2027jzhang</v>
      </c>
      <c r="F153" s="22" t="s">
        <v>1430</v>
      </c>
      <c r="G153" s="22" t="s">
        <v>613</v>
      </c>
      <c r="H153" s="21">
        <f t="shared" si="2"/>
        <v>0</v>
      </c>
    </row>
    <row r="154">
      <c r="A154" s="22" t="s">
        <v>1431</v>
      </c>
      <c r="B154" s="22" t="s">
        <v>1236</v>
      </c>
      <c r="C154" s="22" t="s">
        <v>987</v>
      </c>
      <c r="D154" s="50" t="str">
        <f t="shared" si="1"/>
        <v>2027vlee</v>
      </c>
      <c r="F154" s="22" t="s">
        <v>757</v>
      </c>
      <c r="G154" s="22" t="s">
        <v>127</v>
      </c>
      <c r="H154" s="21">
        <f t="shared" si="2"/>
        <v>2</v>
      </c>
    </row>
    <row r="155">
      <c r="A155" s="22" t="s">
        <v>1432</v>
      </c>
      <c r="B155" s="22" t="s">
        <v>1236</v>
      </c>
      <c r="C155" s="22" t="s">
        <v>988</v>
      </c>
      <c r="D155" s="50" t="str">
        <f t="shared" si="1"/>
        <v>2028efeldman</v>
      </c>
      <c r="F155" s="22" t="s">
        <v>758</v>
      </c>
      <c r="G155" s="22" t="s">
        <v>128</v>
      </c>
      <c r="H155" s="21">
        <f t="shared" si="2"/>
        <v>2</v>
      </c>
    </row>
    <row r="156">
      <c r="A156" s="22" t="s">
        <v>1433</v>
      </c>
      <c r="B156" s="22" t="s">
        <v>1236</v>
      </c>
      <c r="C156" s="22" t="s">
        <v>985</v>
      </c>
      <c r="D156" s="50" t="str">
        <f t="shared" si="1"/>
        <v>2028jprasad</v>
      </c>
      <c r="F156" s="22" t="s">
        <v>759</v>
      </c>
      <c r="G156" s="22" t="s">
        <v>129</v>
      </c>
      <c r="H156" s="21">
        <f t="shared" si="2"/>
        <v>0</v>
      </c>
    </row>
    <row r="157">
      <c r="A157" s="22" t="s">
        <v>1434</v>
      </c>
      <c r="B157" s="22" t="s">
        <v>1236</v>
      </c>
      <c r="C157" s="22" t="s">
        <v>997</v>
      </c>
      <c r="D157" s="50" t="str">
        <f t="shared" si="1"/>
        <v>2028jchan</v>
      </c>
      <c r="F157" s="22" t="s">
        <v>760</v>
      </c>
      <c r="G157" s="22" t="s">
        <v>130</v>
      </c>
      <c r="H157" s="21">
        <f t="shared" si="2"/>
        <v>1</v>
      </c>
    </row>
    <row r="158">
      <c r="A158" s="22" t="s">
        <v>1435</v>
      </c>
      <c r="B158" s="22" t="s">
        <v>1236</v>
      </c>
      <c r="C158" s="22" t="s">
        <v>1004</v>
      </c>
      <c r="D158" s="50" t="str">
        <f t="shared" si="1"/>
        <v>2028osazhyn</v>
      </c>
      <c r="F158" s="22" t="s">
        <v>761</v>
      </c>
      <c r="G158" s="22" t="s">
        <v>131</v>
      </c>
      <c r="H158" s="21">
        <f t="shared" si="2"/>
        <v>0</v>
      </c>
    </row>
    <row r="159">
      <c r="A159" s="22" t="s">
        <v>1436</v>
      </c>
      <c r="B159" s="22" t="s">
        <v>1236</v>
      </c>
      <c r="C159" s="22" t="s">
        <v>986</v>
      </c>
      <c r="D159" s="50" t="str">
        <f t="shared" si="1"/>
        <v>2027rredrout</v>
      </c>
      <c r="F159" s="22" t="s">
        <v>762</v>
      </c>
      <c r="G159" s="22" t="s">
        <v>132</v>
      </c>
      <c r="H159" s="21">
        <f t="shared" si="2"/>
        <v>0</v>
      </c>
    </row>
    <row r="160">
      <c r="A160" s="22" t="s">
        <v>1437</v>
      </c>
      <c r="B160" s="22" t="s">
        <v>1236</v>
      </c>
      <c r="C160" s="22" t="s">
        <v>865</v>
      </c>
      <c r="D160" s="50" t="str">
        <f t="shared" si="1"/>
        <v>2026anaidan</v>
      </c>
      <c r="F160" s="22" t="s">
        <v>763</v>
      </c>
      <c r="G160" s="22" t="s">
        <v>133</v>
      </c>
      <c r="H160" s="21">
        <f t="shared" si="2"/>
        <v>0</v>
      </c>
    </row>
    <row r="161">
      <c r="A161" s="22" t="s">
        <v>1438</v>
      </c>
      <c r="B161" s="22" t="s">
        <v>1236</v>
      </c>
      <c r="C161" s="22" t="s">
        <v>980</v>
      </c>
      <c r="D161" s="50" t="str">
        <f t="shared" si="1"/>
        <v>2028hzhou</v>
      </c>
      <c r="F161" s="22" t="s">
        <v>764</v>
      </c>
      <c r="G161" s="22" t="s">
        <v>134</v>
      </c>
      <c r="H161" s="21">
        <f t="shared" si="2"/>
        <v>17</v>
      </c>
    </row>
    <row r="162">
      <c r="A162" s="22" t="s">
        <v>1439</v>
      </c>
      <c r="B162" s="22" t="s">
        <v>1236</v>
      </c>
      <c r="C162" s="22" t="s">
        <v>970</v>
      </c>
      <c r="D162" s="50" t="str">
        <f t="shared" si="1"/>
        <v>2027mbu</v>
      </c>
      <c r="F162" s="22" t="s">
        <v>765</v>
      </c>
      <c r="G162" s="22" t="s">
        <v>135</v>
      </c>
      <c r="H162" s="21">
        <f t="shared" si="2"/>
        <v>0</v>
      </c>
    </row>
    <row r="163">
      <c r="A163" s="22" t="s">
        <v>1440</v>
      </c>
      <c r="B163" s="22" t="s">
        <v>1236</v>
      </c>
      <c r="C163" s="22" t="s">
        <v>994</v>
      </c>
      <c r="D163" s="50" t="str">
        <f t="shared" si="1"/>
        <v>2028gmarshal</v>
      </c>
      <c r="F163" s="22" t="s">
        <v>766</v>
      </c>
      <c r="G163" s="22" t="s">
        <v>136</v>
      </c>
      <c r="H163" s="21">
        <f t="shared" si="2"/>
        <v>0</v>
      </c>
    </row>
    <row r="164">
      <c r="A164" s="22" t="s">
        <v>1441</v>
      </c>
      <c r="B164" s="22" t="s">
        <v>1236</v>
      </c>
      <c r="C164" s="22" t="s">
        <v>983</v>
      </c>
      <c r="D164" s="50" t="str">
        <f t="shared" si="1"/>
        <v>2028elin</v>
      </c>
      <c r="F164" s="22" t="s">
        <v>767</v>
      </c>
      <c r="G164" s="22" t="s">
        <v>137</v>
      </c>
      <c r="H164" s="21">
        <f t="shared" si="2"/>
        <v>4</v>
      </c>
    </row>
    <row r="165">
      <c r="A165" s="22" t="s">
        <v>1442</v>
      </c>
      <c r="B165" s="22" t="s">
        <v>1236</v>
      </c>
      <c r="C165" s="22" t="s">
        <v>1000</v>
      </c>
      <c r="D165" s="50" t="str">
        <f t="shared" si="1"/>
        <v>2028smahendr</v>
      </c>
      <c r="F165" s="22" t="s">
        <v>768</v>
      </c>
      <c r="G165" s="22" t="s">
        <v>138</v>
      </c>
      <c r="H165" s="21">
        <f t="shared" si="2"/>
        <v>5</v>
      </c>
    </row>
    <row r="166">
      <c r="A166" s="22" t="s">
        <v>1443</v>
      </c>
      <c r="B166" s="22" t="s">
        <v>1236</v>
      </c>
      <c r="C166" s="22" t="s">
        <v>1001</v>
      </c>
      <c r="D166" s="50" t="str">
        <f t="shared" si="1"/>
        <v>2028gzhang</v>
      </c>
      <c r="F166" s="22" t="s">
        <v>769</v>
      </c>
      <c r="G166" s="22" t="s">
        <v>139</v>
      </c>
      <c r="H166" s="21">
        <f t="shared" si="2"/>
        <v>0</v>
      </c>
    </row>
    <row r="167">
      <c r="A167" s="22" t="s">
        <v>1444</v>
      </c>
      <c r="B167" s="22" t="s">
        <v>1236</v>
      </c>
      <c r="C167" s="22" t="s">
        <v>852</v>
      </c>
      <c r="D167" s="50" t="str">
        <f t="shared" si="1"/>
        <v>2027rgao</v>
      </c>
      <c r="F167" s="22" t="s">
        <v>770</v>
      </c>
      <c r="G167" s="22" t="s">
        <v>140</v>
      </c>
      <c r="H167" s="21">
        <f t="shared" si="2"/>
        <v>12</v>
      </c>
    </row>
    <row r="168">
      <c r="A168" s="22" t="s">
        <v>1445</v>
      </c>
      <c r="B168" s="22" t="s">
        <v>1236</v>
      </c>
      <c r="C168" s="22" t="s">
        <v>978</v>
      </c>
      <c r="D168" s="50" t="str">
        <f t="shared" si="1"/>
        <v>2028bnguyen</v>
      </c>
      <c r="F168" s="22" t="s">
        <v>771</v>
      </c>
      <c r="G168" s="22" t="s">
        <v>141</v>
      </c>
      <c r="H168" s="21">
        <f t="shared" si="2"/>
        <v>0</v>
      </c>
    </row>
    <row r="169">
      <c r="A169" s="22" t="s">
        <v>1446</v>
      </c>
      <c r="B169" s="22" t="s">
        <v>1236</v>
      </c>
      <c r="C169" s="22" t="s">
        <v>996</v>
      </c>
      <c r="D169" s="50" t="str">
        <f t="shared" si="1"/>
        <v>2028ana</v>
      </c>
      <c r="F169" s="22" t="s">
        <v>772</v>
      </c>
      <c r="G169" s="22" t="s">
        <v>142</v>
      </c>
      <c r="H169" s="21">
        <f t="shared" si="2"/>
        <v>1</v>
      </c>
    </row>
    <row r="170">
      <c r="A170" s="22" t="s">
        <v>1447</v>
      </c>
      <c r="B170" s="22" t="s">
        <v>1236</v>
      </c>
      <c r="C170" s="22" t="s">
        <v>1005</v>
      </c>
      <c r="D170" s="50" t="str">
        <f t="shared" si="1"/>
        <v>2028agupta</v>
      </c>
      <c r="F170" s="22" t="s">
        <v>773</v>
      </c>
      <c r="G170" s="22" t="s">
        <v>143</v>
      </c>
      <c r="H170" s="21">
        <f t="shared" si="2"/>
        <v>0</v>
      </c>
    </row>
    <row r="171">
      <c r="A171" s="22" t="s">
        <v>1448</v>
      </c>
      <c r="B171" s="22" t="s">
        <v>1236</v>
      </c>
      <c r="C171" s="22" t="s">
        <v>979</v>
      </c>
      <c r="D171" s="50" t="str">
        <f t="shared" si="1"/>
        <v>2027mhuang</v>
      </c>
      <c r="F171" s="22" t="s">
        <v>774</v>
      </c>
      <c r="G171" s="22" t="s">
        <v>144</v>
      </c>
      <c r="H171" s="21">
        <f t="shared" si="2"/>
        <v>3</v>
      </c>
    </row>
    <row r="172">
      <c r="A172" s="22" t="s">
        <v>1449</v>
      </c>
      <c r="B172" s="22" t="s">
        <v>1236</v>
      </c>
      <c r="C172" s="22" t="s">
        <v>993</v>
      </c>
      <c r="D172" s="50" t="str">
        <f t="shared" si="1"/>
        <v>2028olevine</v>
      </c>
      <c r="F172" s="22" t="s">
        <v>775</v>
      </c>
      <c r="G172" s="22" t="s">
        <v>94</v>
      </c>
      <c r="H172" s="21">
        <f t="shared" si="2"/>
        <v>9</v>
      </c>
    </row>
    <row r="173">
      <c r="A173" s="22" t="s">
        <v>1450</v>
      </c>
      <c r="B173" s="22" t="s">
        <v>1236</v>
      </c>
      <c r="C173" s="22" t="s">
        <v>890</v>
      </c>
      <c r="D173" s="50" t="str">
        <f t="shared" si="1"/>
        <v>2027dkumar</v>
      </c>
      <c r="F173" s="22" t="s">
        <v>776</v>
      </c>
      <c r="G173" s="22" t="s">
        <v>95</v>
      </c>
      <c r="H173" s="21">
        <f t="shared" si="2"/>
        <v>1</v>
      </c>
    </row>
    <row r="174">
      <c r="A174" s="22" t="s">
        <v>1451</v>
      </c>
      <c r="B174" s="22" t="s">
        <v>1236</v>
      </c>
      <c r="C174" s="22" t="s">
        <v>984</v>
      </c>
      <c r="D174" s="50" t="str">
        <f t="shared" si="1"/>
        <v>2028sari</v>
      </c>
      <c r="F174" s="22" t="s">
        <v>777</v>
      </c>
      <c r="G174" s="22" t="s">
        <v>15</v>
      </c>
      <c r="H174" s="21">
        <f t="shared" si="2"/>
        <v>14</v>
      </c>
    </row>
    <row r="175">
      <c r="A175" s="22" t="s">
        <v>1452</v>
      </c>
      <c r="B175" s="22" t="s">
        <v>1236</v>
      </c>
      <c r="C175" s="22" t="s">
        <v>995</v>
      </c>
      <c r="D175" s="50" t="str">
        <f t="shared" si="1"/>
        <v>2028srangara</v>
      </c>
      <c r="F175" s="22" t="s">
        <v>778</v>
      </c>
      <c r="G175" s="22" t="s">
        <v>145</v>
      </c>
      <c r="H175" s="21">
        <f t="shared" si="2"/>
        <v>0</v>
      </c>
    </row>
    <row r="176">
      <c r="A176" s="22" t="s">
        <v>1453</v>
      </c>
      <c r="B176" s="22" t="s">
        <v>1236</v>
      </c>
      <c r="C176" s="22" t="s">
        <v>991</v>
      </c>
      <c r="D176" s="50" t="str">
        <f t="shared" si="1"/>
        <v>2028glee</v>
      </c>
      <c r="F176" s="22" t="s">
        <v>1245</v>
      </c>
      <c r="G176" s="22" t="s">
        <v>614</v>
      </c>
      <c r="H176" s="21">
        <f t="shared" si="2"/>
        <v>1</v>
      </c>
    </row>
    <row r="177">
      <c r="A177" s="22" t="s">
        <v>1454</v>
      </c>
      <c r="B177" s="22" t="s">
        <v>1236</v>
      </c>
      <c r="C177" s="22" t="s">
        <v>982</v>
      </c>
      <c r="D177" s="50" t="str">
        <f t="shared" si="1"/>
        <v>2027mvaddi</v>
      </c>
      <c r="F177" s="22" t="s">
        <v>779</v>
      </c>
      <c r="G177" s="22" t="s">
        <v>146</v>
      </c>
      <c r="H177" s="21">
        <f t="shared" si="2"/>
        <v>13</v>
      </c>
    </row>
    <row r="178">
      <c r="A178" s="22" t="s">
        <v>1455</v>
      </c>
      <c r="B178" s="22" t="s">
        <v>1236</v>
      </c>
      <c r="C178" s="22" t="s">
        <v>990</v>
      </c>
      <c r="D178" s="50" t="str">
        <f t="shared" si="1"/>
        <v>2028sliu</v>
      </c>
      <c r="F178" s="22" t="s">
        <v>780</v>
      </c>
      <c r="G178" s="22" t="s">
        <v>18</v>
      </c>
      <c r="H178" s="21">
        <f t="shared" si="2"/>
        <v>1</v>
      </c>
    </row>
    <row r="179">
      <c r="A179" s="22" t="s">
        <v>1456</v>
      </c>
      <c r="B179" s="22" t="s">
        <v>1236</v>
      </c>
      <c r="C179" s="22" t="s">
        <v>1263</v>
      </c>
      <c r="D179" s="50" t="str">
        <f t="shared" si="1"/>
        <v>2025jkim</v>
      </c>
      <c r="F179" s="22" t="s">
        <v>781</v>
      </c>
      <c r="G179" s="22" t="s">
        <v>147</v>
      </c>
      <c r="H179" s="21">
        <f t="shared" si="2"/>
        <v>0</v>
      </c>
    </row>
    <row r="180">
      <c r="A180" s="22" t="s">
        <v>1457</v>
      </c>
      <c r="B180" s="22" t="s">
        <v>1236</v>
      </c>
      <c r="C180" s="22" t="s">
        <v>992</v>
      </c>
      <c r="D180" s="50" t="str">
        <f t="shared" si="1"/>
        <v>2028dpeng</v>
      </c>
      <c r="F180" s="22" t="s">
        <v>1458</v>
      </c>
      <c r="G180" s="22" t="s">
        <v>615</v>
      </c>
      <c r="H180" s="21">
        <f t="shared" si="2"/>
        <v>0</v>
      </c>
    </row>
    <row r="181">
      <c r="A181" s="22" t="s">
        <v>1459</v>
      </c>
      <c r="B181" s="22" t="s">
        <v>1236</v>
      </c>
      <c r="C181" s="22" t="s">
        <v>1007</v>
      </c>
      <c r="D181" s="50" t="str">
        <f t="shared" si="1"/>
        <v>2028zzahid</v>
      </c>
      <c r="F181" s="22" t="s">
        <v>782</v>
      </c>
      <c r="G181" s="22" t="s">
        <v>148</v>
      </c>
      <c r="H181" s="21">
        <f t="shared" si="2"/>
        <v>0</v>
      </c>
    </row>
    <row r="182">
      <c r="A182" s="22" t="s">
        <v>1460</v>
      </c>
      <c r="B182" s="22" t="s">
        <v>1236</v>
      </c>
      <c r="C182" s="22" t="s">
        <v>989</v>
      </c>
      <c r="D182" s="50" t="str">
        <f t="shared" si="1"/>
        <v>2028pmishra</v>
      </c>
      <c r="F182" s="22" t="s">
        <v>783</v>
      </c>
      <c r="G182" s="22" t="s">
        <v>149</v>
      </c>
      <c r="H182" s="21">
        <f t="shared" si="2"/>
        <v>0</v>
      </c>
    </row>
    <row r="183">
      <c r="A183" s="22" t="s">
        <v>1461</v>
      </c>
      <c r="B183" s="22" t="s">
        <v>1236</v>
      </c>
      <c r="C183" s="22" t="s">
        <v>931</v>
      </c>
      <c r="D183" s="50" t="str">
        <f t="shared" si="1"/>
        <v>2027pyoo</v>
      </c>
      <c r="F183" s="22" t="s">
        <v>1462</v>
      </c>
      <c r="G183" s="22" t="s">
        <v>616</v>
      </c>
      <c r="H183" s="21">
        <f t="shared" si="2"/>
        <v>0</v>
      </c>
    </row>
    <row r="184">
      <c r="A184" s="22" t="s">
        <v>1463</v>
      </c>
      <c r="B184" s="22" t="s">
        <v>1236</v>
      </c>
      <c r="C184" s="22" t="s">
        <v>999</v>
      </c>
      <c r="D184" s="50" t="str">
        <f t="shared" si="1"/>
        <v>2028scarter</v>
      </c>
      <c r="F184" s="22" t="s">
        <v>784</v>
      </c>
      <c r="G184" s="22" t="s">
        <v>150</v>
      </c>
      <c r="H184" s="21">
        <f t="shared" si="2"/>
        <v>5</v>
      </c>
    </row>
    <row r="185">
      <c r="A185" s="22" t="s">
        <v>1464</v>
      </c>
      <c r="B185" s="22" t="s">
        <v>1236</v>
      </c>
      <c r="C185" s="22" t="s">
        <v>1006</v>
      </c>
      <c r="D185" s="50" t="str">
        <f t="shared" si="1"/>
        <v>2028dkhiev</v>
      </c>
      <c r="F185" s="22" t="s">
        <v>785</v>
      </c>
      <c r="G185" s="22" t="s">
        <v>11</v>
      </c>
      <c r="H185" s="21">
        <f t="shared" si="2"/>
        <v>21</v>
      </c>
    </row>
    <row r="186">
      <c r="A186" s="22" t="s">
        <v>1465</v>
      </c>
      <c r="B186" s="22" t="s">
        <v>1236</v>
      </c>
      <c r="C186" s="22" t="s">
        <v>935</v>
      </c>
      <c r="D186" s="50" t="str">
        <f t="shared" si="1"/>
        <v>2028szhang</v>
      </c>
      <c r="F186" s="22" t="s">
        <v>786</v>
      </c>
      <c r="G186" s="22" t="s">
        <v>151</v>
      </c>
      <c r="H186" s="21">
        <f t="shared" si="2"/>
        <v>0</v>
      </c>
    </row>
    <row r="187">
      <c r="A187" s="22" t="s">
        <v>1466</v>
      </c>
      <c r="B187" s="22" t="s">
        <v>1236</v>
      </c>
      <c r="C187" s="22" t="s">
        <v>1333</v>
      </c>
      <c r="D187" s="50" t="str">
        <f t="shared" si="1"/>
        <v>2025mburch</v>
      </c>
      <c r="F187" s="22" t="s">
        <v>787</v>
      </c>
      <c r="G187" s="22" t="s">
        <v>152</v>
      </c>
      <c r="H187" s="21">
        <f t="shared" si="2"/>
        <v>0</v>
      </c>
    </row>
    <row r="188">
      <c r="A188" s="22" t="s">
        <v>1467</v>
      </c>
      <c r="B188" s="22" t="s">
        <v>1236</v>
      </c>
      <c r="C188" s="22" t="s">
        <v>660</v>
      </c>
      <c r="D188" s="50" t="str">
        <f t="shared" si="1"/>
        <v>2026mzhao</v>
      </c>
      <c r="F188" s="22" t="s">
        <v>788</v>
      </c>
      <c r="G188" s="22" t="s">
        <v>19</v>
      </c>
      <c r="H188" s="21">
        <f t="shared" si="2"/>
        <v>12</v>
      </c>
    </row>
    <row r="189">
      <c r="A189" s="22" t="s">
        <v>1468</v>
      </c>
      <c r="B189" s="22" t="s">
        <v>1236</v>
      </c>
      <c r="C189" s="22" t="s">
        <v>1008</v>
      </c>
      <c r="D189" s="50" t="str">
        <f t="shared" si="1"/>
        <v>2028apokhrel</v>
      </c>
      <c r="F189" s="22" t="s">
        <v>789</v>
      </c>
      <c r="G189" s="22" t="s">
        <v>153</v>
      </c>
      <c r="H189" s="21">
        <f t="shared" si="2"/>
        <v>13</v>
      </c>
    </row>
    <row r="190">
      <c r="A190" s="22" t="s">
        <v>1469</v>
      </c>
      <c r="B190" s="22" t="s">
        <v>1236</v>
      </c>
      <c r="C190" s="22" t="s">
        <v>691</v>
      </c>
      <c r="D190" s="50" t="str">
        <f t="shared" si="1"/>
        <v>2026sliao</v>
      </c>
      <c r="F190" s="22" t="s">
        <v>1470</v>
      </c>
      <c r="G190" s="22" t="s">
        <v>617</v>
      </c>
      <c r="H190" s="21">
        <f t="shared" si="2"/>
        <v>0</v>
      </c>
    </row>
    <row r="191">
      <c r="A191" s="22" t="s">
        <v>1471</v>
      </c>
      <c r="B191" s="22" t="s">
        <v>1236</v>
      </c>
      <c r="C191" s="22" t="s">
        <v>1230</v>
      </c>
      <c r="D191" s="50" t="str">
        <f t="shared" si="1"/>
        <v>2025jhao</v>
      </c>
      <c r="F191" s="22" t="s">
        <v>790</v>
      </c>
      <c r="G191" s="22" t="s">
        <v>154</v>
      </c>
      <c r="H191" s="21">
        <f t="shared" si="2"/>
        <v>0</v>
      </c>
    </row>
    <row r="192">
      <c r="A192" s="22" t="s">
        <v>1472</v>
      </c>
      <c r="B192" s="22" t="s">
        <v>1236</v>
      </c>
      <c r="C192" s="22" t="s">
        <v>1239</v>
      </c>
      <c r="D192" s="50" t="str">
        <f t="shared" si="1"/>
        <v>2025alee1</v>
      </c>
      <c r="F192" s="22" t="s">
        <v>791</v>
      </c>
      <c r="G192" s="22" t="s">
        <v>155</v>
      </c>
      <c r="H192" s="21">
        <f t="shared" si="2"/>
        <v>0</v>
      </c>
    </row>
    <row r="193">
      <c r="A193" s="22" t="s">
        <v>1473</v>
      </c>
      <c r="B193" s="22" t="s">
        <v>1236</v>
      </c>
      <c r="C193" s="22" t="s">
        <v>1255</v>
      </c>
      <c r="D193" s="50" t="str">
        <f t="shared" si="1"/>
        <v>2025apagidi</v>
      </c>
      <c r="F193" s="22" t="s">
        <v>792</v>
      </c>
      <c r="G193" s="22" t="s">
        <v>156</v>
      </c>
      <c r="H193" s="21">
        <f t="shared" si="2"/>
        <v>1</v>
      </c>
    </row>
    <row r="194">
      <c r="A194" s="22" t="s">
        <v>1474</v>
      </c>
      <c r="B194" s="22" t="s">
        <v>1236</v>
      </c>
      <c r="C194" s="22" t="s">
        <v>1009</v>
      </c>
      <c r="D194" s="50" t="str">
        <f t="shared" si="1"/>
        <v>2027aagrawal</v>
      </c>
      <c r="F194" s="22" t="s">
        <v>793</v>
      </c>
      <c r="G194" s="22" t="s">
        <v>157</v>
      </c>
      <c r="H194" s="21">
        <f t="shared" si="2"/>
        <v>0</v>
      </c>
    </row>
    <row r="195">
      <c r="A195" s="22" t="s">
        <v>1475</v>
      </c>
      <c r="B195" s="22" t="s">
        <v>1476</v>
      </c>
      <c r="C195" s="22" t="s">
        <v>662</v>
      </c>
      <c r="D195" s="50" t="str">
        <f t="shared" si="1"/>
        <v>2026rwang</v>
      </c>
      <c r="F195" s="22" t="s">
        <v>794</v>
      </c>
      <c r="G195" s="22" t="s">
        <v>158</v>
      </c>
      <c r="H195" s="21">
        <f t="shared" si="2"/>
        <v>0</v>
      </c>
    </row>
    <row r="196">
      <c r="A196" s="22" t="s">
        <v>1477</v>
      </c>
      <c r="B196" s="22" t="s">
        <v>1476</v>
      </c>
      <c r="C196" s="22" t="s">
        <v>1250</v>
      </c>
      <c r="D196" s="50" t="str">
        <f t="shared" si="1"/>
        <v>2025agu</v>
      </c>
      <c r="F196" s="22" t="s">
        <v>795</v>
      </c>
      <c r="G196" s="22" t="s">
        <v>159</v>
      </c>
      <c r="H196" s="21">
        <f t="shared" si="2"/>
        <v>1</v>
      </c>
    </row>
    <row r="197">
      <c r="A197" s="22" t="s">
        <v>1478</v>
      </c>
      <c r="B197" s="22" t="s">
        <v>1479</v>
      </c>
      <c r="C197" s="22" t="s">
        <v>662</v>
      </c>
      <c r="D197" s="50" t="str">
        <f t="shared" si="1"/>
        <v>2026rwang</v>
      </c>
      <c r="F197" s="22" t="s">
        <v>796</v>
      </c>
      <c r="G197" s="22" t="s">
        <v>160</v>
      </c>
      <c r="H197" s="21">
        <f t="shared" si="2"/>
        <v>0</v>
      </c>
    </row>
    <row r="198">
      <c r="A198" s="22" t="s">
        <v>1480</v>
      </c>
      <c r="B198" s="22" t="s">
        <v>1479</v>
      </c>
      <c r="C198" s="22" t="s">
        <v>1288</v>
      </c>
      <c r="D198" s="50" t="str">
        <f t="shared" si="1"/>
        <v>2025mlin</v>
      </c>
      <c r="F198" s="22" t="s">
        <v>797</v>
      </c>
      <c r="G198" s="22" t="s">
        <v>161</v>
      </c>
      <c r="H198" s="21">
        <f t="shared" si="2"/>
        <v>0</v>
      </c>
    </row>
    <row r="199">
      <c r="A199" s="22" t="s">
        <v>1481</v>
      </c>
      <c r="B199" s="22" t="s">
        <v>1479</v>
      </c>
      <c r="C199" s="22" t="s">
        <v>1223</v>
      </c>
      <c r="D199" s="50" t="str">
        <f t="shared" si="1"/>
        <v>2025mkrishna</v>
      </c>
      <c r="F199" s="22" t="s">
        <v>798</v>
      </c>
      <c r="G199" s="22" t="s">
        <v>93</v>
      </c>
      <c r="H199" s="21">
        <f t="shared" si="2"/>
        <v>3</v>
      </c>
    </row>
    <row r="200">
      <c r="A200" s="22" t="s">
        <v>1482</v>
      </c>
      <c r="B200" s="22" t="s">
        <v>1479</v>
      </c>
      <c r="C200" s="22" t="s">
        <v>975</v>
      </c>
      <c r="D200" s="50" t="str">
        <f t="shared" si="1"/>
        <v>2027eshan</v>
      </c>
      <c r="F200" s="22" t="s">
        <v>799</v>
      </c>
      <c r="G200" s="22" t="s">
        <v>162</v>
      </c>
      <c r="H200" s="21">
        <f t="shared" si="2"/>
        <v>0</v>
      </c>
    </row>
    <row r="201">
      <c r="A201" s="22" t="s">
        <v>1483</v>
      </c>
      <c r="B201" s="22" t="s">
        <v>1479</v>
      </c>
      <c r="C201" s="22" t="s">
        <v>931</v>
      </c>
      <c r="D201" s="50" t="str">
        <f t="shared" si="1"/>
        <v>2027pyoo</v>
      </c>
      <c r="F201" s="22" t="s">
        <v>800</v>
      </c>
      <c r="G201" s="22" t="s">
        <v>163</v>
      </c>
      <c r="H201" s="21">
        <f t="shared" si="2"/>
        <v>2</v>
      </c>
    </row>
    <row r="202">
      <c r="A202" s="22" t="s">
        <v>1484</v>
      </c>
      <c r="B202" s="22" t="s">
        <v>1479</v>
      </c>
      <c r="C202" s="22" t="s">
        <v>881</v>
      </c>
      <c r="D202" s="50" t="str">
        <f t="shared" si="1"/>
        <v>2027aliu</v>
      </c>
      <c r="F202" s="22" t="s">
        <v>801</v>
      </c>
      <c r="G202" s="22" t="s">
        <v>96</v>
      </c>
      <c r="H202" s="21">
        <f t="shared" si="2"/>
        <v>4</v>
      </c>
    </row>
    <row r="203">
      <c r="A203" s="22" t="s">
        <v>1485</v>
      </c>
      <c r="B203" s="22" t="s">
        <v>1479</v>
      </c>
      <c r="C203" s="22" t="s">
        <v>785</v>
      </c>
      <c r="D203" s="50" t="str">
        <f t="shared" si="1"/>
        <v>2027pdu</v>
      </c>
      <c r="F203" s="22" t="s">
        <v>802</v>
      </c>
      <c r="G203" s="22" t="s">
        <v>164</v>
      </c>
      <c r="H203" s="21">
        <f t="shared" si="2"/>
        <v>0</v>
      </c>
    </row>
    <row r="204">
      <c r="A204" s="22" t="s">
        <v>1486</v>
      </c>
      <c r="B204" s="22" t="s">
        <v>1479</v>
      </c>
      <c r="C204" s="22" t="s">
        <v>823</v>
      </c>
      <c r="D204" s="50" t="str">
        <f t="shared" si="1"/>
        <v>2027spark</v>
      </c>
      <c r="F204" s="22" t="s">
        <v>803</v>
      </c>
      <c r="G204" s="22" t="s">
        <v>165</v>
      </c>
      <c r="H204" s="21">
        <f t="shared" si="2"/>
        <v>0</v>
      </c>
    </row>
    <row r="205">
      <c r="A205" s="22" t="s">
        <v>1487</v>
      </c>
      <c r="B205" s="22" t="s">
        <v>1479</v>
      </c>
      <c r="C205" s="22" t="s">
        <v>756</v>
      </c>
      <c r="D205" s="50" t="str">
        <f t="shared" si="1"/>
        <v>2026abaradhi</v>
      </c>
      <c r="F205" s="22" t="s">
        <v>804</v>
      </c>
      <c r="G205" s="22" t="s">
        <v>166</v>
      </c>
      <c r="H205" s="21">
        <f t="shared" si="2"/>
        <v>0</v>
      </c>
    </row>
    <row r="206">
      <c r="A206" s="22" t="s">
        <v>1488</v>
      </c>
      <c r="B206" s="22" t="s">
        <v>1479</v>
      </c>
      <c r="C206" s="22" t="s">
        <v>795</v>
      </c>
      <c r="D206" s="50" t="str">
        <f t="shared" si="1"/>
        <v>2027sstolfa</v>
      </c>
      <c r="F206" s="22" t="s">
        <v>805</v>
      </c>
      <c r="G206" s="22" t="s">
        <v>167</v>
      </c>
      <c r="H206" s="21">
        <f t="shared" si="2"/>
        <v>0</v>
      </c>
    </row>
    <row r="207">
      <c r="A207" s="22" t="s">
        <v>1489</v>
      </c>
      <c r="B207" s="22" t="s">
        <v>1479</v>
      </c>
      <c r="C207" s="22" t="s">
        <v>1255</v>
      </c>
      <c r="D207" s="50" t="str">
        <f t="shared" si="1"/>
        <v>2025apagidi</v>
      </c>
      <c r="F207" s="22" t="s">
        <v>806</v>
      </c>
      <c r="G207" s="22" t="s">
        <v>13</v>
      </c>
      <c r="H207" s="21">
        <f t="shared" si="2"/>
        <v>15</v>
      </c>
    </row>
    <row r="208">
      <c r="A208" s="22" t="s">
        <v>1490</v>
      </c>
      <c r="B208" s="22" t="s">
        <v>1479</v>
      </c>
      <c r="C208" s="22" t="s">
        <v>825</v>
      </c>
      <c r="D208" s="50" t="str">
        <f t="shared" si="1"/>
        <v>2027tdao</v>
      </c>
      <c r="F208" s="22" t="s">
        <v>807</v>
      </c>
      <c r="G208" s="22" t="s">
        <v>168</v>
      </c>
      <c r="H208" s="21">
        <f t="shared" si="2"/>
        <v>1</v>
      </c>
    </row>
    <row r="209">
      <c r="A209" s="22" t="s">
        <v>1491</v>
      </c>
      <c r="B209" s="22" t="s">
        <v>1479</v>
      </c>
      <c r="C209" s="22" t="s">
        <v>933</v>
      </c>
      <c r="D209" s="50" t="str">
        <f t="shared" si="1"/>
        <v>2027sdamico</v>
      </c>
      <c r="F209" s="22" t="s">
        <v>808</v>
      </c>
      <c r="G209" s="22" t="s">
        <v>40</v>
      </c>
      <c r="H209" s="21">
        <f t="shared" si="2"/>
        <v>16</v>
      </c>
    </row>
    <row r="210">
      <c r="A210" s="22" t="s">
        <v>1492</v>
      </c>
      <c r="B210" s="22" t="s">
        <v>1479</v>
      </c>
      <c r="C210" s="22" t="s">
        <v>939</v>
      </c>
      <c r="D210" s="50" t="str">
        <f t="shared" si="1"/>
        <v>2027apesalad</v>
      </c>
      <c r="F210" s="22" t="s">
        <v>809</v>
      </c>
      <c r="G210" s="22" t="s">
        <v>169</v>
      </c>
      <c r="H210" s="21">
        <f t="shared" si="2"/>
        <v>5</v>
      </c>
    </row>
    <row r="211">
      <c r="A211" s="22" t="s">
        <v>1493</v>
      </c>
      <c r="B211" s="22" t="s">
        <v>1479</v>
      </c>
      <c r="C211" s="22" t="s">
        <v>688</v>
      </c>
      <c r="D211" s="50" t="str">
        <f t="shared" si="1"/>
        <v>2026cmorimot</v>
      </c>
      <c r="F211" s="22" t="s">
        <v>810</v>
      </c>
      <c r="G211" s="22" t="s">
        <v>170</v>
      </c>
      <c r="H211" s="21">
        <f t="shared" si="2"/>
        <v>0</v>
      </c>
    </row>
    <row r="212">
      <c r="A212" s="22" t="s">
        <v>1494</v>
      </c>
      <c r="B212" s="22" t="s">
        <v>1479</v>
      </c>
      <c r="C212" s="22" t="s">
        <v>1013</v>
      </c>
      <c r="D212" s="50" t="str">
        <f t="shared" si="1"/>
        <v>2028gkeeler</v>
      </c>
      <c r="F212" s="22" t="s">
        <v>811</v>
      </c>
      <c r="G212" s="22" t="s">
        <v>171</v>
      </c>
      <c r="H212" s="21">
        <f t="shared" si="2"/>
        <v>0</v>
      </c>
    </row>
    <row r="213">
      <c r="A213" s="22" t="s">
        <v>1495</v>
      </c>
      <c r="B213" s="22" t="s">
        <v>1479</v>
      </c>
      <c r="C213" s="22" t="s">
        <v>829</v>
      </c>
      <c r="D213" s="50" t="str">
        <f t="shared" si="1"/>
        <v>2027agao</v>
      </c>
      <c r="F213" s="22" t="s">
        <v>812</v>
      </c>
      <c r="G213" s="22" t="s">
        <v>172</v>
      </c>
      <c r="H213" s="21">
        <f t="shared" si="2"/>
        <v>2</v>
      </c>
    </row>
    <row r="214">
      <c r="A214" s="22" t="s">
        <v>1496</v>
      </c>
      <c r="B214" s="22" t="s">
        <v>1479</v>
      </c>
      <c r="C214" s="22" t="s">
        <v>784</v>
      </c>
      <c r="D214" s="50" t="str">
        <f t="shared" si="1"/>
        <v>2027mthathin</v>
      </c>
      <c r="F214" s="22" t="s">
        <v>1497</v>
      </c>
      <c r="G214" s="22" t="s">
        <v>619</v>
      </c>
      <c r="H214" s="21">
        <f t="shared" si="2"/>
        <v>0</v>
      </c>
    </row>
    <row r="215">
      <c r="A215" s="22" t="s">
        <v>1498</v>
      </c>
      <c r="B215" s="22" t="s">
        <v>1479</v>
      </c>
      <c r="C215" s="22" t="s">
        <v>1263</v>
      </c>
      <c r="D215" s="50" t="str">
        <f t="shared" si="1"/>
        <v>2025jkim</v>
      </c>
      <c r="F215" s="22" t="s">
        <v>813</v>
      </c>
      <c r="G215" s="22" t="s">
        <v>173</v>
      </c>
      <c r="H215" s="21">
        <f t="shared" si="2"/>
        <v>10</v>
      </c>
    </row>
    <row r="216">
      <c r="A216" s="22" t="s">
        <v>1499</v>
      </c>
      <c r="B216" s="22" t="s">
        <v>1479</v>
      </c>
      <c r="C216" s="22" t="s">
        <v>777</v>
      </c>
      <c r="D216" s="50" t="str">
        <f t="shared" si="1"/>
        <v>2027esombhat</v>
      </c>
      <c r="F216" s="22" t="s">
        <v>814</v>
      </c>
      <c r="G216" s="22" t="s">
        <v>17</v>
      </c>
      <c r="H216" s="21">
        <f t="shared" si="2"/>
        <v>17</v>
      </c>
    </row>
    <row r="217">
      <c r="A217" s="22" t="s">
        <v>1500</v>
      </c>
      <c r="B217" s="22" t="s">
        <v>1479</v>
      </c>
      <c r="C217" s="22" t="s">
        <v>808</v>
      </c>
      <c r="D217" s="50" t="str">
        <f t="shared" si="1"/>
        <v>2027sbisht</v>
      </c>
      <c r="F217" s="22" t="s">
        <v>815</v>
      </c>
      <c r="G217" s="22" t="s">
        <v>174</v>
      </c>
      <c r="H217" s="21">
        <f t="shared" si="2"/>
        <v>0</v>
      </c>
    </row>
    <row r="218">
      <c r="A218" s="22" t="s">
        <v>1501</v>
      </c>
      <c r="B218" s="22" t="s">
        <v>1479</v>
      </c>
      <c r="C218" s="22" t="s">
        <v>806</v>
      </c>
      <c r="D218" s="50" t="str">
        <f t="shared" si="1"/>
        <v>2026jma</v>
      </c>
      <c r="F218" s="22" t="s">
        <v>816</v>
      </c>
      <c r="G218" s="22" t="s">
        <v>23</v>
      </c>
      <c r="H218" s="21">
        <f t="shared" si="2"/>
        <v>12</v>
      </c>
    </row>
    <row r="219">
      <c r="A219" s="22" t="s">
        <v>1502</v>
      </c>
      <c r="B219" s="22" t="s">
        <v>1479</v>
      </c>
      <c r="C219" s="22" t="s">
        <v>961</v>
      </c>
      <c r="D219" s="50" t="str">
        <f t="shared" si="1"/>
        <v>2028tdeng</v>
      </c>
      <c r="F219" s="22" t="s">
        <v>817</v>
      </c>
      <c r="G219" s="22" t="s">
        <v>175</v>
      </c>
      <c r="H219" s="21">
        <f t="shared" si="2"/>
        <v>0</v>
      </c>
    </row>
    <row r="220">
      <c r="A220" s="22" t="s">
        <v>1503</v>
      </c>
      <c r="B220" s="22" t="s">
        <v>1479</v>
      </c>
      <c r="C220" s="22" t="s">
        <v>690</v>
      </c>
      <c r="D220" s="50" t="str">
        <f t="shared" si="1"/>
        <v>2026rsingh2</v>
      </c>
      <c r="F220" s="22" t="s">
        <v>818</v>
      </c>
      <c r="G220" s="22" t="s">
        <v>86</v>
      </c>
      <c r="H220" s="21">
        <f t="shared" si="2"/>
        <v>6</v>
      </c>
    </row>
    <row r="221">
      <c r="A221" s="22" t="s">
        <v>1504</v>
      </c>
      <c r="B221" s="22" t="s">
        <v>1479</v>
      </c>
      <c r="C221" s="22" t="s">
        <v>788</v>
      </c>
      <c r="D221" s="50" t="str">
        <f t="shared" si="1"/>
        <v>2027itennyso</v>
      </c>
      <c r="F221" s="22" t="s">
        <v>819</v>
      </c>
      <c r="G221" s="22" t="s">
        <v>176</v>
      </c>
      <c r="H221" s="21">
        <f t="shared" si="2"/>
        <v>0</v>
      </c>
    </row>
    <row r="222">
      <c r="A222" s="22" t="s">
        <v>1505</v>
      </c>
      <c r="B222" s="22" t="s">
        <v>1479</v>
      </c>
      <c r="C222" s="22" t="s">
        <v>983</v>
      </c>
      <c r="D222" s="50" t="str">
        <f t="shared" si="1"/>
        <v>2028elin</v>
      </c>
      <c r="F222" s="22" t="s">
        <v>820</v>
      </c>
      <c r="G222" s="22" t="s">
        <v>177</v>
      </c>
      <c r="H222" s="21">
        <f t="shared" si="2"/>
        <v>0</v>
      </c>
    </row>
    <row r="223">
      <c r="A223" s="22" t="s">
        <v>1506</v>
      </c>
      <c r="B223" s="22" t="s">
        <v>1479</v>
      </c>
      <c r="C223" s="22" t="s">
        <v>897</v>
      </c>
      <c r="D223" s="50" t="str">
        <f t="shared" si="1"/>
        <v>2027jfleming</v>
      </c>
      <c r="F223" s="22" t="s">
        <v>821</v>
      </c>
      <c r="G223" s="22" t="s">
        <v>178</v>
      </c>
      <c r="H223" s="21">
        <f t="shared" si="2"/>
        <v>0</v>
      </c>
    </row>
    <row r="224">
      <c r="A224" s="22" t="s">
        <v>1507</v>
      </c>
      <c r="B224" s="22" t="s">
        <v>1479</v>
      </c>
      <c r="C224" s="22" t="s">
        <v>779</v>
      </c>
      <c r="D224" s="50" t="str">
        <f t="shared" si="1"/>
        <v>2027jdurr</v>
      </c>
      <c r="F224" s="22" t="s">
        <v>822</v>
      </c>
      <c r="G224" s="22" t="s">
        <v>179</v>
      </c>
      <c r="H224" s="21">
        <f t="shared" si="2"/>
        <v>6</v>
      </c>
    </row>
    <row r="225">
      <c r="A225" s="22" t="s">
        <v>1508</v>
      </c>
      <c r="B225" s="22" t="s">
        <v>1479</v>
      </c>
      <c r="C225" s="22" t="s">
        <v>927</v>
      </c>
      <c r="D225" s="50" t="str">
        <f t="shared" si="1"/>
        <v>2027arao</v>
      </c>
      <c r="F225" s="22" t="s">
        <v>823</v>
      </c>
      <c r="G225" s="22" t="s">
        <v>61</v>
      </c>
      <c r="H225" s="21">
        <f t="shared" si="2"/>
        <v>10</v>
      </c>
    </row>
    <row r="226">
      <c r="A226" s="22" t="s">
        <v>1509</v>
      </c>
      <c r="B226" s="22" t="s">
        <v>1479</v>
      </c>
      <c r="C226" s="22" t="s">
        <v>935</v>
      </c>
      <c r="D226" s="50" t="str">
        <f t="shared" si="1"/>
        <v>2028szhang</v>
      </c>
      <c r="F226" s="22" t="s">
        <v>824</v>
      </c>
      <c r="G226" s="22" t="s">
        <v>180</v>
      </c>
      <c r="H226" s="21">
        <f t="shared" si="2"/>
        <v>0</v>
      </c>
    </row>
    <row r="227">
      <c r="A227" s="22" t="s">
        <v>1510</v>
      </c>
      <c r="B227" s="22" t="s">
        <v>1479</v>
      </c>
      <c r="C227" s="22" t="s">
        <v>945</v>
      </c>
      <c r="D227" s="50" t="str">
        <f t="shared" si="1"/>
        <v>2028cwang</v>
      </c>
      <c r="F227" s="22" t="s">
        <v>825</v>
      </c>
      <c r="G227" s="22" t="s">
        <v>181</v>
      </c>
      <c r="H227" s="21">
        <f t="shared" si="2"/>
        <v>10</v>
      </c>
    </row>
    <row r="228">
      <c r="A228" s="22" t="s">
        <v>1511</v>
      </c>
      <c r="B228" s="22" t="s">
        <v>1479</v>
      </c>
      <c r="C228" s="22" t="s">
        <v>934</v>
      </c>
      <c r="D228" s="50" t="str">
        <f t="shared" si="1"/>
        <v>2028bhan</v>
      </c>
      <c r="F228" s="22" t="s">
        <v>826</v>
      </c>
      <c r="G228" s="22" t="s">
        <v>182</v>
      </c>
      <c r="H228" s="21">
        <f t="shared" si="2"/>
        <v>0</v>
      </c>
    </row>
    <row r="229">
      <c r="A229" s="22" t="s">
        <v>1512</v>
      </c>
      <c r="B229" s="22" t="s">
        <v>1479</v>
      </c>
      <c r="C229" s="22" t="s">
        <v>984</v>
      </c>
      <c r="D229" s="50" t="str">
        <f t="shared" si="1"/>
        <v>2028sari</v>
      </c>
      <c r="F229" s="22" t="s">
        <v>1513</v>
      </c>
      <c r="G229" s="22" t="s">
        <v>620</v>
      </c>
      <c r="H229" s="21">
        <f t="shared" si="2"/>
        <v>0</v>
      </c>
    </row>
    <row r="230">
      <c r="A230" s="22" t="s">
        <v>1514</v>
      </c>
      <c r="B230" s="22" t="s">
        <v>1479</v>
      </c>
      <c r="C230" s="22" t="s">
        <v>865</v>
      </c>
      <c r="D230" s="50" t="str">
        <f t="shared" si="1"/>
        <v>2026anaidan</v>
      </c>
      <c r="F230" s="22" t="s">
        <v>827</v>
      </c>
      <c r="G230" s="22" t="s">
        <v>183</v>
      </c>
      <c r="H230" s="21">
        <f t="shared" si="2"/>
        <v>0</v>
      </c>
    </row>
    <row r="231">
      <c r="A231" s="22" t="s">
        <v>1515</v>
      </c>
      <c r="B231" s="22" t="s">
        <v>1479</v>
      </c>
      <c r="C231" s="22" t="s">
        <v>858</v>
      </c>
      <c r="D231" s="50" t="str">
        <f t="shared" si="1"/>
        <v>2027asachdev</v>
      </c>
      <c r="F231" s="22" t="s">
        <v>828</v>
      </c>
      <c r="G231" s="22" t="s">
        <v>184</v>
      </c>
      <c r="H231" s="21">
        <f t="shared" si="2"/>
        <v>0</v>
      </c>
    </row>
    <row r="232">
      <c r="A232" s="22" t="s">
        <v>1516</v>
      </c>
      <c r="B232" s="22" t="s">
        <v>1479</v>
      </c>
      <c r="C232" s="22" t="s">
        <v>818</v>
      </c>
      <c r="D232" s="50" t="str">
        <f t="shared" si="1"/>
        <v>2027ayan</v>
      </c>
      <c r="F232" s="22" t="s">
        <v>829</v>
      </c>
      <c r="G232" s="22" t="s">
        <v>185</v>
      </c>
      <c r="H232" s="21">
        <f t="shared" si="2"/>
        <v>9</v>
      </c>
    </row>
    <row r="233">
      <c r="A233" s="22" t="s">
        <v>1517</v>
      </c>
      <c r="B233" s="22" t="s">
        <v>1479</v>
      </c>
      <c r="C233" s="22" t="s">
        <v>813</v>
      </c>
      <c r="D233" s="50" t="str">
        <f t="shared" si="1"/>
        <v>2027vrayavar</v>
      </c>
      <c r="F233" s="22" t="s">
        <v>830</v>
      </c>
      <c r="G233" s="22" t="s">
        <v>88</v>
      </c>
      <c r="H233" s="21">
        <f t="shared" si="2"/>
        <v>19</v>
      </c>
    </row>
    <row r="234">
      <c r="A234" s="22" t="s">
        <v>1518</v>
      </c>
      <c r="B234" s="22" t="s">
        <v>1479</v>
      </c>
      <c r="C234" s="22" t="s">
        <v>950</v>
      </c>
      <c r="D234" s="50" t="str">
        <f t="shared" si="1"/>
        <v>2028dvladimi</v>
      </c>
      <c r="F234" s="22" t="s">
        <v>831</v>
      </c>
      <c r="G234" s="22" t="s">
        <v>186</v>
      </c>
      <c r="H234" s="21">
        <f t="shared" si="2"/>
        <v>0</v>
      </c>
    </row>
    <row r="235">
      <c r="A235" s="22" t="s">
        <v>1519</v>
      </c>
      <c r="B235" s="22" t="s">
        <v>1479</v>
      </c>
      <c r="C235" s="22" t="s">
        <v>930</v>
      </c>
      <c r="D235" s="50" t="str">
        <f t="shared" si="1"/>
        <v>2028wmcquirt</v>
      </c>
      <c r="F235" s="22" t="s">
        <v>832</v>
      </c>
      <c r="G235" s="22" t="s">
        <v>187</v>
      </c>
      <c r="H235" s="21">
        <f t="shared" si="2"/>
        <v>0</v>
      </c>
    </row>
    <row r="236">
      <c r="A236" s="22" t="s">
        <v>1520</v>
      </c>
      <c r="B236" s="22" t="s">
        <v>1479</v>
      </c>
      <c r="C236" s="22" t="s">
        <v>968</v>
      </c>
      <c r="D236" s="50" t="str">
        <f t="shared" si="1"/>
        <v>2028lmeng</v>
      </c>
      <c r="F236" s="22" t="s">
        <v>833</v>
      </c>
      <c r="G236" s="22" t="s">
        <v>188</v>
      </c>
      <c r="H236" s="21">
        <f t="shared" si="2"/>
        <v>8</v>
      </c>
    </row>
    <row r="237">
      <c r="A237" s="22" t="s">
        <v>1521</v>
      </c>
      <c r="B237" s="22" t="s">
        <v>1479</v>
      </c>
      <c r="C237" s="22" t="s">
        <v>952</v>
      </c>
      <c r="D237" s="50" t="str">
        <f t="shared" si="1"/>
        <v>2028mlin</v>
      </c>
      <c r="F237" s="22" t="s">
        <v>834</v>
      </c>
      <c r="G237" s="22" t="s">
        <v>189</v>
      </c>
      <c r="H237" s="21">
        <f t="shared" si="2"/>
        <v>0</v>
      </c>
    </row>
    <row r="238">
      <c r="A238" s="22" t="s">
        <v>1522</v>
      </c>
      <c r="B238" s="22" t="s">
        <v>1479</v>
      </c>
      <c r="C238" s="22" t="s">
        <v>956</v>
      </c>
      <c r="D238" s="50" t="str">
        <f t="shared" si="1"/>
        <v>2028vlee</v>
      </c>
      <c r="F238" s="22" t="s">
        <v>835</v>
      </c>
      <c r="G238" s="22" t="s">
        <v>190</v>
      </c>
      <c r="H238" s="21">
        <f t="shared" si="2"/>
        <v>0</v>
      </c>
    </row>
    <row r="239">
      <c r="A239" s="22" t="s">
        <v>1523</v>
      </c>
      <c r="B239" s="22" t="s">
        <v>1479</v>
      </c>
      <c r="C239" s="22" t="s">
        <v>957</v>
      </c>
      <c r="D239" s="50" t="str">
        <f t="shared" si="1"/>
        <v>2028aliu</v>
      </c>
      <c r="F239" s="22" t="s">
        <v>836</v>
      </c>
      <c r="G239" s="22" t="s">
        <v>191</v>
      </c>
      <c r="H239" s="21">
        <f t="shared" si="2"/>
        <v>0</v>
      </c>
    </row>
    <row r="240">
      <c r="A240" s="22" t="s">
        <v>1524</v>
      </c>
      <c r="B240" s="22" t="s">
        <v>1479</v>
      </c>
      <c r="C240" s="22" t="s">
        <v>1014</v>
      </c>
      <c r="D240" s="50" t="str">
        <f t="shared" si="1"/>
        <v>2027hbanerje</v>
      </c>
      <c r="F240" s="22" t="s">
        <v>837</v>
      </c>
      <c r="G240" s="22" t="s">
        <v>192</v>
      </c>
      <c r="H240" s="21">
        <f t="shared" si="2"/>
        <v>0</v>
      </c>
    </row>
    <row r="241">
      <c r="A241" s="22" t="s">
        <v>1525</v>
      </c>
      <c r="B241" s="22" t="s">
        <v>1479</v>
      </c>
      <c r="C241" s="22" t="s">
        <v>971</v>
      </c>
      <c r="D241" s="50" t="str">
        <f t="shared" si="1"/>
        <v>2028gagilan</v>
      </c>
      <c r="F241" s="22" t="s">
        <v>838</v>
      </c>
      <c r="G241" s="22" t="s">
        <v>193</v>
      </c>
      <c r="H241" s="21">
        <f t="shared" si="2"/>
        <v>5</v>
      </c>
    </row>
    <row r="242">
      <c r="A242" s="22" t="s">
        <v>1526</v>
      </c>
      <c r="B242" s="22" t="s">
        <v>1479</v>
      </c>
      <c r="C242" s="22" t="s">
        <v>923</v>
      </c>
      <c r="D242" s="50" t="str">
        <f t="shared" si="1"/>
        <v>2028lkang</v>
      </c>
      <c r="F242" s="22" t="s">
        <v>839</v>
      </c>
      <c r="G242" s="22" t="s">
        <v>194</v>
      </c>
      <c r="H242" s="21">
        <f t="shared" si="2"/>
        <v>0</v>
      </c>
    </row>
    <row r="243">
      <c r="A243" s="22" t="s">
        <v>1527</v>
      </c>
      <c r="B243" s="22" t="s">
        <v>1479</v>
      </c>
      <c r="C243" s="22" t="s">
        <v>749</v>
      </c>
      <c r="D243" s="50" t="str">
        <f t="shared" si="1"/>
        <v>2026ghuang</v>
      </c>
      <c r="F243" s="22" t="s">
        <v>840</v>
      </c>
      <c r="G243" s="22" t="s">
        <v>195</v>
      </c>
      <c r="H243" s="21">
        <f t="shared" si="2"/>
        <v>0</v>
      </c>
    </row>
    <row r="244">
      <c r="A244" s="22" t="s">
        <v>1528</v>
      </c>
      <c r="B244" s="22" t="s">
        <v>1479</v>
      </c>
      <c r="C244" s="22" t="s">
        <v>996</v>
      </c>
      <c r="D244" s="50" t="str">
        <f t="shared" si="1"/>
        <v>2028ana</v>
      </c>
      <c r="F244" s="22" t="s">
        <v>841</v>
      </c>
      <c r="G244" s="22" t="s">
        <v>196</v>
      </c>
      <c r="H244" s="21">
        <f t="shared" si="2"/>
        <v>0</v>
      </c>
    </row>
    <row r="245">
      <c r="A245" s="22" t="s">
        <v>1529</v>
      </c>
      <c r="B245" s="22" t="s">
        <v>1479</v>
      </c>
      <c r="C245" s="22" t="s">
        <v>951</v>
      </c>
      <c r="D245" s="50" t="str">
        <f t="shared" si="1"/>
        <v>2028yli</v>
      </c>
      <c r="F245" s="22" t="s">
        <v>842</v>
      </c>
      <c r="G245" s="22" t="s">
        <v>197</v>
      </c>
      <c r="H245" s="21">
        <f t="shared" si="2"/>
        <v>6</v>
      </c>
    </row>
    <row r="246">
      <c r="A246" s="22" t="s">
        <v>1530</v>
      </c>
      <c r="B246" s="22" t="s">
        <v>1479</v>
      </c>
      <c r="C246" s="22" t="s">
        <v>816</v>
      </c>
      <c r="D246" s="50" t="str">
        <f t="shared" si="1"/>
        <v>2027achu</v>
      </c>
      <c r="F246" s="22" t="s">
        <v>843</v>
      </c>
      <c r="G246" s="22" t="s">
        <v>198</v>
      </c>
      <c r="H246" s="21">
        <f t="shared" si="2"/>
        <v>11</v>
      </c>
    </row>
    <row r="247">
      <c r="A247" s="22" t="s">
        <v>1531</v>
      </c>
      <c r="B247" s="22" t="s">
        <v>1479</v>
      </c>
      <c r="C247" s="22" t="s">
        <v>991</v>
      </c>
      <c r="D247" s="50" t="str">
        <f t="shared" si="1"/>
        <v>2028glee</v>
      </c>
      <c r="F247" s="22" t="s">
        <v>844</v>
      </c>
      <c r="G247" s="22" t="s">
        <v>199</v>
      </c>
      <c r="H247" s="21">
        <f t="shared" si="2"/>
        <v>1</v>
      </c>
    </row>
    <row r="248">
      <c r="A248" s="22" t="s">
        <v>1532</v>
      </c>
      <c r="B248" s="22" t="s">
        <v>1479</v>
      </c>
      <c r="C248" s="22" t="s">
        <v>1010</v>
      </c>
      <c r="D248" s="50" t="str">
        <f t="shared" si="1"/>
        <v>2027achakrav</v>
      </c>
      <c r="F248" s="22" t="s">
        <v>845</v>
      </c>
      <c r="G248" s="22" t="s">
        <v>200</v>
      </c>
      <c r="H248" s="21">
        <f t="shared" si="2"/>
        <v>1</v>
      </c>
    </row>
    <row r="249">
      <c r="A249" s="22" t="s">
        <v>1533</v>
      </c>
      <c r="B249" s="22" t="s">
        <v>1479</v>
      </c>
      <c r="C249" s="22" t="s">
        <v>1007</v>
      </c>
      <c r="D249" s="50" t="str">
        <f t="shared" si="1"/>
        <v>2028zzahid</v>
      </c>
      <c r="F249" s="22" t="s">
        <v>846</v>
      </c>
      <c r="G249" s="22" t="s">
        <v>201</v>
      </c>
      <c r="H249" s="21">
        <f t="shared" si="2"/>
        <v>0</v>
      </c>
    </row>
    <row r="250">
      <c r="A250" s="22" t="s">
        <v>1534</v>
      </c>
      <c r="B250" s="22" t="s">
        <v>1479</v>
      </c>
      <c r="C250" s="22" t="s">
        <v>1016</v>
      </c>
      <c r="D250" s="50" t="str">
        <f t="shared" si="1"/>
        <v>2028krudinsk</v>
      </c>
      <c r="F250" s="22" t="s">
        <v>847</v>
      </c>
      <c r="G250" s="22" t="s">
        <v>202</v>
      </c>
      <c r="H250" s="21">
        <f t="shared" si="2"/>
        <v>5</v>
      </c>
    </row>
    <row r="251">
      <c r="A251" s="22" t="s">
        <v>1535</v>
      </c>
      <c r="B251" s="22" t="s">
        <v>1479</v>
      </c>
      <c r="C251" s="22" t="s">
        <v>852</v>
      </c>
      <c r="D251" s="50" t="str">
        <f t="shared" si="1"/>
        <v>2027rgao</v>
      </c>
      <c r="F251" s="22" t="s">
        <v>848</v>
      </c>
      <c r="G251" s="22" t="s">
        <v>203</v>
      </c>
      <c r="H251" s="21">
        <f t="shared" si="2"/>
        <v>0</v>
      </c>
    </row>
    <row r="252">
      <c r="A252" s="22" t="s">
        <v>1536</v>
      </c>
      <c r="B252" s="22" t="s">
        <v>1479</v>
      </c>
      <c r="C252" s="22" t="s">
        <v>976</v>
      </c>
      <c r="D252" s="50" t="str">
        <f t="shared" si="1"/>
        <v>2028asun</v>
      </c>
      <c r="F252" s="22" t="s">
        <v>849</v>
      </c>
      <c r="G252" s="22" t="s">
        <v>204</v>
      </c>
      <c r="H252" s="21">
        <f t="shared" si="2"/>
        <v>0</v>
      </c>
    </row>
    <row r="253">
      <c r="A253" s="22" t="s">
        <v>1537</v>
      </c>
      <c r="B253" s="22" t="s">
        <v>1479</v>
      </c>
      <c r="C253" s="22" t="s">
        <v>1004</v>
      </c>
      <c r="D253" s="50" t="str">
        <f t="shared" si="1"/>
        <v>2028osazhyn</v>
      </c>
      <c r="F253" s="22" t="s">
        <v>850</v>
      </c>
      <c r="G253" s="22" t="s">
        <v>205</v>
      </c>
      <c r="H253" s="21">
        <f t="shared" si="2"/>
        <v>0</v>
      </c>
    </row>
    <row r="254">
      <c r="A254" s="22" t="s">
        <v>1538</v>
      </c>
      <c r="B254" s="22" t="s">
        <v>1479</v>
      </c>
      <c r="C254" s="22" t="s">
        <v>941</v>
      </c>
      <c r="D254" s="50" t="str">
        <f t="shared" si="1"/>
        <v>2028dbhooma</v>
      </c>
      <c r="F254" s="22" t="s">
        <v>1539</v>
      </c>
      <c r="G254" s="22" t="s">
        <v>621</v>
      </c>
      <c r="H254" s="21">
        <f t="shared" si="2"/>
        <v>0</v>
      </c>
    </row>
    <row r="255">
      <c r="A255" s="22" t="s">
        <v>1540</v>
      </c>
      <c r="B255" s="22" t="s">
        <v>1479</v>
      </c>
      <c r="C255" s="22" t="s">
        <v>929</v>
      </c>
      <c r="D255" s="50" t="str">
        <f t="shared" si="1"/>
        <v>2028dhe</v>
      </c>
      <c r="F255" s="22" t="s">
        <v>851</v>
      </c>
      <c r="G255" s="22" t="s">
        <v>206</v>
      </c>
      <c r="H255" s="21">
        <f t="shared" si="2"/>
        <v>0</v>
      </c>
    </row>
    <row r="256">
      <c r="A256" s="22" t="s">
        <v>1541</v>
      </c>
      <c r="B256" s="22" t="s">
        <v>1479</v>
      </c>
      <c r="C256" s="22" t="s">
        <v>932</v>
      </c>
      <c r="D256" s="50" t="str">
        <f t="shared" si="1"/>
        <v>2028rzhao</v>
      </c>
      <c r="F256" s="22" t="s">
        <v>852</v>
      </c>
      <c r="G256" s="22" t="s">
        <v>207</v>
      </c>
      <c r="H256" s="21">
        <f t="shared" si="2"/>
        <v>16</v>
      </c>
    </row>
    <row r="257">
      <c r="A257" s="22" t="s">
        <v>1542</v>
      </c>
      <c r="B257" s="22" t="s">
        <v>1479</v>
      </c>
      <c r="C257" s="22" t="s">
        <v>948</v>
      </c>
      <c r="D257" s="50" t="str">
        <f t="shared" si="1"/>
        <v>2028adeevi</v>
      </c>
      <c r="F257" s="22" t="s">
        <v>853</v>
      </c>
      <c r="G257" s="22" t="s">
        <v>208</v>
      </c>
      <c r="H257" s="21">
        <f t="shared" si="2"/>
        <v>0</v>
      </c>
    </row>
    <row r="258">
      <c r="A258" s="22" t="s">
        <v>1543</v>
      </c>
      <c r="B258" s="22" t="s">
        <v>1479</v>
      </c>
      <c r="C258" s="22" t="s">
        <v>722</v>
      </c>
      <c r="D258" s="50" t="str">
        <f t="shared" si="1"/>
        <v>2026jkim</v>
      </c>
      <c r="F258" s="22" t="s">
        <v>1369</v>
      </c>
      <c r="G258" s="22" t="s">
        <v>622</v>
      </c>
      <c r="H258" s="21">
        <f t="shared" si="2"/>
        <v>1</v>
      </c>
    </row>
    <row r="259">
      <c r="A259" s="22" t="s">
        <v>1544</v>
      </c>
      <c r="B259" s="22" t="s">
        <v>1479</v>
      </c>
      <c r="C259" s="22" t="s">
        <v>1018</v>
      </c>
      <c r="D259" s="50" t="str">
        <f t="shared" si="1"/>
        <v>2028abhatt</v>
      </c>
      <c r="F259" s="22" t="s">
        <v>854</v>
      </c>
      <c r="G259" s="22" t="s">
        <v>209</v>
      </c>
      <c r="H259" s="21">
        <f t="shared" si="2"/>
        <v>7</v>
      </c>
    </row>
    <row r="260">
      <c r="A260" s="22" t="s">
        <v>1545</v>
      </c>
      <c r="B260" s="22" t="s">
        <v>1479</v>
      </c>
      <c r="C260" s="22" t="s">
        <v>780</v>
      </c>
      <c r="D260" s="50" t="str">
        <f t="shared" si="1"/>
        <v>2027ahao</v>
      </c>
      <c r="F260" s="22" t="s">
        <v>855</v>
      </c>
      <c r="G260" s="22" t="s">
        <v>210</v>
      </c>
      <c r="H260" s="21">
        <f t="shared" si="2"/>
        <v>0</v>
      </c>
    </row>
    <row r="261">
      <c r="A261" s="22" t="s">
        <v>1546</v>
      </c>
      <c r="B261" s="22" t="s">
        <v>1479</v>
      </c>
      <c r="C261" s="22" t="s">
        <v>960</v>
      </c>
      <c r="D261" s="50" t="str">
        <f t="shared" si="1"/>
        <v>2028srao</v>
      </c>
      <c r="F261" s="22" t="s">
        <v>856</v>
      </c>
      <c r="G261" s="22" t="s">
        <v>12</v>
      </c>
      <c r="H261" s="21">
        <f t="shared" si="2"/>
        <v>12</v>
      </c>
    </row>
    <row r="262">
      <c r="A262" s="22" t="s">
        <v>1547</v>
      </c>
      <c r="B262" s="22" t="s">
        <v>1479</v>
      </c>
      <c r="C262" s="22" t="s">
        <v>972</v>
      </c>
      <c r="D262" s="50" t="str">
        <f t="shared" si="1"/>
        <v>2028dsubedi</v>
      </c>
      <c r="F262" s="22" t="s">
        <v>857</v>
      </c>
      <c r="G262" s="22" t="s">
        <v>211</v>
      </c>
      <c r="H262" s="21">
        <f t="shared" si="2"/>
        <v>0</v>
      </c>
    </row>
    <row r="263">
      <c r="A263" s="22" t="s">
        <v>1548</v>
      </c>
      <c r="B263" s="22" t="s">
        <v>1479</v>
      </c>
      <c r="C263" s="22" t="s">
        <v>995</v>
      </c>
      <c r="D263" s="50" t="str">
        <f t="shared" si="1"/>
        <v>2028srangara</v>
      </c>
      <c r="F263" s="22" t="s">
        <v>858</v>
      </c>
      <c r="G263" s="22" t="s">
        <v>212</v>
      </c>
      <c r="H263" s="21">
        <f t="shared" si="2"/>
        <v>6</v>
      </c>
    </row>
    <row r="264">
      <c r="A264" s="22" t="s">
        <v>1549</v>
      </c>
      <c r="B264" s="22" t="s">
        <v>1479</v>
      </c>
      <c r="C264" s="22" t="s">
        <v>1019</v>
      </c>
      <c r="D264" s="50" t="str">
        <f t="shared" si="1"/>
        <v>2028sthammis</v>
      </c>
      <c r="F264" s="22" t="s">
        <v>859</v>
      </c>
      <c r="G264" s="22" t="s">
        <v>213</v>
      </c>
      <c r="H264" s="21">
        <f t="shared" si="2"/>
        <v>0</v>
      </c>
    </row>
    <row r="265">
      <c r="A265" s="22" t="s">
        <v>1550</v>
      </c>
      <c r="B265" s="22" t="s">
        <v>1479</v>
      </c>
      <c r="C265" s="22" t="s">
        <v>1356</v>
      </c>
      <c r="D265" s="50" t="str">
        <f t="shared" si="1"/>
        <v>2025avijayra</v>
      </c>
      <c r="F265" s="22" t="s">
        <v>860</v>
      </c>
      <c r="G265" s="22" t="s">
        <v>214</v>
      </c>
      <c r="H265" s="21">
        <f t="shared" si="2"/>
        <v>0</v>
      </c>
    </row>
    <row r="266">
      <c r="A266" s="22" t="s">
        <v>1551</v>
      </c>
      <c r="B266" s="22" t="s">
        <v>1479</v>
      </c>
      <c r="C266" s="22" t="s">
        <v>919</v>
      </c>
      <c r="D266" s="50" t="str">
        <f t="shared" si="1"/>
        <v>2027ekim</v>
      </c>
      <c r="F266" s="22" t="s">
        <v>861</v>
      </c>
      <c r="G266" s="22" t="s">
        <v>215</v>
      </c>
      <c r="H266" s="21">
        <f t="shared" si="2"/>
        <v>0</v>
      </c>
    </row>
    <row r="267">
      <c r="A267" s="22" t="s">
        <v>1552</v>
      </c>
      <c r="B267" s="22" t="s">
        <v>1479</v>
      </c>
      <c r="C267" s="22" t="s">
        <v>947</v>
      </c>
      <c r="D267" s="50" t="str">
        <f t="shared" si="1"/>
        <v>2028syan</v>
      </c>
      <c r="F267" s="22" t="s">
        <v>862</v>
      </c>
      <c r="G267" s="22" t="s">
        <v>216</v>
      </c>
      <c r="H267" s="21">
        <f t="shared" si="2"/>
        <v>0</v>
      </c>
    </row>
    <row r="268">
      <c r="A268" s="22" t="s">
        <v>1553</v>
      </c>
      <c r="B268" s="22" t="s">
        <v>1479</v>
      </c>
      <c r="C268" s="22" t="s">
        <v>732</v>
      </c>
      <c r="D268" s="50" t="str">
        <f t="shared" si="1"/>
        <v>2026ejaldint</v>
      </c>
      <c r="F268" s="22" t="s">
        <v>863</v>
      </c>
      <c r="G268" s="22" t="s">
        <v>217</v>
      </c>
      <c r="H268" s="21">
        <f t="shared" si="2"/>
        <v>0</v>
      </c>
    </row>
    <row r="269">
      <c r="A269" s="22" t="s">
        <v>1554</v>
      </c>
      <c r="B269" s="22" t="s">
        <v>1479</v>
      </c>
      <c r="C269" s="22" t="s">
        <v>942</v>
      </c>
      <c r="D269" s="50" t="str">
        <f t="shared" si="1"/>
        <v>2028che</v>
      </c>
      <c r="F269" s="22" t="s">
        <v>864</v>
      </c>
      <c r="G269" s="22" t="s">
        <v>218</v>
      </c>
      <c r="H269" s="21">
        <f t="shared" si="2"/>
        <v>0</v>
      </c>
    </row>
    <row r="270">
      <c r="A270" s="22" t="s">
        <v>1555</v>
      </c>
      <c r="B270" s="22" t="s">
        <v>1479</v>
      </c>
      <c r="C270" s="22" t="s">
        <v>966</v>
      </c>
      <c r="D270" s="50" t="str">
        <f t="shared" si="1"/>
        <v>2028adoppala</v>
      </c>
      <c r="F270" s="22" t="s">
        <v>1556</v>
      </c>
      <c r="G270" s="22" t="s">
        <v>623</v>
      </c>
      <c r="H270" s="21">
        <f t="shared" si="2"/>
        <v>0</v>
      </c>
    </row>
    <row r="271">
      <c r="A271" s="22" t="s">
        <v>1557</v>
      </c>
      <c r="B271" s="22" t="s">
        <v>1479</v>
      </c>
      <c r="C271" s="22" t="s">
        <v>1015</v>
      </c>
      <c r="D271" s="50" t="str">
        <f t="shared" si="1"/>
        <v>2028asharma</v>
      </c>
      <c r="F271" s="22" t="s">
        <v>865</v>
      </c>
      <c r="G271" s="22" t="s">
        <v>219</v>
      </c>
      <c r="H271" s="21">
        <f t="shared" si="2"/>
        <v>8</v>
      </c>
    </row>
    <row r="272">
      <c r="A272" s="22" t="s">
        <v>1558</v>
      </c>
      <c r="B272" s="22" t="s">
        <v>1479</v>
      </c>
      <c r="C272" s="22" t="s">
        <v>949</v>
      </c>
      <c r="D272" s="50" t="str">
        <f t="shared" si="1"/>
        <v>2028jli1</v>
      </c>
      <c r="F272" s="22" t="s">
        <v>866</v>
      </c>
      <c r="G272" s="22" t="s">
        <v>220</v>
      </c>
      <c r="H272" s="21">
        <f t="shared" si="2"/>
        <v>0</v>
      </c>
    </row>
    <row r="273">
      <c r="A273" s="22" t="s">
        <v>1559</v>
      </c>
      <c r="B273" s="22" t="s">
        <v>1479</v>
      </c>
      <c r="C273" s="22" t="s">
        <v>770</v>
      </c>
      <c r="D273" s="50" t="str">
        <f t="shared" si="1"/>
        <v>2027bko</v>
      </c>
      <c r="F273" s="22" t="s">
        <v>867</v>
      </c>
      <c r="G273" s="22" t="s">
        <v>221</v>
      </c>
      <c r="H273" s="21">
        <f t="shared" si="2"/>
        <v>2</v>
      </c>
    </row>
    <row r="274">
      <c r="A274" s="22" t="s">
        <v>1560</v>
      </c>
      <c r="B274" s="22" t="s">
        <v>1479</v>
      </c>
      <c r="C274" s="22" t="s">
        <v>1020</v>
      </c>
      <c r="D274" s="50" t="str">
        <f t="shared" si="1"/>
        <v>2028dmichett</v>
      </c>
      <c r="F274" s="22" t="s">
        <v>868</v>
      </c>
      <c r="G274" s="22" t="s">
        <v>222</v>
      </c>
      <c r="H274" s="21">
        <f t="shared" si="2"/>
        <v>4</v>
      </c>
    </row>
    <row r="275">
      <c r="A275" s="22" t="s">
        <v>1561</v>
      </c>
      <c r="B275" s="22" t="s">
        <v>1479</v>
      </c>
      <c r="C275" s="22" t="s">
        <v>1011</v>
      </c>
      <c r="D275" s="50" t="str">
        <f t="shared" si="1"/>
        <v>2028palladu</v>
      </c>
      <c r="F275" s="22" t="s">
        <v>869</v>
      </c>
      <c r="G275" s="22" t="s">
        <v>223</v>
      </c>
      <c r="H275" s="21">
        <f t="shared" si="2"/>
        <v>5</v>
      </c>
    </row>
    <row r="276">
      <c r="A276" s="22" t="s">
        <v>1562</v>
      </c>
      <c r="B276" s="22" t="s">
        <v>1479</v>
      </c>
      <c r="C276" s="22" t="s">
        <v>946</v>
      </c>
      <c r="D276" s="50" t="str">
        <f t="shared" si="1"/>
        <v>2028ykang</v>
      </c>
      <c r="F276" s="22" t="s">
        <v>870</v>
      </c>
      <c r="G276" s="22" t="s">
        <v>224</v>
      </c>
      <c r="H276" s="21">
        <f t="shared" si="2"/>
        <v>0</v>
      </c>
    </row>
    <row r="277">
      <c r="A277" s="22" t="s">
        <v>1563</v>
      </c>
      <c r="B277" s="22" t="s">
        <v>1479</v>
      </c>
      <c r="C277" s="22" t="s">
        <v>1017</v>
      </c>
      <c r="D277" s="50" t="str">
        <f t="shared" si="1"/>
        <v>2028sli</v>
      </c>
      <c r="F277" s="22" t="s">
        <v>871</v>
      </c>
      <c r="G277" s="22" t="s">
        <v>225</v>
      </c>
      <c r="H277" s="21">
        <f t="shared" si="2"/>
        <v>0</v>
      </c>
    </row>
    <row r="278">
      <c r="A278" s="22" t="s">
        <v>1564</v>
      </c>
      <c r="B278" s="22" t="s">
        <v>1479</v>
      </c>
      <c r="C278" s="22" t="s">
        <v>665</v>
      </c>
      <c r="D278" s="50" t="str">
        <f t="shared" si="1"/>
        <v>2026achen</v>
      </c>
      <c r="F278" s="22" t="s">
        <v>872</v>
      </c>
      <c r="G278" s="22" t="s">
        <v>226</v>
      </c>
      <c r="H278" s="21">
        <f t="shared" si="2"/>
        <v>0</v>
      </c>
    </row>
    <row r="279">
      <c r="A279" s="22" t="s">
        <v>1565</v>
      </c>
      <c r="B279" s="22" t="s">
        <v>1479</v>
      </c>
      <c r="C279" s="22" t="s">
        <v>1022</v>
      </c>
      <c r="D279" s="50" t="str">
        <f t="shared" si="1"/>
        <v>2028asuwal</v>
      </c>
      <c r="F279" s="22" t="s">
        <v>873</v>
      </c>
      <c r="G279" s="22" t="s">
        <v>227</v>
      </c>
      <c r="H279" s="21">
        <f t="shared" si="2"/>
        <v>0</v>
      </c>
    </row>
    <row r="280">
      <c r="A280" s="22" t="s">
        <v>1566</v>
      </c>
      <c r="B280" s="22" t="s">
        <v>1479</v>
      </c>
      <c r="C280" s="22" t="s">
        <v>959</v>
      </c>
      <c r="D280" s="50" t="str">
        <f t="shared" si="1"/>
        <v>2028bjonuzaj</v>
      </c>
      <c r="F280" s="22" t="s">
        <v>874</v>
      </c>
      <c r="G280" s="22" t="s">
        <v>228</v>
      </c>
      <c r="H280" s="21">
        <f t="shared" si="2"/>
        <v>0</v>
      </c>
    </row>
    <row r="281">
      <c r="A281" s="22" t="s">
        <v>1567</v>
      </c>
      <c r="B281" s="22" t="s">
        <v>1479</v>
      </c>
      <c r="C281" s="22" t="s">
        <v>1024</v>
      </c>
      <c r="D281" s="50" t="str">
        <f t="shared" si="1"/>
        <v>2028achoudha</v>
      </c>
      <c r="F281" s="22" t="s">
        <v>1568</v>
      </c>
      <c r="G281" s="22" t="s">
        <v>624</v>
      </c>
      <c r="H281" s="21">
        <f t="shared" si="2"/>
        <v>0</v>
      </c>
    </row>
    <row r="282">
      <c r="A282" s="22" t="s">
        <v>1569</v>
      </c>
      <c r="B282" s="22" t="s">
        <v>1479</v>
      </c>
      <c r="C282" s="22" t="s">
        <v>1023</v>
      </c>
      <c r="D282" s="50" t="str">
        <f t="shared" si="1"/>
        <v>2028bvijayan</v>
      </c>
      <c r="F282" s="22" t="s">
        <v>875</v>
      </c>
      <c r="G282" s="22" t="s">
        <v>229</v>
      </c>
      <c r="H282" s="21">
        <f t="shared" si="2"/>
        <v>0</v>
      </c>
    </row>
    <row r="283">
      <c r="A283" s="22" t="s">
        <v>1570</v>
      </c>
      <c r="B283" s="22" t="s">
        <v>1479</v>
      </c>
      <c r="C283" s="22" t="s">
        <v>801</v>
      </c>
      <c r="D283" s="50" t="str">
        <f t="shared" si="1"/>
        <v>2027jlee1</v>
      </c>
      <c r="F283" s="22" t="s">
        <v>876</v>
      </c>
      <c r="G283" s="22" t="s">
        <v>230</v>
      </c>
      <c r="H283" s="21">
        <f t="shared" si="2"/>
        <v>0</v>
      </c>
    </row>
    <row r="284">
      <c r="A284" s="22" t="s">
        <v>1571</v>
      </c>
      <c r="B284" s="22" t="s">
        <v>1479</v>
      </c>
      <c r="C284" s="22" t="s">
        <v>669</v>
      </c>
      <c r="D284" s="50" t="str">
        <f t="shared" si="1"/>
        <v>2026sshen</v>
      </c>
      <c r="F284" s="22" t="s">
        <v>877</v>
      </c>
      <c r="G284" s="22" t="s">
        <v>231</v>
      </c>
      <c r="H284" s="21">
        <f t="shared" si="2"/>
        <v>0</v>
      </c>
    </row>
    <row r="285">
      <c r="A285" s="22" t="s">
        <v>1572</v>
      </c>
      <c r="B285" s="22" t="s">
        <v>1479</v>
      </c>
      <c r="C285" s="22" t="s">
        <v>1025</v>
      </c>
      <c r="D285" s="50" t="str">
        <f t="shared" si="1"/>
        <v>2028bxi</v>
      </c>
      <c r="F285" s="22" t="s">
        <v>1573</v>
      </c>
      <c r="G285" s="22" t="s">
        <v>625</v>
      </c>
      <c r="H285" s="21">
        <f t="shared" si="2"/>
        <v>0</v>
      </c>
    </row>
    <row r="286">
      <c r="A286" s="22" t="s">
        <v>1574</v>
      </c>
      <c r="B286" s="22" t="s">
        <v>1479</v>
      </c>
      <c r="C286" s="22" t="s">
        <v>924</v>
      </c>
      <c r="D286" s="50" t="str">
        <f t="shared" si="1"/>
        <v>2028relias</v>
      </c>
      <c r="F286" s="22" t="s">
        <v>878</v>
      </c>
      <c r="G286" s="22" t="s">
        <v>39</v>
      </c>
      <c r="H286" s="21">
        <f t="shared" si="2"/>
        <v>3</v>
      </c>
    </row>
    <row r="287">
      <c r="A287" s="22" t="s">
        <v>1575</v>
      </c>
      <c r="B287" s="22" t="s">
        <v>1479</v>
      </c>
      <c r="C287" s="22" t="s">
        <v>764</v>
      </c>
      <c r="D287" s="50" t="str">
        <f t="shared" si="1"/>
        <v>2027zizzi</v>
      </c>
      <c r="F287" s="22" t="s">
        <v>879</v>
      </c>
      <c r="G287" s="22" t="s">
        <v>232</v>
      </c>
      <c r="H287" s="21">
        <f t="shared" si="2"/>
        <v>0</v>
      </c>
    </row>
    <row r="288">
      <c r="A288" s="22" t="s">
        <v>1576</v>
      </c>
      <c r="B288" s="22" t="s">
        <v>1479</v>
      </c>
      <c r="C288" s="22" t="s">
        <v>1021</v>
      </c>
      <c r="D288" s="50" t="str">
        <f t="shared" si="1"/>
        <v>2028ezhang1</v>
      </c>
      <c r="F288" s="22" t="s">
        <v>880</v>
      </c>
      <c r="G288" s="22" t="s">
        <v>233</v>
      </c>
      <c r="H288" s="21">
        <f t="shared" si="2"/>
        <v>0</v>
      </c>
    </row>
    <row r="289">
      <c r="A289" s="22" t="s">
        <v>1577</v>
      </c>
      <c r="B289" s="22" t="s">
        <v>1479</v>
      </c>
      <c r="C289" s="22" t="s">
        <v>668</v>
      </c>
      <c r="D289" s="50" t="str">
        <f t="shared" si="1"/>
        <v>2026ludeshi</v>
      </c>
      <c r="F289" s="22" t="s">
        <v>881</v>
      </c>
      <c r="G289" s="22" t="s">
        <v>234</v>
      </c>
      <c r="H289" s="21">
        <f t="shared" si="2"/>
        <v>8</v>
      </c>
    </row>
    <row r="290">
      <c r="A290" s="22" t="s">
        <v>1578</v>
      </c>
      <c r="B290" s="22" t="s">
        <v>1479</v>
      </c>
      <c r="C290" s="22" t="s">
        <v>944</v>
      </c>
      <c r="D290" s="50" t="str">
        <f t="shared" si="1"/>
        <v>2028zrasti</v>
      </c>
      <c r="F290" s="22" t="s">
        <v>882</v>
      </c>
      <c r="G290" s="22" t="s">
        <v>235</v>
      </c>
      <c r="H290" s="21">
        <f t="shared" si="2"/>
        <v>0</v>
      </c>
    </row>
    <row r="291">
      <c r="A291" s="22" t="s">
        <v>1579</v>
      </c>
      <c r="B291" s="22" t="s">
        <v>1479</v>
      </c>
      <c r="C291" s="22" t="s">
        <v>775</v>
      </c>
      <c r="D291" s="50" t="str">
        <f t="shared" si="1"/>
        <v>2027cchen</v>
      </c>
      <c r="F291" s="22" t="s">
        <v>883</v>
      </c>
      <c r="G291" s="22" t="s">
        <v>236</v>
      </c>
      <c r="H291" s="21">
        <f t="shared" si="2"/>
        <v>0</v>
      </c>
    </row>
    <row r="292">
      <c r="A292" s="22" t="s">
        <v>1580</v>
      </c>
      <c r="B292" s="22" t="s">
        <v>1479</v>
      </c>
      <c r="C292" s="22" t="s">
        <v>789</v>
      </c>
      <c r="D292" s="50" t="str">
        <f t="shared" si="1"/>
        <v>2027tho</v>
      </c>
      <c r="F292" s="22" t="s">
        <v>884</v>
      </c>
      <c r="G292" s="22" t="s">
        <v>237</v>
      </c>
      <c r="H292" s="21">
        <f t="shared" si="2"/>
        <v>0</v>
      </c>
    </row>
    <row r="293">
      <c r="A293" s="22" t="s">
        <v>1581</v>
      </c>
      <c r="B293" s="22" t="s">
        <v>1479</v>
      </c>
      <c r="C293" s="22" t="s">
        <v>1026</v>
      </c>
      <c r="D293" s="50" t="str">
        <f t="shared" si="1"/>
        <v>2028egu</v>
      </c>
      <c r="F293" s="22" t="s">
        <v>1582</v>
      </c>
      <c r="G293" s="22" t="s">
        <v>626</v>
      </c>
      <c r="H293" s="21">
        <f t="shared" si="2"/>
        <v>0</v>
      </c>
    </row>
    <row r="294">
      <c r="A294" s="22" t="s">
        <v>1583</v>
      </c>
      <c r="B294" s="22" t="s">
        <v>1479</v>
      </c>
      <c r="C294" s="22" t="s">
        <v>962</v>
      </c>
      <c r="D294" s="50" t="str">
        <f t="shared" si="1"/>
        <v>2027sbitar</v>
      </c>
      <c r="F294" s="22" t="s">
        <v>1584</v>
      </c>
      <c r="G294" s="22" t="s">
        <v>627</v>
      </c>
      <c r="H294" s="21">
        <f t="shared" si="2"/>
        <v>0</v>
      </c>
    </row>
    <row r="295">
      <c r="A295" s="22" t="s">
        <v>1585</v>
      </c>
      <c r="B295" s="22" t="s">
        <v>1479</v>
      </c>
      <c r="C295" s="22" t="s">
        <v>869</v>
      </c>
      <c r="D295" s="50" t="str">
        <f t="shared" si="1"/>
        <v>2027akode</v>
      </c>
      <c r="F295" s="22" t="s">
        <v>1586</v>
      </c>
      <c r="G295" s="22" t="s">
        <v>628</v>
      </c>
      <c r="H295" s="21">
        <f t="shared" si="2"/>
        <v>0</v>
      </c>
    </row>
    <row r="296">
      <c r="A296" s="22" t="s">
        <v>1587</v>
      </c>
      <c r="B296" s="22" t="s">
        <v>1479</v>
      </c>
      <c r="C296" s="22" t="s">
        <v>1028</v>
      </c>
      <c r="D296" s="50" t="str">
        <f t="shared" si="1"/>
        <v>2027nmahajan</v>
      </c>
      <c r="F296" s="22" t="s">
        <v>885</v>
      </c>
      <c r="G296" s="22" t="s">
        <v>238</v>
      </c>
      <c r="H296" s="21">
        <f t="shared" si="2"/>
        <v>0</v>
      </c>
    </row>
    <row r="297">
      <c r="A297" s="22" t="s">
        <v>1588</v>
      </c>
      <c r="B297" s="22" t="s">
        <v>1589</v>
      </c>
      <c r="C297" s="22" t="s">
        <v>1004</v>
      </c>
      <c r="D297" s="50" t="str">
        <f t="shared" si="1"/>
        <v>2028osazhyn</v>
      </c>
      <c r="F297" s="22" t="s">
        <v>886</v>
      </c>
      <c r="G297" s="22" t="s">
        <v>239</v>
      </c>
      <c r="H297" s="21">
        <f t="shared" si="2"/>
        <v>0</v>
      </c>
    </row>
    <row r="298">
      <c r="A298" s="22" t="s">
        <v>1590</v>
      </c>
      <c r="B298" s="22" t="s">
        <v>1589</v>
      </c>
      <c r="C298" s="22" t="s">
        <v>951</v>
      </c>
      <c r="D298" s="50" t="str">
        <f t="shared" si="1"/>
        <v>2028yli</v>
      </c>
      <c r="F298" s="22" t="s">
        <v>1591</v>
      </c>
      <c r="G298" s="22" t="s">
        <v>629</v>
      </c>
      <c r="H298" s="21">
        <f t="shared" si="2"/>
        <v>0</v>
      </c>
    </row>
    <row r="299">
      <c r="A299" s="22" t="s">
        <v>1592</v>
      </c>
      <c r="B299" s="22" t="s">
        <v>1479</v>
      </c>
      <c r="C299" s="22" t="s">
        <v>1029</v>
      </c>
      <c r="D299" s="50" t="str">
        <f t="shared" si="1"/>
        <v>2026nramarap</v>
      </c>
      <c r="F299" s="22" t="s">
        <v>887</v>
      </c>
      <c r="G299" s="22" t="s">
        <v>240</v>
      </c>
      <c r="H299" s="21">
        <f t="shared" si="2"/>
        <v>0</v>
      </c>
    </row>
    <row r="300">
      <c r="A300" s="22" t="s">
        <v>1593</v>
      </c>
      <c r="B300" s="22" t="s">
        <v>1479</v>
      </c>
      <c r="C300" s="22" t="s">
        <v>1030</v>
      </c>
      <c r="D300" s="50" t="str">
        <f t="shared" si="1"/>
        <v>2028coh</v>
      </c>
      <c r="F300" s="22" t="s">
        <v>1594</v>
      </c>
      <c r="G300" s="22" t="s">
        <v>630</v>
      </c>
      <c r="H300" s="21">
        <f t="shared" si="2"/>
        <v>0</v>
      </c>
    </row>
    <row r="301">
      <c r="A301" s="22" t="s">
        <v>1595</v>
      </c>
      <c r="B301" s="22" t="s">
        <v>1479</v>
      </c>
      <c r="C301" s="22" t="s">
        <v>833</v>
      </c>
      <c r="D301" s="50" t="str">
        <f t="shared" si="1"/>
        <v>2026lzhu</v>
      </c>
      <c r="F301" s="22" t="s">
        <v>1596</v>
      </c>
      <c r="G301" s="22" t="s">
        <v>631</v>
      </c>
      <c r="H301" s="21">
        <f t="shared" si="2"/>
        <v>0</v>
      </c>
    </row>
    <row r="302">
      <c r="A302" s="22" t="s">
        <v>1597</v>
      </c>
      <c r="B302" s="22" t="s">
        <v>1479</v>
      </c>
      <c r="C302" s="22" t="s">
        <v>758</v>
      </c>
      <c r="D302" s="50" t="str">
        <f t="shared" si="1"/>
        <v>2026fzhang</v>
      </c>
      <c r="F302" s="22" t="s">
        <v>888</v>
      </c>
      <c r="G302" s="22" t="s">
        <v>241</v>
      </c>
      <c r="H302" s="21">
        <f t="shared" si="2"/>
        <v>0</v>
      </c>
    </row>
    <row r="303">
      <c r="A303" s="22" t="s">
        <v>1598</v>
      </c>
      <c r="B303" s="22" t="s">
        <v>1479</v>
      </c>
      <c r="C303" s="22" t="s">
        <v>1027</v>
      </c>
      <c r="D303" s="50" t="str">
        <f t="shared" si="1"/>
        <v>2028ssandova</v>
      </c>
      <c r="F303" s="22" t="s">
        <v>1599</v>
      </c>
      <c r="G303" s="22" t="s">
        <v>632</v>
      </c>
      <c r="H303" s="21">
        <f t="shared" si="2"/>
        <v>0</v>
      </c>
    </row>
    <row r="304">
      <c r="A304" s="22" t="s">
        <v>1600</v>
      </c>
      <c r="B304" s="22" t="s">
        <v>1479</v>
      </c>
      <c r="C304" s="22" t="s">
        <v>1032</v>
      </c>
      <c r="D304" s="50" t="str">
        <f t="shared" si="1"/>
        <v>2028kzhang</v>
      </c>
      <c r="F304" s="22" t="s">
        <v>1601</v>
      </c>
      <c r="G304" s="22" t="s">
        <v>633</v>
      </c>
      <c r="H304" s="21">
        <f t="shared" si="2"/>
        <v>0</v>
      </c>
    </row>
    <row r="305">
      <c r="A305" s="22" t="s">
        <v>1602</v>
      </c>
      <c r="B305" s="22" t="s">
        <v>1479</v>
      </c>
      <c r="C305" s="22" t="s">
        <v>979</v>
      </c>
      <c r="D305" s="50" t="str">
        <f t="shared" si="1"/>
        <v>2027mhuang</v>
      </c>
      <c r="F305" s="22" t="s">
        <v>889</v>
      </c>
      <c r="G305" s="22" t="s">
        <v>242</v>
      </c>
      <c r="H305" s="21">
        <f t="shared" si="2"/>
        <v>0</v>
      </c>
    </row>
    <row r="306">
      <c r="A306" s="22" t="s">
        <v>1603</v>
      </c>
      <c r="B306" s="22" t="s">
        <v>1479</v>
      </c>
      <c r="C306" s="22" t="s">
        <v>709</v>
      </c>
      <c r="D306" s="50" t="str">
        <f t="shared" si="1"/>
        <v>2026swettimu</v>
      </c>
      <c r="F306" s="22" t="s">
        <v>890</v>
      </c>
      <c r="G306" s="22" t="s">
        <v>243</v>
      </c>
      <c r="H306" s="21">
        <f t="shared" si="2"/>
        <v>5</v>
      </c>
    </row>
    <row r="307">
      <c r="A307" s="22" t="s">
        <v>1604</v>
      </c>
      <c r="B307" s="22" t="s">
        <v>1479</v>
      </c>
      <c r="C307" s="22" t="s">
        <v>1333</v>
      </c>
      <c r="D307" s="50" t="str">
        <f t="shared" si="1"/>
        <v>2025mburch</v>
      </c>
      <c r="F307" s="22" t="s">
        <v>891</v>
      </c>
      <c r="G307" s="22" t="s">
        <v>244</v>
      </c>
      <c r="H307" s="21">
        <f t="shared" si="2"/>
        <v>0</v>
      </c>
    </row>
    <row r="308">
      <c r="A308" s="22" t="s">
        <v>1605</v>
      </c>
      <c r="B308" s="22" t="s">
        <v>1479</v>
      </c>
      <c r="C308" s="22" t="s">
        <v>1031</v>
      </c>
      <c r="D308" s="50" t="str">
        <f t="shared" si="1"/>
        <v>2028mayyalas</v>
      </c>
      <c r="F308" s="22" t="s">
        <v>892</v>
      </c>
      <c r="G308" s="22" t="s">
        <v>245</v>
      </c>
      <c r="H308" s="21">
        <f t="shared" si="2"/>
        <v>0</v>
      </c>
    </row>
    <row r="309">
      <c r="A309" s="22" t="s">
        <v>1606</v>
      </c>
      <c r="B309" s="22" t="s">
        <v>1479</v>
      </c>
      <c r="C309" s="22" t="s">
        <v>842</v>
      </c>
      <c r="D309" s="50" t="str">
        <f t="shared" si="1"/>
        <v>2027hzanbrak</v>
      </c>
      <c r="F309" s="22" t="s">
        <v>893</v>
      </c>
      <c r="G309" s="22" t="s">
        <v>246</v>
      </c>
      <c r="H309" s="21">
        <f t="shared" si="2"/>
        <v>0</v>
      </c>
    </row>
    <row r="310">
      <c r="A310" s="22" t="s">
        <v>1607</v>
      </c>
      <c r="B310" s="22" t="s">
        <v>1479</v>
      </c>
      <c r="C310" s="22" t="s">
        <v>757</v>
      </c>
      <c r="D310" s="50" t="str">
        <f t="shared" si="1"/>
        <v>2027yzahid</v>
      </c>
      <c r="F310" s="22" t="s">
        <v>894</v>
      </c>
      <c r="G310" s="22" t="s">
        <v>247</v>
      </c>
      <c r="H310" s="21">
        <f t="shared" si="2"/>
        <v>0</v>
      </c>
    </row>
    <row r="311">
      <c r="A311" s="22" t="s">
        <v>1608</v>
      </c>
      <c r="B311" s="22" t="s">
        <v>1479</v>
      </c>
      <c r="C311" s="22" t="s">
        <v>1241</v>
      </c>
      <c r="D311" s="50" t="str">
        <f t="shared" si="1"/>
        <v>2025jyoo</v>
      </c>
      <c r="F311" s="22" t="s">
        <v>895</v>
      </c>
      <c r="G311" s="22" t="s">
        <v>248</v>
      </c>
      <c r="H311" s="21">
        <f t="shared" si="2"/>
        <v>0</v>
      </c>
    </row>
    <row r="312">
      <c r="A312" s="22" t="s">
        <v>1609</v>
      </c>
      <c r="B312" s="22" t="s">
        <v>1479</v>
      </c>
      <c r="C312" s="22" t="s">
        <v>1250</v>
      </c>
      <c r="D312" s="50" t="str">
        <f t="shared" si="1"/>
        <v>2025agu</v>
      </c>
      <c r="F312" s="22" t="s">
        <v>896</v>
      </c>
      <c r="G312" s="22" t="s">
        <v>249</v>
      </c>
      <c r="H312" s="21">
        <f t="shared" si="2"/>
        <v>1</v>
      </c>
    </row>
    <row r="313">
      <c r="A313" s="22" t="s">
        <v>1610</v>
      </c>
      <c r="B313" s="22" t="s">
        <v>1589</v>
      </c>
      <c r="C313" s="22" t="s">
        <v>767</v>
      </c>
      <c r="D313" s="50" t="str">
        <f t="shared" si="1"/>
        <v>2026jshi</v>
      </c>
      <c r="F313" s="22" t="s">
        <v>897</v>
      </c>
      <c r="G313" s="22" t="s">
        <v>250</v>
      </c>
      <c r="H313" s="21">
        <f t="shared" si="2"/>
        <v>1</v>
      </c>
    </row>
    <row r="314">
      <c r="A314" s="22" t="s">
        <v>1611</v>
      </c>
      <c r="B314" s="22" t="s">
        <v>1589</v>
      </c>
      <c r="C314" s="22" t="s">
        <v>764</v>
      </c>
      <c r="D314" s="50" t="str">
        <f t="shared" si="1"/>
        <v>2027zizzi</v>
      </c>
      <c r="F314" s="22" t="s">
        <v>898</v>
      </c>
      <c r="G314" s="22" t="s">
        <v>251</v>
      </c>
      <c r="H314" s="21">
        <f t="shared" si="2"/>
        <v>0</v>
      </c>
    </row>
    <row r="315">
      <c r="A315" s="22" t="s">
        <v>1612</v>
      </c>
      <c r="B315" s="22" t="s">
        <v>1589</v>
      </c>
      <c r="C315" s="22" t="s">
        <v>823</v>
      </c>
      <c r="D315" s="50" t="str">
        <f t="shared" si="1"/>
        <v>2027spark</v>
      </c>
      <c r="F315" s="22" t="s">
        <v>899</v>
      </c>
      <c r="G315" s="22" t="s">
        <v>252</v>
      </c>
      <c r="H315" s="21">
        <f t="shared" si="2"/>
        <v>0</v>
      </c>
    </row>
    <row r="316">
      <c r="A316" s="22" t="s">
        <v>1613</v>
      </c>
      <c r="B316" s="22" t="s">
        <v>1479</v>
      </c>
      <c r="C316" s="22" t="s">
        <v>1239</v>
      </c>
      <c r="D316" s="50" t="str">
        <f t="shared" si="1"/>
        <v>2025alee1</v>
      </c>
      <c r="F316" s="22" t="s">
        <v>900</v>
      </c>
      <c r="G316" s="22" t="s">
        <v>253</v>
      </c>
      <c r="H316" s="21">
        <f t="shared" si="2"/>
        <v>0</v>
      </c>
    </row>
    <row r="317">
      <c r="A317" s="22" t="s">
        <v>1614</v>
      </c>
      <c r="B317" s="22" t="s">
        <v>1589</v>
      </c>
      <c r="C317" s="22" t="s">
        <v>1239</v>
      </c>
      <c r="D317" s="50" t="str">
        <f t="shared" si="1"/>
        <v>2025alee1</v>
      </c>
      <c r="F317" s="22" t="s">
        <v>901</v>
      </c>
      <c r="G317" s="22" t="s">
        <v>254</v>
      </c>
      <c r="H317" s="21">
        <f t="shared" si="2"/>
        <v>0</v>
      </c>
    </row>
    <row r="318">
      <c r="A318" s="22" t="s">
        <v>1615</v>
      </c>
      <c r="B318" s="22" t="s">
        <v>1589</v>
      </c>
      <c r="C318" s="22" t="s">
        <v>770</v>
      </c>
      <c r="D318" s="50" t="str">
        <f t="shared" si="1"/>
        <v>2027bko</v>
      </c>
      <c r="F318" s="22" t="s">
        <v>1616</v>
      </c>
      <c r="G318" s="22" t="s">
        <v>634</v>
      </c>
      <c r="H318" s="21">
        <f t="shared" si="2"/>
        <v>0</v>
      </c>
    </row>
    <row r="319">
      <c r="A319" s="22" t="s">
        <v>1617</v>
      </c>
      <c r="B319" s="22" t="s">
        <v>1589</v>
      </c>
      <c r="C319" s="22" t="s">
        <v>843</v>
      </c>
      <c r="D319" s="50" t="str">
        <f t="shared" si="1"/>
        <v>2027vraj</v>
      </c>
      <c r="F319" s="22" t="s">
        <v>1618</v>
      </c>
      <c r="G319" s="22" t="s">
        <v>635</v>
      </c>
      <c r="H319" s="21">
        <f t="shared" si="2"/>
        <v>0</v>
      </c>
    </row>
    <row r="320">
      <c r="A320" s="22" t="s">
        <v>1619</v>
      </c>
      <c r="B320" s="22" t="s">
        <v>1589</v>
      </c>
      <c r="C320" s="22" t="s">
        <v>1241</v>
      </c>
      <c r="D320" s="50" t="str">
        <f t="shared" si="1"/>
        <v>2025jyoo</v>
      </c>
      <c r="F320" s="22" t="s">
        <v>1620</v>
      </c>
      <c r="G320" s="22" t="s">
        <v>636</v>
      </c>
      <c r="H320" s="21">
        <f t="shared" si="2"/>
        <v>0</v>
      </c>
    </row>
    <row r="321">
      <c r="A321" s="22" t="s">
        <v>1621</v>
      </c>
      <c r="B321" s="22" t="s">
        <v>1589</v>
      </c>
      <c r="C321" s="22" t="s">
        <v>789</v>
      </c>
      <c r="D321" s="50" t="str">
        <f t="shared" si="1"/>
        <v>2027tho</v>
      </c>
      <c r="F321" s="22" t="s">
        <v>1622</v>
      </c>
      <c r="G321" s="22" t="s">
        <v>637</v>
      </c>
      <c r="H321" s="21">
        <f t="shared" si="2"/>
        <v>0</v>
      </c>
    </row>
    <row r="322">
      <c r="A322" s="22" t="s">
        <v>1623</v>
      </c>
      <c r="B322" s="22" t="s">
        <v>1589</v>
      </c>
      <c r="C322" s="22" t="s">
        <v>1019</v>
      </c>
      <c r="D322" s="50" t="str">
        <f t="shared" si="1"/>
        <v>2028sthammis</v>
      </c>
      <c r="F322" s="22" t="s">
        <v>902</v>
      </c>
      <c r="G322" s="22" t="s">
        <v>255</v>
      </c>
      <c r="H322" s="21">
        <f t="shared" si="2"/>
        <v>0</v>
      </c>
    </row>
    <row r="323">
      <c r="A323" s="22" t="s">
        <v>1624</v>
      </c>
      <c r="B323" s="22" t="s">
        <v>1589</v>
      </c>
      <c r="C323" s="22" t="s">
        <v>785</v>
      </c>
      <c r="D323" s="50" t="str">
        <f t="shared" si="1"/>
        <v>2027pdu</v>
      </c>
      <c r="F323" s="22" t="s">
        <v>903</v>
      </c>
      <c r="G323" s="22" t="s">
        <v>256</v>
      </c>
      <c r="H323" s="21">
        <f t="shared" si="2"/>
        <v>0</v>
      </c>
    </row>
    <row r="324">
      <c r="A324" s="22" t="s">
        <v>1625</v>
      </c>
      <c r="B324" s="22" t="s">
        <v>1589</v>
      </c>
      <c r="C324" s="22" t="s">
        <v>970</v>
      </c>
      <c r="D324" s="50" t="str">
        <f t="shared" si="1"/>
        <v>2027mbu</v>
      </c>
      <c r="F324" s="22" t="s">
        <v>1626</v>
      </c>
      <c r="G324" s="22" t="s">
        <v>638</v>
      </c>
      <c r="H324" s="21">
        <f t="shared" si="2"/>
        <v>0</v>
      </c>
    </row>
    <row r="325">
      <c r="A325" s="22" t="s">
        <v>1627</v>
      </c>
      <c r="B325" s="22" t="s">
        <v>1589</v>
      </c>
      <c r="C325" s="22" t="s">
        <v>756</v>
      </c>
      <c r="D325" s="50" t="str">
        <f t="shared" si="1"/>
        <v>2026abaradhi</v>
      </c>
      <c r="F325" s="22" t="s">
        <v>904</v>
      </c>
      <c r="G325" s="22" t="s">
        <v>257</v>
      </c>
      <c r="H325" s="21">
        <f t="shared" si="2"/>
        <v>0</v>
      </c>
    </row>
    <row r="326">
      <c r="A326" s="22" t="s">
        <v>1628</v>
      </c>
      <c r="B326" s="22" t="s">
        <v>1589</v>
      </c>
      <c r="C326" s="22" t="s">
        <v>983</v>
      </c>
      <c r="D326" s="50" t="str">
        <f t="shared" si="1"/>
        <v>2028elin</v>
      </c>
      <c r="F326" s="22" t="s">
        <v>905</v>
      </c>
      <c r="G326" s="22" t="s">
        <v>258</v>
      </c>
      <c r="H326" s="21">
        <f t="shared" si="2"/>
        <v>0</v>
      </c>
    </row>
    <row r="327">
      <c r="A327" s="22" t="s">
        <v>1629</v>
      </c>
      <c r="B327" s="22" t="s">
        <v>1589</v>
      </c>
      <c r="C327" s="22" t="s">
        <v>999</v>
      </c>
      <c r="D327" s="50" t="str">
        <f t="shared" si="1"/>
        <v>2028scarter</v>
      </c>
      <c r="F327" s="22" t="s">
        <v>906</v>
      </c>
      <c r="G327" s="22" t="s">
        <v>259</v>
      </c>
      <c r="H327" s="21">
        <f t="shared" si="2"/>
        <v>0</v>
      </c>
    </row>
    <row r="328">
      <c r="A328" s="22" t="s">
        <v>1630</v>
      </c>
      <c r="B328" s="22" t="s">
        <v>1589</v>
      </c>
      <c r="C328" s="22" t="s">
        <v>937</v>
      </c>
      <c r="D328" s="50" t="str">
        <f t="shared" si="1"/>
        <v>2027ijoshi</v>
      </c>
      <c r="F328" s="22" t="s">
        <v>907</v>
      </c>
      <c r="G328" s="22" t="s">
        <v>260</v>
      </c>
      <c r="H328" s="21">
        <f t="shared" si="2"/>
        <v>0</v>
      </c>
    </row>
    <row r="329">
      <c r="A329" s="22" t="s">
        <v>1631</v>
      </c>
      <c r="B329" s="22" t="s">
        <v>1589</v>
      </c>
      <c r="C329" s="22" t="s">
        <v>1024</v>
      </c>
      <c r="D329" s="50" t="str">
        <f t="shared" si="1"/>
        <v>2028achoudha</v>
      </c>
      <c r="F329" s="22" t="s">
        <v>908</v>
      </c>
      <c r="G329" s="22" t="s">
        <v>261</v>
      </c>
      <c r="H329" s="21">
        <f t="shared" si="2"/>
        <v>0</v>
      </c>
    </row>
    <row r="330">
      <c r="A330" s="22" t="s">
        <v>1632</v>
      </c>
      <c r="B330" s="22" t="s">
        <v>1589</v>
      </c>
      <c r="C330" s="22" t="s">
        <v>968</v>
      </c>
      <c r="D330" s="50" t="str">
        <f t="shared" si="1"/>
        <v>2028lmeng</v>
      </c>
      <c r="F330" s="22" t="s">
        <v>909</v>
      </c>
      <c r="G330" s="22" t="s">
        <v>262</v>
      </c>
      <c r="H330" s="21">
        <f t="shared" si="2"/>
        <v>0</v>
      </c>
    </row>
    <row r="331">
      <c r="A331" s="22" t="s">
        <v>1633</v>
      </c>
      <c r="B331" s="22" t="s">
        <v>1589</v>
      </c>
      <c r="C331" s="22" t="s">
        <v>934</v>
      </c>
      <c r="D331" s="50" t="str">
        <f t="shared" si="1"/>
        <v>2028bhan</v>
      </c>
      <c r="F331" s="22" t="s">
        <v>910</v>
      </c>
      <c r="G331" s="22" t="s">
        <v>263</v>
      </c>
      <c r="H331" s="21">
        <f t="shared" si="2"/>
        <v>0</v>
      </c>
    </row>
    <row r="332">
      <c r="A332" s="22" t="s">
        <v>1634</v>
      </c>
      <c r="B332" s="22" t="s">
        <v>1589</v>
      </c>
      <c r="C332" s="22" t="s">
        <v>941</v>
      </c>
      <c r="D332" s="50" t="str">
        <f t="shared" si="1"/>
        <v>2028dbhooma</v>
      </c>
      <c r="F332" s="22" t="s">
        <v>1635</v>
      </c>
      <c r="G332" s="22" t="s">
        <v>639</v>
      </c>
      <c r="H332" s="21">
        <f t="shared" si="2"/>
        <v>0</v>
      </c>
    </row>
    <row r="333">
      <c r="A333" s="22" t="s">
        <v>1636</v>
      </c>
      <c r="B333" s="22" t="s">
        <v>1589</v>
      </c>
      <c r="C333" s="22" t="s">
        <v>813</v>
      </c>
      <c r="D333" s="50" t="str">
        <f t="shared" si="1"/>
        <v>2027vrayavar</v>
      </c>
      <c r="F333" s="22" t="s">
        <v>911</v>
      </c>
      <c r="G333" s="22" t="s">
        <v>264</v>
      </c>
      <c r="H333" s="21">
        <f t="shared" si="2"/>
        <v>0</v>
      </c>
    </row>
    <row r="334">
      <c r="A334" s="22" t="s">
        <v>1637</v>
      </c>
      <c r="B334" s="22" t="s">
        <v>1589</v>
      </c>
      <c r="C334" s="22" t="s">
        <v>1007</v>
      </c>
      <c r="D334" s="50" t="str">
        <f t="shared" si="1"/>
        <v>2028zzahid</v>
      </c>
      <c r="F334" s="22" t="s">
        <v>912</v>
      </c>
      <c r="G334" s="22" t="s">
        <v>265</v>
      </c>
      <c r="H334" s="21">
        <f t="shared" si="2"/>
        <v>0</v>
      </c>
    </row>
    <row r="335">
      <c r="A335" s="22" t="s">
        <v>1638</v>
      </c>
      <c r="B335" s="22" t="s">
        <v>1589</v>
      </c>
      <c r="C335" s="22" t="s">
        <v>1033</v>
      </c>
      <c r="D335" s="50" t="str">
        <f t="shared" si="1"/>
        <v>2027npillai</v>
      </c>
      <c r="F335" s="22" t="s">
        <v>913</v>
      </c>
      <c r="G335" s="22" t="s">
        <v>266</v>
      </c>
      <c r="H335" s="21">
        <f t="shared" si="2"/>
        <v>0</v>
      </c>
    </row>
    <row r="336">
      <c r="A336" s="22" t="s">
        <v>1639</v>
      </c>
      <c r="B336" s="22" t="s">
        <v>1589</v>
      </c>
      <c r="C336" s="22" t="s">
        <v>932</v>
      </c>
      <c r="D336" s="50" t="str">
        <f t="shared" si="1"/>
        <v>2028rzhao</v>
      </c>
      <c r="F336" s="22" t="s">
        <v>914</v>
      </c>
      <c r="G336" s="22" t="s">
        <v>267</v>
      </c>
      <c r="H336" s="21">
        <f t="shared" si="2"/>
        <v>0</v>
      </c>
    </row>
    <row r="337">
      <c r="A337" s="22" t="s">
        <v>1640</v>
      </c>
      <c r="B337" s="22" t="s">
        <v>1589</v>
      </c>
      <c r="C337" s="22" t="s">
        <v>1002</v>
      </c>
      <c r="D337" s="50" t="str">
        <f t="shared" si="1"/>
        <v>2028dduong</v>
      </c>
      <c r="F337" s="22" t="s">
        <v>1641</v>
      </c>
      <c r="G337" s="22" t="s">
        <v>640</v>
      </c>
      <c r="H337" s="21">
        <f t="shared" si="2"/>
        <v>0</v>
      </c>
    </row>
    <row r="338">
      <c r="A338" s="22" t="s">
        <v>1642</v>
      </c>
      <c r="B338" s="22" t="s">
        <v>1589</v>
      </c>
      <c r="C338" s="22" t="s">
        <v>775</v>
      </c>
      <c r="D338" s="50" t="str">
        <f t="shared" si="1"/>
        <v>2027cchen</v>
      </c>
      <c r="F338" s="22" t="s">
        <v>1643</v>
      </c>
      <c r="G338" s="22" t="s">
        <v>641</v>
      </c>
      <c r="H338" s="21">
        <f t="shared" si="2"/>
        <v>0</v>
      </c>
    </row>
    <row r="339">
      <c r="A339" s="22" t="s">
        <v>1644</v>
      </c>
      <c r="B339" s="22" t="s">
        <v>1589</v>
      </c>
      <c r="C339" s="22" t="s">
        <v>1230</v>
      </c>
      <c r="D339" s="50" t="str">
        <f t="shared" si="1"/>
        <v>2025jhao</v>
      </c>
      <c r="F339" s="22" t="s">
        <v>915</v>
      </c>
      <c r="G339" s="22" t="s">
        <v>268</v>
      </c>
      <c r="H339" s="21">
        <f t="shared" si="2"/>
        <v>0</v>
      </c>
    </row>
    <row r="340">
      <c r="A340" s="22" t="s">
        <v>1645</v>
      </c>
      <c r="B340" s="22" t="s">
        <v>1589</v>
      </c>
      <c r="C340" s="22" t="s">
        <v>942</v>
      </c>
      <c r="D340" s="50" t="str">
        <f t="shared" si="1"/>
        <v>2028che</v>
      </c>
      <c r="F340" s="22" t="s">
        <v>916</v>
      </c>
      <c r="G340" s="22" t="s">
        <v>269</v>
      </c>
      <c r="H340" s="21">
        <f t="shared" si="2"/>
        <v>1</v>
      </c>
    </row>
    <row r="341">
      <c r="A341" s="22" t="s">
        <v>1646</v>
      </c>
      <c r="B341" s="22" t="s">
        <v>1589</v>
      </c>
      <c r="C341" s="22" t="s">
        <v>829</v>
      </c>
      <c r="D341" s="50" t="str">
        <f t="shared" si="1"/>
        <v>2027agao</v>
      </c>
      <c r="F341" s="22" t="s">
        <v>917</v>
      </c>
      <c r="G341" s="22" t="s">
        <v>270</v>
      </c>
      <c r="H341" s="21">
        <f t="shared" si="2"/>
        <v>0</v>
      </c>
    </row>
    <row r="342">
      <c r="A342" s="22" t="s">
        <v>1647</v>
      </c>
      <c r="B342" s="22" t="s">
        <v>1589</v>
      </c>
      <c r="C342" s="22" t="s">
        <v>1258</v>
      </c>
      <c r="D342" s="50" t="str">
        <f t="shared" si="1"/>
        <v>2025rzhang1</v>
      </c>
      <c r="F342" s="22" t="s">
        <v>918</v>
      </c>
      <c r="G342" s="22" t="s">
        <v>271</v>
      </c>
      <c r="H342" s="21">
        <f t="shared" si="2"/>
        <v>0</v>
      </c>
    </row>
    <row r="343">
      <c r="A343" s="22" t="s">
        <v>1648</v>
      </c>
      <c r="B343" s="22" t="s">
        <v>1589</v>
      </c>
      <c r="C343" s="22" t="s">
        <v>809</v>
      </c>
      <c r="D343" s="50" t="str">
        <f t="shared" si="1"/>
        <v>2027sjain</v>
      </c>
      <c r="F343" s="22" t="s">
        <v>919</v>
      </c>
      <c r="G343" s="22" t="s">
        <v>272</v>
      </c>
      <c r="H343" s="21">
        <f t="shared" si="2"/>
        <v>13</v>
      </c>
    </row>
    <row r="344">
      <c r="A344" s="22" t="s">
        <v>1649</v>
      </c>
      <c r="B344" s="22" t="s">
        <v>1589</v>
      </c>
      <c r="C344" s="22" t="s">
        <v>865</v>
      </c>
      <c r="D344" s="50" t="str">
        <f t="shared" si="1"/>
        <v>2026anaidan</v>
      </c>
      <c r="F344" s="22" t="s">
        <v>920</v>
      </c>
      <c r="G344" s="22" t="s">
        <v>273</v>
      </c>
      <c r="H344" s="21">
        <f t="shared" si="2"/>
        <v>0</v>
      </c>
    </row>
    <row r="345">
      <c r="A345" s="22" t="s">
        <v>1650</v>
      </c>
      <c r="B345" s="22" t="s">
        <v>1589</v>
      </c>
      <c r="C345" s="22" t="s">
        <v>825</v>
      </c>
      <c r="D345" s="50" t="str">
        <f t="shared" si="1"/>
        <v>2027tdao</v>
      </c>
      <c r="F345" s="22" t="s">
        <v>921</v>
      </c>
      <c r="G345" s="22" t="s">
        <v>274</v>
      </c>
      <c r="H345" s="21">
        <f t="shared" si="2"/>
        <v>0</v>
      </c>
    </row>
    <row r="346">
      <c r="A346" s="22" t="s">
        <v>1651</v>
      </c>
      <c r="B346" s="22" t="s">
        <v>1589</v>
      </c>
      <c r="C346" s="22" t="s">
        <v>990</v>
      </c>
      <c r="D346" s="50" t="str">
        <f t="shared" si="1"/>
        <v>2028sliu</v>
      </c>
      <c r="F346" s="22" t="s">
        <v>922</v>
      </c>
      <c r="G346" s="22" t="s">
        <v>275</v>
      </c>
      <c r="H346" s="21">
        <f t="shared" si="2"/>
        <v>0</v>
      </c>
    </row>
    <row r="347">
      <c r="A347" s="22" t="s">
        <v>1652</v>
      </c>
      <c r="B347" s="22" t="s">
        <v>1589</v>
      </c>
      <c r="C347" s="22" t="s">
        <v>688</v>
      </c>
      <c r="D347" s="50" t="str">
        <f t="shared" si="1"/>
        <v>2026cmorimot</v>
      </c>
      <c r="F347" s="22" t="s">
        <v>1653</v>
      </c>
      <c r="G347" s="22" t="s">
        <v>642</v>
      </c>
      <c r="H347" s="21">
        <f t="shared" si="2"/>
        <v>0</v>
      </c>
    </row>
    <row r="348">
      <c r="A348" s="22" t="s">
        <v>1654</v>
      </c>
      <c r="B348" s="22" t="s">
        <v>1589</v>
      </c>
      <c r="C348" s="22" t="s">
        <v>975</v>
      </c>
      <c r="D348" s="50" t="str">
        <f t="shared" si="1"/>
        <v>2027eshan</v>
      </c>
      <c r="F348" s="22" t="s">
        <v>1655</v>
      </c>
      <c r="G348" s="22" t="s">
        <v>643</v>
      </c>
      <c r="H348" s="21">
        <f t="shared" si="2"/>
        <v>0</v>
      </c>
    </row>
    <row r="349">
      <c r="A349" s="22" t="s">
        <v>1656</v>
      </c>
      <c r="B349" s="22" t="s">
        <v>1479</v>
      </c>
      <c r="C349" s="22" t="s">
        <v>953</v>
      </c>
      <c r="D349" s="50" t="str">
        <f t="shared" si="1"/>
        <v>2027eguo</v>
      </c>
      <c r="F349" s="22" t="s">
        <v>923</v>
      </c>
      <c r="G349" s="22" t="s">
        <v>276</v>
      </c>
      <c r="H349" s="21">
        <f t="shared" si="2"/>
        <v>2</v>
      </c>
    </row>
    <row r="350">
      <c r="A350" s="22" t="s">
        <v>1657</v>
      </c>
      <c r="B350" s="22" t="s">
        <v>1589</v>
      </c>
      <c r="C350" s="22" t="s">
        <v>1034</v>
      </c>
      <c r="D350" s="50" t="str">
        <f t="shared" si="1"/>
        <v>2028msolow</v>
      </c>
      <c r="F350" s="22" t="s">
        <v>924</v>
      </c>
      <c r="G350" s="22" t="s">
        <v>277</v>
      </c>
      <c r="H350" s="21">
        <f t="shared" si="2"/>
        <v>12</v>
      </c>
    </row>
    <row r="351">
      <c r="A351" s="22" t="s">
        <v>1658</v>
      </c>
      <c r="B351" s="22" t="s">
        <v>1589</v>
      </c>
      <c r="C351" s="22" t="s">
        <v>1255</v>
      </c>
      <c r="D351" s="50" t="str">
        <f t="shared" si="1"/>
        <v>2025apagidi</v>
      </c>
      <c r="F351" s="22" t="s">
        <v>925</v>
      </c>
      <c r="G351" s="22" t="s">
        <v>278</v>
      </c>
      <c r="H351" s="21">
        <f t="shared" si="2"/>
        <v>5</v>
      </c>
    </row>
    <row r="352">
      <c r="A352" s="22" t="s">
        <v>1659</v>
      </c>
      <c r="B352" s="22" t="s">
        <v>1589</v>
      </c>
      <c r="C352" s="22" t="s">
        <v>1010</v>
      </c>
      <c r="D352" s="50" t="str">
        <f t="shared" si="1"/>
        <v>2027achakrav</v>
      </c>
      <c r="F352" s="22" t="s">
        <v>926</v>
      </c>
      <c r="G352" s="22" t="s">
        <v>279</v>
      </c>
      <c r="H352" s="21">
        <f t="shared" si="2"/>
        <v>8</v>
      </c>
    </row>
    <row r="353">
      <c r="A353" s="22" t="s">
        <v>1660</v>
      </c>
      <c r="B353" s="22" t="s">
        <v>1589</v>
      </c>
      <c r="C353" s="22" t="s">
        <v>717</v>
      </c>
      <c r="D353" s="50" t="str">
        <f t="shared" si="1"/>
        <v>2026jhernand</v>
      </c>
      <c r="F353" s="22" t="s">
        <v>927</v>
      </c>
      <c r="G353" s="22" t="s">
        <v>280</v>
      </c>
      <c r="H353" s="21">
        <f t="shared" si="2"/>
        <v>4</v>
      </c>
    </row>
    <row r="354">
      <c r="A354" s="22" t="s">
        <v>1661</v>
      </c>
      <c r="B354" s="22" t="s">
        <v>1479</v>
      </c>
      <c r="C354" s="22" t="s">
        <v>830</v>
      </c>
      <c r="D354" s="50" t="str">
        <f t="shared" si="1"/>
        <v>2027rguo</v>
      </c>
      <c r="F354" s="22" t="s">
        <v>928</v>
      </c>
      <c r="G354" s="22" t="s">
        <v>281</v>
      </c>
      <c r="H354" s="21">
        <f t="shared" si="2"/>
        <v>2</v>
      </c>
    </row>
    <row r="355">
      <c r="A355" s="22" t="s">
        <v>1662</v>
      </c>
      <c r="B355" s="22" t="s">
        <v>1479</v>
      </c>
      <c r="C355" s="22" t="s">
        <v>814</v>
      </c>
      <c r="D355" s="50" t="str">
        <f t="shared" si="1"/>
        <v>2027vcao</v>
      </c>
      <c r="F355" s="22" t="s">
        <v>929</v>
      </c>
      <c r="G355" s="22" t="s">
        <v>42</v>
      </c>
      <c r="H355" s="21">
        <f t="shared" si="2"/>
        <v>14</v>
      </c>
    </row>
    <row r="356">
      <c r="A356" s="22" t="s">
        <v>1663</v>
      </c>
      <c r="B356" s="22" t="s">
        <v>1589</v>
      </c>
      <c r="C356" s="22" t="s">
        <v>961</v>
      </c>
      <c r="D356" s="50" t="str">
        <f t="shared" si="1"/>
        <v>2028tdeng</v>
      </c>
      <c r="F356" s="22" t="s">
        <v>930</v>
      </c>
      <c r="G356" s="22" t="s">
        <v>282</v>
      </c>
      <c r="H356" s="21">
        <f t="shared" si="2"/>
        <v>4</v>
      </c>
    </row>
    <row r="357">
      <c r="A357" s="22" t="s">
        <v>1664</v>
      </c>
      <c r="B357" s="22" t="s">
        <v>1589</v>
      </c>
      <c r="C357" s="22" t="s">
        <v>856</v>
      </c>
      <c r="D357" s="50" t="str">
        <f t="shared" si="1"/>
        <v>2027smahmud</v>
      </c>
      <c r="F357" s="22" t="s">
        <v>931</v>
      </c>
      <c r="G357" s="22" t="s">
        <v>60</v>
      </c>
      <c r="H357" s="21">
        <f t="shared" si="2"/>
        <v>16</v>
      </c>
    </row>
    <row r="358">
      <c r="A358" s="22" t="s">
        <v>1665</v>
      </c>
      <c r="B358" s="22" t="s">
        <v>1589</v>
      </c>
      <c r="C358" s="22" t="s">
        <v>662</v>
      </c>
      <c r="D358" s="50" t="str">
        <f t="shared" si="1"/>
        <v>2026rwang</v>
      </c>
      <c r="F358" s="22" t="s">
        <v>932</v>
      </c>
      <c r="G358" s="22" t="s">
        <v>43</v>
      </c>
      <c r="H358" s="21">
        <f t="shared" si="2"/>
        <v>16</v>
      </c>
    </row>
    <row r="359">
      <c r="A359" s="22" t="s">
        <v>1666</v>
      </c>
      <c r="B359" s="22" t="s">
        <v>1589</v>
      </c>
      <c r="C359" s="22" t="s">
        <v>699</v>
      </c>
      <c r="D359" s="50" t="str">
        <f t="shared" si="1"/>
        <v>2026anarayan</v>
      </c>
      <c r="F359" s="22" t="s">
        <v>933</v>
      </c>
      <c r="G359" s="22" t="s">
        <v>283</v>
      </c>
      <c r="H359" s="21">
        <f t="shared" si="2"/>
        <v>3</v>
      </c>
    </row>
    <row r="360">
      <c r="A360" s="22" t="s">
        <v>1667</v>
      </c>
      <c r="B360" s="22" t="s">
        <v>1589</v>
      </c>
      <c r="C360" s="22" t="s">
        <v>699</v>
      </c>
      <c r="D360" s="50" t="str">
        <f t="shared" si="1"/>
        <v>2026anarayan</v>
      </c>
      <c r="F360" s="22" t="s">
        <v>934</v>
      </c>
      <c r="G360" s="22" t="s">
        <v>89</v>
      </c>
      <c r="H360" s="21">
        <f t="shared" si="2"/>
        <v>20</v>
      </c>
    </row>
    <row r="361">
      <c r="A361" s="22" t="s">
        <v>1668</v>
      </c>
      <c r="B361" s="22" t="s">
        <v>1589</v>
      </c>
      <c r="C361" s="22" t="s">
        <v>699</v>
      </c>
      <c r="D361" s="50" t="str">
        <f t="shared" si="1"/>
        <v>2026anarayan</v>
      </c>
      <c r="F361" s="22" t="s">
        <v>935</v>
      </c>
      <c r="G361" s="22" t="s">
        <v>14</v>
      </c>
      <c r="H361" s="21">
        <f t="shared" si="2"/>
        <v>19</v>
      </c>
    </row>
    <row r="362">
      <c r="A362" s="22" t="s">
        <v>1669</v>
      </c>
      <c r="B362" s="22" t="s">
        <v>1589</v>
      </c>
      <c r="C362" s="22" t="s">
        <v>931</v>
      </c>
      <c r="D362" s="50" t="str">
        <f t="shared" si="1"/>
        <v>2027pyoo</v>
      </c>
      <c r="F362" s="22" t="s">
        <v>936</v>
      </c>
      <c r="G362" s="22" t="s">
        <v>99</v>
      </c>
      <c r="H362" s="21">
        <f t="shared" si="2"/>
        <v>6</v>
      </c>
    </row>
    <row r="363">
      <c r="A363" s="22" t="s">
        <v>1670</v>
      </c>
      <c r="B363" s="22" t="s">
        <v>1589</v>
      </c>
      <c r="C363" s="22" t="s">
        <v>1012</v>
      </c>
      <c r="D363" s="50" t="str">
        <f t="shared" si="1"/>
        <v>2028rsamanth</v>
      </c>
      <c r="F363" s="22" t="s">
        <v>937</v>
      </c>
      <c r="G363" s="22" t="s">
        <v>284</v>
      </c>
      <c r="H363" s="21">
        <f t="shared" si="2"/>
        <v>2</v>
      </c>
    </row>
    <row r="364">
      <c r="A364" s="22" t="s">
        <v>1671</v>
      </c>
      <c r="B364" s="22" t="s">
        <v>1589</v>
      </c>
      <c r="C364" s="22" t="s">
        <v>814</v>
      </c>
      <c r="D364" s="50" t="str">
        <f t="shared" si="1"/>
        <v>2027vcao</v>
      </c>
      <c r="F364" s="22" t="s">
        <v>938</v>
      </c>
      <c r="G364" s="22" t="s">
        <v>285</v>
      </c>
      <c r="H364" s="21">
        <f t="shared" si="2"/>
        <v>0</v>
      </c>
    </row>
    <row r="365">
      <c r="A365" s="22" t="s">
        <v>1672</v>
      </c>
      <c r="B365" s="22" t="s">
        <v>1589</v>
      </c>
      <c r="C365" s="22" t="s">
        <v>927</v>
      </c>
      <c r="D365" s="50" t="str">
        <f t="shared" si="1"/>
        <v>2027arao</v>
      </c>
      <c r="F365" s="22" t="s">
        <v>939</v>
      </c>
      <c r="G365" s="22" t="s">
        <v>286</v>
      </c>
      <c r="H365" s="21">
        <f t="shared" si="2"/>
        <v>9</v>
      </c>
    </row>
    <row r="366">
      <c r="A366" s="22" t="s">
        <v>1673</v>
      </c>
      <c r="B366" s="22" t="s">
        <v>1589</v>
      </c>
      <c r="C366" s="22" t="s">
        <v>1282</v>
      </c>
      <c r="D366" s="50" t="str">
        <f t="shared" si="1"/>
        <v>2025mzhang</v>
      </c>
      <c r="F366" s="22" t="s">
        <v>940</v>
      </c>
      <c r="G366" s="22" t="s">
        <v>287</v>
      </c>
      <c r="H366" s="21">
        <f t="shared" si="2"/>
        <v>1</v>
      </c>
    </row>
    <row r="367">
      <c r="A367" s="22" t="s">
        <v>1674</v>
      </c>
      <c r="B367" s="22" t="s">
        <v>1589</v>
      </c>
      <c r="C367" s="22" t="s">
        <v>830</v>
      </c>
      <c r="D367" s="50" t="str">
        <f t="shared" si="1"/>
        <v>2027rguo</v>
      </c>
      <c r="F367" s="22" t="s">
        <v>941</v>
      </c>
      <c r="G367" s="22" t="s">
        <v>288</v>
      </c>
      <c r="H367" s="21">
        <f t="shared" si="2"/>
        <v>6</v>
      </c>
    </row>
    <row r="368">
      <c r="A368" s="22" t="s">
        <v>1675</v>
      </c>
      <c r="B368" s="22" t="s">
        <v>1589</v>
      </c>
      <c r="C368" s="22" t="s">
        <v>967</v>
      </c>
      <c r="D368" s="50" t="str">
        <f t="shared" si="1"/>
        <v>2028asu</v>
      </c>
      <c r="F368" s="22" t="s">
        <v>942</v>
      </c>
      <c r="G368" s="22" t="s">
        <v>100</v>
      </c>
      <c r="H368" s="21">
        <f t="shared" si="2"/>
        <v>13</v>
      </c>
    </row>
    <row r="369">
      <c r="A369" s="22" t="s">
        <v>1676</v>
      </c>
      <c r="B369" s="22" t="s">
        <v>1589</v>
      </c>
      <c r="C369" s="22" t="s">
        <v>928</v>
      </c>
      <c r="D369" s="50" t="str">
        <f t="shared" si="1"/>
        <v>2028apothira</v>
      </c>
      <c r="F369" s="22" t="s">
        <v>943</v>
      </c>
      <c r="G369" s="22" t="s">
        <v>289</v>
      </c>
      <c r="H369" s="21">
        <f t="shared" si="2"/>
        <v>1</v>
      </c>
    </row>
    <row r="370">
      <c r="A370" s="22" t="s">
        <v>1677</v>
      </c>
      <c r="B370" s="22" t="s">
        <v>1589</v>
      </c>
      <c r="C370" s="22" t="s">
        <v>685</v>
      </c>
      <c r="D370" s="50" t="str">
        <f t="shared" si="1"/>
        <v>2026akrishna</v>
      </c>
      <c r="F370" s="22" t="s">
        <v>944</v>
      </c>
      <c r="G370" s="22" t="s">
        <v>290</v>
      </c>
      <c r="H370" s="21">
        <f t="shared" si="2"/>
        <v>14</v>
      </c>
    </row>
    <row r="371">
      <c r="A371" s="22" t="s">
        <v>1678</v>
      </c>
      <c r="B371" s="22" t="s">
        <v>1589</v>
      </c>
      <c r="C371" s="22" t="s">
        <v>768</v>
      </c>
      <c r="D371" s="50" t="str">
        <f t="shared" si="1"/>
        <v>2027aanurag</v>
      </c>
      <c r="F371" s="22" t="s">
        <v>945</v>
      </c>
      <c r="G371" s="22" t="s">
        <v>50</v>
      </c>
      <c r="H371" s="21">
        <f t="shared" si="2"/>
        <v>2</v>
      </c>
    </row>
    <row r="372">
      <c r="A372" s="22" t="s">
        <v>1679</v>
      </c>
      <c r="B372" s="22" t="s">
        <v>1589</v>
      </c>
      <c r="C372" s="22" t="s">
        <v>959</v>
      </c>
      <c r="D372" s="50" t="str">
        <f t="shared" si="1"/>
        <v>2028bjonuzaj</v>
      </c>
      <c r="F372" s="22" t="s">
        <v>946</v>
      </c>
      <c r="G372" s="22" t="s">
        <v>291</v>
      </c>
      <c r="H372" s="21">
        <f t="shared" si="2"/>
        <v>7</v>
      </c>
    </row>
    <row r="373">
      <c r="A373" s="22" t="s">
        <v>1680</v>
      </c>
      <c r="B373" s="22" t="s">
        <v>1589</v>
      </c>
      <c r="C373" s="22" t="s">
        <v>980</v>
      </c>
      <c r="D373" s="50" t="str">
        <f t="shared" si="1"/>
        <v>2028hzhou</v>
      </c>
      <c r="F373" s="22" t="s">
        <v>947</v>
      </c>
      <c r="G373" s="22" t="s">
        <v>9</v>
      </c>
      <c r="H373" s="21">
        <f t="shared" si="2"/>
        <v>20</v>
      </c>
    </row>
    <row r="374">
      <c r="A374" s="22" t="s">
        <v>1681</v>
      </c>
      <c r="B374" s="22" t="s">
        <v>1589</v>
      </c>
      <c r="C374" s="22" t="s">
        <v>1036</v>
      </c>
      <c r="D374" s="50" t="str">
        <f t="shared" si="1"/>
        <v>2028ato</v>
      </c>
      <c r="F374" s="22" t="s">
        <v>948</v>
      </c>
      <c r="G374" s="22" t="s">
        <v>292</v>
      </c>
      <c r="H374" s="21">
        <f t="shared" si="2"/>
        <v>5</v>
      </c>
    </row>
    <row r="375">
      <c r="A375" s="22" t="s">
        <v>1682</v>
      </c>
      <c r="B375" s="22" t="s">
        <v>1589</v>
      </c>
      <c r="C375" s="22" t="s">
        <v>890</v>
      </c>
      <c r="D375" s="50" t="str">
        <f t="shared" si="1"/>
        <v>2027dkumar</v>
      </c>
      <c r="F375" s="22" t="s">
        <v>949</v>
      </c>
      <c r="G375" s="22" t="s">
        <v>293</v>
      </c>
      <c r="H375" s="21">
        <f t="shared" si="2"/>
        <v>9</v>
      </c>
    </row>
    <row r="376">
      <c r="A376" s="22" t="s">
        <v>1683</v>
      </c>
      <c r="B376" s="22" t="s">
        <v>1589</v>
      </c>
      <c r="C376" s="22" t="s">
        <v>852</v>
      </c>
      <c r="D376" s="50" t="str">
        <f t="shared" si="1"/>
        <v>2027rgao</v>
      </c>
      <c r="F376" s="22" t="s">
        <v>950</v>
      </c>
      <c r="G376" s="22" t="s">
        <v>44</v>
      </c>
      <c r="H376" s="21">
        <f t="shared" si="2"/>
        <v>11</v>
      </c>
    </row>
    <row r="377">
      <c r="A377" s="22" t="s">
        <v>1684</v>
      </c>
      <c r="B377" s="22" t="s">
        <v>1589</v>
      </c>
      <c r="C377" s="22" t="s">
        <v>1035</v>
      </c>
      <c r="D377" s="50" t="str">
        <f t="shared" si="1"/>
        <v>2028rdamodar</v>
      </c>
      <c r="F377" s="22" t="s">
        <v>951</v>
      </c>
      <c r="G377" s="22" t="s">
        <v>33</v>
      </c>
      <c r="H377" s="21">
        <f t="shared" si="2"/>
        <v>17</v>
      </c>
    </row>
    <row r="378">
      <c r="A378" s="22" t="s">
        <v>1685</v>
      </c>
      <c r="B378" s="22" t="s">
        <v>1589</v>
      </c>
      <c r="C378" s="22" t="s">
        <v>960</v>
      </c>
      <c r="D378" s="50" t="str">
        <f t="shared" si="1"/>
        <v>2028srao</v>
      </c>
      <c r="F378" s="22" t="s">
        <v>952</v>
      </c>
      <c r="G378" s="22" t="s">
        <v>16</v>
      </c>
      <c r="H378" s="21">
        <f t="shared" si="2"/>
        <v>6</v>
      </c>
    </row>
    <row r="379">
      <c r="A379" s="22" t="s">
        <v>1686</v>
      </c>
      <c r="B379" s="22" t="s">
        <v>1589</v>
      </c>
      <c r="C379" s="22" t="s">
        <v>806</v>
      </c>
      <c r="D379" s="50" t="str">
        <f t="shared" si="1"/>
        <v>2026jma</v>
      </c>
      <c r="F379" s="22" t="s">
        <v>953</v>
      </c>
      <c r="G379" s="22" t="s">
        <v>24</v>
      </c>
      <c r="H379" s="21">
        <f t="shared" si="2"/>
        <v>14</v>
      </c>
    </row>
    <row r="380">
      <c r="A380" s="22" t="s">
        <v>1687</v>
      </c>
      <c r="B380" s="22" t="s">
        <v>1589</v>
      </c>
      <c r="C380" s="22" t="s">
        <v>965</v>
      </c>
      <c r="D380" s="50" t="str">
        <f t="shared" si="1"/>
        <v>2028athota</v>
      </c>
      <c r="F380" s="22" t="s">
        <v>954</v>
      </c>
      <c r="G380" s="22" t="s">
        <v>294</v>
      </c>
      <c r="H380" s="21">
        <f t="shared" si="2"/>
        <v>6</v>
      </c>
    </row>
    <row r="381">
      <c r="A381" s="22" t="s">
        <v>1688</v>
      </c>
      <c r="B381" s="22" t="s">
        <v>1589</v>
      </c>
      <c r="C381" s="22" t="s">
        <v>1026</v>
      </c>
      <c r="D381" s="50" t="str">
        <f t="shared" si="1"/>
        <v>2028egu</v>
      </c>
      <c r="F381" s="22" t="s">
        <v>955</v>
      </c>
      <c r="G381" s="22" t="s">
        <v>295</v>
      </c>
      <c r="H381" s="21">
        <f t="shared" si="2"/>
        <v>1</v>
      </c>
    </row>
    <row r="382">
      <c r="A382" s="22" t="s">
        <v>1689</v>
      </c>
      <c r="B382" s="22" t="s">
        <v>1589</v>
      </c>
      <c r="C382" s="22" t="s">
        <v>950</v>
      </c>
      <c r="D382" s="50" t="str">
        <f t="shared" si="1"/>
        <v>2028dvladimi</v>
      </c>
      <c r="F382" s="22" t="s">
        <v>956</v>
      </c>
      <c r="G382" s="22" t="s">
        <v>296</v>
      </c>
      <c r="H382" s="21">
        <f t="shared" si="2"/>
        <v>7</v>
      </c>
    </row>
    <row r="383">
      <c r="A383" s="22" t="s">
        <v>1690</v>
      </c>
      <c r="B383" s="22" t="s">
        <v>1589</v>
      </c>
      <c r="C383" s="22" t="s">
        <v>1005</v>
      </c>
      <c r="D383" s="50" t="str">
        <f t="shared" si="1"/>
        <v>2028agupta</v>
      </c>
      <c r="F383" s="22" t="s">
        <v>957</v>
      </c>
      <c r="G383" s="22" t="s">
        <v>92</v>
      </c>
      <c r="H383" s="21">
        <f t="shared" si="2"/>
        <v>11</v>
      </c>
    </row>
    <row r="384">
      <c r="A384" s="22" t="s">
        <v>1691</v>
      </c>
      <c r="B384" s="22" t="s">
        <v>1589</v>
      </c>
      <c r="C384" s="22" t="s">
        <v>1001</v>
      </c>
      <c r="D384" s="50" t="str">
        <f t="shared" si="1"/>
        <v>2028gzhang</v>
      </c>
      <c r="F384" s="22" t="s">
        <v>958</v>
      </c>
      <c r="G384" s="22" t="s">
        <v>62</v>
      </c>
      <c r="H384" s="21">
        <f t="shared" si="2"/>
        <v>3</v>
      </c>
    </row>
    <row r="385">
      <c r="A385" s="22" t="s">
        <v>1692</v>
      </c>
      <c r="B385" s="22" t="s">
        <v>1589</v>
      </c>
      <c r="C385" s="22" t="s">
        <v>969</v>
      </c>
      <c r="D385" s="50" t="str">
        <f t="shared" si="1"/>
        <v>2028ahuang</v>
      </c>
      <c r="F385" s="22" t="s">
        <v>959</v>
      </c>
      <c r="G385" s="22" t="s">
        <v>297</v>
      </c>
      <c r="H385" s="21">
        <f t="shared" si="2"/>
        <v>18</v>
      </c>
    </row>
    <row r="386">
      <c r="A386" s="22" t="s">
        <v>1693</v>
      </c>
      <c r="B386" s="22" t="s">
        <v>1589</v>
      </c>
      <c r="C386" s="22" t="s">
        <v>1694</v>
      </c>
      <c r="D386" s="50" t="str">
        <f t="shared" si="1"/>
        <v>2025skode</v>
      </c>
      <c r="F386" s="22" t="s">
        <v>960</v>
      </c>
      <c r="G386" s="22" t="s">
        <v>298</v>
      </c>
      <c r="H386" s="21">
        <f t="shared" si="2"/>
        <v>9</v>
      </c>
    </row>
    <row r="387">
      <c r="A387" s="22" t="s">
        <v>1695</v>
      </c>
      <c r="B387" s="22" t="s">
        <v>1589</v>
      </c>
      <c r="C387" s="22" t="s">
        <v>992</v>
      </c>
      <c r="D387" s="50" t="str">
        <f t="shared" si="1"/>
        <v>2028dpeng</v>
      </c>
      <c r="F387" s="22" t="s">
        <v>961</v>
      </c>
      <c r="G387" s="22" t="s">
        <v>63</v>
      </c>
      <c r="H387" s="21">
        <f t="shared" si="2"/>
        <v>18</v>
      </c>
    </row>
    <row r="388">
      <c r="A388" s="22" t="s">
        <v>1696</v>
      </c>
      <c r="B388" s="22" t="s">
        <v>1589</v>
      </c>
      <c r="C388" s="22" t="s">
        <v>963</v>
      </c>
      <c r="D388" s="50" t="str">
        <f t="shared" si="1"/>
        <v>2028aangirek</v>
      </c>
      <c r="F388" s="22" t="s">
        <v>962</v>
      </c>
      <c r="G388" s="22" t="s">
        <v>299</v>
      </c>
      <c r="H388" s="21">
        <f t="shared" si="2"/>
        <v>4</v>
      </c>
    </row>
    <row r="389">
      <c r="A389" s="22" t="s">
        <v>1697</v>
      </c>
      <c r="B389" s="22" t="s">
        <v>1589</v>
      </c>
      <c r="C389" s="22" t="s">
        <v>989</v>
      </c>
      <c r="D389" s="50" t="str">
        <f t="shared" si="1"/>
        <v>2028pmishra</v>
      </c>
      <c r="F389" s="22" t="s">
        <v>963</v>
      </c>
      <c r="G389" s="22" t="s">
        <v>300</v>
      </c>
      <c r="H389" s="21">
        <f t="shared" si="2"/>
        <v>9</v>
      </c>
    </row>
    <row r="390">
      <c r="A390" s="22" t="s">
        <v>1698</v>
      </c>
      <c r="B390" s="22" t="s">
        <v>1589</v>
      </c>
      <c r="C390" s="22" t="s">
        <v>665</v>
      </c>
      <c r="D390" s="50" t="str">
        <f t="shared" si="1"/>
        <v>2026achen</v>
      </c>
      <c r="F390" s="22" t="s">
        <v>964</v>
      </c>
      <c r="G390" s="22" t="s">
        <v>301</v>
      </c>
      <c r="H390" s="21">
        <f t="shared" si="2"/>
        <v>3</v>
      </c>
    </row>
    <row r="391">
      <c r="A391" s="22" t="s">
        <v>1699</v>
      </c>
      <c r="B391" s="22" t="s">
        <v>1589</v>
      </c>
      <c r="C391" s="22" t="s">
        <v>1222</v>
      </c>
      <c r="D391" s="50" t="str">
        <f t="shared" si="1"/>
        <v>2025rkumaran</v>
      </c>
      <c r="F391" s="22" t="s">
        <v>965</v>
      </c>
      <c r="G391" s="22" t="s">
        <v>41</v>
      </c>
      <c r="H391" s="21">
        <f t="shared" si="2"/>
        <v>13</v>
      </c>
    </row>
    <row r="392">
      <c r="A392" s="22" t="s">
        <v>1700</v>
      </c>
      <c r="B392" s="22" t="s">
        <v>1589</v>
      </c>
      <c r="C392" s="22" t="s">
        <v>1038</v>
      </c>
      <c r="D392" s="50" t="str">
        <f t="shared" si="1"/>
        <v>2028hkatram</v>
      </c>
      <c r="F392" s="22" t="s">
        <v>966</v>
      </c>
      <c r="G392" s="22" t="s">
        <v>302</v>
      </c>
      <c r="H392" s="21">
        <f t="shared" si="2"/>
        <v>10</v>
      </c>
    </row>
    <row r="393">
      <c r="A393" s="22" t="s">
        <v>1701</v>
      </c>
      <c r="B393" s="22" t="s">
        <v>1589</v>
      </c>
      <c r="C393" s="22" t="s">
        <v>958</v>
      </c>
      <c r="D393" s="50" t="str">
        <f t="shared" si="1"/>
        <v>2028asomired</v>
      </c>
      <c r="F393" s="22" t="s">
        <v>967</v>
      </c>
      <c r="G393" s="22" t="s">
        <v>57</v>
      </c>
      <c r="H393" s="21">
        <f t="shared" si="2"/>
        <v>14</v>
      </c>
    </row>
    <row r="394">
      <c r="A394" s="22" t="s">
        <v>1702</v>
      </c>
      <c r="B394" s="22" t="s">
        <v>1589</v>
      </c>
      <c r="C394" s="22" t="s">
        <v>1018</v>
      </c>
      <c r="D394" s="50" t="str">
        <f t="shared" si="1"/>
        <v>2028abhatt</v>
      </c>
      <c r="F394" s="22" t="s">
        <v>968</v>
      </c>
      <c r="G394" s="22" t="s">
        <v>303</v>
      </c>
      <c r="H394" s="21">
        <f t="shared" si="2"/>
        <v>14</v>
      </c>
    </row>
    <row r="395">
      <c r="A395" s="22" t="s">
        <v>1703</v>
      </c>
      <c r="B395" s="22" t="s">
        <v>1589</v>
      </c>
      <c r="C395" s="22" t="s">
        <v>944</v>
      </c>
      <c r="D395" s="50" t="str">
        <f t="shared" si="1"/>
        <v>2028zrasti</v>
      </c>
      <c r="F395" s="22" t="s">
        <v>969</v>
      </c>
      <c r="G395" s="22" t="s">
        <v>304</v>
      </c>
      <c r="H395" s="21">
        <f t="shared" si="2"/>
        <v>6</v>
      </c>
    </row>
    <row r="396">
      <c r="A396" s="22" t="s">
        <v>1704</v>
      </c>
      <c r="B396" s="22" t="s">
        <v>1589</v>
      </c>
      <c r="C396" s="22" t="s">
        <v>924</v>
      </c>
      <c r="D396" s="50" t="str">
        <f t="shared" si="1"/>
        <v>2028relias</v>
      </c>
      <c r="F396" s="22" t="s">
        <v>970</v>
      </c>
      <c r="G396" s="22" t="s">
        <v>31</v>
      </c>
      <c r="H396" s="21">
        <f t="shared" si="2"/>
        <v>10</v>
      </c>
    </row>
    <row r="397">
      <c r="A397" s="22" t="s">
        <v>1705</v>
      </c>
      <c r="B397" s="22" t="s">
        <v>1589</v>
      </c>
      <c r="C397" s="22" t="s">
        <v>954</v>
      </c>
      <c r="D397" s="50" t="str">
        <f t="shared" si="1"/>
        <v>2028ssurapan</v>
      </c>
      <c r="F397" s="22" t="s">
        <v>971</v>
      </c>
      <c r="G397" s="22" t="s">
        <v>305</v>
      </c>
      <c r="H397" s="21">
        <f t="shared" si="2"/>
        <v>7</v>
      </c>
    </row>
    <row r="398">
      <c r="A398" s="22" t="s">
        <v>1706</v>
      </c>
      <c r="B398" s="22" t="s">
        <v>1589</v>
      </c>
      <c r="C398" s="22" t="s">
        <v>1039</v>
      </c>
      <c r="D398" s="50" t="str">
        <f t="shared" si="1"/>
        <v>2027sparimi</v>
      </c>
      <c r="F398" s="22" t="s">
        <v>972</v>
      </c>
      <c r="G398" s="22" t="s">
        <v>306</v>
      </c>
      <c r="H398" s="21">
        <f t="shared" si="2"/>
        <v>6</v>
      </c>
    </row>
    <row r="399">
      <c r="A399" s="22" t="s">
        <v>1707</v>
      </c>
      <c r="B399" s="22" t="s">
        <v>1589</v>
      </c>
      <c r="C399" s="22" t="s">
        <v>995</v>
      </c>
      <c r="D399" s="50" t="str">
        <f t="shared" si="1"/>
        <v>2028srangara</v>
      </c>
      <c r="F399" s="22" t="s">
        <v>973</v>
      </c>
      <c r="G399" s="22" t="s">
        <v>307</v>
      </c>
      <c r="H399" s="21">
        <f t="shared" si="2"/>
        <v>1</v>
      </c>
    </row>
    <row r="400">
      <c r="A400" s="22" t="s">
        <v>1708</v>
      </c>
      <c r="B400" s="22" t="s">
        <v>1589</v>
      </c>
      <c r="C400" s="22" t="s">
        <v>957</v>
      </c>
      <c r="D400" s="50" t="str">
        <f t="shared" si="1"/>
        <v>2028aliu</v>
      </c>
      <c r="F400" s="22" t="s">
        <v>974</v>
      </c>
      <c r="G400" s="22" t="s">
        <v>308</v>
      </c>
      <c r="H400" s="21">
        <f t="shared" si="2"/>
        <v>1</v>
      </c>
    </row>
    <row r="401">
      <c r="A401" s="22" t="s">
        <v>1709</v>
      </c>
      <c r="B401" s="22" t="s">
        <v>1589</v>
      </c>
      <c r="C401" s="22" t="s">
        <v>947</v>
      </c>
      <c r="D401" s="50" t="str">
        <f t="shared" si="1"/>
        <v>2028syan</v>
      </c>
      <c r="F401" s="22" t="s">
        <v>975</v>
      </c>
      <c r="G401" s="22" t="s">
        <v>29</v>
      </c>
      <c r="H401" s="21">
        <f t="shared" si="2"/>
        <v>19</v>
      </c>
    </row>
    <row r="402">
      <c r="A402" s="22" t="s">
        <v>1710</v>
      </c>
      <c r="B402" s="22" t="s">
        <v>1589</v>
      </c>
      <c r="C402" s="22" t="s">
        <v>966</v>
      </c>
      <c r="D402" s="50" t="str">
        <f t="shared" si="1"/>
        <v>2028adoppala</v>
      </c>
      <c r="F402" s="22" t="s">
        <v>976</v>
      </c>
      <c r="G402" s="22" t="s">
        <v>309</v>
      </c>
      <c r="H402" s="21">
        <f t="shared" si="2"/>
        <v>6</v>
      </c>
    </row>
    <row r="403">
      <c r="A403" s="22" t="s">
        <v>1711</v>
      </c>
      <c r="B403" s="22" t="s">
        <v>1589</v>
      </c>
      <c r="C403" s="22" t="s">
        <v>1040</v>
      </c>
      <c r="D403" s="50" t="str">
        <f t="shared" si="1"/>
        <v>2028epenumat</v>
      </c>
      <c r="F403" s="22" t="s">
        <v>977</v>
      </c>
      <c r="G403" s="22" t="s">
        <v>38</v>
      </c>
      <c r="H403" s="21">
        <f t="shared" si="2"/>
        <v>12</v>
      </c>
    </row>
    <row r="404">
      <c r="A404" s="22" t="s">
        <v>1712</v>
      </c>
      <c r="B404" s="22" t="s">
        <v>1589</v>
      </c>
      <c r="C404" s="22" t="s">
        <v>935</v>
      </c>
      <c r="D404" s="50" t="str">
        <f t="shared" si="1"/>
        <v>2028szhang</v>
      </c>
      <c r="F404" s="22" t="s">
        <v>978</v>
      </c>
      <c r="G404" s="22" t="s">
        <v>310</v>
      </c>
      <c r="H404" s="21">
        <f t="shared" si="2"/>
        <v>1</v>
      </c>
    </row>
    <row r="405">
      <c r="A405" s="22" t="s">
        <v>1713</v>
      </c>
      <c r="B405" s="22" t="s">
        <v>1589</v>
      </c>
      <c r="C405" s="22" t="s">
        <v>668</v>
      </c>
      <c r="D405" s="50" t="str">
        <f t="shared" si="1"/>
        <v>2026ludeshi</v>
      </c>
      <c r="F405" s="22" t="s">
        <v>979</v>
      </c>
      <c r="G405" s="22" t="s">
        <v>311</v>
      </c>
      <c r="H405" s="21">
        <f t="shared" si="2"/>
        <v>3</v>
      </c>
    </row>
    <row r="406">
      <c r="A406" s="22" t="s">
        <v>1714</v>
      </c>
      <c r="B406" s="22" t="s">
        <v>1589</v>
      </c>
      <c r="C406" s="22" t="s">
        <v>690</v>
      </c>
      <c r="D406" s="50" t="str">
        <f t="shared" si="1"/>
        <v>2026rsingh2</v>
      </c>
      <c r="F406" s="22" t="s">
        <v>980</v>
      </c>
      <c r="G406" s="22" t="s">
        <v>312</v>
      </c>
      <c r="H406" s="21">
        <f t="shared" si="2"/>
        <v>16</v>
      </c>
    </row>
    <row r="407">
      <c r="A407" s="22" t="s">
        <v>1715</v>
      </c>
      <c r="B407" s="22" t="s">
        <v>1589</v>
      </c>
      <c r="C407" s="22" t="s">
        <v>660</v>
      </c>
      <c r="D407" s="50" t="str">
        <f t="shared" si="1"/>
        <v>2026mzhao</v>
      </c>
      <c r="F407" s="22" t="s">
        <v>981</v>
      </c>
      <c r="G407" s="22" t="s">
        <v>313</v>
      </c>
      <c r="H407" s="21">
        <f t="shared" si="2"/>
        <v>5</v>
      </c>
    </row>
    <row r="408">
      <c r="A408" s="22" t="s">
        <v>1716</v>
      </c>
      <c r="B408" s="22" t="s">
        <v>1589</v>
      </c>
      <c r="C408" s="22" t="s">
        <v>667</v>
      </c>
      <c r="D408" s="50" t="str">
        <f t="shared" si="1"/>
        <v>2026iharchic</v>
      </c>
      <c r="F408" s="22" t="s">
        <v>982</v>
      </c>
      <c r="G408" s="22" t="s">
        <v>314</v>
      </c>
      <c r="H408" s="21">
        <f t="shared" si="2"/>
        <v>2</v>
      </c>
    </row>
    <row r="409">
      <c r="A409" s="22" t="s">
        <v>1717</v>
      </c>
      <c r="B409" s="22" t="s">
        <v>1589</v>
      </c>
      <c r="C409" s="22" t="s">
        <v>1263</v>
      </c>
      <c r="D409" s="50" t="str">
        <f t="shared" si="1"/>
        <v>2025jkim</v>
      </c>
      <c r="F409" s="22" t="s">
        <v>983</v>
      </c>
      <c r="G409" s="22" t="s">
        <v>64</v>
      </c>
      <c r="H409" s="21">
        <f t="shared" si="2"/>
        <v>9</v>
      </c>
    </row>
    <row r="410">
      <c r="A410" s="22" t="s">
        <v>1718</v>
      </c>
      <c r="B410" s="22" t="s">
        <v>1589</v>
      </c>
      <c r="C410" s="22" t="s">
        <v>779</v>
      </c>
      <c r="D410" s="50" t="str">
        <f t="shared" si="1"/>
        <v>2027jdurr</v>
      </c>
      <c r="F410" s="22" t="s">
        <v>984</v>
      </c>
      <c r="G410" s="22" t="s">
        <v>45</v>
      </c>
      <c r="H410" s="21">
        <f t="shared" si="2"/>
        <v>11</v>
      </c>
    </row>
    <row r="411">
      <c r="A411" s="22" t="s">
        <v>1719</v>
      </c>
      <c r="B411" s="22" t="s">
        <v>1720</v>
      </c>
      <c r="C411" s="22" t="s">
        <v>660</v>
      </c>
      <c r="D411" s="50" t="str">
        <f t="shared" si="1"/>
        <v>2026mzhao</v>
      </c>
      <c r="F411" s="22" t="s">
        <v>985</v>
      </c>
      <c r="G411" s="22" t="s">
        <v>315</v>
      </c>
      <c r="H411" s="21">
        <f t="shared" si="2"/>
        <v>1</v>
      </c>
    </row>
    <row r="412">
      <c r="A412" s="22" t="s">
        <v>1721</v>
      </c>
      <c r="B412" s="22" t="s">
        <v>1720</v>
      </c>
      <c r="C412" s="22" t="s">
        <v>777</v>
      </c>
      <c r="D412" s="50" t="str">
        <f t="shared" si="1"/>
        <v>2027esombhat</v>
      </c>
      <c r="F412" s="22" t="s">
        <v>986</v>
      </c>
      <c r="G412" s="22" t="s">
        <v>316</v>
      </c>
      <c r="H412" s="21">
        <f t="shared" si="2"/>
        <v>1</v>
      </c>
    </row>
    <row r="413">
      <c r="A413" s="22" t="s">
        <v>1722</v>
      </c>
      <c r="B413" s="22" t="s">
        <v>1720</v>
      </c>
      <c r="C413" s="22" t="s">
        <v>1223</v>
      </c>
      <c r="D413" s="50" t="str">
        <f t="shared" si="1"/>
        <v>2025mkrishna</v>
      </c>
      <c r="F413" s="22" t="s">
        <v>987</v>
      </c>
      <c r="G413" s="22" t="s">
        <v>317</v>
      </c>
      <c r="H413" s="21">
        <f t="shared" si="2"/>
        <v>1</v>
      </c>
    </row>
    <row r="414">
      <c r="A414" s="22" t="s">
        <v>1723</v>
      </c>
      <c r="B414" s="22" t="s">
        <v>1720</v>
      </c>
      <c r="C414" s="22" t="s">
        <v>785</v>
      </c>
      <c r="D414" s="50" t="str">
        <f t="shared" si="1"/>
        <v>2027pdu</v>
      </c>
      <c r="F414" s="22" t="s">
        <v>988</v>
      </c>
      <c r="G414" s="22" t="s">
        <v>318</v>
      </c>
      <c r="H414" s="21">
        <f t="shared" si="2"/>
        <v>7</v>
      </c>
    </row>
    <row r="415">
      <c r="A415" s="22" t="s">
        <v>1724</v>
      </c>
      <c r="B415" s="22" t="s">
        <v>1720</v>
      </c>
      <c r="C415" s="22" t="s">
        <v>668</v>
      </c>
      <c r="D415" s="50" t="str">
        <f t="shared" si="1"/>
        <v>2026ludeshi</v>
      </c>
      <c r="F415" s="22" t="s">
        <v>989</v>
      </c>
      <c r="G415" s="22" t="s">
        <v>319</v>
      </c>
      <c r="H415" s="21">
        <f t="shared" si="2"/>
        <v>7</v>
      </c>
    </row>
    <row r="416">
      <c r="A416" s="22" t="s">
        <v>1725</v>
      </c>
      <c r="B416" s="22" t="s">
        <v>1720</v>
      </c>
      <c r="C416" s="22" t="s">
        <v>1255</v>
      </c>
      <c r="D416" s="50" t="str">
        <f t="shared" si="1"/>
        <v>2025apagidi</v>
      </c>
      <c r="F416" s="22" t="s">
        <v>990</v>
      </c>
      <c r="G416" s="22" t="s">
        <v>320</v>
      </c>
      <c r="H416" s="21">
        <f t="shared" si="2"/>
        <v>2</v>
      </c>
    </row>
    <row r="417">
      <c r="A417" s="22" t="s">
        <v>1726</v>
      </c>
      <c r="B417" s="22" t="s">
        <v>1720</v>
      </c>
      <c r="C417" s="22" t="s">
        <v>662</v>
      </c>
      <c r="D417" s="50" t="str">
        <f t="shared" si="1"/>
        <v>2026rwang</v>
      </c>
      <c r="F417" s="22" t="s">
        <v>991</v>
      </c>
      <c r="G417" s="22" t="s">
        <v>321</v>
      </c>
      <c r="H417" s="21">
        <f t="shared" si="2"/>
        <v>6</v>
      </c>
    </row>
    <row r="418">
      <c r="A418" s="22" t="s">
        <v>1727</v>
      </c>
      <c r="B418" s="22" t="s">
        <v>1720</v>
      </c>
      <c r="C418" s="22" t="s">
        <v>667</v>
      </c>
      <c r="D418" s="50" t="str">
        <f t="shared" si="1"/>
        <v>2026iharchic</v>
      </c>
      <c r="F418" s="22" t="s">
        <v>992</v>
      </c>
      <c r="G418" s="22" t="s">
        <v>322</v>
      </c>
      <c r="H418" s="21">
        <f t="shared" si="2"/>
        <v>4</v>
      </c>
    </row>
    <row r="419">
      <c r="A419" s="22" t="s">
        <v>1728</v>
      </c>
      <c r="B419" s="22" t="s">
        <v>1720</v>
      </c>
      <c r="C419" s="22" t="s">
        <v>818</v>
      </c>
      <c r="D419" s="50" t="str">
        <f t="shared" si="1"/>
        <v>2027ayan</v>
      </c>
      <c r="F419" s="22" t="s">
        <v>993</v>
      </c>
      <c r="G419" s="22" t="s">
        <v>323</v>
      </c>
      <c r="H419" s="21">
        <f t="shared" si="2"/>
        <v>2</v>
      </c>
    </row>
    <row r="420">
      <c r="A420" s="22" t="s">
        <v>1729</v>
      </c>
      <c r="B420" s="22" t="s">
        <v>1720</v>
      </c>
      <c r="C420" s="22" t="s">
        <v>981</v>
      </c>
      <c r="D420" s="50" t="str">
        <f t="shared" si="1"/>
        <v>2027ikim</v>
      </c>
      <c r="F420" s="22" t="s">
        <v>994</v>
      </c>
      <c r="G420" s="22" t="s">
        <v>324</v>
      </c>
      <c r="H420" s="21">
        <f t="shared" si="2"/>
        <v>1</v>
      </c>
    </row>
    <row r="421">
      <c r="A421" s="22" t="s">
        <v>1730</v>
      </c>
      <c r="B421" s="22" t="s">
        <v>1720</v>
      </c>
      <c r="C421" s="22" t="s">
        <v>959</v>
      </c>
      <c r="D421" s="50" t="str">
        <f t="shared" si="1"/>
        <v>2028bjonuzaj</v>
      </c>
      <c r="F421" s="22" t="s">
        <v>995</v>
      </c>
      <c r="G421" s="22" t="s">
        <v>325</v>
      </c>
      <c r="H421" s="21">
        <f t="shared" si="2"/>
        <v>16</v>
      </c>
    </row>
    <row r="422">
      <c r="A422" s="22" t="s">
        <v>1731</v>
      </c>
      <c r="B422" s="22" t="s">
        <v>1720</v>
      </c>
      <c r="C422" s="22" t="s">
        <v>865</v>
      </c>
      <c r="D422" s="50" t="str">
        <f t="shared" si="1"/>
        <v>2026anaidan</v>
      </c>
      <c r="F422" s="22" t="s">
        <v>996</v>
      </c>
      <c r="G422" s="22" t="s">
        <v>326</v>
      </c>
      <c r="H422" s="21">
        <f t="shared" si="2"/>
        <v>5</v>
      </c>
    </row>
    <row r="423">
      <c r="A423" s="22" t="s">
        <v>1732</v>
      </c>
      <c r="B423" s="22" t="s">
        <v>1720</v>
      </c>
      <c r="C423" s="22" t="s">
        <v>1225</v>
      </c>
      <c r="D423" s="50" t="str">
        <f t="shared" si="1"/>
        <v>2025ywang</v>
      </c>
      <c r="F423" s="22" t="s">
        <v>997</v>
      </c>
      <c r="G423" s="22" t="s">
        <v>327</v>
      </c>
      <c r="H423" s="21">
        <f t="shared" si="2"/>
        <v>7</v>
      </c>
    </row>
    <row r="424">
      <c r="A424" s="22" t="s">
        <v>1733</v>
      </c>
      <c r="B424" s="22" t="s">
        <v>1720</v>
      </c>
      <c r="C424" s="22" t="s">
        <v>816</v>
      </c>
      <c r="D424" s="50" t="str">
        <f t="shared" si="1"/>
        <v>2027achu</v>
      </c>
      <c r="F424" s="22" t="s">
        <v>998</v>
      </c>
      <c r="G424" s="22" t="s">
        <v>328</v>
      </c>
      <c r="H424" s="21">
        <f t="shared" si="2"/>
        <v>2</v>
      </c>
    </row>
    <row r="425">
      <c r="A425" s="22" t="s">
        <v>1734</v>
      </c>
      <c r="B425" s="22" t="s">
        <v>1720</v>
      </c>
      <c r="C425" s="22" t="s">
        <v>934</v>
      </c>
      <c r="D425" s="50" t="str">
        <f t="shared" si="1"/>
        <v>2028bhan</v>
      </c>
      <c r="F425" s="22" t="s">
        <v>999</v>
      </c>
      <c r="G425" s="22" t="s">
        <v>329</v>
      </c>
      <c r="H425" s="21">
        <f t="shared" si="2"/>
        <v>2</v>
      </c>
    </row>
    <row r="426">
      <c r="A426" s="22" t="s">
        <v>1735</v>
      </c>
      <c r="B426" s="22" t="s">
        <v>1720</v>
      </c>
      <c r="C426" s="22" t="s">
        <v>965</v>
      </c>
      <c r="D426" s="50" t="str">
        <f t="shared" si="1"/>
        <v>2028athota</v>
      </c>
      <c r="F426" s="22" t="s">
        <v>1000</v>
      </c>
      <c r="G426" s="22" t="s">
        <v>330</v>
      </c>
      <c r="H426" s="21">
        <f t="shared" si="2"/>
        <v>1</v>
      </c>
    </row>
    <row r="427">
      <c r="A427" s="22" t="s">
        <v>1736</v>
      </c>
      <c r="B427" s="22" t="s">
        <v>1720</v>
      </c>
      <c r="C427" s="22" t="s">
        <v>858</v>
      </c>
      <c r="D427" s="50" t="str">
        <f t="shared" si="1"/>
        <v>2027asachdev</v>
      </c>
      <c r="F427" s="22" t="s">
        <v>1001</v>
      </c>
      <c r="G427" s="22" t="s">
        <v>331</v>
      </c>
      <c r="H427" s="21">
        <f t="shared" si="2"/>
        <v>2</v>
      </c>
    </row>
    <row r="428">
      <c r="A428" s="22" t="s">
        <v>1737</v>
      </c>
      <c r="B428" s="22" t="s">
        <v>1720</v>
      </c>
      <c r="C428" s="22" t="s">
        <v>968</v>
      </c>
      <c r="D428" s="50" t="str">
        <f t="shared" si="1"/>
        <v>2028lmeng</v>
      </c>
      <c r="F428" s="22" t="s">
        <v>1002</v>
      </c>
      <c r="G428" s="22" t="s">
        <v>97</v>
      </c>
      <c r="H428" s="21">
        <f t="shared" si="2"/>
        <v>10</v>
      </c>
    </row>
    <row r="429">
      <c r="A429" s="22" t="s">
        <v>1738</v>
      </c>
      <c r="B429" s="22" t="s">
        <v>1720</v>
      </c>
      <c r="C429" s="22" t="s">
        <v>962</v>
      </c>
      <c r="D429" s="50" t="str">
        <f t="shared" si="1"/>
        <v>2027sbitar</v>
      </c>
      <c r="F429" s="22" t="s">
        <v>1003</v>
      </c>
      <c r="G429" s="22" t="s">
        <v>332</v>
      </c>
      <c r="H429" s="21">
        <f t="shared" si="2"/>
        <v>1</v>
      </c>
    </row>
    <row r="430">
      <c r="A430" s="22" t="s">
        <v>1739</v>
      </c>
      <c r="B430" s="22" t="s">
        <v>1720</v>
      </c>
      <c r="C430" s="22" t="s">
        <v>742</v>
      </c>
      <c r="D430" s="50" t="str">
        <f t="shared" si="1"/>
        <v>2026sguo1</v>
      </c>
      <c r="F430" s="22" t="s">
        <v>1004</v>
      </c>
      <c r="G430" s="22" t="s">
        <v>333</v>
      </c>
      <c r="H430" s="21">
        <f t="shared" si="2"/>
        <v>8</v>
      </c>
    </row>
    <row r="431">
      <c r="A431" s="22" t="s">
        <v>1740</v>
      </c>
      <c r="B431" s="22" t="s">
        <v>1720</v>
      </c>
      <c r="C431" s="22" t="s">
        <v>1019</v>
      </c>
      <c r="D431" s="50" t="str">
        <f t="shared" si="1"/>
        <v>2028sthammis</v>
      </c>
      <c r="F431" s="22" t="s">
        <v>1005</v>
      </c>
      <c r="G431" s="22" t="s">
        <v>90</v>
      </c>
      <c r="H431" s="21">
        <f t="shared" si="2"/>
        <v>8</v>
      </c>
    </row>
    <row r="432">
      <c r="A432" s="22" t="s">
        <v>1741</v>
      </c>
      <c r="B432" s="22" t="s">
        <v>1720</v>
      </c>
      <c r="C432" s="22" t="s">
        <v>1028</v>
      </c>
      <c r="D432" s="50" t="str">
        <f t="shared" si="1"/>
        <v>2027nmahajan</v>
      </c>
      <c r="F432" s="22" t="s">
        <v>1006</v>
      </c>
      <c r="G432" s="22" t="s">
        <v>334</v>
      </c>
      <c r="H432" s="21">
        <f t="shared" si="2"/>
        <v>4</v>
      </c>
    </row>
    <row r="433">
      <c r="A433" s="22" t="s">
        <v>1742</v>
      </c>
      <c r="B433" s="22" t="s">
        <v>1720</v>
      </c>
      <c r="C433" s="22" t="s">
        <v>770</v>
      </c>
      <c r="D433" s="50" t="str">
        <f t="shared" si="1"/>
        <v>2027bko</v>
      </c>
      <c r="F433" s="22" t="s">
        <v>1007</v>
      </c>
      <c r="G433" s="22" t="s">
        <v>335</v>
      </c>
      <c r="H433" s="21">
        <f t="shared" si="2"/>
        <v>4</v>
      </c>
    </row>
    <row r="434">
      <c r="A434" s="22" t="s">
        <v>1743</v>
      </c>
      <c r="B434" s="22" t="s">
        <v>1720</v>
      </c>
      <c r="C434" s="22" t="s">
        <v>952</v>
      </c>
      <c r="D434" s="50" t="str">
        <f t="shared" si="1"/>
        <v>2028mlin</v>
      </c>
      <c r="F434" s="22" t="s">
        <v>1008</v>
      </c>
      <c r="G434" s="22" t="s">
        <v>336</v>
      </c>
      <c r="H434" s="21">
        <f t="shared" si="2"/>
        <v>8</v>
      </c>
    </row>
    <row r="435">
      <c r="A435" s="22" t="s">
        <v>1744</v>
      </c>
      <c r="B435" s="22" t="s">
        <v>1720</v>
      </c>
      <c r="C435" s="22" t="s">
        <v>984</v>
      </c>
      <c r="D435" s="50" t="str">
        <f t="shared" si="1"/>
        <v>2028sari</v>
      </c>
      <c r="F435" s="22" t="s">
        <v>1009</v>
      </c>
      <c r="G435" s="22" t="s">
        <v>337</v>
      </c>
      <c r="H435" s="21">
        <f t="shared" si="2"/>
        <v>1</v>
      </c>
    </row>
    <row r="436">
      <c r="A436" s="22" t="s">
        <v>1745</v>
      </c>
      <c r="B436" s="22" t="s">
        <v>1720</v>
      </c>
      <c r="C436" s="22" t="s">
        <v>688</v>
      </c>
      <c r="D436" s="50" t="str">
        <f t="shared" si="1"/>
        <v>2026cmorimot</v>
      </c>
      <c r="F436" s="22" t="s">
        <v>1010</v>
      </c>
      <c r="G436" s="22" t="s">
        <v>37</v>
      </c>
      <c r="H436" s="21">
        <f t="shared" si="2"/>
        <v>5</v>
      </c>
    </row>
    <row r="437">
      <c r="A437" s="22" t="s">
        <v>1746</v>
      </c>
      <c r="B437" s="22" t="s">
        <v>1720</v>
      </c>
      <c r="C437" s="22" t="s">
        <v>997</v>
      </c>
      <c r="D437" s="50" t="str">
        <f t="shared" si="1"/>
        <v>2028jchan</v>
      </c>
      <c r="F437" s="22" t="s">
        <v>1011</v>
      </c>
      <c r="G437" s="22" t="s">
        <v>98</v>
      </c>
      <c r="H437" s="21">
        <f t="shared" si="2"/>
        <v>4</v>
      </c>
    </row>
    <row r="438">
      <c r="A438" s="22" t="s">
        <v>1747</v>
      </c>
      <c r="B438" s="22" t="s">
        <v>1720</v>
      </c>
      <c r="C438" s="22" t="s">
        <v>991</v>
      </c>
      <c r="D438" s="50" t="str">
        <f t="shared" si="1"/>
        <v>2028glee</v>
      </c>
      <c r="F438" s="22" t="s">
        <v>1012</v>
      </c>
      <c r="G438" s="22" t="s">
        <v>338</v>
      </c>
      <c r="H438" s="21">
        <f t="shared" si="2"/>
        <v>1</v>
      </c>
    </row>
    <row r="439">
      <c r="A439" s="22" t="s">
        <v>1748</v>
      </c>
      <c r="B439" s="22" t="s">
        <v>1720</v>
      </c>
      <c r="C439" s="22" t="s">
        <v>843</v>
      </c>
      <c r="D439" s="50" t="str">
        <f t="shared" si="1"/>
        <v>2027vraj</v>
      </c>
      <c r="F439" s="22" t="s">
        <v>1013</v>
      </c>
      <c r="G439" s="22" t="s">
        <v>35</v>
      </c>
      <c r="H439" s="21">
        <f t="shared" si="2"/>
        <v>2</v>
      </c>
    </row>
    <row r="440">
      <c r="A440" s="22" t="s">
        <v>1749</v>
      </c>
      <c r="B440" s="22" t="s">
        <v>1720</v>
      </c>
      <c r="C440" s="22" t="s">
        <v>961</v>
      </c>
      <c r="D440" s="50" t="str">
        <f t="shared" si="1"/>
        <v>2028tdeng</v>
      </c>
      <c r="F440" s="22" t="s">
        <v>1014</v>
      </c>
      <c r="G440" s="22" t="s">
        <v>339</v>
      </c>
      <c r="H440" s="21">
        <f t="shared" si="2"/>
        <v>2</v>
      </c>
    </row>
    <row r="441">
      <c r="A441" s="22" t="s">
        <v>1750</v>
      </c>
      <c r="B441" s="22" t="s">
        <v>1720</v>
      </c>
      <c r="C441" s="22" t="s">
        <v>967</v>
      </c>
      <c r="D441" s="50" t="str">
        <f t="shared" si="1"/>
        <v>2028asu</v>
      </c>
      <c r="F441" s="22" t="s">
        <v>1015</v>
      </c>
      <c r="G441" s="22" t="s">
        <v>340</v>
      </c>
      <c r="H441" s="21">
        <f t="shared" si="2"/>
        <v>2</v>
      </c>
    </row>
    <row r="442">
      <c r="A442" s="22" t="s">
        <v>1751</v>
      </c>
      <c r="B442" s="22" t="s">
        <v>1720</v>
      </c>
      <c r="C442" s="22" t="s">
        <v>930</v>
      </c>
      <c r="D442" s="50" t="str">
        <f t="shared" si="1"/>
        <v>2028wmcquirt</v>
      </c>
      <c r="F442" s="22" t="s">
        <v>1016</v>
      </c>
      <c r="G442" s="22" t="s">
        <v>341</v>
      </c>
      <c r="H442" s="21">
        <f t="shared" si="2"/>
        <v>5</v>
      </c>
    </row>
    <row r="443">
      <c r="A443" s="22" t="s">
        <v>1752</v>
      </c>
      <c r="B443" s="22" t="s">
        <v>1720</v>
      </c>
      <c r="C443" s="22" t="s">
        <v>768</v>
      </c>
      <c r="D443" s="50" t="str">
        <f t="shared" si="1"/>
        <v>2027aanurag</v>
      </c>
      <c r="F443" s="22" t="s">
        <v>1017</v>
      </c>
      <c r="G443" s="22" t="s">
        <v>342</v>
      </c>
      <c r="H443" s="21">
        <f t="shared" si="2"/>
        <v>4</v>
      </c>
    </row>
    <row r="444">
      <c r="A444" s="22" t="s">
        <v>1753</v>
      </c>
      <c r="B444" s="22" t="s">
        <v>1720</v>
      </c>
      <c r="C444" s="22" t="s">
        <v>923</v>
      </c>
      <c r="D444" s="50" t="str">
        <f t="shared" si="1"/>
        <v>2028lkang</v>
      </c>
      <c r="F444" s="22" t="s">
        <v>1018</v>
      </c>
      <c r="G444" s="22" t="s">
        <v>343</v>
      </c>
      <c r="H444" s="21">
        <f t="shared" si="2"/>
        <v>4</v>
      </c>
    </row>
    <row r="445">
      <c r="A445" s="22" t="s">
        <v>1754</v>
      </c>
      <c r="B445" s="22" t="s">
        <v>1720</v>
      </c>
      <c r="C445" s="22" t="s">
        <v>1258</v>
      </c>
      <c r="D445" s="50" t="str">
        <f t="shared" si="1"/>
        <v>2025rzhang1</v>
      </c>
      <c r="F445" s="22" t="s">
        <v>1019</v>
      </c>
      <c r="G445" s="22" t="s">
        <v>344</v>
      </c>
      <c r="H445" s="21">
        <f t="shared" si="2"/>
        <v>4</v>
      </c>
    </row>
    <row r="446">
      <c r="A446" s="22" t="s">
        <v>1755</v>
      </c>
      <c r="B446" s="22" t="s">
        <v>1720</v>
      </c>
      <c r="C446" s="22" t="s">
        <v>924</v>
      </c>
      <c r="D446" s="50" t="str">
        <f t="shared" si="1"/>
        <v>2028relias</v>
      </c>
      <c r="F446" s="22" t="s">
        <v>1020</v>
      </c>
      <c r="G446" s="22" t="s">
        <v>345</v>
      </c>
      <c r="H446" s="21">
        <f t="shared" si="2"/>
        <v>2</v>
      </c>
    </row>
    <row r="447">
      <c r="A447" s="22" t="s">
        <v>1756</v>
      </c>
      <c r="B447" s="22" t="s">
        <v>1720</v>
      </c>
      <c r="C447" s="22" t="s">
        <v>919</v>
      </c>
      <c r="D447" s="50" t="str">
        <f t="shared" si="1"/>
        <v>2027ekim</v>
      </c>
      <c r="F447" s="22" t="s">
        <v>1021</v>
      </c>
      <c r="G447" s="22" t="s">
        <v>346</v>
      </c>
      <c r="H447" s="21">
        <f t="shared" si="2"/>
        <v>7</v>
      </c>
    </row>
    <row r="448">
      <c r="A448" s="22" t="s">
        <v>1757</v>
      </c>
      <c r="B448" s="22" t="s">
        <v>1720</v>
      </c>
      <c r="C448" s="22" t="s">
        <v>890</v>
      </c>
      <c r="D448" s="50" t="str">
        <f t="shared" si="1"/>
        <v>2027dkumar</v>
      </c>
      <c r="F448" s="22" t="s">
        <v>1022</v>
      </c>
      <c r="G448" s="22" t="s">
        <v>347</v>
      </c>
      <c r="H448" s="21">
        <f t="shared" si="2"/>
        <v>1</v>
      </c>
    </row>
    <row r="449">
      <c r="A449" s="22" t="s">
        <v>1758</v>
      </c>
      <c r="B449" s="22" t="s">
        <v>1720</v>
      </c>
      <c r="C449" s="22" t="s">
        <v>929</v>
      </c>
      <c r="D449" s="50" t="str">
        <f t="shared" si="1"/>
        <v>2028dhe</v>
      </c>
      <c r="F449" s="22" t="s">
        <v>1023</v>
      </c>
      <c r="G449" s="22" t="s">
        <v>348</v>
      </c>
      <c r="H449" s="21">
        <f t="shared" si="2"/>
        <v>1</v>
      </c>
    </row>
    <row r="450">
      <c r="A450" s="22" t="s">
        <v>1759</v>
      </c>
      <c r="B450" s="22" t="s">
        <v>1720</v>
      </c>
      <c r="C450" s="22" t="s">
        <v>823</v>
      </c>
      <c r="D450" s="50" t="str">
        <f t="shared" si="1"/>
        <v>2027spark</v>
      </c>
      <c r="F450" s="22" t="s">
        <v>1024</v>
      </c>
      <c r="G450" s="22" t="s">
        <v>349</v>
      </c>
      <c r="H450" s="21">
        <f t="shared" si="2"/>
        <v>2</v>
      </c>
    </row>
    <row r="451">
      <c r="A451" s="22" t="s">
        <v>1760</v>
      </c>
      <c r="B451" s="22" t="s">
        <v>1720</v>
      </c>
      <c r="C451" s="22" t="s">
        <v>957</v>
      </c>
      <c r="D451" s="50" t="str">
        <f t="shared" si="1"/>
        <v>2028aliu</v>
      </c>
      <c r="F451" s="22" t="s">
        <v>1025</v>
      </c>
      <c r="G451" s="22" t="s">
        <v>350</v>
      </c>
      <c r="H451" s="21">
        <f t="shared" si="2"/>
        <v>1</v>
      </c>
    </row>
    <row r="452">
      <c r="A452" s="22" t="s">
        <v>1761</v>
      </c>
      <c r="B452" s="22" t="s">
        <v>1720</v>
      </c>
      <c r="C452" s="22" t="s">
        <v>822</v>
      </c>
      <c r="D452" s="50" t="str">
        <f t="shared" si="1"/>
        <v>2027skuncha</v>
      </c>
      <c r="F452" s="22" t="s">
        <v>1026</v>
      </c>
      <c r="G452" s="22" t="s">
        <v>351</v>
      </c>
      <c r="H452" s="21">
        <f t="shared" si="2"/>
        <v>13</v>
      </c>
    </row>
    <row r="453">
      <c r="A453" s="22" t="s">
        <v>1762</v>
      </c>
      <c r="B453" s="22" t="s">
        <v>1720</v>
      </c>
      <c r="C453" s="22" t="s">
        <v>779</v>
      </c>
      <c r="D453" s="50" t="str">
        <f t="shared" si="1"/>
        <v>2027jdurr</v>
      </c>
      <c r="F453" s="22" t="s">
        <v>1027</v>
      </c>
      <c r="G453" s="22" t="s">
        <v>352</v>
      </c>
      <c r="H453" s="21">
        <f t="shared" si="2"/>
        <v>2</v>
      </c>
    </row>
    <row r="454">
      <c r="A454" s="22" t="s">
        <v>1763</v>
      </c>
      <c r="B454" s="22" t="s">
        <v>1720</v>
      </c>
      <c r="C454" s="22" t="s">
        <v>1014</v>
      </c>
      <c r="D454" s="50" t="str">
        <f t="shared" si="1"/>
        <v>2027hbanerje</v>
      </c>
      <c r="F454" s="22" t="s">
        <v>1028</v>
      </c>
      <c r="G454" s="22" t="s">
        <v>353</v>
      </c>
      <c r="H454" s="21">
        <f t="shared" si="2"/>
        <v>2</v>
      </c>
    </row>
    <row r="455">
      <c r="A455" s="22" t="s">
        <v>1764</v>
      </c>
      <c r="B455" s="22" t="s">
        <v>1720</v>
      </c>
      <c r="C455" s="22" t="s">
        <v>966</v>
      </c>
      <c r="D455" s="50" t="str">
        <f t="shared" si="1"/>
        <v>2028adoppala</v>
      </c>
      <c r="F455" s="22" t="s">
        <v>1029</v>
      </c>
      <c r="G455" s="22" t="s">
        <v>354</v>
      </c>
      <c r="H455" s="21">
        <f t="shared" si="2"/>
        <v>1</v>
      </c>
    </row>
    <row r="456">
      <c r="A456" s="22" t="s">
        <v>1765</v>
      </c>
      <c r="B456" s="22" t="s">
        <v>1720</v>
      </c>
      <c r="C456" s="22" t="s">
        <v>1030</v>
      </c>
      <c r="D456" s="50" t="str">
        <f t="shared" si="1"/>
        <v>2028coh</v>
      </c>
      <c r="F456" s="22" t="s">
        <v>1030</v>
      </c>
      <c r="G456" s="22" t="s">
        <v>355</v>
      </c>
      <c r="H456" s="21">
        <f t="shared" si="2"/>
        <v>2</v>
      </c>
    </row>
    <row r="457">
      <c r="A457" s="22" t="s">
        <v>1766</v>
      </c>
      <c r="B457" s="22" t="s">
        <v>1720</v>
      </c>
      <c r="C457" s="22" t="s">
        <v>756</v>
      </c>
      <c r="D457" s="50" t="str">
        <f t="shared" si="1"/>
        <v>2026abaradhi</v>
      </c>
      <c r="F457" s="22" t="s">
        <v>1031</v>
      </c>
      <c r="G457" s="22" t="s">
        <v>356</v>
      </c>
      <c r="H457" s="21">
        <f t="shared" si="2"/>
        <v>4</v>
      </c>
    </row>
    <row r="458">
      <c r="A458" s="22" t="s">
        <v>1767</v>
      </c>
      <c r="B458" s="22" t="s">
        <v>1720</v>
      </c>
      <c r="C458" s="22" t="s">
        <v>932</v>
      </c>
      <c r="D458" s="50" t="str">
        <f t="shared" si="1"/>
        <v>2028rzhao</v>
      </c>
      <c r="F458" s="22" t="s">
        <v>1032</v>
      </c>
      <c r="G458" s="22" t="s">
        <v>357</v>
      </c>
      <c r="H458" s="21">
        <f t="shared" si="2"/>
        <v>1</v>
      </c>
    </row>
    <row r="459">
      <c r="A459" s="22" t="s">
        <v>1768</v>
      </c>
      <c r="B459" s="22" t="s">
        <v>1720</v>
      </c>
      <c r="C459" s="22" t="s">
        <v>833</v>
      </c>
      <c r="D459" s="50" t="str">
        <f t="shared" si="1"/>
        <v>2026lzhu</v>
      </c>
      <c r="F459" s="22" t="s">
        <v>1033</v>
      </c>
      <c r="G459" s="22" t="s">
        <v>358</v>
      </c>
      <c r="H459" s="21">
        <f t="shared" si="2"/>
        <v>1</v>
      </c>
    </row>
    <row r="460">
      <c r="A460" s="22" t="s">
        <v>1769</v>
      </c>
      <c r="B460" s="22" t="s">
        <v>1720</v>
      </c>
      <c r="C460" s="22" t="s">
        <v>951</v>
      </c>
      <c r="D460" s="50" t="str">
        <f t="shared" si="1"/>
        <v>2028yli</v>
      </c>
      <c r="F460" s="22" t="s">
        <v>1034</v>
      </c>
      <c r="G460" s="22" t="s">
        <v>359</v>
      </c>
      <c r="H460" s="21">
        <f t="shared" si="2"/>
        <v>1</v>
      </c>
    </row>
    <row r="461">
      <c r="A461" s="22" t="s">
        <v>1770</v>
      </c>
      <c r="B461" s="22" t="s">
        <v>1720</v>
      </c>
      <c r="C461" s="22" t="s">
        <v>983</v>
      </c>
      <c r="D461" s="50" t="str">
        <f t="shared" si="1"/>
        <v>2028elin</v>
      </c>
      <c r="F461" s="22" t="s">
        <v>1035</v>
      </c>
      <c r="G461" s="22" t="s">
        <v>360</v>
      </c>
      <c r="H461" s="21">
        <f t="shared" si="2"/>
        <v>2</v>
      </c>
    </row>
    <row r="462">
      <c r="A462" s="22" t="s">
        <v>1771</v>
      </c>
      <c r="B462" s="22" t="s">
        <v>1720</v>
      </c>
      <c r="C462" s="22" t="s">
        <v>949</v>
      </c>
      <c r="D462" s="50" t="str">
        <f t="shared" si="1"/>
        <v>2028jli1</v>
      </c>
      <c r="F462" s="22" t="s">
        <v>1036</v>
      </c>
      <c r="G462" s="22" t="s">
        <v>361</v>
      </c>
      <c r="H462" s="21">
        <f t="shared" si="2"/>
        <v>1</v>
      </c>
    </row>
    <row r="463">
      <c r="A463" s="22" t="s">
        <v>1772</v>
      </c>
      <c r="B463" s="22" t="s">
        <v>1720</v>
      </c>
      <c r="C463" s="22" t="s">
        <v>993</v>
      </c>
      <c r="D463" s="50" t="str">
        <f t="shared" si="1"/>
        <v>2028olevine</v>
      </c>
      <c r="F463" s="22" t="s">
        <v>1037</v>
      </c>
      <c r="G463" s="22" t="s">
        <v>362</v>
      </c>
      <c r="H463" s="21">
        <f t="shared" si="2"/>
        <v>0</v>
      </c>
    </row>
    <row r="464">
      <c r="A464" s="22" t="s">
        <v>1773</v>
      </c>
      <c r="B464" s="22" t="s">
        <v>1720</v>
      </c>
      <c r="C464" s="22" t="s">
        <v>971</v>
      </c>
      <c r="D464" s="50" t="str">
        <f t="shared" si="1"/>
        <v>2028gagilan</v>
      </c>
      <c r="F464" s="22" t="s">
        <v>1694</v>
      </c>
      <c r="G464" s="22" t="s">
        <v>644</v>
      </c>
      <c r="H464" s="21">
        <f t="shared" si="2"/>
        <v>1</v>
      </c>
    </row>
    <row r="465">
      <c r="A465" s="22" t="s">
        <v>1774</v>
      </c>
      <c r="B465" s="22" t="s">
        <v>1720</v>
      </c>
      <c r="C465" s="22" t="s">
        <v>1222</v>
      </c>
      <c r="D465" s="50" t="str">
        <f t="shared" si="1"/>
        <v>2025rkumaran</v>
      </c>
      <c r="F465" s="22" t="s">
        <v>1038</v>
      </c>
      <c r="G465" s="22" t="s">
        <v>363</v>
      </c>
      <c r="H465" s="21">
        <f t="shared" si="2"/>
        <v>1</v>
      </c>
    </row>
    <row r="466">
      <c r="A466" s="22" t="s">
        <v>1775</v>
      </c>
      <c r="B466" s="22" t="s">
        <v>1720</v>
      </c>
      <c r="C466" s="22" t="s">
        <v>977</v>
      </c>
      <c r="D466" s="50" t="str">
        <f t="shared" si="1"/>
        <v>2027eqiu</v>
      </c>
      <c r="F466" s="22" t="s">
        <v>1039</v>
      </c>
      <c r="G466" s="22" t="s">
        <v>364</v>
      </c>
      <c r="H466" s="21">
        <f t="shared" si="2"/>
        <v>1</v>
      </c>
    </row>
    <row r="467">
      <c r="A467" s="22" t="s">
        <v>1776</v>
      </c>
      <c r="B467" s="22" t="s">
        <v>1720</v>
      </c>
      <c r="C467" s="22" t="s">
        <v>1230</v>
      </c>
      <c r="D467" s="50" t="str">
        <f t="shared" si="1"/>
        <v>2025jhao</v>
      </c>
      <c r="F467" s="22" t="s">
        <v>1040</v>
      </c>
      <c r="G467" s="22" t="s">
        <v>365</v>
      </c>
      <c r="H467" s="21">
        <f t="shared" si="2"/>
        <v>2</v>
      </c>
    </row>
    <row r="468">
      <c r="A468" s="22" t="s">
        <v>1777</v>
      </c>
      <c r="B468" s="22" t="s">
        <v>1720</v>
      </c>
      <c r="C468" s="22" t="s">
        <v>942</v>
      </c>
      <c r="D468" s="50" t="str">
        <f t="shared" si="1"/>
        <v>2028che</v>
      </c>
      <c r="F468" s="22" t="s">
        <v>1041</v>
      </c>
      <c r="G468" s="22" t="s">
        <v>366</v>
      </c>
      <c r="H468" s="21">
        <f t="shared" si="2"/>
        <v>0</v>
      </c>
    </row>
    <row r="469">
      <c r="A469" s="22" t="s">
        <v>1778</v>
      </c>
      <c r="B469" s="22" t="s">
        <v>1720</v>
      </c>
      <c r="C469" s="22" t="s">
        <v>1026</v>
      </c>
      <c r="D469" s="50" t="str">
        <f t="shared" si="1"/>
        <v>2028egu</v>
      </c>
      <c r="F469" s="74" t="s">
        <v>1048</v>
      </c>
      <c r="G469" s="22" t="s">
        <v>373</v>
      </c>
      <c r="H469" s="21">
        <f t="shared" si="2"/>
        <v>0</v>
      </c>
    </row>
    <row r="470">
      <c r="A470" s="22" t="s">
        <v>1779</v>
      </c>
      <c r="B470" s="22" t="s">
        <v>1720</v>
      </c>
      <c r="C470" s="22" t="s">
        <v>806</v>
      </c>
      <c r="D470" s="50" t="str">
        <f t="shared" si="1"/>
        <v>2026jma</v>
      </c>
    </row>
    <row r="471">
      <c r="A471" s="22" t="s">
        <v>1780</v>
      </c>
      <c r="B471" s="22" t="s">
        <v>1720</v>
      </c>
      <c r="C471" s="22" t="s">
        <v>1017</v>
      </c>
      <c r="D471" s="50" t="str">
        <f t="shared" si="1"/>
        <v>2028sli</v>
      </c>
    </row>
    <row r="472">
      <c r="A472" s="22" t="s">
        <v>1781</v>
      </c>
      <c r="B472" s="22" t="s">
        <v>1720</v>
      </c>
      <c r="C472" s="22" t="s">
        <v>950</v>
      </c>
      <c r="D472" s="50" t="str">
        <f t="shared" si="1"/>
        <v>2028dvladimi</v>
      </c>
    </row>
    <row r="473">
      <c r="A473" s="22" t="s">
        <v>1782</v>
      </c>
      <c r="B473" s="22" t="s">
        <v>1720</v>
      </c>
      <c r="C473" s="22" t="s">
        <v>933</v>
      </c>
      <c r="D473" s="50" t="str">
        <f t="shared" si="1"/>
        <v>2027sdamico</v>
      </c>
    </row>
    <row r="474">
      <c r="A474" s="22" t="s">
        <v>1783</v>
      </c>
      <c r="B474" s="22" t="s">
        <v>1720</v>
      </c>
      <c r="C474" s="22" t="s">
        <v>972</v>
      </c>
      <c r="D474" s="50" t="str">
        <f t="shared" si="1"/>
        <v>2028dsubedi</v>
      </c>
    </row>
    <row r="475">
      <c r="A475" s="22" t="s">
        <v>1784</v>
      </c>
      <c r="B475" s="22" t="s">
        <v>1720</v>
      </c>
      <c r="C475" s="22" t="s">
        <v>1015</v>
      </c>
      <c r="D475" s="50" t="str">
        <f t="shared" si="1"/>
        <v>2028asharma</v>
      </c>
    </row>
    <row r="476">
      <c r="A476" s="22" t="s">
        <v>1785</v>
      </c>
      <c r="B476" s="22" t="s">
        <v>1720</v>
      </c>
      <c r="C476" s="22" t="s">
        <v>1263</v>
      </c>
      <c r="D476" s="50" t="str">
        <f t="shared" si="1"/>
        <v>2025jkim</v>
      </c>
    </row>
    <row r="477">
      <c r="A477" s="22" t="s">
        <v>1786</v>
      </c>
      <c r="B477" s="22" t="s">
        <v>1720</v>
      </c>
      <c r="C477" s="22" t="s">
        <v>1027</v>
      </c>
      <c r="D477" s="50" t="str">
        <f t="shared" si="1"/>
        <v>2028ssandova</v>
      </c>
    </row>
    <row r="478">
      <c r="A478" s="22" t="s">
        <v>1787</v>
      </c>
      <c r="B478" s="22" t="s">
        <v>1720</v>
      </c>
      <c r="C478" s="22" t="s">
        <v>830</v>
      </c>
      <c r="D478" s="50" t="str">
        <f t="shared" si="1"/>
        <v>2027rguo</v>
      </c>
    </row>
    <row r="479">
      <c r="A479" s="22" t="s">
        <v>1788</v>
      </c>
      <c r="B479" s="22" t="s">
        <v>1720</v>
      </c>
      <c r="C479" s="22" t="s">
        <v>829</v>
      </c>
      <c r="D479" s="50" t="str">
        <f t="shared" si="1"/>
        <v>2027agao</v>
      </c>
    </row>
    <row r="480">
      <c r="A480" s="22" t="s">
        <v>1789</v>
      </c>
      <c r="B480" s="22" t="s">
        <v>1720</v>
      </c>
      <c r="C480" s="22" t="s">
        <v>829</v>
      </c>
      <c r="D480" s="50" t="str">
        <f t="shared" si="1"/>
        <v>2027agao</v>
      </c>
    </row>
    <row r="481">
      <c r="A481" s="22" t="s">
        <v>1790</v>
      </c>
      <c r="B481" s="22" t="s">
        <v>1720</v>
      </c>
      <c r="C481" s="22" t="s">
        <v>829</v>
      </c>
      <c r="D481" s="50" t="str">
        <f t="shared" si="1"/>
        <v>2027agao</v>
      </c>
    </row>
    <row r="482">
      <c r="A482" s="22" t="s">
        <v>1791</v>
      </c>
      <c r="B482" s="22" t="s">
        <v>1720</v>
      </c>
      <c r="C482" s="22" t="s">
        <v>814</v>
      </c>
      <c r="D482" s="50" t="str">
        <f t="shared" si="1"/>
        <v>2027vcao</v>
      </c>
    </row>
    <row r="483">
      <c r="A483" s="22" t="s">
        <v>1792</v>
      </c>
      <c r="B483" s="22" t="s">
        <v>1720</v>
      </c>
      <c r="C483" s="22" t="s">
        <v>975</v>
      </c>
      <c r="D483" s="50" t="str">
        <f t="shared" si="1"/>
        <v>2027eshan</v>
      </c>
    </row>
    <row r="484">
      <c r="A484" s="22" t="s">
        <v>1793</v>
      </c>
      <c r="B484" s="22" t="s">
        <v>1720</v>
      </c>
      <c r="C484" s="22" t="s">
        <v>1239</v>
      </c>
      <c r="D484" s="50" t="str">
        <f t="shared" si="1"/>
        <v>2025alee1</v>
      </c>
    </row>
    <row r="485">
      <c r="A485" s="22" t="s">
        <v>1794</v>
      </c>
      <c r="B485" s="22" t="s">
        <v>1720</v>
      </c>
      <c r="C485" s="22" t="s">
        <v>732</v>
      </c>
      <c r="D485" s="50" t="str">
        <f t="shared" si="1"/>
        <v>2026ejaldint</v>
      </c>
    </row>
    <row r="486">
      <c r="A486" s="22" t="s">
        <v>1795</v>
      </c>
      <c r="B486" s="22" t="s">
        <v>1720</v>
      </c>
      <c r="C486" s="22" t="s">
        <v>976</v>
      </c>
      <c r="D486" s="50" t="str">
        <f t="shared" si="1"/>
        <v>2028asun</v>
      </c>
    </row>
    <row r="487">
      <c r="A487" s="22" t="s">
        <v>1796</v>
      </c>
      <c r="B487" s="22" t="s">
        <v>1720</v>
      </c>
      <c r="C487" s="22" t="s">
        <v>963</v>
      </c>
      <c r="D487" s="50" t="str">
        <f t="shared" si="1"/>
        <v>2028aangirek</v>
      </c>
    </row>
    <row r="488">
      <c r="A488" s="22" t="s">
        <v>1797</v>
      </c>
      <c r="B488" s="22" t="s">
        <v>1720</v>
      </c>
      <c r="C488" s="22" t="s">
        <v>954</v>
      </c>
      <c r="D488" s="50" t="str">
        <f t="shared" si="1"/>
        <v>2028ssurapan</v>
      </c>
    </row>
    <row r="489">
      <c r="A489" s="22" t="s">
        <v>1798</v>
      </c>
      <c r="B489" s="22" t="s">
        <v>1720</v>
      </c>
      <c r="C489" s="22" t="s">
        <v>842</v>
      </c>
      <c r="D489" s="50" t="str">
        <f t="shared" si="1"/>
        <v>2027hzanbrak</v>
      </c>
    </row>
    <row r="490">
      <c r="A490" s="22" t="s">
        <v>1799</v>
      </c>
      <c r="B490" s="22" t="s">
        <v>1720</v>
      </c>
      <c r="C490" s="22" t="s">
        <v>1042</v>
      </c>
      <c r="D490" s="50" t="str">
        <f t="shared" si="1"/>
        <v>#N/A</v>
      </c>
    </row>
    <row r="491">
      <c r="A491" s="22" t="s">
        <v>1800</v>
      </c>
      <c r="B491" s="22" t="s">
        <v>1720</v>
      </c>
      <c r="C491" s="22" t="s">
        <v>665</v>
      </c>
      <c r="D491" s="50" t="str">
        <f t="shared" si="1"/>
        <v>2026achen</v>
      </c>
    </row>
    <row r="492">
      <c r="A492" s="22" t="s">
        <v>1801</v>
      </c>
      <c r="B492" s="22" t="s">
        <v>1720</v>
      </c>
      <c r="C492" s="22" t="s">
        <v>947</v>
      </c>
      <c r="D492" s="50" t="str">
        <f t="shared" si="1"/>
        <v>2028syan</v>
      </c>
    </row>
    <row r="493">
      <c r="A493" s="22" t="s">
        <v>1802</v>
      </c>
      <c r="B493" s="22" t="s">
        <v>1720</v>
      </c>
      <c r="C493" s="22" t="s">
        <v>931</v>
      </c>
      <c r="D493" s="50" t="str">
        <f t="shared" si="1"/>
        <v>2027pyoo</v>
      </c>
    </row>
    <row r="494">
      <c r="A494" s="22" t="s">
        <v>1803</v>
      </c>
      <c r="B494" s="22" t="s">
        <v>1720</v>
      </c>
      <c r="C494" s="22" t="s">
        <v>808</v>
      </c>
      <c r="D494" s="50" t="str">
        <f t="shared" si="1"/>
        <v>2027sbisht</v>
      </c>
    </row>
    <row r="495">
      <c r="A495" s="22" t="s">
        <v>1804</v>
      </c>
      <c r="B495" s="22" t="s">
        <v>1720</v>
      </c>
      <c r="C495" s="22" t="s">
        <v>1356</v>
      </c>
      <c r="D495" s="50" t="str">
        <f t="shared" si="1"/>
        <v>2025avijayra</v>
      </c>
    </row>
    <row r="496">
      <c r="A496" s="22" t="s">
        <v>1805</v>
      </c>
      <c r="B496" s="22" t="s">
        <v>1720</v>
      </c>
      <c r="C496" s="22" t="s">
        <v>935</v>
      </c>
      <c r="D496" s="50" t="str">
        <f t="shared" si="1"/>
        <v>2028szhang</v>
      </c>
    </row>
    <row r="497">
      <c r="A497" s="22" t="s">
        <v>1806</v>
      </c>
      <c r="B497" s="22" t="s">
        <v>1720</v>
      </c>
      <c r="C497" s="22" t="s">
        <v>1043</v>
      </c>
      <c r="D497" s="50" t="str">
        <f t="shared" si="1"/>
        <v>#N/A</v>
      </c>
    </row>
    <row r="498">
      <c r="A498" s="22" t="s">
        <v>1807</v>
      </c>
      <c r="B498" s="22" t="s">
        <v>1720</v>
      </c>
      <c r="C498" s="22" t="s">
        <v>1044</v>
      </c>
      <c r="D498" s="50" t="str">
        <f t="shared" si="1"/>
        <v>#N/A</v>
      </c>
    </row>
    <row r="499">
      <c r="A499" s="22" t="s">
        <v>1808</v>
      </c>
      <c r="B499" s="22" t="s">
        <v>1720</v>
      </c>
      <c r="C499" s="22" t="s">
        <v>788</v>
      </c>
      <c r="D499" s="50" t="str">
        <f t="shared" si="1"/>
        <v>2027itennyso</v>
      </c>
    </row>
    <row r="500">
      <c r="A500" s="22" t="s">
        <v>1809</v>
      </c>
      <c r="B500" s="22" t="s">
        <v>1720</v>
      </c>
      <c r="C500" s="22" t="s">
        <v>854</v>
      </c>
      <c r="D500" s="50" t="str">
        <f t="shared" si="1"/>
        <v>2027hqin</v>
      </c>
    </row>
    <row r="501">
      <c r="A501" s="22" t="s">
        <v>1810</v>
      </c>
      <c r="B501" s="22" t="s">
        <v>1720</v>
      </c>
      <c r="C501" s="22" t="s">
        <v>1010</v>
      </c>
      <c r="D501" s="50" t="str">
        <f t="shared" si="1"/>
        <v>2027achakrav</v>
      </c>
    </row>
    <row r="502">
      <c r="A502" s="22" t="s">
        <v>1811</v>
      </c>
      <c r="B502" s="22" t="s">
        <v>1812</v>
      </c>
      <c r="C502" s="22" t="s">
        <v>858</v>
      </c>
      <c r="D502" s="50" t="str">
        <f t="shared" si="1"/>
        <v>2027asachdev</v>
      </c>
    </row>
    <row r="503">
      <c r="A503" s="22" t="s">
        <v>1813</v>
      </c>
      <c r="B503" s="22" t="s">
        <v>1812</v>
      </c>
      <c r="C503" s="22" t="s">
        <v>998</v>
      </c>
      <c r="D503" s="50" t="str">
        <f t="shared" si="1"/>
        <v>2028dwu</v>
      </c>
    </row>
    <row r="504">
      <c r="A504" s="22" t="s">
        <v>1814</v>
      </c>
      <c r="B504" s="22" t="s">
        <v>1812</v>
      </c>
      <c r="C504" s="22" t="s">
        <v>959</v>
      </c>
      <c r="D504" s="50" t="str">
        <f t="shared" si="1"/>
        <v>2028bjonuzaj</v>
      </c>
    </row>
    <row r="505">
      <c r="A505" s="22" t="s">
        <v>1815</v>
      </c>
      <c r="B505" s="22" t="s">
        <v>1812</v>
      </c>
      <c r="C505" s="22" t="s">
        <v>934</v>
      </c>
      <c r="D505" s="50" t="str">
        <f t="shared" si="1"/>
        <v>2028bhan</v>
      </c>
    </row>
    <row r="506">
      <c r="A506" s="22" t="s">
        <v>1816</v>
      </c>
      <c r="B506" s="22" t="s">
        <v>1812</v>
      </c>
      <c r="C506" s="22" t="s">
        <v>947</v>
      </c>
      <c r="D506" s="50" t="str">
        <f t="shared" si="1"/>
        <v>2028syan</v>
      </c>
    </row>
    <row r="507">
      <c r="A507" s="22" t="s">
        <v>1817</v>
      </c>
      <c r="B507" s="22" t="s">
        <v>1812</v>
      </c>
      <c r="C507" s="22" t="s">
        <v>995</v>
      </c>
      <c r="D507" s="50" t="str">
        <f t="shared" si="1"/>
        <v>2028srangara</v>
      </c>
    </row>
    <row r="508">
      <c r="A508" s="22" t="s">
        <v>1818</v>
      </c>
      <c r="B508" s="22" t="s">
        <v>1812</v>
      </c>
      <c r="C508" s="22" t="s">
        <v>983</v>
      </c>
      <c r="D508" s="50" t="str">
        <f t="shared" si="1"/>
        <v>2028elin</v>
      </c>
    </row>
    <row r="509">
      <c r="A509" s="22" t="s">
        <v>1819</v>
      </c>
      <c r="B509" s="22" t="s">
        <v>1812</v>
      </c>
      <c r="C509" s="22" t="s">
        <v>951</v>
      </c>
      <c r="D509" s="50" t="str">
        <f t="shared" si="1"/>
        <v>2028yli</v>
      </c>
    </row>
    <row r="510">
      <c r="A510" s="22" t="s">
        <v>1820</v>
      </c>
      <c r="B510" s="22" t="s">
        <v>1812</v>
      </c>
      <c r="C510" s="22" t="s">
        <v>865</v>
      </c>
      <c r="D510" s="50" t="str">
        <f t="shared" si="1"/>
        <v>2026anaidan</v>
      </c>
    </row>
    <row r="511">
      <c r="A511" s="22" t="s">
        <v>1821</v>
      </c>
      <c r="B511" s="22" t="s">
        <v>1812</v>
      </c>
      <c r="C511" s="22" t="s">
        <v>942</v>
      </c>
      <c r="D511" s="50" t="str">
        <f t="shared" si="1"/>
        <v>2028che</v>
      </c>
    </row>
    <row r="512">
      <c r="A512" s="22" t="s">
        <v>1822</v>
      </c>
      <c r="B512" s="22" t="s">
        <v>1812</v>
      </c>
      <c r="C512" s="22" t="s">
        <v>952</v>
      </c>
      <c r="D512" s="50" t="str">
        <f t="shared" si="1"/>
        <v>2028mlin</v>
      </c>
    </row>
    <row r="513">
      <c r="A513" s="22" t="s">
        <v>1823</v>
      </c>
      <c r="B513" s="22" t="s">
        <v>1812</v>
      </c>
      <c r="C513" s="22" t="s">
        <v>1288</v>
      </c>
      <c r="D513" s="50" t="str">
        <f t="shared" si="1"/>
        <v>2025mlin</v>
      </c>
    </row>
    <row r="514">
      <c r="A514" s="22" t="s">
        <v>1824</v>
      </c>
      <c r="B514" s="22" t="s">
        <v>1812</v>
      </c>
      <c r="C514" s="22" t="s">
        <v>980</v>
      </c>
      <c r="D514" s="50" t="str">
        <f t="shared" si="1"/>
        <v>2028hzhou</v>
      </c>
    </row>
    <row r="515">
      <c r="A515" s="22" t="s">
        <v>1825</v>
      </c>
      <c r="B515" s="22" t="s">
        <v>1812</v>
      </c>
      <c r="C515" s="22" t="s">
        <v>997</v>
      </c>
      <c r="D515" s="50" t="str">
        <f t="shared" si="1"/>
        <v>2028jchan</v>
      </c>
    </row>
    <row r="516">
      <c r="A516" s="22" t="s">
        <v>1826</v>
      </c>
      <c r="B516" s="22" t="s">
        <v>1812</v>
      </c>
      <c r="C516" s="22" t="s">
        <v>770</v>
      </c>
      <c r="D516" s="50" t="str">
        <f t="shared" si="1"/>
        <v>2027bko</v>
      </c>
    </row>
    <row r="517">
      <c r="A517" s="22" t="s">
        <v>1827</v>
      </c>
      <c r="B517" s="22" t="s">
        <v>1812</v>
      </c>
      <c r="C517" s="22" t="s">
        <v>1002</v>
      </c>
      <c r="D517" s="50" t="str">
        <f t="shared" si="1"/>
        <v>2028dduong</v>
      </c>
    </row>
    <row r="518">
      <c r="A518" s="22" t="s">
        <v>1828</v>
      </c>
      <c r="B518" s="22" t="s">
        <v>1812</v>
      </c>
      <c r="C518" s="22" t="s">
        <v>941</v>
      </c>
      <c r="D518" s="50" t="str">
        <f t="shared" si="1"/>
        <v>2028dbhooma</v>
      </c>
    </row>
    <row r="519">
      <c r="A519" s="22" t="s">
        <v>1829</v>
      </c>
      <c r="B519" s="22" t="s">
        <v>1812</v>
      </c>
      <c r="C519" s="22" t="s">
        <v>779</v>
      </c>
      <c r="D519" s="50" t="str">
        <f t="shared" si="1"/>
        <v>2027jdurr</v>
      </c>
    </row>
    <row r="520">
      <c r="A520" s="22" t="s">
        <v>1830</v>
      </c>
      <c r="B520" s="22" t="s">
        <v>1812</v>
      </c>
      <c r="C520" s="22" t="s">
        <v>929</v>
      </c>
      <c r="D520" s="50" t="str">
        <f t="shared" si="1"/>
        <v>2028dhe</v>
      </c>
    </row>
    <row r="521">
      <c r="A521" s="22" t="s">
        <v>1831</v>
      </c>
      <c r="B521" s="22" t="s">
        <v>1812</v>
      </c>
      <c r="C521" s="22" t="s">
        <v>927</v>
      </c>
      <c r="D521" s="50" t="str">
        <f t="shared" si="1"/>
        <v>2027arao</v>
      </c>
    </row>
    <row r="522">
      <c r="A522" s="22" t="s">
        <v>1832</v>
      </c>
      <c r="B522" s="22" t="s">
        <v>1812</v>
      </c>
      <c r="C522" s="22" t="s">
        <v>774</v>
      </c>
      <c r="D522" s="50" t="str">
        <f t="shared" si="1"/>
        <v>2027ltrachte</v>
      </c>
    </row>
    <row r="523">
      <c r="A523" s="22" t="s">
        <v>1833</v>
      </c>
      <c r="B523" s="22" t="s">
        <v>1812</v>
      </c>
      <c r="C523" s="22" t="s">
        <v>856</v>
      </c>
      <c r="D523" s="50" t="str">
        <f t="shared" si="1"/>
        <v>2027smahmud</v>
      </c>
    </row>
    <row r="524">
      <c r="A524" s="22" t="s">
        <v>1834</v>
      </c>
      <c r="B524" s="22" t="s">
        <v>1812</v>
      </c>
      <c r="C524" s="22" t="s">
        <v>1045</v>
      </c>
      <c r="D524" s="50" t="str">
        <f t="shared" si="1"/>
        <v>#N/A</v>
      </c>
    </row>
    <row r="525">
      <c r="A525" s="22" t="s">
        <v>1835</v>
      </c>
      <c r="B525" s="22" t="s">
        <v>1720</v>
      </c>
      <c r="C525" s="22" t="s">
        <v>1241</v>
      </c>
      <c r="D525" s="50" t="str">
        <f t="shared" si="1"/>
        <v>2025jyoo</v>
      </c>
    </row>
    <row r="526">
      <c r="A526" s="22" t="s">
        <v>1836</v>
      </c>
      <c r="B526" s="22" t="s">
        <v>1812</v>
      </c>
      <c r="C526" s="22" t="s">
        <v>813</v>
      </c>
      <c r="D526" s="50" t="str">
        <f t="shared" si="1"/>
        <v>2027vrayavar</v>
      </c>
    </row>
    <row r="527">
      <c r="A527" s="22" t="s">
        <v>1837</v>
      </c>
      <c r="B527" s="22" t="s">
        <v>1812</v>
      </c>
      <c r="C527" s="22" t="s">
        <v>944</v>
      </c>
      <c r="D527" s="50" t="str">
        <f t="shared" si="1"/>
        <v>2028zrasti</v>
      </c>
    </row>
    <row r="528">
      <c r="A528" s="22" t="s">
        <v>1838</v>
      </c>
      <c r="B528" s="22" t="s">
        <v>1812</v>
      </c>
      <c r="C528" s="22" t="s">
        <v>1019</v>
      </c>
      <c r="D528" s="50" t="str">
        <f t="shared" si="1"/>
        <v>2028sthammis</v>
      </c>
    </row>
    <row r="529">
      <c r="A529" s="22" t="s">
        <v>1839</v>
      </c>
      <c r="B529" s="22" t="s">
        <v>1812</v>
      </c>
      <c r="C529" s="22" t="s">
        <v>989</v>
      </c>
      <c r="D529" s="50" t="str">
        <f t="shared" si="1"/>
        <v>2028pmishra</v>
      </c>
    </row>
    <row r="530">
      <c r="A530" s="22" t="s">
        <v>1840</v>
      </c>
      <c r="B530" s="22" t="s">
        <v>1812</v>
      </c>
      <c r="C530" s="22" t="s">
        <v>699</v>
      </c>
      <c r="D530" s="50" t="str">
        <f t="shared" si="1"/>
        <v>2026anarayan</v>
      </c>
    </row>
    <row r="531">
      <c r="A531" s="22" t="s">
        <v>1841</v>
      </c>
      <c r="B531" s="22" t="s">
        <v>1812</v>
      </c>
      <c r="C531" s="22" t="s">
        <v>992</v>
      </c>
      <c r="D531" s="50" t="str">
        <f t="shared" si="1"/>
        <v>2028dpeng</v>
      </c>
    </row>
    <row r="532">
      <c r="A532" s="22" t="s">
        <v>1842</v>
      </c>
      <c r="B532" s="22" t="s">
        <v>1812</v>
      </c>
      <c r="C532" s="22" t="s">
        <v>968</v>
      </c>
      <c r="D532" s="50" t="str">
        <f t="shared" si="1"/>
        <v>2028lmeng</v>
      </c>
    </row>
    <row r="533">
      <c r="A533" s="22" t="s">
        <v>1843</v>
      </c>
      <c r="B533" s="22" t="s">
        <v>1812</v>
      </c>
      <c r="C533" s="22" t="s">
        <v>717</v>
      </c>
      <c r="D533" s="50" t="str">
        <f t="shared" si="1"/>
        <v>2026jhernand</v>
      </c>
    </row>
    <row r="534">
      <c r="A534" s="22" t="s">
        <v>1844</v>
      </c>
      <c r="B534" s="22" t="s">
        <v>1812</v>
      </c>
      <c r="C534" s="22" t="s">
        <v>935</v>
      </c>
      <c r="D534" s="50" t="str">
        <f t="shared" si="1"/>
        <v>2028szhang</v>
      </c>
    </row>
    <row r="535">
      <c r="A535" s="22" t="s">
        <v>1845</v>
      </c>
      <c r="B535" s="22" t="s">
        <v>1812</v>
      </c>
      <c r="C535" s="22" t="s">
        <v>1008</v>
      </c>
      <c r="D535" s="50" t="str">
        <f t="shared" si="1"/>
        <v>2028apokhrel</v>
      </c>
    </row>
    <row r="536">
      <c r="A536" s="22" t="s">
        <v>1846</v>
      </c>
      <c r="B536" s="22" t="s">
        <v>1812</v>
      </c>
      <c r="C536" s="22" t="s">
        <v>806</v>
      </c>
      <c r="D536" s="50" t="str">
        <f t="shared" si="1"/>
        <v>2026jma</v>
      </c>
    </row>
    <row r="537">
      <c r="A537" s="22" t="s">
        <v>1847</v>
      </c>
      <c r="B537" s="22" t="s">
        <v>1812</v>
      </c>
      <c r="C537" s="22" t="s">
        <v>967</v>
      </c>
      <c r="D537" s="50" t="str">
        <f t="shared" si="1"/>
        <v>2028asu</v>
      </c>
    </row>
    <row r="538">
      <c r="A538" s="22" t="s">
        <v>1848</v>
      </c>
      <c r="B538" s="22" t="s">
        <v>1812</v>
      </c>
      <c r="C538" s="22" t="s">
        <v>996</v>
      </c>
      <c r="D538" s="50" t="str">
        <f t="shared" si="1"/>
        <v>2028ana</v>
      </c>
    </row>
    <row r="539">
      <c r="A539" s="22" t="s">
        <v>1849</v>
      </c>
      <c r="B539" s="22" t="s">
        <v>1812</v>
      </c>
      <c r="C539" s="22" t="s">
        <v>1026</v>
      </c>
      <c r="D539" s="50" t="str">
        <f t="shared" si="1"/>
        <v>2028egu</v>
      </c>
    </row>
    <row r="540">
      <c r="A540" s="22" t="s">
        <v>1850</v>
      </c>
      <c r="B540" s="22" t="s">
        <v>1812</v>
      </c>
      <c r="C540" s="22" t="s">
        <v>1026</v>
      </c>
      <c r="D540" s="50" t="str">
        <f t="shared" si="1"/>
        <v>2028egu</v>
      </c>
    </row>
    <row r="541">
      <c r="A541" s="22" t="s">
        <v>1851</v>
      </c>
      <c r="B541" s="22" t="s">
        <v>1812</v>
      </c>
      <c r="C541" s="22" t="s">
        <v>932</v>
      </c>
      <c r="D541" s="50" t="str">
        <f t="shared" si="1"/>
        <v>2028rzhao</v>
      </c>
    </row>
    <row r="542">
      <c r="A542" s="22" t="s">
        <v>1852</v>
      </c>
      <c r="B542" s="22" t="s">
        <v>1812</v>
      </c>
      <c r="C542" s="22" t="s">
        <v>970</v>
      </c>
      <c r="D542" s="50" t="str">
        <f t="shared" si="1"/>
        <v>2027mbu</v>
      </c>
    </row>
    <row r="543">
      <c r="A543" s="22" t="s">
        <v>1853</v>
      </c>
      <c r="B543" s="22" t="s">
        <v>1812</v>
      </c>
      <c r="C543" s="22" t="s">
        <v>919</v>
      </c>
      <c r="D543" s="50" t="str">
        <f t="shared" si="1"/>
        <v>2027ekim</v>
      </c>
    </row>
    <row r="544">
      <c r="A544" s="22" t="s">
        <v>1854</v>
      </c>
      <c r="B544" s="22" t="s">
        <v>1812</v>
      </c>
      <c r="C544" s="22" t="s">
        <v>939</v>
      </c>
      <c r="D544" s="50" t="str">
        <f t="shared" si="1"/>
        <v>2027apesalad</v>
      </c>
    </row>
    <row r="545">
      <c r="A545" s="22" t="s">
        <v>1855</v>
      </c>
      <c r="B545" s="22" t="s">
        <v>1812</v>
      </c>
      <c r="C545" s="22" t="s">
        <v>1230</v>
      </c>
      <c r="D545" s="50" t="str">
        <f t="shared" si="1"/>
        <v>2025jhao</v>
      </c>
    </row>
    <row r="546">
      <c r="A546" s="22" t="s">
        <v>1856</v>
      </c>
      <c r="B546" s="22" t="s">
        <v>1812</v>
      </c>
      <c r="C546" s="22" t="s">
        <v>764</v>
      </c>
      <c r="D546" s="50" t="str">
        <f t="shared" si="1"/>
        <v>2027zizzi</v>
      </c>
    </row>
    <row r="547">
      <c r="A547" s="22" t="s">
        <v>1857</v>
      </c>
      <c r="B547" s="22" t="s">
        <v>1812</v>
      </c>
      <c r="C547" s="22" t="s">
        <v>668</v>
      </c>
      <c r="D547" s="50" t="str">
        <f t="shared" si="1"/>
        <v>2026ludeshi</v>
      </c>
    </row>
    <row r="548">
      <c r="A548" s="22" t="s">
        <v>1858</v>
      </c>
      <c r="B548" s="22" t="s">
        <v>1812</v>
      </c>
      <c r="C548" s="22" t="s">
        <v>924</v>
      </c>
      <c r="D548" s="50" t="str">
        <f t="shared" si="1"/>
        <v>2028relias</v>
      </c>
    </row>
    <row r="549">
      <c r="A549" s="22" t="s">
        <v>1859</v>
      </c>
      <c r="B549" s="22" t="s">
        <v>1812</v>
      </c>
      <c r="C549" s="22" t="s">
        <v>830</v>
      </c>
      <c r="D549" s="50" t="str">
        <f t="shared" si="1"/>
        <v>2027rguo</v>
      </c>
    </row>
    <row r="550">
      <c r="A550" s="22" t="s">
        <v>1860</v>
      </c>
      <c r="B550" s="22" t="s">
        <v>1812</v>
      </c>
      <c r="C550" s="22" t="s">
        <v>1263</v>
      </c>
      <c r="D550" s="50" t="str">
        <f t="shared" si="1"/>
        <v>2025jkim</v>
      </c>
    </row>
    <row r="551">
      <c r="A551" s="22" t="s">
        <v>1861</v>
      </c>
      <c r="B551" s="22" t="s">
        <v>1812</v>
      </c>
      <c r="C551" s="22" t="s">
        <v>800</v>
      </c>
      <c r="D551" s="50" t="str">
        <f t="shared" si="1"/>
        <v>2027atalreja</v>
      </c>
    </row>
    <row r="552">
      <c r="A552" s="22" t="s">
        <v>1862</v>
      </c>
      <c r="B552" s="22" t="s">
        <v>1812</v>
      </c>
      <c r="C552" s="22" t="s">
        <v>869</v>
      </c>
      <c r="D552" s="50" t="str">
        <f t="shared" si="1"/>
        <v>2027akode</v>
      </c>
    </row>
    <row r="553">
      <c r="A553" s="22" t="s">
        <v>1863</v>
      </c>
      <c r="B553" s="22" t="s">
        <v>1812</v>
      </c>
      <c r="C553" s="22" t="s">
        <v>852</v>
      </c>
      <c r="D553" s="50" t="str">
        <f t="shared" si="1"/>
        <v>2027rgao</v>
      </c>
    </row>
    <row r="554">
      <c r="A554" s="22" t="s">
        <v>1864</v>
      </c>
      <c r="B554" s="22" t="s">
        <v>1812</v>
      </c>
      <c r="C554" s="22" t="s">
        <v>1004</v>
      </c>
      <c r="D554" s="50" t="str">
        <f t="shared" si="1"/>
        <v>2028osazhyn</v>
      </c>
    </row>
    <row r="555">
      <c r="A555" s="22" t="s">
        <v>1865</v>
      </c>
      <c r="B555" s="22" t="s">
        <v>1812</v>
      </c>
      <c r="C555" s="22" t="s">
        <v>789</v>
      </c>
      <c r="D555" s="50" t="str">
        <f t="shared" si="1"/>
        <v>2027tho</v>
      </c>
    </row>
    <row r="556">
      <c r="A556" s="22" t="s">
        <v>1866</v>
      </c>
      <c r="B556" s="22" t="s">
        <v>1812</v>
      </c>
      <c r="C556" s="22" t="s">
        <v>807</v>
      </c>
      <c r="D556" s="50" t="str">
        <f t="shared" si="1"/>
        <v>2027asondhi</v>
      </c>
    </row>
    <row r="557">
      <c r="A557" s="22" t="s">
        <v>1867</v>
      </c>
      <c r="B557" s="22" t="s">
        <v>1812</v>
      </c>
      <c r="C557" s="22" t="s">
        <v>788</v>
      </c>
      <c r="D557" s="50" t="str">
        <f t="shared" si="1"/>
        <v>2027itennyso</v>
      </c>
    </row>
    <row r="558">
      <c r="A558" s="22" t="s">
        <v>1868</v>
      </c>
      <c r="B558" s="22" t="s">
        <v>1812</v>
      </c>
      <c r="C558" s="22" t="s">
        <v>881</v>
      </c>
      <c r="D558" s="50" t="str">
        <f t="shared" si="1"/>
        <v>2027aliu</v>
      </c>
    </row>
    <row r="559">
      <c r="A559" s="22" t="s">
        <v>1869</v>
      </c>
      <c r="B559" s="22" t="s">
        <v>1812</v>
      </c>
      <c r="C559" s="22" t="s">
        <v>975</v>
      </c>
      <c r="D559" s="50" t="str">
        <f t="shared" si="1"/>
        <v>2027eshan</v>
      </c>
    </row>
    <row r="560">
      <c r="A560" s="22" t="s">
        <v>1870</v>
      </c>
      <c r="B560" s="22" t="s">
        <v>1812</v>
      </c>
      <c r="C560" s="22" t="s">
        <v>931</v>
      </c>
      <c r="D560" s="50" t="str">
        <f t="shared" si="1"/>
        <v>2027pyoo</v>
      </c>
    </row>
    <row r="561">
      <c r="A561" s="22" t="s">
        <v>1871</v>
      </c>
      <c r="B561" s="22" t="s">
        <v>1812</v>
      </c>
      <c r="C561" s="22" t="s">
        <v>950</v>
      </c>
      <c r="D561" s="50" t="str">
        <f t="shared" si="1"/>
        <v>2028dvladimi</v>
      </c>
    </row>
    <row r="562">
      <c r="A562" s="22" t="s">
        <v>1872</v>
      </c>
      <c r="B562" s="22" t="s">
        <v>1812</v>
      </c>
      <c r="C562" s="22" t="s">
        <v>843</v>
      </c>
      <c r="D562" s="50" t="str">
        <f t="shared" si="1"/>
        <v>2027vraj</v>
      </c>
    </row>
    <row r="563">
      <c r="A563" s="22" t="s">
        <v>1873</v>
      </c>
      <c r="B563" s="22" t="s">
        <v>1812</v>
      </c>
      <c r="C563" s="22" t="s">
        <v>838</v>
      </c>
      <c r="D563" s="50" t="str">
        <f t="shared" si="1"/>
        <v>2027jzhang</v>
      </c>
    </row>
    <row r="564">
      <c r="A564" s="22" t="s">
        <v>1874</v>
      </c>
      <c r="B564" s="22" t="s">
        <v>1812</v>
      </c>
      <c r="C564" s="22" t="s">
        <v>868</v>
      </c>
      <c r="D564" s="50" t="str">
        <f t="shared" si="1"/>
        <v>2027ochu</v>
      </c>
    </row>
    <row r="565">
      <c r="A565" s="22" t="s">
        <v>1875</v>
      </c>
      <c r="B565" s="22" t="s">
        <v>1812</v>
      </c>
      <c r="C565" s="22" t="s">
        <v>957</v>
      </c>
      <c r="D565" s="50" t="str">
        <f t="shared" si="1"/>
        <v>2028aliu</v>
      </c>
    </row>
    <row r="566">
      <c r="A566" s="22" t="s">
        <v>1876</v>
      </c>
      <c r="B566" s="22" t="s">
        <v>1812</v>
      </c>
      <c r="C566" s="22" t="s">
        <v>756</v>
      </c>
      <c r="D566" s="50" t="str">
        <f t="shared" si="1"/>
        <v>2026abaradhi</v>
      </c>
    </row>
    <row r="567">
      <c r="A567" s="22" t="s">
        <v>1877</v>
      </c>
      <c r="B567" s="22" t="s">
        <v>1812</v>
      </c>
      <c r="C567" s="22" t="s">
        <v>809</v>
      </c>
      <c r="D567" s="50" t="str">
        <f t="shared" si="1"/>
        <v>2027sjain</v>
      </c>
    </row>
    <row r="568">
      <c r="A568" s="22" t="s">
        <v>1878</v>
      </c>
      <c r="B568" s="22" t="s">
        <v>1812</v>
      </c>
      <c r="C568" s="22" t="s">
        <v>847</v>
      </c>
      <c r="D568" s="50" t="str">
        <f t="shared" si="1"/>
        <v>2027mtaher</v>
      </c>
    </row>
    <row r="569">
      <c r="A569" s="22" t="s">
        <v>1879</v>
      </c>
      <c r="B569" s="22" t="s">
        <v>1812</v>
      </c>
      <c r="C569" s="22" t="s">
        <v>977</v>
      </c>
      <c r="D569" s="50" t="str">
        <f t="shared" si="1"/>
        <v>2027eqiu</v>
      </c>
    </row>
    <row r="570">
      <c r="A570" s="22" t="s">
        <v>1880</v>
      </c>
      <c r="B570" s="22" t="s">
        <v>1812</v>
      </c>
      <c r="C570" s="22" t="s">
        <v>667</v>
      </c>
      <c r="D570" s="50" t="str">
        <f t="shared" si="1"/>
        <v>2026iharchic</v>
      </c>
    </row>
    <row r="571">
      <c r="A571" s="22" t="s">
        <v>1881</v>
      </c>
      <c r="B571" s="22" t="s">
        <v>1812</v>
      </c>
      <c r="C571" s="22" t="s">
        <v>662</v>
      </c>
      <c r="D571" s="50" t="str">
        <f t="shared" si="1"/>
        <v>2026rwang</v>
      </c>
    </row>
    <row r="572">
      <c r="A572" s="22" t="s">
        <v>1882</v>
      </c>
      <c r="B572" s="22" t="s">
        <v>1812</v>
      </c>
      <c r="C572" s="22" t="s">
        <v>688</v>
      </c>
      <c r="D572" s="50" t="str">
        <f t="shared" si="1"/>
        <v>2026cmorimot</v>
      </c>
    </row>
    <row r="573">
      <c r="A573" s="22" t="s">
        <v>1883</v>
      </c>
      <c r="B573" s="22" t="s">
        <v>1812</v>
      </c>
      <c r="C573" s="22" t="s">
        <v>1239</v>
      </c>
      <c r="D573" s="50" t="str">
        <f t="shared" si="1"/>
        <v>2025alee1</v>
      </c>
    </row>
    <row r="574">
      <c r="A574" s="22" t="s">
        <v>1884</v>
      </c>
      <c r="B574" s="22" t="s">
        <v>1812</v>
      </c>
      <c r="C574" s="22" t="s">
        <v>1241</v>
      </c>
      <c r="D574" s="50" t="str">
        <f t="shared" si="1"/>
        <v>2025jyoo</v>
      </c>
    </row>
    <row r="575">
      <c r="A575" s="22" t="s">
        <v>1885</v>
      </c>
      <c r="B575" s="22" t="s">
        <v>1812</v>
      </c>
      <c r="C575" s="22" t="s">
        <v>1255</v>
      </c>
      <c r="D575" s="50" t="str">
        <f t="shared" si="1"/>
        <v>2025apagidi</v>
      </c>
    </row>
    <row r="576">
      <c r="A576" s="22" t="s">
        <v>1886</v>
      </c>
      <c r="B576" s="22" t="s">
        <v>1720</v>
      </c>
      <c r="C576" s="22" t="s">
        <v>953</v>
      </c>
      <c r="D576" s="50" t="str">
        <f t="shared" si="1"/>
        <v>2027eguo</v>
      </c>
    </row>
    <row r="577">
      <c r="A577" s="22" t="s">
        <v>1887</v>
      </c>
      <c r="B577" s="22" t="s">
        <v>1812</v>
      </c>
      <c r="C577" s="22" t="s">
        <v>953</v>
      </c>
      <c r="D577" s="50" t="str">
        <f t="shared" si="1"/>
        <v>2027eguo</v>
      </c>
    </row>
    <row r="578">
      <c r="A578" s="22" t="s">
        <v>1888</v>
      </c>
      <c r="B578" s="22" t="s">
        <v>1812</v>
      </c>
      <c r="C578" s="22" t="s">
        <v>732</v>
      </c>
      <c r="D578" s="50" t="str">
        <f t="shared" si="1"/>
        <v>2026ejaldint</v>
      </c>
    </row>
    <row r="579">
      <c r="A579" s="22" t="s">
        <v>1889</v>
      </c>
      <c r="B579" s="22" t="s">
        <v>1890</v>
      </c>
      <c r="C579" s="22" t="s">
        <v>662</v>
      </c>
      <c r="D579" s="50" t="str">
        <f t="shared" si="1"/>
        <v>2026rwang</v>
      </c>
    </row>
    <row r="580">
      <c r="A580" s="22" t="s">
        <v>1891</v>
      </c>
      <c r="B580" s="22" t="s">
        <v>1892</v>
      </c>
      <c r="C580" s="22" t="s">
        <v>662</v>
      </c>
      <c r="D580" s="50" t="str">
        <f t="shared" si="1"/>
        <v>2026rwang</v>
      </c>
    </row>
    <row r="581">
      <c r="A581" s="22" t="s">
        <v>1893</v>
      </c>
      <c r="B581" s="22" t="s">
        <v>1890</v>
      </c>
      <c r="C581" s="22" t="s">
        <v>813</v>
      </c>
      <c r="D581" s="50" t="str">
        <f t="shared" si="1"/>
        <v>2027vrayavar</v>
      </c>
    </row>
    <row r="582">
      <c r="A582" s="22" t="s">
        <v>1894</v>
      </c>
      <c r="B582" s="22" t="s">
        <v>1890</v>
      </c>
      <c r="C582" s="22" t="s">
        <v>950</v>
      </c>
      <c r="D582" s="50" t="str">
        <f t="shared" si="1"/>
        <v>2028dvladimi</v>
      </c>
    </row>
    <row r="583">
      <c r="A583" s="22" t="s">
        <v>1895</v>
      </c>
      <c r="B583" s="22" t="s">
        <v>1890</v>
      </c>
      <c r="C583" s="22" t="s">
        <v>964</v>
      </c>
      <c r="D583" s="50" t="str">
        <f t="shared" si="1"/>
        <v>2028ldober</v>
      </c>
    </row>
    <row r="584">
      <c r="A584" s="22" t="s">
        <v>1896</v>
      </c>
      <c r="B584" s="22" t="s">
        <v>1890</v>
      </c>
      <c r="C584" s="22" t="s">
        <v>1241</v>
      </c>
      <c r="D584" s="50" t="str">
        <f t="shared" si="1"/>
        <v>2025jyoo</v>
      </c>
    </row>
    <row r="585">
      <c r="A585" s="22" t="s">
        <v>1897</v>
      </c>
      <c r="B585" s="22" t="s">
        <v>1890</v>
      </c>
      <c r="C585" s="22" t="s">
        <v>1225</v>
      </c>
      <c r="D585" s="50" t="str">
        <f t="shared" si="1"/>
        <v>2025ywang</v>
      </c>
    </row>
    <row r="586">
      <c r="A586" s="22" t="s">
        <v>1898</v>
      </c>
      <c r="B586" s="22" t="s">
        <v>1890</v>
      </c>
      <c r="C586" s="22" t="s">
        <v>856</v>
      </c>
      <c r="D586" s="50" t="str">
        <f t="shared" si="1"/>
        <v>2027smahmud</v>
      </c>
    </row>
    <row r="587">
      <c r="A587" s="22" t="s">
        <v>1899</v>
      </c>
      <c r="B587" s="22" t="s">
        <v>1890</v>
      </c>
      <c r="C587" s="22" t="s">
        <v>961</v>
      </c>
      <c r="D587" s="50" t="str">
        <f t="shared" si="1"/>
        <v>2028tdeng</v>
      </c>
    </row>
    <row r="588">
      <c r="A588" s="22" t="s">
        <v>1900</v>
      </c>
      <c r="B588" s="22" t="s">
        <v>1890</v>
      </c>
      <c r="C588" s="22" t="s">
        <v>975</v>
      </c>
      <c r="D588" s="50" t="str">
        <f t="shared" si="1"/>
        <v>2027eshan</v>
      </c>
    </row>
    <row r="589">
      <c r="A589" s="22" t="s">
        <v>1901</v>
      </c>
      <c r="B589" s="22" t="s">
        <v>1890</v>
      </c>
      <c r="C589" s="22" t="s">
        <v>777</v>
      </c>
      <c r="D589" s="50" t="str">
        <f t="shared" si="1"/>
        <v>2027esombhat</v>
      </c>
    </row>
    <row r="590">
      <c r="A590" s="22" t="s">
        <v>1902</v>
      </c>
      <c r="B590" s="22" t="s">
        <v>1890</v>
      </c>
      <c r="C590" s="22" t="s">
        <v>979</v>
      </c>
      <c r="D590" s="50" t="str">
        <f t="shared" si="1"/>
        <v>2027mhuang</v>
      </c>
    </row>
    <row r="591">
      <c r="A591" s="22" t="s">
        <v>1903</v>
      </c>
      <c r="B591" s="22" t="s">
        <v>1890</v>
      </c>
      <c r="C591" s="22" t="s">
        <v>788</v>
      </c>
      <c r="D591" s="50" t="str">
        <f t="shared" si="1"/>
        <v>2027itennyso</v>
      </c>
    </row>
    <row r="592">
      <c r="A592" s="22" t="s">
        <v>1904</v>
      </c>
      <c r="B592" s="22" t="s">
        <v>1890</v>
      </c>
      <c r="C592" s="22" t="s">
        <v>764</v>
      </c>
      <c r="D592" s="50" t="str">
        <f t="shared" si="1"/>
        <v>2027zizzi</v>
      </c>
    </row>
    <row r="593">
      <c r="A593" s="22" t="s">
        <v>1905</v>
      </c>
      <c r="B593" s="22" t="s">
        <v>1890</v>
      </c>
      <c r="C593" s="22" t="s">
        <v>865</v>
      </c>
      <c r="D593" s="50" t="str">
        <f t="shared" si="1"/>
        <v>2026anaidan</v>
      </c>
    </row>
    <row r="594">
      <c r="A594" s="22" t="s">
        <v>1906</v>
      </c>
      <c r="B594" s="22" t="s">
        <v>1890</v>
      </c>
      <c r="C594" s="22" t="s">
        <v>775</v>
      </c>
      <c r="D594" s="50" t="str">
        <f t="shared" si="1"/>
        <v>2027cchen</v>
      </c>
    </row>
    <row r="595">
      <c r="A595" s="22" t="s">
        <v>1907</v>
      </c>
      <c r="B595" s="22" t="s">
        <v>1890</v>
      </c>
      <c r="C595" s="22" t="s">
        <v>814</v>
      </c>
      <c r="D595" s="50" t="str">
        <f t="shared" si="1"/>
        <v>2027vcao</v>
      </c>
    </row>
    <row r="596">
      <c r="A596" s="22" t="s">
        <v>1908</v>
      </c>
      <c r="B596" s="22" t="s">
        <v>1890</v>
      </c>
      <c r="C596" s="22" t="s">
        <v>881</v>
      </c>
      <c r="D596" s="50" t="str">
        <f t="shared" si="1"/>
        <v>2027aliu</v>
      </c>
    </row>
    <row r="597">
      <c r="A597" s="22" t="s">
        <v>1909</v>
      </c>
      <c r="B597" s="22" t="s">
        <v>1890</v>
      </c>
      <c r="C597" s="22" t="s">
        <v>1011</v>
      </c>
      <c r="D597" s="50" t="str">
        <f t="shared" si="1"/>
        <v>2028palladu</v>
      </c>
    </row>
    <row r="598">
      <c r="A598" s="22" t="s">
        <v>1910</v>
      </c>
      <c r="B598" s="22" t="s">
        <v>1892</v>
      </c>
      <c r="C598" s="22" t="s">
        <v>1241</v>
      </c>
      <c r="D598" s="50" t="str">
        <f t="shared" si="1"/>
        <v>2025jyoo</v>
      </c>
    </row>
    <row r="599">
      <c r="A599" s="22" t="s">
        <v>1911</v>
      </c>
      <c r="B599" s="22" t="s">
        <v>1890</v>
      </c>
      <c r="C599" s="22" t="s">
        <v>760</v>
      </c>
      <c r="D599" s="50" t="str">
        <f t="shared" si="1"/>
        <v>2027kparmar</v>
      </c>
    </row>
    <row r="600">
      <c r="A600" s="22" t="s">
        <v>1912</v>
      </c>
      <c r="B600" s="22" t="s">
        <v>1890</v>
      </c>
      <c r="C600" s="22" t="s">
        <v>690</v>
      </c>
      <c r="D600" s="50" t="str">
        <f t="shared" si="1"/>
        <v>2026rsingh2</v>
      </c>
    </row>
    <row r="601">
      <c r="A601" s="22" t="s">
        <v>1913</v>
      </c>
      <c r="B601" s="22" t="s">
        <v>1890</v>
      </c>
      <c r="C601" s="22" t="s">
        <v>1356</v>
      </c>
      <c r="D601" s="50" t="str">
        <f t="shared" si="1"/>
        <v>2025avijayra</v>
      </c>
    </row>
    <row r="602">
      <c r="A602" s="22" t="s">
        <v>1914</v>
      </c>
      <c r="B602" s="22" t="s">
        <v>1890</v>
      </c>
      <c r="C602" s="22" t="s">
        <v>965</v>
      </c>
      <c r="D602" s="50" t="str">
        <f t="shared" si="1"/>
        <v>2028athota</v>
      </c>
    </row>
    <row r="603">
      <c r="A603" s="22" t="s">
        <v>1915</v>
      </c>
      <c r="B603" s="22" t="s">
        <v>1890</v>
      </c>
      <c r="C603" s="22" t="s">
        <v>926</v>
      </c>
      <c r="D603" s="50" t="str">
        <f t="shared" si="1"/>
        <v>2027rbala</v>
      </c>
    </row>
    <row r="604">
      <c r="A604" s="22" t="s">
        <v>1916</v>
      </c>
      <c r="B604" s="22" t="s">
        <v>1890</v>
      </c>
      <c r="C604" s="22" t="s">
        <v>770</v>
      </c>
      <c r="D604" s="50" t="str">
        <f t="shared" si="1"/>
        <v>2027bko</v>
      </c>
    </row>
    <row r="605">
      <c r="A605" s="22" t="s">
        <v>1917</v>
      </c>
      <c r="B605" s="22" t="s">
        <v>1890</v>
      </c>
      <c r="C605" s="22" t="s">
        <v>1263</v>
      </c>
      <c r="D605" s="50" t="str">
        <f t="shared" si="1"/>
        <v>2025jkim</v>
      </c>
    </row>
    <row r="606">
      <c r="A606" s="22" t="s">
        <v>1918</v>
      </c>
      <c r="B606" s="22" t="s">
        <v>1890</v>
      </c>
      <c r="C606" s="22" t="s">
        <v>956</v>
      </c>
      <c r="D606" s="50" t="str">
        <f t="shared" si="1"/>
        <v>2028vlee</v>
      </c>
    </row>
    <row r="607">
      <c r="A607" s="22" t="s">
        <v>1919</v>
      </c>
      <c r="B607" s="22" t="s">
        <v>1890</v>
      </c>
      <c r="C607" s="22" t="s">
        <v>1258</v>
      </c>
      <c r="D607" s="50" t="str">
        <f t="shared" si="1"/>
        <v>2025rzhang1</v>
      </c>
    </row>
    <row r="608">
      <c r="A608" s="22" t="s">
        <v>1920</v>
      </c>
      <c r="B608" s="22" t="s">
        <v>1890</v>
      </c>
      <c r="C608" s="22" t="s">
        <v>942</v>
      </c>
      <c r="D608" s="50" t="str">
        <f t="shared" si="1"/>
        <v>2028che</v>
      </c>
    </row>
    <row r="609">
      <c r="A609" s="22" t="s">
        <v>1921</v>
      </c>
      <c r="B609" s="22" t="s">
        <v>1890</v>
      </c>
      <c r="C609" s="22" t="s">
        <v>929</v>
      </c>
      <c r="D609" s="50" t="str">
        <f t="shared" si="1"/>
        <v>2028dhe</v>
      </c>
    </row>
    <row r="610">
      <c r="A610" s="22" t="s">
        <v>1922</v>
      </c>
      <c r="B610" s="22" t="s">
        <v>1890</v>
      </c>
      <c r="C610" s="22" t="s">
        <v>843</v>
      </c>
      <c r="D610" s="50" t="str">
        <f t="shared" si="1"/>
        <v>2027vraj</v>
      </c>
    </row>
    <row r="611">
      <c r="A611" s="22" t="s">
        <v>1923</v>
      </c>
      <c r="B611" s="22" t="s">
        <v>1890</v>
      </c>
      <c r="C611" s="22" t="s">
        <v>919</v>
      </c>
      <c r="D611" s="50" t="str">
        <f t="shared" si="1"/>
        <v>2027ekim</v>
      </c>
    </row>
    <row r="612">
      <c r="A612" s="22" t="s">
        <v>1924</v>
      </c>
      <c r="B612" s="22" t="s">
        <v>1890</v>
      </c>
      <c r="C612" s="22" t="s">
        <v>1230</v>
      </c>
      <c r="D612" s="50" t="str">
        <f t="shared" si="1"/>
        <v>2025jhao</v>
      </c>
    </row>
    <row r="613">
      <c r="A613" s="22" t="s">
        <v>1925</v>
      </c>
      <c r="B613" s="22" t="s">
        <v>1890</v>
      </c>
      <c r="C613" s="22" t="s">
        <v>1008</v>
      </c>
      <c r="D613" s="50" t="str">
        <f t="shared" si="1"/>
        <v>2028apokhrel</v>
      </c>
    </row>
    <row r="614">
      <c r="A614" s="22" t="s">
        <v>1926</v>
      </c>
      <c r="B614" s="22" t="s">
        <v>1890</v>
      </c>
      <c r="C614" s="22" t="s">
        <v>970</v>
      </c>
      <c r="D614" s="50" t="str">
        <f t="shared" si="1"/>
        <v>2027mbu</v>
      </c>
    </row>
    <row r="615">
      <c r="A615" s="22" t="s">
        <v>1927</v>
      </c>
      <c r="B615" s="22" t="s">
        <v>1890</v>
      </c>
      <c r="C615" s="22" t="s">
        <v>935</v>
      </c>
      <c r="D615" s="50" t="str">
        <f t="shared" si="1"/>
        <v>2028szhang</v>
      </c>
    </row>
    <row r="616">
      <c r="A616" s="22" t="s">
        <v>1928</v>
      </c>
      <c r="B616" s="22" t="s">
        <v>1890</v>
      </c>
      <c r="C616" s="22" t="s">
        <v>980</v>
      </c>
      <c r="D616" s="50" t="str">
        <f t="shared" si="1"/>
        <v>2028hzhou</v>
      </c>
    </row>
    <row r="617">
      <c r="A617" s="22" t="s">
        <v>1929</v>
      </c>
      <c r="B617" s="22" t="s">
        <v>1890</v>
      </c>
      <c r="C617" s="22" t="s">
        <v>936</v>
      </c>
      <c r="D617" s="50" t="str">
        <f t="shared" si="1"/>
        <v>2028ylin</v>
      </c>
    </row>
    <row r="618">
      <c r="A618" s="22" t="s">
        <v>1930</v>
      </c>
      <c r="B618" s="22" t="s">
        <v>1890</v>
      </c>
      <c r="C618" s="22" t="s">
        <v>960</v>
      </c>
      <c r="D618" s="50" t="str">
        <f t="shared" si="1"/>
        <v>2028srao</v>
      </c>
    </row>
    <row r="619">
      <c r="A619" s="22" t="s">
        <v>1931</v>
      </c>
      <c r="B619" s="22" t="s">
        <v>1890</v>
      </c>
      <c r="C619" s="22" t="s">
        <v>1016</v>
      </c>
      <c r="D619" s="50" t="str">
        <f t="shared" si="1"/>
        <v>2028krudinsk</v>
      </c>
    </row>
    <row r="620">
      <c r="A620" s="22" t="s">
        <v>1932</v>
      </c>
      <c r="B620" s="22" t="s">
        <v>1890</v>
      </c>
      <c r="C620" s="22" t="s">
        <v>1031</v>
      </c>
      <c r="D620" s="50" t="str">
        <f t="shared" si="1"/>
        <v>2028mayyalas</v>
      </c>
    </row>
    <row r="621">
      <c r="A621" s="22" t="s">
        <v>1933</v>
      </c>
      <c r="B621" s="22" t="s">
        <v>1890</v>
      </c>
      <c r="C621" s="22" t="s">
        <v>949</v>
      </c>
      <c r="D621" s="50" t="str">
        <f t="shared" si="1"/>
        <v>2028jli1</v>
      </c>
    </row>
    <row r="622">
      <c r="A622" s="22" t="s">
        <v>1934</v>
      </c>
      <c r="B622" s="22" t="s">
        <v>1890</v>
      </c>
      <c r="C622" s="22" t="s">
        <v>949</v>
      </c>
      <c r="D622" s="50" t="str">
        <f t="shared" si="1"/>
        <v>2028jli1</v>
      </c>
    </row>
    <row r="623">
      <c r="A623" s="22" t="s">
        <v>1935</v>
      </c>
      <c r="B623" s="22" t="s">
        <v>1890</v>
      </c>
      <c r="C623" s="22" t="s">
        <v>949</v>
      </c>
      <c r="D623" s="50" t="str">
        <f t="shared" si="1"/>
        <v>2028jli1</v>
      </c>
    </row>
    <row r="624">
      <c r="A624" s="22" t="s">
        <v>1936</v>
      </c>
      <c r="B624" s="22" t="s">
        <v>1890</v>
      </c>
      <c r="C624" s="22" t="s">
        <v>949</v>
      </c>
      <c r="D624" s="50" t="str">
        <f t="shared" si="1"/>
        <v>2028jli1</v>
      </c>
    </row>
    <row r="625">
      <c r="A625" s="22" t="s">
        <v>1937</v>
      </c>
      <c r="B625" s="22" t="s">
        <v>1890</v>
      </c>
      <c r="C625" s="22" t="s">
        <v>969</v>
      </c>
      <c r="D625" s="50" t="str">
        <f t="shared" si="1"/>
        <v>2028ahuang</v>
      </c>
    </row>
    <row r="626">
      <c r="A626" s="22" t="s">
        <v>1938</v>
      </c>
      <c r="B626" s="22" t="s">
        <v>1890</v>
      </c>
      <c r="C626" s="22" t="s">
        <v>953</v>
      </c>
      <c r="D626" s="50" t="str">
        <f t="shared" si="1"/>
        <v>2027eguo</v>
      </c>
    </row>
    <row r="627">
      <c r="A627" s="22" t="s">
        <v>1939</v>
      </c>
      <c r="B627" s="22" t="s">
        <v>1890</v>
      </c>
      <c r="C627" s="22" t="s">
        <v>806</v>
      </c>
      <c r="D627" s="50" t="str">
        <f t="shared" si="1"/>
        <v>2026jma</v>
      </c>
    </row>
    <row r="628">
      <c r="A628" s="22" t="s">
        <v>1940</v>
      </c>
      <c r="B628" s="22" t="s">
        <v>1890</v>
      </c>
      <c r="C628" s="22" t="s">
        <v>972</v>
      </c>
      <c r="D628" s="50" t="str">
        <f t="shared" si="1"/>
        <v>2028dsubedi</v>
      </c>
    </row>
    <row r="629">
      <c r="A629" s="22" t="s">
        <v>1941</v>
      </c>
      <c r="B629" s="22" t="s">
        <v>1890</v>
      </c>
      <c r="C629" s="22" t="s">
        <v>1021</v>
      </c>
      <c r="D629" s="50" t="str">
        <f t="shared" si="1"/>
        <v>2028ezhang1</v>
      </c>
    </row>
    <row r="630">
      <c r="A630" s="22" t="s">
        <v>1942</v>
      </c>
      <c r="B630" s="22" t="s">
        <v>1890</v>
      </c>
      <c r="C630" s="22" t="s">
        <v>951</v>
      </c>
      <c r="D630" s="50" t="str">
        <f t="shared" si="1"/>
        <v>2028yli</v>
      </c>
    </row>
    <row r="631">
      <c r="A631" s="22" t="s">
        <v>1943</v>
      </c>
      <c r="B631" s="22" t="s">
        <v>1890</v>
      </c>
      <c r="C631" s="22" t="s">
        <v>756</v>
      </c>
      <c r="D631" s="50" t="str">
        <f t="shared" si="1"/>
        <v>2026abaradhi</v>
      </c>
    </row>
    <row r="632">
      <c r="A632" s="22" t="s">
        <v>1944</v>
      </c>
      <c r="B632" s="22" t="s">
        <v>1890</v>
      </c>
      <c r="C632" s="22" t="s">
        <v>925</v>
      </c>
      <c r="D632" s="50" t="str">
        <f t="shared" si="1"/>
        <v>2028dhwang</v>
      </c>
    </row>
    <row r="633">
      <c r="A633" s="22" t="s">
        <v>1945</v>
      </c>
      <c r="B633" s="22" t="s">
        <v>1890</v>
      </c>
      <c r="C633" s="22" t="s">
        <v>947</v>
      </c>
      <c r="D633" s="50" t="str">
        <f t="shared" si="1"/>
        <v>2028syan</v>
      </c>
    </row>
    <row r="634">
      <c r="A634" s="22" t="s">
        <v>1946</v>
      </c>
      <c r="B634" s="22" t="s">
        <v>1890</v>
      </c>
      <c r="C634" s="22" t="s">
        <v>995</v>
      </c>
      <c r="D634" s="50" t="str">
        <f t="shared" si="1"/>
        <v>2028srangara</v>
      </c>
    </row>
    <row r="635">
      <c r="A635" s="22" t="s">
        <v>1947</v>
      </c>
      <c r="B635" s="22" t="s">
        <v>1890</v>
      </c>
      <c r="C635" s="22" t="s">
        <v>944</v>
      </c>
      <c r="D635" s="50" t="str">
        <f t="shared" si="1"/>
        <v>2028zrasti</v>
      </c>
    </row>
    <row r="636">
      <c r="A636" s="22" t="s">
        <v>1948</v>
      </c>
      <c r="B636" s="22" t="s">
        <v>1890</v>
      </c>
      <c r="C636" s="22" t="s">
        <v>971</v>
      </c>
      <c r="D636" s="50" t="str">
        <f t="shared" si="1"/>
        <v>2028gagilan</v>
      </c>
    </row>
    <row r="637">
      <c r="A637" s="22" t="s">
        <v>1949</v>
      </c>
      <c r="B637" s="22" t="s">
        <v>1890</v>
      </c>
      <c r="C637" s="22" t="s">
        <v>976</v>
      </c>
      <c r="D637" s="50" t="str">
        <f t="shared" si="1"/>
        <v>2028asun</v>
      </c>
    </row>
    <row r="638">
      <c r="A638" s="22" t="s">
        <v>1950</v>
      </c>
      <c r="B638" s="22" t="s">
        <v>1890</v>
      </c>
      <c r="C638" s="22" t="s">
        <v>924</v>
      </c>
      <c r="D638" s="50" t="str">
        <f t="shared" si="1"/>
        <v>2028relias</v>
      </c>
    </row>
    <row r="639">
      <c r="A639" s="22" t="s">
        <v>1951</v>
      </c>
      <c r="B639" s="22" t="s">
        <v>1890</v>
      </c>
      <c r="C639" s="22" t="s">
        <v>934</v>
      </c>
      <c r="D639" s="50" t="str">
        <f t="shared" si="1"/>
        <v>2028bhan</v>
      </c>
    </row>
    <row r="640">
      <c r="A640" s="22" t="s">
        <v>1952</v>
      </c>
      <c r="B640" s="22" t="s">
        <v>1890</v>
      </c>
      <c r="C640" s="22" t="s">
        <v>968</v>
      </c>
      <c r="D640" s="50" t="str">
        <f t="shared" si="1"/>
        <v>2028lmeng</v>
      </c>
    </row>
    <row r="641">
      <c r="A641" s="22" t="s">
        <v>1953</v>
      </c>
      <c r="B641" s="22" t="s">
        <v>1890</v>
      </c>
      <c r="C641" s="22" t="s">
        <v>959</v>
      </c>
      <c r="D641" s="50" t="str">
        <f t="shared" si="1"/>
        <v>2028bjonuzaj</v>
      </c>
    </row>
    <row r="642">
      <c r="A642" s="22" t="s">
        <v>1954</v>
      </c>
      <c r="B642" s="22" t="s">
        <v>1890</v>
      </c>
      <c r="C642" s="22" t="s">
        <v>966</v>
      </c>
      <c r="D642" s="50" t="str">
        <f t="shared" si="1"/>
        <v>2028adoppala</v>
      </c>
    </row>
    <row r="643">
      <c r="A643" s="22" t="s">
        <v>1955</v>
      </c>
      <c r="B643" s="22" t="s">
        <v>1890</v>
      </c>
      <c r="C643" s="22" t="s">
        <v>1255</v>
      </c>
      <c r="D643" s="50" t="str">
        <f t="shared" si="1"/>
        <v>2025apagidi</v>
      </c>
    </row>
    <row r="644">
      <c r="A644" s="22" t="s">
        <v>1956</v>
      </c>
      <c r="B644" s="22" t="s">
        <v>1890</v>
      </c>
      <c r="C644" s="22" t="s">
        <v>932</v>
      </c>
      <c r="D644" s="50" t="str">
        <f t="shared" si="1"/>
        <v>2028rzhao</v>
      </c>
    </row>
    <row r="645">
      <c r="A645" s="22" t="s">
        <v>1957</v>
      </c>
      <c r="B645" s="22" t="s">
        <v>1890</v>
      </c>
      <c r="C645" s="22" t="s">
        <v>1026</v>
      </c>
      <c r="D645" s="50" t="str">
        <f t="shared" si="1"/>
        <v>2028egu</v>
      </c>
    </row>
    <row r="646">
      <c r="A646" s="22" t="s">
        <v>1958</v>
      </c>
      <c r="B646" s="22" t="s">
        <v>1890</v>
      </c>
      <c r="C646" s="22" t="s">
        <v>688</v>
      </c>
      <c r="D646" s="50" t="str">
        <f t="shared" si="1"/>
        <v>2026cmorimot</v>
      </c>
    </row>
    <row r="647">
      <c r="A647" s="22" t="s">
        <v>1959</v>
      </c>
      <c r="B647" s="22" t="s">
        <v>1890</v>
      </c>
      <c r="C647" s="22" t="s">
        <v>784</v>
      </c>
      <c r="D647" s="50" t="str">
        <f t="shared" si="1"/>
        <v>2027mthathin</v>
      </c>
    </row>
    <row r="648">
      <c r="A648" s="22" t="s">
        <v>1960</v>
      </c>
      <c r="B648" s="22" t="s">
        <v>1890</v>
      </c>
      <c r="C648" s="22" t="s">
        <v>967</v>
      </c>
      <c r="D648" s="50" t="str">
        <f t="shared" si="1"/>
        <v>2028asu</v>
      </c>
    </row>
    <row r="649">
      <c r="A649" s="22" t="s">
        <v>1961</v>
      </c>
      <c r="B649" s="22" t="s">
        <v>1890</v>
      </c>
      <c r="C649" s="22" t="s">
        <v>931</v>
      </c>
      <c r="D649" s="50" t="str">
        <f t="shared" si="1"/>
        <v>2027pyoo</v>
      </c>
    </row>
    <row r="650">
      <c r="A650" s="22" t="s">
        <v>1962</v>
      </c>
      <c r="B650" s="22" t="s">
        <v>1890</v>
      </c>
      <c r="C650" s="22" t="s">
        <v>789</v>
      </c>
      <c r="D650" s="50" t="str">
        <f t="shared" si="1"/>
        <v>2027tho</v>
      </c>
    </row>
    <row r="651">
      <c r="A651" s="22" t="s">
        <v>1963</v>
      </c>
      <c r="B651" s="22" t="s">
        <v>1890</v>
      </c>
      <c r="C651" s="22" t="s">
        <v>709</v>
      </c>
      <c r="D651" s="50" t="str">
        <f t="shared" si="1"/>
        <v>2026swettimu</v>
      </c>
    </row>
    <row r="652">
      <c r="A652" s="22" t="s">
        <v>1964</v>
      </c>
      <c r="B652" s="22" t="s">
        <v>1890</v>
      </c>
      <c r="C652" s="22" t="s">
        <v>667</v>
      </c>
      <c r="D652" s="50" t="str">
        <f t="shared" si="1"/>
        <v>2026iharchic</v>
      </c>
    </row>
    <row r="653">
      <c r="A653" s="22" t="s">
        <v>1965</v>
      </c>
      <c r="B653" s="22" t="s">
        <v>1890</v>
      </c>
      <c r="C653" s="22" t="s">
        <v>833</v>
      </c>
      <c r="D653" s="50" t="str">
        <f t="shared" si="1"/>
        <v>2026lzhu</v>
      </c>
    </row>
    <row r="654">
      <c r="A654" s="22" t="s">
        <v>1966</v>
      </c>
      <c r="B654" s="22" t="s">
        <v>1890</v>
      </c>
      <c r="C654" s="22" t="s">
        <v>1040</v>
      </c>
      <c r="D654" s="50" t="str">
        <f t="shared" si="1"/>
        <v>2028epenumat</v>
      </c>
    </row>
    <row r="655">
      <c r="A655" s="22" t="s">
        <v>1967</v>
      </c>
      <c r="B655" s="22" t="s">
        <v>1890</v>
      </c>
      <c r="C655" s="22" t="s">
        <v>669</v>
      </c>
      <c r="D655" s="50" t="str">
        <f t="shared" si="1"/>
        <v>2026sshen</v>
      </c>
    </row>
    <row r="656">
      <c r="A656" s="22" t="s">
        <v>1968</v>
      </c>
      <c r="B656" s="22" t="s">
        <v>1890</v>
      </c>
      <c r="C656" s="22" t="s">
        <v>1017</v>
      </c>
      <c r="D656" s="50" t="str">
        <f t="shared" si="1"/>
        <v>2028sli</v>
      </c>
    </row>
    <row r="657">
      <c r="A657" s="22" t="s">
        <v>1969</v>
      </c>
      <c r="B657" s="22" t="s">
        <v>1892</v>
      </c>
      <c r="C657" s="22" t="s">
        <v>767</v>
      </c>
      <c r="D657" s="50" t="str">
        <f t="shared" si="1"/>
        <v>2026jshi</v>
      </c>
    </row>
    <row r="658">
      <c r="A658" s="22" t="s">
        <v>1970</v>
      </c>
      <c r="B658" s="22" t="s">
        <v>1892</v>
      </c>
      <c r="C658" s="22" t="s">
        <v>764</v>
      </c>
      <c r="D658" s="50" t="str">
        <f t="shared" si="1"/>
        <v>2027zizzi</v>
      </c>
    </row>
    <row r="659">
      <c r="A659" s="22" t="s">
        <v>1971</v>
      </c>
      <c r="B659" s="22" t="s">
        <v>1892</v>
      </c>
      <c r="C659" s="22" t="s">
        <v>838</v>
      </c>
      <c r="D659" s="50" t="str">
        <f t="shared" si="1"/>
        <v>2027jzhang</v>
      </c>
    </row>
    <row r="660">
      <c r="A660" s="22" t="s">
        <v>1972</v>
      </c>
      <c r="B660" s="22" t="s">
        <v>1892</v>
      </c>
      <c r="C660" s="22" t="s">
        <v>789</v>
      </c>
      <c r="D660" s="50" t="str">
        <f t="shared" si="1"/>
        <v>2027tho</v>
      </c>
    </row>
    <row r="661">
      <c r="A661" s="22" t="s">
        <v>1973</v>
      </c>
      <c r="B661" s="22" t="s">
        <v>1892</v>
      </c>
      <c r="C661" s="22" t="s">
        <v>843</v>
      </c>
      <c r="D661" s="50" t="str">
        <f t="shared" si="1"/>
        <v>2027vraj</v>
      </c>
    </row>
    <row r="662">
      <c r="A662" s="22" t="s">
        <v>1974</v>
      </c>
      <c r="B662" s="22" t="s">
        <v>1892</v>
      </c>
      <c r="C662" s="22" t="s">
        <v>843</v>
      </c>
      <c r="D662" s="50" t="str">
        <f t="shared" si="1"/>
        <v>2027vraj</v>
      </c>
    </row>
    <row r="663">
      <c r="A663" s="22" t="s">
        <v>1975</v>
      </c>
      <c r="B663" s="22" t="s">
        <v>1892</v>
      </c>
      <c r="C663" s="22" t="s">
        <v>660</v>
      </c>
      <c r="D663" s="50" t="str">
        <f t="shared" si="1"/>
        <v>2026mzhao</v>
      </c>
    </row>
    <row r="664">
      <c r="A664" s="22" t="s">
        <v>1976</v>
      </c>
      <c r="B664" s="22" t="s">
        <v>1892</v>
      </c>
      <c r="C664" s="22" t="s">
        <v>926</v>
      </c>
      <c r="D664" s="50" t="str">
        <f t="shared" si="1"/>
        <v>2027rbala</v>
      </c>
    </row>
    <row r="665">
      <c r="A665" s="22" t="s">
        <v>1977</v>
      </c>
      <c r="B665" s="22" t="s">
        <v>1892</v>
      </c>
      <c r="C665" s="22" t="s">
        <v>775</v>
      </c>
      <c r="D665" s="50" t="str">
        <f t="shared" si="1"/>
        <v>2027cchen</v>
      </c>
    </row>
    <row r="666">
      <c r="A666" s="22" t="s">
        <v>1978</v>
      </c>
      <c r="B666" s="22" t="s">
        <v>1892</v>
      </c>
      <c r="C666" s="22" t="s">
        <v>688</v>
      </c>
      <c r="D666" s="50" t="str">
        <f t="shared" si="1"/>
        <v>2026cmorimot</v>
      </c>
    </row>
    <row r="667">
      <c r="A667" s="22" t="s">
        <v>1979</v>
      </c>
      <c r="B667" s="22" t="s">
        <v>1890</v>
      </c>
      <c r="C667" s="22" t="s">
        <v>830</v>
      </c>
      <c r="D667" s="50" t="str">
        <f t="shared" si="1"/>
        <v>2027rguo</v>
      </c>
    </row>
    <row r="668">
      <c r="A668" s="22" t="s">
        <v>1980</v>
      </c>
      <c r="B668" s="22" t="s">
        <v>1892</v>
      </c>
      <c r="C668" s="22" t="s">
        <v>953</v>
      </c>
      <c r="D668" s="50" t="str">
        <f t="shared" si="1"/>
        <v>2027eguo</v>
      </c>
    </row>
    <row r="669">
      <c r="A669" s="22" t="s">
        <v>1981</v>
      </c>
      <c r="B669" s="22" t="s">
        <v>1892</v>
      </c>
      <c r="C669" s="22" t="s">
        <v>1258</v>
      </c>
      <c r="D669" s="50" t="str">
        <f t="shared" si="1"/>
        <v>2025rzhang1</v>
      </c>
    </row>
    <row r="670">
      <c r="A670" s="22" t="s">
        <v>1982</v>
      </c>
      <c r="B670" s="22" t="s">
        <v>1892</v>
      </c>
      <c r="C670" s="22" t="s">
        <v>1263</v>
      </c>
      <c r="D670" s="50" t="str">
        <f t="shared" si="1"/>
        <v>2025jkim</v>
      </c>
    </row>
    <row r="671">
      <c r="A671" s="22" t="s">
        <v>1983</v>
      </c>
      <c r="B671" s="22" t="s">
        <v>1892</v>
      </c>
      <c r="C671" s="22" t="s">
        <v>690</v>
      </c>
      <c r="D671" s="50" t="str">
        <f t="shared" si="1"/>
        <v>2026rsingh2</v>
      </c>
    </row>
    <row r="672">
      <c r="A672" s="22" t="s">
        <v>1984</v>
      </c>
      <c r="B672" s="22" t="s">
        <v>1892</v>
      </c>
      <c r="C672" s="22" t="s">
        <v>975</v>
      </c>
      <c r="D672" s="50" t="str">
        <f t="shared" si="1"/>
        <v>2027eshan</v>
      </c>
    </row>
    <row r="673">
      <c r="A673" s="22" t="s">
        <v>1985</v>
      </c>
      <c r="B673" s="22" t="s">
        <v>1892</v>
      </c>
      <c r="C673" s="22" t="s">
        <v>777</v>
      </c>
      <c r="D673" s="50" t="str">
        <f t="shared" si="1"/>
        <v>2027esombhat</v>
      </c>
    </row>
    <row r="674">
      <c r="A674" s="22" t="s">
        <v>1986</v>
      </c>
      <c r="B674" s="22" t="s">
        <v>1892</v>
      </c>
      <c r="C674" s="22" t="s">
        <v>825</v>
      </c>
      <c r="D674" s="50" t="str">
        <f t="shared" si="1"/>
        <v>2027tdao</v>
      </c>
    </row>
    <row r="675">
      <c r="A675" s="22" t="s">
        <v>1987</v>
      </c>
      <c r="B675" s="22" t="s">
        <v>1890</v>
      </c>
      <c r="C675" s="22" t="s">
        <v>785</v>
      </c>
      <c r="D675" s="50" t="str">
        <f t="shared" si="1"/>
        <v>2027pdu</v>
      </c>
    </row>
    <row r="676">
      <c r="A676" s="22" t="s">
        <v>1988</v>
      </c>
      <c r="B676" s="22" t="s">
        <v>1892</v>
      </c>
      <c r="C676" s="22" t="s">
        <v>829</v>
      </c>
      <c r="D676" s="50" t="str">
        <f t="shared" si="1"/>
        <v>2027agao</v>
      </c>
    </row>
    <row r="677">
      <c r="A677" s="22" t="s">
        <v>1989</v>
      </c>
      <c r="B677" s="22" t="s">
        <v>1892</v>
      </c>
      <c r="C677" s="22" t="s">
        <v>785</v>
      </c>
      <c r="D677" s="50" t="str">
        <f t="shared" si="1"/>
        <v>2027pdu</v>
      </c>
    </row>
    <row r="678">
      <c r="A678" s="22" t="s">
        <v>1990</v>
      </c>
      <c r="B678" s="22" t="s">
        <v>1892</v>
      </c>
      <c r="C678" s="22" t="s">
        <v>961</v>
      </c>
      <c r="D678" s="50" t="str">
        <f t="shared" si="1"/>
        <v>2028tdeng</v>
      </c>
    </row>
    <row r="679">
      <c r="A679" s="22" t="s">
        <v>1991</v>
      </c>
      <c r="B679" s="22" t="s">
        <v>1892</v>
      </c>
      <c r="C679" s="22" t="s">
        <v>959</v>
      </c>
      <c r="D679" s="50" t="str">
        <f t="shared" si="1"/>
        <v>2028bjonuzaj</v>
      </c>
    </row>
    <row r="680">
      <c r="A680" s="22" t="s">
        <v>1992</v>
      </c>
      <c r="B680" s="22" t="s">
        <v>1892</v>
      </c>
      <c r="C680" s="22" t="s">
        <v>941</v>
      </c>
      <c r="D680" s="50" t="str">
        <f t="shared" si="1"/>
        <v>2028dbhooma</v>
      </c>
    </row>
    <row r="681">
      <c r="A681" s="22" t="s">
        <v>1993</v>
      </c>
      <c r="B681" s="22" t="s">
        <v>1892</v>
      </c>
      <c r="C681" s="22" t="s">
        <v>858</v>
      </c>
      <c r="D681" s="50" t="str">
        <f t="shared" si="1"/>
        <v>2027asachdev</v>
      </c>
    </row>
    <row r="682">
      <c r="A682" s="22" t="s">
        <v>1994</v>
      </c>
      <c r="B682" s="22" t="s">
        <v>1892</v>
      </c>
      <c r="C682" s="22" t="s">
        <v>968</v>
      </c>
      <c r="D682" s="50" t="str">
        <f t="shared" si="1"/>
        <v>2028lmeng</v>
      </c>
    </row>
    <row r="683">
      <c r="A683" s="22" t="s">
        <v>1995</v>
      </c>
      <c r="B683" s="22" t="s">
        <v>1892</v>
      </c>
      <c r="C683" s="22" t="s">
        <v>847</v>
      </c>
      <c r="D683" s="50" t="str">
        <f t="shared" si="1"/>
        <v>2027mtaher</v>
      </c>
    </row>
    <row r="684">
      <c r="A684" s="22" t="s">
        <v>1996</v>
      </c>
      <c r="B684" s="22" t="s">
        <v>1892</v>
      </c>
      <c r="C684" s="22" t="s">
        <v>944</v>
      </c>
      <c r="D684" s="50" t="str">
        <f t="shared" si="1"/>
        <v>2028zrasti</v>
      </c>
    </row>
    <row r="685">
      <c r="A685" s="22" t="s">
        <v>1997</v>
      </c>
      <c r="B685" s="22" t="s">
        <v>1892</v>
      </c>
      <c r="C685" s="22" t="s">
        <v>813</v>
      </c>
      <c r="D685" s="50" t="str">
        <f t="shared" si="1"/>
        <v>2027vrayavar</v>
      </c>
    </row>
    <row r="686">
      <c r="A686" s="22" t="s">
        <v>1998</v>
      </c>
      <c r="B686" s="22" t="s">
        <v>1892</v>
      </c>
      <c r="C686" s="22" t="s">
        <v>991</v>
      </c>
      <c r="D686" s="50" t="str">
        <f t="shared" si="1"/>
        <v>2028glee</v>
      </c>
    </row>
    <row r="687">
      <c r="A687" s="22" t="s">
        <v>1999</v>
      </c>
      <c r="B687" s="22" t="s">
        <v>1892</v>
      </c>
      <c r="C687" s="22" t="s">
        <v>980</v>
      </c>
      <c r="D687" s="50" t="str">
        <f t="shared" si="1"/>
        <v>2028hzhou</v>
      </c>
    </row>
    <row r="688">
      <c r="A688" s="22" t="s">
        <v>2000</v>
      </c>
      <c r="B688" s="22" t="s">
        <v>1892</v>
      </c>
      <c r="C688" s="22" t="s">
        <v>988</v>
      </c>
      <c r="D688" s="50" t="str">
        <f t="shared" si="1"/>
        <v>2028efeldman</v>
      </c>
    </row>
    <row r="689">
      <c r="A689" s="22" t="s">
        <v>2001</v>
      </c>
      <c r="B689" s="22" t="s">
        <v>1892</v>
      </c>
      <c r="C689" s="22" t="s">
        <v>806</v>
      </c>
      <c r="D689" s="50" t="str">
        <f t="shared" si="1"/>
        <v>2026jma</v>
      </c>
    </row>
    <row r="690">
      <c r="A690" s="22" t="s">
        <v>2002</v>
      </c>
      <c r="B690" s="22" t="s">
        <v>1892</v>
      </c>
      <c r="C690" s="22" t="s">
        <v>1008</v>
      </c>
      <c r="D690" s="50" t="str">
        <f t="shared" si="1"/>
        <v>2028apokhrel</v>
      </c>
    </row>
    <row r="691">
      <c r="A691" s="22" t="s">
        <v>2003</v>
      </c>
      <c r="B691" s="22" t="s">
        <v>1892</v>
      </c>
      <c r="C691" s="22" t="s">
        <v>669</v>
      </c>
      <c r="D691" s="50" t="str">
        <f t="shared" si="1"/>
        <v>2026sshen</v>
      </c>
    </row>
    <row r="692">
      <c r="A692" s="22" t="s">
        <v>2004</v>
      </c>
      <c r="B692" s="22" t="s">
        <v>1892</v>
      </c>
      <c r="C692" s="22" t="s">
        <v>967</v>
      </c>
      <c r="D692" s="50" t="str">
        <f t="shared" si="1"/>
        <v>2028asu</v>
      </c>
    </row>
    <row r="693">
      <c r="A693" s="22" t="s">
        <v>2005</v>
      </c>
      <c r="B693" s="22" t="s">
        <v>1892</v>
      </c>
      <c r="C693" s="22" t="s">
        <v>947</v>
      </c>
      <c r="D693" s="50" t="str">
        <f t="shared" si="1"/>
        <v>2028syan</v>
      </c>
    </row>
    <row r="694">
      <c r="A694" s="22" t="s">
        <v>2006</v>
      </c>
      <c r="B694" s="22" t="s">
        <v>1892</v>
      </c>
      <c r="C694" s="22" t="s">
        <v>951</v>
      </c>
      <c r="D694" s="50" t="str">
        <f t="shared" si="1"/>
        <v>2028yli</v>
      </c>
    </row>
    <row r="695">
      <c r="A695" s="22" t="s">
        <v>2007</v>
      </c>
      <c r="B695" s="22" t="s">
        <v>1892</v>
      </c>
      <c r="C695" s="22" t="s">
        <v>934</v>
      </c>
      <c r="D695" s="50" t="str">
        <f t="shared" si="1"/>
        <v>2028bhan</v>
      </c>
    </row>
    <row r="696">
      <c r="A696" s="22" t="s">
        <v>2008</v>
      </c>
      <c r="B696" s="22" t="s">
        <v>1892</v>
      </c>
      <c r="C696" s="22" t="s">
        <v>995</v>
      </c>
      <c r="D696" s="50" t="str">
        <f t="shared" si="1"/>
        <v>2028srangara</v>
      </c>
    </row>
    <row r="697">
      <c r="A697" s="22" t="s">
        <v>2009</v>
      </c>
      <c r="B697" s="22" t="s">
        <v>1892</v>
      </c>
      <c r="C697" s="22" t="s">
        <v>830</v>
      </c>
      <c r="D697" s="50" t="str">
        <f t="shared" si="1"/>
        <v>2027rguo</v>
      </c>
    </row>
    <row r="698">
      <c r="A698" s="22" t="s">
        <v>2010</v>
      </c>
      <c r="B698" s="22" t="s">
        <v>1892</v>
      </c>
      <c r="C698" s="22" t="s">
        <v>1006</v>
      </c>
      <c r="D698" s="50" t="str">
        <f t="shared" si="1"/>
        <v>2028dkhiev</v>
      </c>
    </row>
    <row r="699">
      <c r="A699" s="22" t="s">
        <v>2011</v>
      </c>
      <c r="B699" s="22" t="s">
        <v>1892</v>
      </c>
      <c r="C699" s="22" t="s">
        <v>929</v>
      </c>
      <c r="D699" s="50" t="str">
        <f t="shared" si="1"/>
        <v>2028dhe</v>
      </c>
    </row>
    <row r="700">
      <c r="A700" s="22" t="s">
        <v>2012</v>
      </c>
      <c r="B700" s="22" t="s">
        <v>1892</v>
      </c>
      <c r="C700" s="22" t="s">
        <v>1002</v>
      </c>
      <c r="D700" s="50" t="str">
        <f t="shared" si="1"/>
        <v>2028dduong</v>
      </c>
    </row>
    <row r="701">
      <c r="A701" s="22" t="s">
        <v>2013</v>
      </c>
      <c r="B701" s="22" t="s">
        <v>1892</v>
      </c>
      <c r="C701" s="22" t="s">
        <v>942</v>
      </c>
      <c r="D701" s="50" t="str">
        <f t="shared" si="1"/>
        <v>2028che</v>
      </c>
    </row>
    <row r="702">
      <c r="A702" s="22" t="s">
        <v>2014</v>
      </c>
      <c r="B702" s="22" t="s">
        <v>1892</v>
      </c>
      <c r="C702" s="22" t="s">
        <v>1004</v>
      </c>
      <c r="D702" s="50" t="str">
        <f t="shared" si="1"/>
        <v>2028osazhyn</v>
      </c>
    </row>
    <row r="703">
      <c r="A703" s="22" t="s">
        <v>2015</v>
      </c>
      <c r="B703" s="22" t="s">
        <v>1892</v>
      </c>
      <c r="C703" s="22" t="s">
        <v>966</v>
      </c>
      <c r="D703" s="50" t="str">
        <f t="shared" si="1"/>
        <v>2028adoppala</v>
      </c>
    </row>
    <row r="704">
      <c r="A704" s="22" t="s">
        <v>2016</v>
      </c>
      <c r="B704" s="22" t="s">
        <v>1892</v>
      </c>
      <c r="C704" s="22" t="s">
        <v>1046</v>
      </c>
      <c r="D704" s="50" t="str">
        <f t="shared" si="1"/>
        <v>#N/A</v>
      </c>
    </row>
    <row r="705">
      <c r="A705" s="22" t="s">
        <v>2017</v>
      </c>
      <c r="B705" s="22" t="s">
        <v>1892</v>
      </c>
      <c r="C705" s="22" t="s">
        <v>1045</v>
      </c>
      <c r="D705" s="50" t="str">
        <f t="shared" si="1"/>
        <v>#N/A</v>
      </c>
    </row>
    <row r="706">
      <c r="A706" s="22" t="s">
        <v>2018</v>
      </c>
      <c r="B706" s="22" t="s">
        <v>1892</v>
      </c>
      <c r="C706" s="22" t="s">
        <v>989</v>
      </c>
      <c r="D706" s="50" t="str">
        <f t="shared" si="1"/>
        <v>2028pmishra</v>
      </c>
    </row>
    <row r="707">
      <c r="A707" s="22" t="s">
        <v>2019</v>
      </c>
      <c r="B707" s="22" t="s">
        <v>1892</v>
      </c>
      <c r="C707" s="22" t="s">
        <v>1011</v>
      </c>
      <c r="D707" s="50" t="str">
        <f t="shared" si="1"/>
        <v>2028palladu</v>
      </c>
    </row>
    <row r="708">
      <c r="A708" s="22" t="s">
        <v>2020</v>
      </c>
      <c r="B708" s="22" t="s">
        <v>1892</v>
      </c>
      <c r="C708" s="22" t="s">
        <v>852</v>
      </c>
      <c r="D708" s="50" t="str">
        <f t="shared" si="1"/>
        <v>2027rgao</v>
      </c>
    </row>
    <row r="709">
      <c r="A709" s="22" t="s">
        <v>2021</v>
      </c>
      <c r="B709" s="22" t="s">
        <v>1892</v>
      </c>
      <c r="C709" s="22" t="s">
        <v>816</v>
      </c>
      <c r="D709" s="50" t="str">
        <f t="shared" si="1"/>
        <v>2027achu</v>
      </c>
    </row>
    <row r="710">
      <c r="A710" s="22" t="s">
        <v>2022</v>
      </c>
      <c r="B710" s="22" t="s">
        <v>1892</v>
      </c>
      <c r="C710" s="22" t="s">
        <v>932</v>
      </c>
      <c r="D710" s="50" t="str">
        <f t="shared" si="1"/>
        <v>2028rzhao</v>
      </c>
    </row>
    <row r="711">
      <c r="A711" s="22" t="s">
        <v>2023</v>
      </c>
      <c r="B711" s="22" t="s">
        <v>1892</v>
      </c>
      <c r="C711" s="22" t="s">
        <v>931</v>
      </c>
      <c r="D711" s="50" t="str">
        <f t="shared" si="1"/>
        <v>2027pyoo</v>
      </c>
    </row>
    <row r="712">
      <c r="A712" s="22" t="s">
        <v>2024</v>
      </c>
      <c r="B712" s="22" t="s">
        <v>1892</v>
      </c>
      <c r="C712" s="22" t="s">
        <v>1047</v>
      </c>
      <c r="D712" s="50" t="str">
        <f t="shared" si="1"/>
        <v>#N/A</v>
      </c>
    </row>
    <row r="713">
      <c r="A713" s="22" t="s">
        <v>2025</v>
      </c>
      <c r="B713" s="22" t="s">
        <v>1892</v>
      </c>
      <c r="C713" s="22" t="s">
        <v>856</v>
      </c>
      <c r="D713" s="50" t="str">
        <f t="shared" si="1"/>
        <v>2027smahmud</v>
      </c>
    </row>
    <row r="714">
      <c r="A714" s="22" t="s">
        <v>2026</v>
      </c>
      <c r="B714" s="22" t="s">
        <v>1892</v>
      </c>
      <c r="C714" s="22" t="s">
        <v>963</v>
      </c>
      <c r="D714" s="50" t="str">
        <f t="shared" si="1"/>
        <v>2028aangirek</v>
      </c>
    </row>
    <row r="715">
      <c r="A715" s="22" t="s">
        <v>2027</v>
      </c>
      <c r="B715" s="22" t="s">
        <v>1892</v>
      </c>
      <c r="C715" s="22" t="s">
        <v>814</v>
      </c>
      <c r="D715" s="50" t="str">
        <f t="shared" si="1"/>
        <v>2027vcao</v>
      </c>
    </row>
    <row r="716">
      <c r="A716" s="22" t="s">
        <v>2028</v>
      </c>
      <c r="B716" s="22" t="s">
        <v>1892</v>
      </c>
      <c r="C716" s="22" t="s">
        <v>977</v>
      </c>
      <c r="D716" s="50" t="str">
        <f t="shared" si="1"/>
        <v>2027eqiu</v>
      </c>
    </row>
    <row r="717">
      <c r="A717" s="22" t="s">
        <v>2029</v>
      </c>
      <c r="B717" s="22" t="s">
        <v>1890</v>
      </c>
      <c r="C717" s="22" t="s">
        <v>1333</v>
      </c>
      <c r="D717" s="50" t="str">
        <f t="shared" si="1"/>
        <v>2025mburch</v>
      </c>
    </row>
    <row r="718">
      <c r="A718" s="22" t="s">
        <v>2030</v>
      </c>
      <c r="B718" s="22" t="s">
        <v>1892</v>
      </c>
      <c r="C718" s="22" t="s">
        <v>1333</v>
      </c>
      <c r="D718" s="50" t="str">
        <f t="shared" si="1"/>
        <v>2025mburch</v>
      </c>
    </row>
    <row r="719">
      <c r="A719" s="22" t="s">
        <v>2031</v>
      </c>
      <c r="B719" s="22" t="s">
        <v>1892</v>
      </c>
      <c r="C719" s="22" t="s">
        <v>1230</v>
      </c>
      <c r="D719" s="50" t="str">
        <f t="shared" si="1"/>
        <v>2025jhao</v>
      </c>
    </row>
    <row r="720">
      <c r="A720" s="22" t="s">
        <v>2032</v>
      </c>
      <c r="B720" s="22" t="s">
        <v>1892</v>
      </c>
      <c r="C720" s="22" t="s">
        <v>924</v>
      </c>
      <c r="D720" s="50" t="str">
        <f t="shared" si="1"/>
        <v>2028relias</v>
      </c>
    </row>
    <row r="721">
      <c r="A721" s="22" t="s">
        <v>2033</v>
      </c>
      <c r="B721" s="22" t="s">
        <v>1892</v>
      </c>
      <c r="C721" s="22" t="s">
        <v>732</v>
      </c>
      <c r="D721" s="50" t="str">
        <f t="shared" si="1"/>
        <v>2026ejaldint</v>
      </c>
    </row>
    <row r="722">
      <c r="A722" s="22" t="s">
        <v>2034</v>
      </c>
      <c r="B722" s="22" t="s">
        <v>1890</v>
      </c>
      <c r="C722" s="22" t="s">
        <v>732</v>
      </c>
      <c r="D722" s="50" t="str">
        <f t="shared" si="1"/>
        <v>2026ejaldint</v>
      </c>
    </row>
    <row r="723">
      <c r="A723" s="22" t="s">
        <v>2035</v>
      </c>
      <c r="B723" s="22" t="s">
        <v>1890</v>
      </c>
      <c r="C723" s="22" t="s">
        <v>977</v>
      </c>
      <c r="D723" s="50" t="str">
        <f t="shared" si="1"/>
        <v>2027eqiu</v>
      </c>
    </row>
    <row r="724">
      <c r="A724" s="22" t="s">
        <v>2036</v>
      </c>
      <c r="B724" s="22" t="s">
        <v>1892</v>
      </c>
      <c r="C724" s="22" t="s">
        <v>1250</v>
      </c>
      <c r="D724" s="50" t="str">
        <f t="shared" si="1"/>
        <v>2025agu</v>
      </c>
    </row>
    <row r="725">
      <c r="A725" s="22" t="s">
        <v>2037</v>
      </c>
      <c r="B725" s="22" t="s">
        <v>1892</v>
      </c>
      <c r="C725" s="22" t="s">
        <v>1282</v>
      </c>
      <c r="D725" s="50" t="str">
        <f t="shared" si="1"/>
        <v>2025mzhang</v>
      </c>
    </row>
    <row r="726">
      <c r="A726" s="22" t="s">
        <v>2038</v>
      </c>
      <c r="B726" s="22" t="s">
        <v>1892</v>
      </c>
      <c r="C726" s="22" t="s">
        <v>808</v>
      </c>
      <c r="D726" s="50" t="str">
        <f t="shared" si="1"/>
        <v>2027sbisht</v>
      </c>
    </row>
    <row r="727">
      <c r="A727" s="22" t="s">
        <v>2039</v>
      </c>
      <c r="B727" s="22" t="s">
        <v>2040</v>
      </c>
      <c r="C727" s="22" t="s">
        <v>662</v>
      </c>
      <c r="D727" s="50" t="str">
        <f t="shared" si="1"/>
        <v>2026rwang</v>
      </c>
    </row>
    <row r="728">
      <c r="A728" s="22" t="s">
        <v>2041</v>
      </c>
      <c r="B728" s="22" t="s">
        <v>2042</v>
      </c>
      <c r="C728" s="22" t="s">
        <v>662</v>
      </c>
      <c r="D728" s="50" t="str">
        <f t="shared" si="1"/>
        <v>2026rwang</v>
      </c>
    </row>
    <row r="729">
      <c r="A729" s="22" t="s">
        <v>2043</v>
      </c>
      <c r="B729" s="22" t="s">
        <v>2040</v>
      </c>
      <c r="C729" s="22" t="s">
        <v>991</v>
      </c>
      <c r="D729" s="50" t="str">
        <f t="shared" si="1"/>
        <v>2028glee</v>
      </c>
    </row>
    <row r="730">
      <c r="A730" s="22" t="s">
        <v>2044</v>
      </c>
      <c r="B730" s="22" t="s">
        <v>2040</v>
      </c>
      <c r="C730" s="22" t="s">
        <v>976</v>
      </c>
      <c r="D730" s="50" t="str">
        <f t="shared" si="1"/>
        <v>2028asun</v>
      </c>
    </row>
    <row r="731">
      <c r="A731" s="22" t="s">
        <v>2045</v>
      </c>
      <c r="B731" s="22" t="s">
        <v>2040</v>
      </c>
      <c r="C731" s="22" t="s">
        <v>981</v>
      </c>
      <c r="D731" s="50" t="str">
        <f t="shared" si="1"/>
        <v>2027ikim</v>
      </c>
    </row>
    <row r="732">
      <c r="A732" s="22" t="s">
        <v>2046</v>
      </c>
      <c r="B732" s="22" t="s">
        <v>2040</v>
      </c>
      <c r="C732" s="22" t="s">
        <v>878</v>
      </c>
      <c r="D732" s="50" t="str">
        <f t="shared" si="1"/>
        <v>2027nliang</v>
      </c>
    </row>
    <row r="733">
      <c r="A733" s="22" t="s">
        <v>2047</v>
      </c>
      <c r="B733" s="22" t="s">
        <v>2040</v>
      </c>
      <c r="C733" s="22" t="s">
        <v>669</v>
      </c>
      <c r="D733" s="50" t="str">
        <f t="shared" si="1"/>
        <v>2026sshen</v>
      </c>
    </row>
    <row r="734">
      <c r="A734" s="22" t="s">
        <v>2048</v>
      </c>
      <c r="B734" s="22" t="s">
        <v>2040</v>
      </c>
      <c r="C734" s="22" t="s">
        <v>868</v>
      </c>
      <c r="D734" s="50" t="str">
        <f t="shared" si="1"/>
        <v>2027ochu</v>
      </c>
    </row>
    <row r="735">
      <c r="A735" s="22" t="s">
        <v>2049</v>
      </c>
      <c r="B735" s="22" t="s">
        <v>2040</v>
      </c>
      <c r="C735" s="22" t="s">
        <v>1263</v>
      </c>
      <c r="D735" s="50" t="str">
        <f t="shared" si="1"/>
        <v>2025jkim</v>
      </c>
    </row>
    <row r="736">
      <c r="A736" s="22" t="s">
        <v>2050</v>
      </c>
      <c r="B736" s="22" t="s">
        <v>2040</v>
      </c>
      <c r="C736" s="22" t="s">
        <v>784</v>
      </c>
      <c r="D736" s="50" t="str">
        <f t="shared" si="1"/>
        <v>2027mthathin</v>
      </c>
    </row>
    <row r="737">
      <c r="A737" s="22" t="s">
        <v>2051</v>
      </c>
      <c r="B737" s="22" t="s">
        <v>2040</v>
      </c>
      <c r="C737" s="22" t="s">
        <v>869</v>
      </c>
      <c r="D737" s="50" t="str">
        <f t="shared" si="1"/>
        <v>2027akode</v>
      </c>
    </row>
    <row r="738">
      <c r="A738" s="22" t="s">
        <v>2052</v>
      </c>
      <c r="B738" s="22" t="s">
        <v>2040</v>
      </c>
      <c r="C738" s="22" t="s">
        <v>930</v>
      </c>
      <c r="D738" s="50" t="str">
        <f t="shared" si="1"/>
        <v>2028wmcquirt</v>
      </c>
    </row>
    <row r="739">
      <c r="A739" s="22" t="s">
        <v>2053</v>
      </c>
      <c r="B739" s="22" t="s">
        <v>2040</v>
      </c>
      <c r="C739" s="22" t="s">
        <v>801</v>
      </c>
      <c r="D739" s="50" t="str">
        <f t="shared" si="1"/>
        <v>2027jlee1</v>
      </c>
    </row>
    <row r="740">
      <c r="A740" s="22" t="s">
        <v>2054</v>
      </c>
      <c r="B740" s="22" t="s">
        <v>2040</v>
      </c>
      <c r="C740" s="22" t="s">
        <v>1045</v>
      </c>
      <c r="D740" s="50" t="str">
        <f t="shared" si="1"/>
        <v>#N/A</v>
      </c>
    </row>
    <row r="741">
      <c r="A741" s="22" t="s">
        <v>2055</v>
      </c>
      <c r="B741" s="22" t="s">
        <v>2040</v>
      </c>
      <c r="C741" s="22" t="s">
        <v>1223</v>
      </c>
      <c r="D741" s="50" t="str">
        <f t="shared" si="1"/>
        <v>2025mkrishna</v>
      </c>
    </row>
    <row r="742">
      <c r="A742" s="22" t="s">
        <v>2056</v>
      </c>
      <c r="B742" s="22" t="s">
        <v>2040</v>
      </c>
      <c r="C742" s="22" t="s">
        <v>959</v>
      </c>
      <c r="D742" s="50" t="str">
        <f t="shared" si="1"/>
        <v>2028bjonuzaj</v>
      </c>
    </row>
    <row r="743">
      <c r="A743" s="22" t="s">
        <v>2057</v>
      </c>
      <c r="B743" s="22" t="s">
        <v>2040</v>
      </c>
      <c r="C743" s="22" t="s">
        <v>975</v>
      </c>
      <c r="D743" s="50" t="str">
        <f t="shared" si="1"/>
        <v>2027eshan</v>
      </c>
    </row>
    <row r="744">
      <c r="A744" s="22" t="s">
        <v>2058</v>
      </c>
      <c r="B744" s="22" t="s">
        <v>2040</v>
      </c>
      <c r="C744" s="22" t="s">
        <v>968</v>
      </c>
      <c r="D744" s="50" t="str">
        <f t="shared" si="1"/>
        <v>2028lmeng</v>
      </c>
    </row>
    <row r="745">
      <c r="A745" s="22" t="s">
        <v>2059</v>
      </c>
      <c r="B745" s="22" t="s">
        <v>2040</v>
      </c>
      <c r="C745" s="22" t="s">
        <v>960</v>
      </c>
      <c r="D745" s="50" t="str">
        <f t="shared" si="1"/>
        <v>2028srao</v>
      </c>
    </row>
    <row r="746">
      <c r="A746" s="22" t="s">
        <v>2060</v>
      </c>
      <c r="B746" s="22" t="s">
        <v>2040</v>
      </c>
      <c r="C746" s="22" t="s">
        <v>1026</v>
      </c>
      <c r="D746" s="50" t="str">
        <f t="shared" si="1"/>
        <v>2028egu</v>
      </c>
    </row>
    <row r="747">
      <c r="A747" s="22" t="s">
        <v>2061</v>
      </c>
      <c r="B747" s="22" t="s">
        <v>2040</v>
      </c>
      <c r="C747" s="22" t="s">
        <v>764</v>
      </c>
      <c r="D747" s="50" t="str">
        <f t="shared" si="1"/>
        <v>2027zizzi</v>
      </c>
    </row>
    <row r="748">
      <c r="A748" s="22" t="s">
        <v>2062</v>
      </c>
      <c r="B748" s="22" t="s">
        <v>2040</v>
      </c>
      <c r="C748" s="22" t="s">
        <v>965</v>
      </c>
      <c r="D748" s="50" t="str">
        <f t="shared" si="1"/>
        <v>2028athota</v>
      </c>
    </row>
    <row r="749">
      <c r="A749" s="22" t="s">
        <v>2063</v>
      </c>
      <c r="B749" s="22" t="s">
        <v>2040</v>
      </c>
      <c r="C749" s="22" t="s">
        <v>936</v>
      </c>
      <c r="D749" s="50" t="str">
        <f t="shared" si="1"/>
        <v>2028ylin</v>
      </c>
    </row>
    <row r="750">
      <c r="A750" s="22" t="s">
        <v>2064</v>
      </c>
      <c r="B750" s="22" t="s">
        <v>2040</v>
      </c>
      <c r="C750" s="22" t="s">
        <v>858</v>
      </c>
      <c r="D750" s="50" t="str">
        <f t="shared" si="1"/>
        <v>2027asachdev</v>
      </c>
    </row>
    <row r="751">
      <c r="A751" s="22" t="s">
        <v>2065</v>
      </c>
      <c r="B751" s="22" t="s">
        <v>2040</v>
      </c>
      <c r="C751" s="22" t="s">
        <v>688</v>
      </c>
      <c r="D751" s="50" t="str">
        <f t="shared" si="1"/>
        <v>2026cmorimot</v>
      </c>
    </row>
    <row r="752">
      <c r="A752" s="22" t="s">
        <v>2066</v>
      </c>
      <c r="B752" s="22" t="s">
        <v>2040</v>
      </c>
      <c r="C752" s="22" t="s">
        <v>980</v>
      </c>
      <c r="D752" s="50" t="str">
        <f t="shared" si="1"/>
        <v>2028hzhou</v>
      </c>
    </row>
    <row r="753">
      <c r="A753" s="22" t="s">
        <v>2067</v>
      </c>
      <c r="B753" s="22" t="s">
        <v>2040</v>
      </c>
      <c r="C753" s="22" t="s">
        <v>966</v>
      </c>
      <c r="D753" s="50" t="str">
        <f t="shared" si="1"/>
        <v>2028adoppala</v>
      </c>
    </row>
    <row r="754">
      <c r="A754" s="22" t="s">
        <v>2068</v>
      </c>
      <c r="B754" s="22" t="s">
        <v>2040</v>
      </c>
      <c r="C754" s="22" t="s">
        <v>926</v>
      </c>
      <c r="D754" s="50" t="str">
        <f t="shared" si="1"/>
        <v>2027rbala</v>
      </c>
    </row>
    <row r="755">
      <c r="A755" s="22" t="s">
        <v>2069</v>
      </c>
      <c r="B755" s="22" t="s">
        <v>2040</v>
      </c>
      <c r="C755" s="22" t="s">
        <v>934</v>
      </c>
      <c r="D755" s="50" t="str">
        <f t="shared" si="1"/>
        <v>2028bhan</v>
      </c>
    </row>
    <row r="756">
      <c r="A756" s="22" t="s">
        <v>2070</v>
      </c>
      <c r="B756" s="22" t="s">
        <v>2040</v>
      </c>
      <c r="C756" s="22" t="s">
        <v>779</v>
      </c>
      <c r="D756" s="50" t="str">
        <f t="shared" si="1"/>
        <v>2027jdurr</v>
      </c>
    </row>
    <row r="757">
      <c r="A757" s="22" t="s">
        <v>2071</v>
      </c>
      <c r="B757" s="22" t="s">
        <v>2040</v>
      </c>
      <c r="C757" s="22" t="s">
        <v>995</v>
      </c>
      <c r="D757" s="50" t="str">
        <f t="shared" si="1"/>
        <v>2028srangara</v>
      </c>
    </row>
    <row r="758">
      <c r="A758" s="22" t="s">
        <v>2072</v>
      </c>
      <c r="B758" s="22" t="s">
        <v>2040</v>
      </c>
      <c r="C758" s="22" t="s">
        <v>1021</v>
      </c>
      <c r="D758" s="50" t="str">
        <f t="shared" si="1"/>
        <v>2028ezhang1</v>
      </c>
    </row>
    <row r="759">
      <c r="A759" s="22" t="s">
        <v>2073</v>
      </c>
      <c r="B759" s="22" t="s">
        <v>2040</v>
      </c>
      <c r="C759" s="22" t="s">
        <v>1008</v>
      </c>
      <c r="D759" s="50" t="str">
        <f t="shared" si="1"/>
        <v>2028apokhrel</v>
      </c>
    </row>
    <row r="760">
      <c r="A760" s="22" t="s">
        <v>2074</v>
      </c>
      <c r="B760" s="22" t="s">
        <v>2040</v>
      </c>
      <c r="C760" s="22" t="s">
        <v>756</v>
      </c>
      <c r="D760" s="50" t="str">
        <f t="shared" si="1"/>
        <v>2026abaradhi</v>
      </c>
    </row>
    <row r="761">
      <c r="A761" s="22" t="s">
        <v>2075</v>
      </c>
      <c r="B761" s="22" t="s">
        <v>2040</v>
      </c>
      <c r="C761" s="22" t="s">
        <v>830</v>
      </c>
      <c r="D761" s="50" t="str">
        <f t="shared" si="1"/>
        <v>2027rguo</v>
      </c>
    </row>
    <row r="762">
      <c r="A762" s="22" t="s">
        <v>2076</v>
      </c>
      <c r="B762" s="22" t="s">
        <v>2040</v>
      </c>
      <c r="C762" s="22" t="s">
        <v>951</v>
      </c>
      <c r="D762" s="50" t="str">
        <f t="shared" si="1"/>
        <v>2028yli</v>
      </c>
    </row>
    <row r="763">
      <c r="A763" s="22" t="s">
        <v>2077</v>
      </c>
      <c r="B763" s="22" t="s">
        <v>2040</v>
      </c>
      <c r="C763" s="22" t="s">
        <v>971</v>
      </c>
      <c r="D763" s="50" t="str">
        <f t="shared" si="1"/>
        <v>2028gagilan</v>
      </c>
    </row>
    <row r="764">
      <c r="A764" s="22" t="s">
        <v>2078</v>
      </c>
      <c r="B764" s="22" t="s">
        <v>2040</v>
      </c>
      <c r="C764" s="22" t="s">
        <v>961</v>
      </c>
      <c r="D764" s="50" t="str">
        <f t="shared" si="1"/>
        <v>2028tdeng</v>
      </c>
    </row>
    <row r="765">
      <c r="A765" s="22" t="s">
        <v>2079</v>
      </c>
      <c r="B765" s="22" t="s">
        <v>2040</v>
      </c>
      <c r="C765" s="22" t="s">
        <v>946</v>
      </c>
      <c r="D765" s="50" t="str">
        <f t="shared" si="1"/>
        <v>2028ykang</v>
      </c>
    </row>
    <row r="766">
      <c r="A766" s="22" t="s">
        <v>2080</v>
      </c>
      <c r="B766" s="22" t="s">
        <v>2040</v>
      </c>
      <c r="C766" s="22" t="s">
        <v>984</v>
      </c>
      <c r="D766" s="50" t="str">
        <f t="shared" si="1"/>
        <v>2028sari</v>
      </c>
    </row>
    <row r="767">
      <c r="A767" s="22" t="s">
        <v>2081</v>
      </c>
      <c r="B767" s="22" t="s">
        <v>2042</v>
      </c>
      <c r="C767" s="22" t="s">
        <v>767</v>
      </c>
      <c r="D767" s="50" t="str">
        <f t="shared" si="1"/>
        <v>2026jshi</v>
      </c>
    </row>
    <row r="768">
      <c r="A768" s="22" t="s">
        <v>2082</v>
      </c>
      <c r="B768" s="22" t="s">
        <v>2040</v>
      </c>
      <c r="C768" s="22" t="s">
        <v>932</v>
      </c>
      <c r="D768" s="50" t="str">
        <f t="shared" si="1"/>
        <v>2028rzhao</v>
      </c>
    </row>
    <row r="769">
      <c r="A769" s="22" t="s">
        <v>2083</v>
      </c>
      <c r="B769" s="22" t="s">
        <v>2042</v>
      </c>
      <c r="C769" s="22" t="s">
        <v>1002</v>
      </c>
      <c r="D769" s="50" t="str">
        <f t="shared" si="1"/>
        <v>2028dduong</v>
      </c>
    </row>
    <row r="770">
      <c r="A770" s="22" t="s">
        <v>2084</v>
      </c>
      <c r="B770" s="22" t="s">
        <v>2042</v>
      </c>
      <c r="C770" s="22" t="s">
        <v>838</v>
      </c>
      <c r="D770" s="50" t="str">
        <f t="shared" si="1"/>
        <v>2027jzhang</v>
      </c>
    </row>
    <row r="771">
      <c r="A771" s="22" t="s">
        <v>2085</v>
      </c>
      <c r="B771" s="22" t="s">
        <v>2040</v>
      </c>
      <c r="C771" s="22" t="s">
        <v>806</v>
      </c>
      <c r="D771" s="50" t="str">
        <f t="shared" si="1"/>
        <v>2026jma</v>
      </c>
    </row>
    <row r="772">
      <c r="A772" s="22" t="s">
        <v>2086</v>
      </c>
      <c r="B772" s="22" t="s">
        <v>2040</v>
      </c>
      <c r="C772" s="22" t="s">
        <v>670</v>
      </c>
      <c r="D772" s="50" t="str">
        <f t="shared" si="1"/>
        <v>2026elee</v>
      </c>
    </row>
    <row r="773">
      <c r="A773" s="22" t="s">
        <v>2087</v>
      </c>
      <c r="B773" s="22" t="s">
        <v>2042</v>
      </c>
      <c r="C773" s="22" t="s">
        <v>926</v>
      </c>
      <c r="D773" s="50" t="str">
        <f t="shared" si="1"/>
        <v>2027rbala</v>
      </c>
    </row>
    <row r="774">
      <c r="A774" s="22" t="s">
        <v>2088</v>
      </c>
      <c r="B774" s="22" t="s">
        <v>2042</v>
      </c>
      <c r="C774" s="22" t="s">
        <v>806</v>
      </c>
      <c r="D774" s="50" t="str">
        <f t="shared" si="1"/>
        <v>2026jma</v>
      </c>
    </row>
    <row r="775">
      <c r="A775" s="22" t="s">
        <v>2089</v>
      </c>
      <c r="B775" s="22" t="s">
        <v>2040</v>
      </c>
      <c r="C775" s="22" t="s">
        <v>798</v>
      </c>
      <c r="D775" s="50" t="str">
        <f t="shared" si="1"/>
        <v>2026than</v>
      </c>
    </row>
    <row r="776">
      <c r="A776" s="22" t="s">
        <v>2090</v>
      </c>
      <c r="B776" s="22" t="s">
        <v>2040</v>
      </c>
      <c r="C776" s="22" t="s">
        <v>808</v>
      </c>
      <c r="D776" s="50" t="str">
        <f t="shared" si="1"/>
        <v>2027sbisht</v>
      </c>
    </row>
    <row r="777">
      <c r="A777" s="22" t="s">
        <v>2091</v>
      </c>
      <c r="B777" s="22" t="s">
        <v>2040</v>
      </c>
      <c r="C777" s="22" t="s">
        <v>814</v>
      </c>
      <c r="D777" s="50" t="str">
        <f t="shared" si="1"/>
        <v>2027vcao</v>
      </c>
    </row>
    <row r="778">
      <c r="A778" s="22" t="s">
        <v>2092</v>
      </c>
      <c r="B778" s="22" t="s">
        <v>2042</v>
      </c>
      <c r="C778" s="22" t="s">
        <v>868</v>
      </c>
      <c r="D778" s="50" t="str">
        <f t="shared" si="1"/>
        <v>2027ochu</v>
      </c>
    </row>
    <row r="779">
      <c r="A779" s="22" t="s">
        <v>2093</v>
      </c>
      <c r="B779" s="22" t="s">
        <v>2040</v>
      </c>
      <c r="C779" s="22" t="s">
        <v>865</v>
      </c>
      <c r="D779" s="50" t="str">
        <f t="shared" si="1"/>
        <v>2026anaidan</v>
      </c>
    </row>
    <row r="780">
      <c r="A780" s="22" t="s">
        <v>2094</v>
      </c>
      <c r="B780" s="22" t="s">
        <v>2042</v>
      </c>
      <c r="C780" s="22" t="s">
        <v>756</v>
      </c>
      <c r="D780" s="50" t="str">
        <f t="shared" si="1"/>
        <v>2026abaradhi</v>
      </c>
    </row>
    <row r="781">
      <c r="A781" s="22" t="s">
        <v>2095</v>
      </c>
      <c r="B781" s="22" t="s">
        <v>2042</v>
      </c>
      <c r="C781" s="22" t="s">
        <v>924</v>
      </c>
      <c r="D781" s="50" t="str">
        <f t="shared" si="1"/>
        <v>2028relias</v>
      </c>
    </row>
    <row r="782">
      <c r="A782" s="22" t="s">
        <v>2096</v>
      </c>
      <c r="B782" s="22" t="s">
        <v>2042</v>
      </c>
      <c r="C782" s="22" t="s">
        <v>925</v>
      </c>
      <c r="D782" s="50" t="str">
        <f t="shared" si="1"/>
        <v>2028dhwang</v>
      </c>
    </row>
    <row r="783">
      <c r="A783" s="22" t="s">
        <v>2097</v>
      </c>
      <c r="B783" s="22" t="s">
        <v>2040</v>
      </c>
      <c r="C783" s="22" t="s">
        <v>777</v>
      </c>
      <c r="D783" s="50" t="str">
        <f t="shared" si="1"/>
        <v>2027esombhat</v>
      </c>
    </row>
    <row r="784">
      <c r="A784" s="22" t="s">
        <v>2098</v>
      </c>
      <c r="B784" s="22" t="s">
        <v>2042</v>
      </c>
      <c r="C784" s="22" t="s">
        <v>963</v>
      </c>
      <c r="D784" s="50" t="str">
        <f t="shared" si="1"/>
        <v>2028aangirek</v>
      </c>
    </row>
    <row r="785">
      <c r="A785" s="22" t="s">
        <v>2099</v>
      </c>
      <c r="B785" s="22" t="s">
        <v>2042</v>
      </c>
      <c r="C785" s="22" t="s">
        <v>983</v>
      </c>
      <c r="D785" s="50" t="str">
        <f t="shared" si="1"/>
        <v>2028elin</v>
      </c>
    </row>
    <row r="786">
      <c r="A786" s="22" t="s">
        <v>2100</v>
      </c>
      <c r="B786" s="22" t="s">
        <v>2042</v>
      </c>
      <c r="C786" s="22" t="s">
        <v>919</v>
      </c>
      <c r="D786" s="50" t="str">
        <f t="shared" si="1"/>
        <v>2027ekim</v>
      </c>
    </row>
    <row r="787">
      <c r="A787" s="22" t="s">
        <v>2101</v>
      </c>
      <c r="B787" s="22" t="s">
        <v>2042</v>
      </c>
      <c r="C787" s="22" t="s">
        <v>865</v>
      </c>
      <c r="D787" s="50" t="str">
        <f t="shared" si="1"/>
        <v>2026anaidan</v>
      </c>
    </row>
    <row r="788">
      <c r="A788" s="22" t="s">
        <v>2102</v>
      </c>
      <c r="B788" s="22" t="s">
        <v>2042</v>
      </c>
      <c r="C788" s="22" t="s">
        <v>951</v>
      </c>
      <c r="D788" s="50" t="str">
        <f t="shared" si="1"/>
        <v>2028yli</v>
      </c>
    </row>
    <row r="789">
      <c r="A789" s="22" t="s">
        <v>2103</v>
      </c>
      <c r="B789" s="22" t="s">
        <v>2042</v>
      </c>
      <c r="C789" s="22" t="s">
        <v>959</v>
      </c>
      <c r="D789" s="50" t="str">
        <f t="shared" si="1"/>
        <v>2028bjonuzaj</v>
      </c>
    </row>
    <row r="790">
      <c r="A790" s="22" t="s">
        <v>2104</v>
      </c>
      <c r="B790" s="22" t="s">
        <v>2040</v>
      </c>
      <c r="C790" s="22" t="s">
        <v>944</v>
      </c>
      <c r="D790" s="50" t="str">
        <f t="shared" si="1"/>
        <v>2028zrasti</v>
      </c>
    </row>
    <row r="791">
      <c r="A791" s="22" t="s">
        <v>2105</v>
      </c>
      <c r="B791" s="22" t="s">
        <v>2042</v>
      </c>
      <c r="C791" s="22" t="s">
        <v>1047</v>
      </c>
      <c r="D791" s="50" t="str">
        <f t="shared" si="1"/>
        <v>#N/A</v>
      </c>
    </row>
    <row r="792">
      <c r="A792" s="22" t="s">
        <v>2106</v>
      </c>
      <c r="B792" s="22" t="s">
        <v>2042</v>
      </c>
      <c r="C792" s="22" t="s">
        <v>944</v>
      </c>
      <c r="D792" s="50" t="str">
        <f t="shared" si="1"/>
        <v>2028zrasti</v>
      </c>
    </row>
    <row r="793">
      <c r="A793" s="22" t="s">
        <v>2107</v>
      </c>
      <c r="B793" s="22" t="s">
        <v>2042</v>
      </c>
      <c r="C793" s="22" t="s">
        <v>982</v>
      </c>
      <c r="D793" s="50" t="str">
        <f t="shared" si="1"/>
        <v>2027mvaddi</v>
      </c>
    </row>
    <row r="794">
      <c r="A794" s="22" t="s">
        <v>2108</v>
      </c>
      <c r="B794" s="22" t="s">
        <v>2042</v>
      </c>
      <c r="C794" s="22" t="s">
        <v>1050</v>
      </c>
      <c r="D794" s="50" t="str">
        <f t="shared" si="1"/>
        <v>#N/A</v>
      </c>
    </row>
    <row r="795">
      <c r="A795" s="22" t="s">
        <v>2109</v>
      </c>
      <c r="B795" s="22" t="s">
        <v>2042</v>
      </c>
      <c r="C795" s="22" t="s">
        <v>774</v>
      </c>
      <c r="D795" s="50" t="str">
        <f t="shared" si="1"/>
        <v>2027ltrachte</v>
      </c>
    </row>
    <row r="796">
      <c r="A796" s="22" t="s">
        <v>2110</v>
      </c>
      <c r="B796" s="22" t="s">
        <v>2042</v>
      </c>
      <c r="C796" s="22" t="s">
        <v>1051</v>
      </c>
      <c r="D796" s="50" t="str">
        <f t="shared" si="1"/>
        <v>#N/A</v>
      </c>
    </row>
    <row r="797">
      <c r="A797" s="22" t="s">
        <v>2111</v>
      </c>
      <c r="B797" s="22" t="s">
        <v>2042</v>
      </c>
      <c r="C797" s="22" t="s">
        <v>989</v>
      </c>
      <c r="D797" s="50" t="str">
        <f t="shared" si="1"/>
        <v>2028pmishra</v>
      </c>
    </row>
    <row r="798">
      <c r="A798" s="22" t="s">
        <v>2112</v>
      </c>
      <c r="B798" s="22" t="s">
        <v>2040</v>
      </c>
      <c r="C798" s="22" t="s">
        <v>660</v>
      </c>
      <c r="D798" s="50" t="str">
        <f t="shared" si="1"/>
        <v>2026mzhao</v>
      </c>
    </row>
    <row r="799">
      <c r="A799" s="22" t="s">
        <v>2113</v>
      </c>
      <c r="B799" s="22" t="s">
        <v>2042</v>
      </c>
      <c r="C799" s="22" t="s">
        <v>1031</v>
      </c>
      <c r="D799" s="50" t="str">
        <f t="shared" si="1"/>
        <v>2028mayyalas</v>
      </c>
    </row>
    <row r="800">
      <c r="A800" s="22" t="s">
        <v>2114</v>
      </c>
      <c r="B800" s="22" t="s">
        <v>2042</v>
      </c>
      <c r="C800" s="22" t="s">
        <v>1049</v>
      </c>
      <c r="D800" s="50" t="str">
        <f t="shared" si="1"/>
        <v>#N/A</v>
      </c>
    </row>
    <row r="801">
      <c r="A801" s="22" t="s">
        <v>2115</v>
      </c>
      <c r="B801" s="22" t="s">
        <v>2042</v>
      </c>
      <c r="C801" s="22" t="s">
        <v>1018</v>
      </c>
      <c r="D801" s="50" t="str">
        <f t="shared" si="1"/>
        <v>2028abhatt</v>
      </c>
    </row>
    <row r="802">
      <c r="A802" s="22" t="s">
        <v>2116</v>
      </c>
      <c r="B802" s="22" t="s">
        <v>2040</v>
      </c>
      <c r="C802" s="22" t="s">
        <v>667</v>
      </c>
      <c r="D802" s="50" t="str">
        <f t="shared" si="1"/>
        <v>2026iharchic</v>
      </c>
    </row>
    <row r="803">
      <c r="A803" s="22" t="s">
        <v>2117</v>
      </c>
      <c r="B803" s="22" t="s">
        <v>2040</v>
      </c>
      <c r="C803" s="22" t="s">
        <v>823</v>
      </c>
      <c r="D803" s="50" t="str">
        <f t="shared" si="1"/>
        <v>2027spark</v>
      </c>
    </row>
    <row r="804">
      <c r="A804" s="22" t="s">
        <v>2118</v>
      </c>
      <c r="B804" s="22" t="s">
        <v>2040</v>
      </c>
      <c r="C804" s="22" t="s">
        <v>770</v>
      </c>
      <c r="D804" s="50" t="str">
        <f t="shared" si="1"/>
        <v>2027bko</v>
      </c>
    </row>
    <row r="805">
      <c r="A805" s="22" t="s">
        <v>2119</v>
      </c>
      <c r="B805" s="22" t="s">
        <v>2042</v>
      </c>
      <c r="C805" s="22" t="s">
        <v>869</v>
      </c>
      <c r="D805" s="50" t="str">
        <f t="shared" si="1"/>
        <v>2027akode</v>
      </c>
    </row>
    <row r="806">
      <c r="A806" s="22" t="s">
        <v>2120</v>
      </c>
      <c r="B806" s="22" t="s">
        <v>2040</v>
      </c>
      <c r="C806" s="22" t="s">
        <v>931</v>
      </c>
      <c r="D806" s="50" t="str">
        <f t="shared" si="1"/>
        <v>2027pyoo</v>
      </c>
    </row>
    <row r="807">
      <c r="A807" s="22" t="s">
        <v>2121</v>
      </c>
      <c r="B807" s="22" t="s">
        <v>2040</v>
      </c>
      <c r="C807" s="22" t="s">
        <v>935</v>
      </c>
      <c r="D807" s="50" t="str">
        <f t="shared" si="1"/>
        <v>2028szhang</v>
      </c>
    </row>
    <row r="808">
      <c r="A808" s="22" t="s">
        <v>2122</v>
      </c>
      <c r="B808" s="22" t="s">
        <v>2042</v>
      </c>
      <c r="C808" s="22" t="s">
        <v>1223</v>
      </c>
      <c r="D808" s="50" t="str">
        <f t="shared" si="1"/>
        <v>2025mkrishna</v>
      </c>
    </row>
    <row r="809">
      <c r="A809" s="22" t="s">
        <v>2123</v>
      </c>
      <c r="B809" s="22" t="s">
        <v>2042</v>
      </c>
      <c r="C809" s="22" t="s">
        <v>764</v>
      </c>
      <c r="D809" s="50" t="str">
        <f t="shared" si="1"/>
        <v>2027zizzi</v>
      </c>
    </row>
    <row r="810">
      <c r="A810" s="22" t="s">
        <v>2124</v>
      </c>
      <c r="B810" s="22" t="s">
        <v>2042</v>
      </c>
      <c r="C810" s="22" t="s">
        <v>789</v>
      </c>
      <c r="D810" s="50" t="str">
        <f t="shared" si="1"/>
        <v>2027tho</v>
      </c>
    </row>
    <row r="811">
      <c r="A811" s="22" t="s">
        <v>2125</v>
      </c>
      <c r="B811" s="22" t="s">
        <v>2042</v>
      </c>
      <c r="C811" s="22" t="s">
        <v>931</v>
      </c>
      <c r="D811" s="50" t="str">
        <f t="shared" si="1"/>
        <v>2027pyoo</v>
      </c>
    </row>
    <row r="812">
      <c r="A812" s="22" t="s">
        <v>2126</v>
      </c>
      <c r="B812" s="22" t="s">
        <v>2040</v>
      </c>
      <c r="C812" s="22" t="s">
        <v>942</v>
      </c>
      <c r="D812" s="50" t="str">
        <f t="shared" si="1"/>
        <v>2028che</v>
      </c>
    </row>
    <row r="813">
      <c r="A813" s="22" t="s">
        <v>2127</v>
      </c>
      <c r="B813" s="22" t="s">
        <v>2042</v>
      </c>
      <c r="C813" s="22" t="s">
        <v>965</v>
      </c>
      <c r="D813" s="50" t="str">
        <f t="shared" si="1"/>
        <v>2028athota</v>
      </c>
    </row>
    <row r="814">
      <c r="A814" s="22" t="s">
        <v>2128</v>
      </c>
      <c r="B814" s="22" t="s">
        <v>2042</v>
      </c>
      <c r="C814" s="22" t="s">
        <v>1005</v>
      </c>
      <c r="D814" s="50" t="str">
        <f t="shared" si="1"/>
        <v>2028agupta</v>
      </c>
    </row>
    <row r="815">
      <c r="A815" s="22" t="s">
        <v>2129</v>
      </c>
      <c r="B815" s="22" t="s">
        <v>2042</v>
      </c>
      <c r="C815" s="22" t="s">
        <v>814</v>
      </c>
      <c r="D815" s="50" t="str">
        <f t="shared" si="1"/>
        <v>2027vcao</v>
      </c>
    </row>
    <row r="816">
      <c r="A816" s="22" t="s">
        <v>2130</v>
      </c>
      <c r="B816" s="22" t="s">
        <v>2042</v>
      </c>
      <c r="C816" s="22" t="s">
        <v>669</v>
      </c>
      <c r="D816" s="50" t="str">
        <f t="shared" si="1"/>
        <v>2026sshen</v>
      </c>
    </row>
    <row r="817">
      <c r="A817" s="22" t="s">
        <v>2131</v>
      </c>
      <c r="B817" s="22" t="s">
        <v>2042</v>
      </c>
      <c r="C817" s="22" t="s">
        <v>688</v>
      </c>
      <c r="D817" s="50" t="str">
        <f t="shared" si="1"/>
        <v>2026cmorimot</v>
      </c>
    </row>
    <row r="818">
      <c r="A818" s="22" t="s">
        <v>2132</v>
      </c>
      <c r="B818" s="22" t="s">
        <v>2042</v>
      </c>
      <c r="C818" s="22" t="s">
        <v>768</v>
      </c>
      <c r="D818" s="50" t="str">
        <f t="shared" si="1"/>
        <v>2027aanurag</v>
      </c>
    </row>
    <row r="819">
      <c r="A819" s="22" t="s">
        <v>2133</v>
      </c>
      <c r="B819" s="22" t="s">
        <v>2042</v>
      </c>
      <c r="C819" s="22" t="s">
        <v>775</v>
      </c>
      <c r="D819" s="50" t="str">
        <f t="shared" si="1"/>
        <v>2027cchen</v>
      </c>
    </row>
    <row r="820">
      <c r="A820" s="22" t="s">
        <v>2134</v>
      </c>
      <c r="B820" s="22" t="s">
        <v>2042</v>
      </c>
      <c r="C820" s="22" t="s">
        <v>942</v>
      </c>
      <c r="D820" s="50" t="str">
        <f t="shared" si="1"/>
        <v>2028che</v>
      </c>
    </row>
    <row r="821">
      <c r="A821" s="22" t="s">
        <v>2135</v>
      </c>
      <c r="B821" s="22" t="s">
        <v>2042</v>
      </c>
      <c r="C821" s="22" t="s">
        <v>1258</v>
      </c>
      <c r="D821" s="50" t="str">
        <f t="shared" si="1"/>
        <v>2025rzhang1</v>
      </c>
    </row>
    <row r="822">
      <c r="A822" s="22" t="s">
        <v>2136</v>
      </c>
      <c r="B822" s="22" t="s">
        <v>2042</v>
      </c>
      <c r="C822" s="22" t="s">
        <v>779</v>
      </c>
      <c r="D822" s="50" t="str">
        <f t="shared" si="1"/>
        <v>2027jdurr</v>
      </c>
    </row>
    <row r="823">
      <c r="A823" s="22" t="s">
        <v>2137</v>
      </c>
      <c r="B823" s="22" t="s">
        <v>2042</v>
      </c>
      <c r="C823" s="22" t="s">
        <v>843</v>
      </c>
      <c r="D823" s="50" t="str">
        <f t="shared" si="1"/>
        <v>2027vraj</v>
      </c>
    </row>
    <row r="824">
      <c r="A824" s="22" t="s">
        <v>2138</v>
      </c>
      <c r="B824" s="22" t="s">
        <v>2042</v>
      </c>
      <c r="C824" s="22" t="s">
        <v>995</v>
      </c>
      <c r="D824" s="50" t="str">
        <f t="shared" si="1"/>
        <v>2028srangara</v>
      </c>
    </row>
    <row r="825">
      <c r="A825" s="22" t="s">
        <v>2139</v>
      </c>
      <c r="B825" s="22" t="s">
        <v>2042</v>
      </c>
      <c r="C825" s="22" t="s">
        <v>946</v>
      </c>
      <c r="D825" s="50" t="str">
        <f t="shared" si="1"/>
        <v>2028ykang</v>
      </c>
    </row>
    <row r="826">
      <c r="A826" s="22" t="s">
        <v>2140</v>
      </c>
      <c r="B826" s="22" t="s">
        <v>2042</v>
      </c>
      <c r="C826" s="22" t="s">
        <v>881</v>
      </c>
      <c r="D826" s="50" t="str">
        <f t="shared" si="1"/>
        <v>2027aliu</v>
      </c>
    </row>
    <row r="827">
      <c r="A827" s="22" t="s">
        <v>2141</v>
      </c>
      <c r="B827" s="22" t="s">
        <v>2042</v>
      </c>
      <c r="C827" s="22" t="s">
        <v>975</v>
      </c>
      <c r="D827" s="50" t="str">
        <f t="shared" si="1"/>
        <v>2027eshan</v>
      </c>
    </row>
    <row r="828">
      <c r="A828" s="22" t="s">
        <v>2142</v>
      </c>
      <c r="B828" s="22" t="s">
        <v>2042</v>
      </c>
      <c r="C828" s="22" t="s">
        <v>1282</v>
      </c>
      <c r="D828" s="50" t="str">
        <f t="shared" si="1"/>
        <v>2025mzhang</v>
      </c>
    </row>
    <row r="829">
      <c r="A829" s="22" t="s">
        <v>2143</v>
      </c>
      <c r="B829" s="22" t="s">
        <v>2042</v>
      </c>
      <c r="C829" s="22" t="s">
        <v>980</v>
      </c>
      <c r="D829" s="50" t="str">
        <f t="shared" si="1"/>
        <v>2028hzhou</v>
      </c>
    </row>
    <row r="830">
      <c r="A830" s="22" t="s">
        <v>2144</v>
      </c>
      <c r="B830" s="22" t="s">
        <v>2040</v>
      </c>
      <c r="C830" s="22" t="s">
        <v>924</v>
      </c>
      <c r="D830" s="50" t="str">
        <f t="shared" si="1"/>
        <v>2028relias</v>
      </c>
    </row>
    <row r="831">
      <c r="A831" s="22" t="s">
        <v>2145</v>
      </c>
      <c r="B831" s="22" t="s">
        <v>2042</v>
      </c>
      <c r="C831" s="22" t="s">
        <v>1026</v>
      </c>
      <c r="D831" s="50" t="str">
        <f t="shared" si="1"/>
        <v>2028egu</v>
      </c>
    </row>
    <row r="832">
      <c r="A832" s="22" t="s">
        <v>2146</v>
      </c>
      <c r="B832" s="22" t="s">
        <v>2042</v>
      </c>
      <c r="C832" s="22" t="s">
        <v>818</v>
      </c>
      <c r="D832" s="50" t="str">
        <f t="shared" si="1"/>
        <v>2027ayan</v>
      </c>
    </row>
    <row r="833">
      <c r="A833" s="22" t="s">
        <v>2147</v>
      </c>
      <c r="B833" s="22" t="s">
        <v>2042</v>
      </c>
      <c r="C833" s="22" t="s">
        <v>939</v>
      </c>
      <c r="D833" s="50" t="str">
        <f t="shared" si="1"/>
        <v>2027apesalad</v>
      </c>
    </row>
    <row r="834">
      <c r="A834" s="22" t="s">
        <v>2148</v>
      </c>
      <c r="B834" s="22" t="s">
        <v>2042</v>
      </c>
      <c r="C834" s="22" t="s">
        <v>935</v>
      </c>
      <c r="D834" s="50" t="str">
        <f t="shared" si="1"/>
        <v>2028szhang</v>
      </c>
    </row>
    <row r="835">
      <c r="A835" s="22" t="s">
        <v>2149</v>
      </c>
      <c r="B835" s="22" t="s">
        <v>2042</v>
      </c>
      <c r="C835" s="22" t="s">
        <v>961</v>
      </c>
      <c r="D835" s="50" t="str">
        <f t="shared" si="1"/>
        <v>2028tdeng</v>
      </c>
    </row>
    <row r="836">
      <c r="A836" s="22" t="s">
        <v>2150</v>
      </c>
      <c r="B836" s="22" t="s">
        <v>2040</v>
      </c>
      <c r="C836" s="22" t="s">
        <v>957</v>
      </c>
      <c r="D836" s="50" t="str">
        <f t="shared" si="1"/>
        <v>2028aliu</v>
      </c>
    </row>
    <row r="837">
      <c r="A837" s="22" t="s">
        <v>2151</v>
      </c>
      <c r="B837" s="22" t="s">
        <v>2042</v>
      </c>
      <c r="C837" s="22" t="s">
        <v>770</v>
      </c>
      <c r="D837" s="50" t="str">
        <f t="shared" si="1"/>
        <v>2027bko</v>
      </c>
    </row>
    <row r="838">
      <c r="A838" s="22" t="s">
        <v>2152</v>
      </c>
      <c r="B838" s="22" t="s">
        <v>2042</v>
      </c>
      <c r="C838" s="22" t="s">
        <v>992</v>
      </c>
      <c r="D838" s="50" t="str">
        <f t="shared" si="1"/>
        <v>2028dpeng</v>
      </c>
    </row>
    <row r="839">
      <c r="A839" s="22" t="s">
        <v>2153</v>
      </c>
      <c r="B839" s="22" t="s">
        <v>2042</v>
      </c>
      <c r="C839" s="22" t="s">
        <v>934</v>
      </c>
      <c r="D839" s="50" t="str">
        <f t="shared" si="1"/>
        <v>2028bhan</v>
      </c>
    </row>
    <row r="840">
      <c r="A840" s="22" t="s">
        <v>2154</v>
      </c>
      <c r="B840" s="22" t="s">
        <v>2042</v>
      </c>
      <c r="C840" s="22" t="s">
        <v>1021</v>
      </c>
      <c r="D840" s="50" t="str">
        <f t="shared" si="1"/>
        <v>2028ezhang1</v>
      </c>
    </row>
    <row r="841">
      <c r="A841" s="22" t="s">
        <v>2155</v>
      </c>
      <c r="B841" s="22" t="s">
        <v>2040</v>
      </c>
      <c r="C841" s="22" t="s">
        <v>690</v>
      </c>
      <c r="D841" s="50" t="str">
        <f t="shared" si="1"/>
        <v>2026rsingh2</v>
      </c>
    </row>
    <row r="842">
      <c r="A842" s="22" t="s">
        <v>2156</v>
      </c>
      <c r="B842" s="22" t="s">
        <v>2042</v>
      </c>
      <c r="C842" s="22" t="s">
        <v>852</v>
      </c>
      <c r="D842" s="50" t="str">
        <f t="shared" si="1"/>
        <v>2027rgao</v>
      </c>
    </row>
    <row r="843">
      <c r="A843" s="22" t="s">
        <v>2157</v>
      </c>
      <c r="B843" s="22" t="s">
        <v>2042</v>
      </c>
      <c r="C843" s="22" t="s">
        <v>957</v>
      </c>
      <c r="D843" s="50" t="str">
        <f t="shared" si="1"/>
        <v>2028aliu</v>
      </c>
    </row>
    <row r="844">
      <c r="A844" s="22" t="s">
        <v>2158</v>
      </c>
      <c r="B844" s="22" t="s">
        <v>2042</v>
      </c>
      <c r="C844" s="22" t="s">
        <v>823</v>
      </c>
      <c r="D844" s="50" t="str">
        <f t="shared" si="1"/>
        <v>2027spark</v>
      </c>
    </row>
    <row r="845">
      <c r="A845" s="22" t="s">
        <v>2159</v>
      </c>
      <c r="B845" s="22" t="s">
        <v>2042</v>
      </c>
      <c r="C845" s="22" t="s">
        <v>813</v>
      </c>
      <c r="D845" s="50" t="str">
        <f t="shared" si="1"/>
        <v>2027vrayavar</v>
      </c>
    </row>
    <row r="846">
      <c r="A846" s="22" t="s">
        <v>2160</v>
      </c>
      <c r="B846" s="22" t="s">
        <v>2040</v>
      </c>
      <c r="C846" s="22" t="s">
        <v>785</v>
      </c>
      <c r="D846" s="50" t="str">
        <f t="shared" si="1"/>
        <v>2027pdu</v>
      </c>
    </row>
    <row r="847">
      <c r="A847" s="22" t="s">
        <v>2161</v>
      </c>
      <c r="B847" s="22" t="s">
        <v>2042</v>
      </c>
      <c r="C847" s="22" t="s">
        <v>929</v>
      </c>
      <c r="D847" s="50" t="str">
        <f t="shared" si="1"/>
        <v>2028dhe</v>
      </c>
    </row>
    <row r="848">
      <c r="A848" s="22" t="s">
        <v>2162</v>
      </c>
      <c r="B848" s="22" t="s">
        <v>2042</v>
      </c>
      <c r="C848" s="22" t="s">
        <v>690</v>
      </c>
      <c r="D848" s="50" t="str">
        <f t="shared" si="1"/>
        <v>2026rsingh2</v>
      </c>
    </row>
    <row r="849">
      <c r="A849" s="22" t="s">
        <v>2163</v>
      </c>
      <c r="B849" s="22" t="s">
        <v>2042</v>
      </c>
      <c r="C849" s="22" t="s">
        <v>854</v>
      </c>
      <c r="D849" s="50" t="str">
        <f t="shared" si="1"/>
        <v>2027hqin</v>
      </c>
    </row>
    <row r="850">
      <c r="A850" s="22" t="s">
        <v>2164</v>
      </c>
      <c r="B850" s="22" t="s">
        <v>2042</v>
      </c>
      <c r="C850" s="22" t="s">
        <v>785</v>
      </c>
      <c r="D850" s="50" t="str">
        <f t="shared" si="1"/>
        <v>2027pdu</v>
      </c>
    </row>
    <row r="851">
      <c r="A851" s="22" t="s">
        <v>2165</v>
      </c>
      <c r="B851" s="22" t="s">
        <v>2040</v>
      </c>
      <c r="C851" s="22" t="s">
        <v>947</v>
      </c>
      <c r="D851" s="50" t="str">
        <f t="shared" si="1"/>
        <v>2028syan</v>
      </c>
    </row>
    <row r="852">
      <c r="A852" s="22" t="s">
        <v>2166</v>
      </c>
      <c r="B852" s="22" t="s">
        <v>2042</v>
      </c>
      <c r="C852" s="22" t="s">
        <v>890</v>
      </c>
      <c r="D852" s="50" t="str">
        <f t="shared" si="1"/>
        <v>2027dkumar</v>
      </c>
    </row>
    <row r="853">
      <c r="A853" s="22" t="s">
        <v>2167</v>
      </c>
      <c r="B853" s="22" t="s">
        <v>2042</v>
      </c>
      <c r="C853" s="22" t="s">
        <v>825</v>
      </c>
      <c r="D853" s="50" t="str">
        <f t="shared" si="1"/>
        <v>2027tdao</v>
      </c>
    </row>
    <row r="854">
      <c r="A854" s="22" t="s">
        <v>2168</v>
      </c>
      <c r="B854" s="22" t="s">
        <v>2042</v>
      </c>
      <c r="C854" s="22" t="s">
        <v>947</v>
      </c>
      <c r="D854" s="50" t="str">
        <f t="shared" si="1"/>
        <v>2028syan</v>
      </c>
    </row>
    <row r="855">
      <c r="A855" s="22" t="s">
        <v>2169</v>
      </c>
      <c r="B855" s="22" t="s">
        <v>2042</v>
      </c>
      <c r="C855" s="22" t="s">
        <v>670</v>
      </c>
      <c r="D855" s="50" t="str">
        <f t="shared" si="1"/>
        <v>2026elee</v>
      </c>
    </row>
    <row r="856">
      <c r="A856" s="22" t="s">
        <v>2170</v>
      </c>
      <c r="B856" s="22" t="s">
        <v>2040</v>
      </c>
      <c r="C856" s="22" t="s">
        <v>816</v>
      </c>
      <c r="D856" s="50" t="str">
        <f t="shared" si="1"/>
        <v>2027achu</v>
      </c>
    </row>
    <row r="857">
      <c r="A857" s="22" t="s">
        <v>2171</v>
      </c>
      <c r="B857" s="22" t="s">
        <v>2042</v>
      </c>
      <c r="C857" s="22" t="s">
        <v>1016</v>
      </c>
      <c r="D857" s="50" t="str">
        <f t="shared" si="1"/>
        <v>2028krudinsk</v>
      </c>
    </row>
    <row r="858">
      <c r="A858" s="22" t="s">
        <v>2172</v>
      </c>
      <c r="B858" s="22" t="s">
        <v>2042</v>
      </c>
      <c r="C858" s="22" t="s">
        <v>816</v>
      </c>
      <c r="D858" s="50" t="str">
        <f t="shared" si="1"/>
        <v>2027achu</v>
      </c>
    </row>
    <row r="859">
      <c r="A859" s="22" t="s">
        <v>2173</v>
      </c>
      <c r="B859" s="22" t="s">
        <v>2040</v>
      </c>
      <c r="C859" s="22" t="s">
        <v>685</v>
      </c>
      <c r="D859" s="50" t="str">
        <f t="shared" si="1"/>
        <v>2026akrishna</v>
      </c>
    </row>
    <row r="860">
      <c r="A860" s="22" t="s">
        <v>2174</v>
      </c>
      <c r="B860" s="22" t="s">
        <v>2042</v>
      </c>
      <c r="C860" s="22" t="s">
        <v>685</v>
      </c>
      <c r="D860" s="50" t="str">
        <f t="shared" si="1"/>
        <v>2026akrishna</v>
      </c>
    </row>
    <row r="861">
      <c r="A861" s="22" t="s">
        <v>2175</v>
      </c>
      <c r="B861" s="22" t="s">
        <v>2040</v>
      </c>
      <c r="C861" s="22" t="s">
        <v>852</v>
      </c>
      <c r="D861" s="50" t="str">
        <f t="shared" si="1"/>
        <v>2027rgao</v>
      </c>
    </row>
    <row r="862">
      <c r="A862" s="22" t="s">
        <v>2176</v>
      </c>
      <c r="B862" s="22" t="s">
        <v>2042</v>
      </c>
      <c r="C862" s="22" t="s">
        <v>1230</v>
      </c>
      <c r="D862" s="50" t="str">
        <f t="shared" si="1"/>
        <v>2025jhao</v>
      </c>
    </row>
    <row r="863">
      <c r="A863" s="22" t="s">
        <v>2177</v>
      </c>
      <c r="B863" s="22" t="s">
        <v>2040</v>
      </c>
      <c r="C863" s="22" t="s">
        <v>1230</v>
      </c>
      <c r="D863" s="50" t="str">
        <f t="shared" si="1"/>
        <v>2025jhao</v>
      </c>
    </row>
    <row r="864">
      <c r="A864" s="22" t="s">
        <v>2178</v>
      </c>
      <c r="B864" s="22" t="s">
        <v>2040</v>
      </c>
      <c r="C864" s="22" t="s">
        <v>1230</v>
      </c>
      <c r="D864" s="50" t="str">
        <f t="shared" si="1"/>
        <v>2025jhao</v>
      </c>
    </row>
    <row r="865">
      <c r="A865" s="22" t="s">
        <v>2179</v>
      </c>
      <c r="B865" s="22" t="s">
        <v>2042</v>
      </c>
      <c r="C865" s="22" t="s">
        <v>678</v>
      </c>
      <c r="D865" s="50" t="str">
        <f t="shared" si="1"/>
        <v>2026lhuang</v>
      </c>
    </row>
    <row r="866">
      <c r="A866" s="22" t="s">
        <v>2180</v>
      </c>
      <c r="B866" s="22" t="s">
        <v>2042</v>
      </c>
      <c r="C866" s="22" t="s">
        <v>856</v>
      </c>
      <c r="D866" s="50" t="str">
        <f t="shared" si="1"/>
        <v>2027smahmud</v>
      </c>
    </row>
    <row r="867">
      <c r="A867" s="22" t="s">
        <v>2181</v>
      </c>
      <c r="B867" s="22" t="s">
        <v>2042</v>
      </c>
      <c r="C867" s="22" t="s">
        <v>833</v>
      </c>
      <c r="D867" s="50" t="str">
        <f t="shared" si="1"/>
        <v>2026lzhu</v>
      </c>
    </row>
    <row r="868">
      <c r="A868" s="22" t="s">
        <v>2182</v>
      </c>
      <c r="B868" s="22" t="s">
        <v>2042</v>
      </c>
      <c r="C868" s="22" t="s">
        <v>1045</v>
      </c>
      <c r="D868" s="50" t="str">
        <f t="shared" si="1"/>
        <v>#N/A</v>
      </c>
    </row>
    <row r="869">
      <c r="A869" s="22" t="s">
        <v>2183</v>
      </c>
      <c r="B869" s="22" t="s">
        <v>2040</v>
      </c>
      <c r="C869" s="22" t="s">
        <v>1333</v>
      </c>
      <c r="D869" s="50" t="str">
        <f t="shared" si="1"/>
        <v>2025mburch</v>
      </c>
    </row>
    <row r="870">
      <c r="A870" s="22" t="s">
        <v>2184</v>
      </c>
      <c r="B870" s="22" t="s">
        <v>2042</v>
      </c>
      <c r="C870" s="22" t="s">
        <v>1333</v>
      </c>
      <c r="D870" s="50" t="str">
        <f t="shared" si="1"/>
        <v>2025mburch</v>
      </c>
    </row>
    <row r="871">
      <c r="A871" s="22" t="s">
        <v>2185</v>
      </c>
      <c r="B871" s="22" t="s">
        <v>2042</v>
      </c>
      <c r="C871" s="22" t="s">
        <v>830</v>
      </c>
      <c r="D871" s="50" t="str">
        <f t="shared" si="1"/>
        <v>2027rguo</v>
      </c>
    </row>
    <row r="872">
      <c r="A872" s="22" t="s">
        <v>2186</v>
      </c>
      <c r="B872" s="22" t="s">
        <v>2042</v>
      </c>
      <c r="C872" s="22" t="s">
        <v>732</v>
      </c>
      <c r="D872" s="50" t="str">
        <f t="shared" si="1"/>
        <v>2026ejaldint</v>
      </c>
    </row>
    <row r="873">
      <c r="A873" s="22" t="s">
        <v>2187</v>
      </c>
      <c r="B873" s="22" t="s">
        <v>2040</v>
      </c>
      <c r="C873" s="22" t="s">
        <v>732</v>
      </c>
      <c r="D873" s="50" t="str">
        <f t="shared" si="1"/>
        <v>2026ejaldint</v>
      </c>
    </row>
    <row r="874">
      <c r="A874" s="22" t="s">
        <v>2188</v>
      </c>
      <c r="B874" s="22" t="s">
        <v>2042</v>
      </c>
      <c r="C874" s="22" t="s">
        <v>953</v>
      </c>
      <c r="D874" s="50" t="str">
        <f t="shared" si="1"/>
        <v>2027eguo</v>
      </c>
    </row>
    <row r="875">
      <c r="A875" s="22" t="s">
        <v>2189</v>
      </c>
      <c r="B875" s="22" t="s">
        <v>2040</v>
      </c>
      <c r="C875" s="22" t="s">
        <v>953</v>
      </c>
      <c r="D875" s="50" t="str">
        <f t="shared" si="1"/>
        <v>2027eguo</v>
      </c>
    </row>
    <row r="876">
      <c r="A876" s="22" t="s">
        <v>2190</v>
      </c>
      <c r="B876" s="22" t="s">
        <v>2042</v>
      </c>
      <c r="C876" s="22" t="s">
        <v>1222</v>
      </c>
      <c r="D876" s="50" t="str">
        <f t="shared" si="1"/>
        <v>2025rkumaran</v>
      </c>
    </row>
    <row r="877">
      <c r="A877" s="22" t="s">
        <v>2191</v>
      </c>
      <c r="B877" s="22" t="s">
        <v>2042</v>
      </c>
      <c r="C877" s="22" t="s">
        <v>808</v>
      </c>
      <c r="D877" s="50" t="str">
        <f t="shared" si="1"/>
        <v>2027sbisht</v>
      </c>
    </row>
    <row r="878">
      <c r="A878" s="22" t="s">
        <v>2192</v>
      </c>
      <c r="B878" s="22" t="s">
        <v>2042</v>
      </c>
      <c r="C878" s="22" t="s">
        <v>984</v>
      </c>
      <c r="D878" s="50" t="str">
        <f t="shared" si="1"/>
        <v>2028sari</v>
      </c>
    </row>
    <row r="879">
      <c r="A879" s="22" t="s">
        <v>2193</v>
      </c>
      <c r="B879" s="22" t="s">
        <v>2042</v>
      </c>
      <c r="C879" s="22" t="s">
        <v>932</v>
      </c>
      <c r="D879" s="50" t="str">
        <f t="shared" si="1"/>
        <v>2028rzhao</v>
      </c>
    </row>
    <row r="880">
      <c r="A880" s="22" t="s">
        <v>2194</v>
      </c>
      <c r="B880" s="22" t="s">
        <v>2195</v>
      </c>
      <c r="C880" s="22" t="s">
        <v>947</v>
      </c>
      <c r="D880" s="50" t="str">
        <f t="shared" si="1"/>
        <v>2028syan</v>
      </c>
    </row>
    <row r="881">
      <c r="A881" s="22" t="s">
        <v>2196</v>
      </c>
      <c r="B881" s="22" t="s">
        <v>2195</v>
      </c>
      <c r="C881" s="22" t="s">
        <v>823</v>
      </c>
      <c r="D881" s="50" t="str">
        <f t="shared" si="1"/>
        <v>2027spark</v>
      </c>
    </row>
    <row r="882">
      <c r="A882" s="22" t="s">
        <v>2197</v>
      </c>
      <c r="B882" s="22" t="s">
        <v>2195</v>
      </c>
      <c r="C882" s="22" t="s">
        <v>929</v>
      </c>
      <c r="D882" s="50" t="str">
        <f t="shared" si="1"/>
        <v>2028dhe</v>
      </c>
    </row>
    <row r="883">
      <c r="A883" s="22" t="s">
        <v>2198</v>
      </c>
      <c r="B883" s="22" t="s">
        <v>2195</v>
      </c>
      <c r="C883" s="22" t="s">
        <v>785</v>
      </c>
      <c r="D883" s="50" t="str">
        <f t="shared" si="1"/>
        <v>2027pdu</v>
      </c>
    </row>
    <row r="884">
      <c r="A884" s="22" t="s">
        <v>2199</v>
      </c>
      <c r="B884" s="22" t="s">
        <v>2195</v>
      </c>
      <c r="C884" s="22" t="s">
        <v>975</v>
      </c>
      <c r="D884" s="50" t="str">
        <f t="shared" si="1"/>
        <v>2027eshan</v>
      </c>
    </row>
    <row r="885">
      <c r="A885" s="22" t="s">
        <v>2200</v>
      </c>
      <c r="B885" s="22" t="s">
        <v>2195</v>
      </c>
      <c r="C885" s="22" t="s">
        <v>935</v>
      </c>
      <c r="D885" s="50" t="str">
        <f t="shared" si="1"/>
        <v>2028szhang</v>
      </c>
    </row>
    <row r="886">
      <c r="A886" s="22" t="s">
        <v>2201</v>
      </c>
      <c r="B886" s="22" t="s">
        <v>2195</v>
      </c>
      <c r="C886" s="22" t="s">
        <v>808</v>
      </c>
      <c r="D886" s="50" t="str">
        <f t="shared" si="1"/>
        <v>2027sbisht</v>
      </c>
    </row>
    <row r="887">
      <c r="A887" s="22" t="s">
        <v>2202</v>
      </c>
      <c r="B887" s="22" t="s">
        <v>2195</v>
      </c>
      <c r="C887" s="22" t="s">
        <v>688</v>
      </c>
      <c r="D887" s="50" t="str">
        <f t="shared" si="1"/>
        <v>2026cmorimot</v>
      </c>
    </row>
    <row r="888">
      <c r="A888" s="22" t="s">
        <v>2203</v>
      </c>
      <c r="B888" s="22" t="s">
        <v>2195</v>
      </c>
      <c r="C888" s="22" t="s">
        <v>779</v>
      </c>
      <c r="D888" s="50" t="str">
        <f t="shared" si="1"/>
        <v>2027jdurr</v>
      </c>
    </row>
    <row r="889">
      <c r="A889" s="22" t="s">
        <v>2204</v>
      </c>
      <c r="B889" s="22" t="s">
        <v>2195</v>
      </c>
      <c r="C889" s="22" t="s">
        <v>1016</v>
      </c>
      <c r="D889" s="50" t="str">
        <f t="shared" si="1"/>
        <v>2028krudinsk</v>
      </c>
    </row>
    <row r="890">
      <c r="A890" s="22" t="s">
        <v>2205</v>
      </c>
      <c r="B890" s="22" t="s">
        <v>2195</v>
      </c>
      <c r="C890" s="22" t="s">
        <v>932</v>
      </c>
      <c r="D890" s="50" t="str">
        <f t="shared" si="1"/>
        <v>2028rzhao</v>
      </c>
    </row>
    <row r="891">
      <c r="A891" s="22" t="s">
        <v>2206</v>
      </c>
      <c r="B891" s="22" t="s">
        <v>2195</v>
      </c>
      <c r="C891" s="22" t="s">
        <v>934</v>
      </c>
      <c r="D891" s="50" t="str">
        <f t="shared" si="1"/>
        <v>2028bhan</v>
      </c>
    </row>
    <row r="892">
      <c r="A892" s="22" t="s">
        <v>2207</v>
      </c>
      <c r="B892" s="22" t="s">
        <v>2195</v>
      </c>
      <c r="C892" s="22" t="s">
        <v>669</v>
      </c>
      <c r="D892" s="50" t="str">
        <f t="shared" si="1"/>
        <v>2026sshen</v>
      </c>
    </row>
    <row r="893">
      <c r="A893" s="22" t="s">
        <v>2208</v>
      </c>
      <c r="B893" s="22" t="s">
        <v>2195</v>
      </c>
      <c r="C893" s="22" t="s">
        <v>770</v>
      </c>
      <c r="D893" s="50" t="str">
        <f t="shared" si="1"/>
        <v>2027bko</v>
      </c>
    </row>
    <row r="894">
      <c r="A894" s="22" t="s">
        <v>2209</v>
      </c>
      <c r="B894" s="22" t="s">
        <v>2195</v>
      </c>
      <c r="C894" s="22" t="s">
        <v>946</v>
      </c>
      <c r="D894" s="50" t="str">
        <f t="shared" si="1"/>
        <v>2028ykang</v>
      </c>
    </row>
    <row r="895">
      <c r="A895" s="22" t="s">
        <v>2210</v>
      </c>
      <c r="B895" s="22" t="s">
        <v>2195</v>
      </c>
      <c r="C895" s="22" t="s">
        <v>942</v>
      </c>
      <c r="D895" s="50" t="str">
        <f t="shared" si="1"/>
        <v>2028che</v>
      </c>
    </row>
    <row r="896">
      <c r="A896" s="22" t="s">
        <v>2211</v>
      </c>
      <c r="B896" s="22" t="s">
        <v>2195</v>
      </c>
      <c r="C896" s="22" t="s">
        <v>1021</v>
      </c>
      <c r="D896" s="50" t="str">
        <f t="shared" si="1"/>
        <v>2028ezhang1</v>
      </c>
    </row>
    <row r="897">
      <c r="A897" s="22" t="s">
        <v>2212</v>
      </c>
      <c r="B897" s="22" t="s">
        <v>2195</v>
      </c>
      <c r="C897" s="22" t="s">
        <v>984</v>
      </c>
      <c r="D897" s="50" t="str">
        <f t="shared" si="1"/>
        <v>2028sari</v>
      </c>
    </row>
    <row r="898">
      <c r="A898" s="22" t="s">
        <v>2213</v>
      </c>
      <c r="B898" s="22" t="s">
        <v>2195</v>
      </c>
      <c r="C898" s="22" t="s">
        <v>732</v>
      </c>
      <c r="D898" s="50" t="str">
        <f t="shared" si="1"/>
        <v>2026ejaldint</v>
      </c>
    </row>
    <row r="899">
      <c r="A899" s="22" t="s">
        <v>2214</v>
      </c>
      <c r="B899" s="22" t="s">
        <v>2195</v>
      </c>
      <c r="C899" s="22" t="s">
        <v>965</v>
      </c>
      <c r="D899" s="50" t="str">
        <f t="shared" si="1"/>
        <v>2028athota</v>
      </c>
    </row>
    <row r="900">
      <c r="A900" s="22" t="s">
        <v>2215</v>
      </c>
      <c r="B900" s="22" t="s">
        <v>2195</v>
      </c>
      <c r="C900" s="22" t="s">
        <v>1225</v>
      </c>
      <c r="D900" s="50" t="str">
        <f t="shared" si="1"/>
        <v>2025ywang</v>
      </c>
    </row>
    <row r="901">
      <c r="A901" s="22" t="s">
        <v>2216</v>
      </c>
      <c r="B901" s="22" t="s">
        <v>2195</v>
      </c>
      <c r="C901" s="22" t="s">
        <v>852</v>
      </c>
      <c r="D901" s="50" t="str">
        <f t="shared" si="1"/>
        <v>2027rgao</v>
      </c>
    </row>
    <row r="902">
      <c r="A902" s="22" t="s">
        <v>2217</v>
      </c>
      <c r="B902" s="22" t="s">
        <v>2195</v>
      </c>
      <c r="C902" s="22" t="s">
        <v>939</v>
      </c>
      <c r="D902" s="50" t="str">
        <f t="shared" si="1"/>
        <v>2027apesalad</v>
      </c>
    </row>
    <row r="903">
      <c r="A903" s="22" t="s">
        <v>2218</v>
      </c>
      <c r="B903" s="22" t="s">
        <v>2195</v>
      </c>
      <c r="C903" s="22" t="s">
        <v>1005</v>
      </c>
      <c r="D903" s="50" t="str">
        <f t="shared" si="1"/>
        <v>2028agupta</v>
      </c>
    </row>
    <row r="904">
      <c r="A904" s="22" t="s">
        <v>2219</v>
      </c>
      <c r="B904" s="22" t="s">
        <v>2195</v>
      </c>
      <c r="C904" s="22" t="s">
        <v>662</v>
      </c>
      <c r="D904" s="50" t="str">
        <f t="shared" si="1"/>
        <v>2026rwang</v>
      </c>
    </row>
    <row r="905">
      <c r="A905" s="22" t="s">
        <v>2220</v>
      </c>
      <c r="B905" s="22" t="s">
        <v>2195</v>
      </c>
      <c r="C905" s="22" t="s">
        <v>977</v>
      </c>
      <c r="D905" s="50" t="str">
        <f t="shared" si="1"/>
        <v>2027eqiu</v>
      </c>
    </row>
    <row r="906">
      <c r="A906" s="22" t="s">
        <v>2221</v>
      </c>
      <c r="B906" s="22" t="s">
        <v>2195</v>
      </c>
      <c r="C906" s="22" t="s">
        <v>665</v>
      </c>
      <c r="D906" s="50" t="str">
        <f t="shared" si="1"/>
        <v>2026achen</v>
      </c>
    </row>
    <row r="907">
      <c r="A907" s="22" t="s">
        <v>2222</v>
      </c>
      <c r="B907" s="22" t="s">
        <v>2195</v>
      </c>
      <c r="C907" s="22" t="s">
        <v>953</v>
      </c>
      <c r="D907" s="50" t="str">
        <f t="shared" si="1"/>
        <v>2027eguo</v>
      </c>
    </row>
    <row r="908">
      <c r="A908" s="22" t="s">
        <v>2223</v>
      </c>
      <c r="B908" s="22" t="s">
        <v>2195</v>
      </c>
      <c r="C908" s="22" t="s">
        <v>709</v>
      </c>
      <c r="D908" s="50" t="str">
        <f t="shared" si="1"/>
        <v>2026swettimu</v>
      </c>
    </row>
    <row r="909">
      <c r="A909" s="22" t="s">
        <v>2224</v>
      </c>
      <c r="B909" s="22" t="s">
        <v>2195</v>
      </c>
      <c r="C909" s="22" t="s">
        <v>777</v>
      </c>
      <c r="D909" s="50" t="str">
        <f t="shared" si="1"/>
        <v>2027esombhat</v>
      </c>
    </row>
    <row r="910">
      <c r="A910" s="22" t="s">
        <v>2225</v>
      </c>
      <c r="B910" s="22" t="s">
        <v>2195</v>
      </c>
      <c r="C910" s="22" t="s">
        <v>830</v>
      </c>
      <c r="D910" s="50" t="str">
        <f t="shared" si="1"/>
        <v>2027rguo</v>
      </c>
    </row>
    <row r="911">
      <c r="A911" s="22" t="s">
        <v>2226</v>
      </c>
      <c r="B911" s="22" t="s">
        <v>2195</v>
      </c>
      <c r="C911" s="22" t="s">
        <v>814</v>
      </c>
      <c r="D911" s="50" t="str">
        <f t="shared" si="1"/>
        <v>2027vcao</v>
      </c>
    </row>
    <row r="912">
      <c r="A912" s="22" t="s">
        <v>2227</v>
      </c>
      <c r="B912" s="22" t="s">
        <v>2195</v>
      </c>
      <c r="C912" s="22" t="s">
        <v>931</v>
      </c>
      <c r="D912" s="50" t="str">
        <f t="shared" si="1"/>
        <v>2027pyoo</v>
      </c>
    </row>
    <row r="913">
      <c r="A913" s="22" t="s">
        <v>2228</v>
      </c>
      <c r="B913" s="22" t="s">
        <v>2229</v>
      </c>
      <c r="C913" s="22" t="s">
        <v>1241</v>
      </c>
      <c r="D913" s="50" t="str">
        <f t="shared" si="1"/>
        <v>2025jyoo</v>
      </c>
    </row>
    <row r="914">
      <c r="A914" s="22" t="s">
        <v>2230</v>
      </c>
      <c r="B914" s="22" t="s">
        <v>2229</v>
      </c>
      <c r="C914" s="22" t="s">
        <v>970</v>
      </c>
      <c r="D914" s="50" t="str">
        <f t="shared" si="1"/>
        <v>2027mbu</v>
      </c>
    </row>
    <row r="915">
      <c r="A915" s="22" t="s">
        <v>2231</v>
      </c>
      <c r="B915" s="22" t="s">
        <v>2229</v>
      </c>
      <c r="C915" s="22" t="s">
        <v>977</v>
      </c>
      <c r="D915" s="50" t="str">
        <f t="shared" si="1"/>
        <v>2027eqiu</v>
      </c>
    </row>
    <row r="916">
      <c r="A916" s="22" t="s">
        <v>2232</v>
      </c>
      <c r="B916" s="22" t="s">
        <v>2229</v>
      </c>
      <c r="C916" s="22" t="s">
        <v>934</v>
      </c>
      <c r="D916" s="50" t="str">
        <f t="shared" si="1"/>
        <v>2028bhan</v>
      </c>
    </row>
    <row r="917">
      <c r="A917" s="22" t="s">
        <v>2233</v>
      </c>
      <c r="B917" s="22" t="s">
        <v>2229</v>
      </c>
      <c r="C917" s="22" t="s">
        <v>935</v>
      </c>
      <c r="D917" s="50" t="str">
        <f t="shared" si="1"/>
        <v>2028szhang</v>
      </c>
    </row>
    <row r="918">
      <c r="A918" s="22" t="s">
        <v>2234</v>
      </c>
      <c r="B918" s="22" t="s">
        <v>2229</v>
      </c>
      <c r="C918" s="22" t="s">
        <v>966</v>
      </c>
      <c r="D918" s="50" t="str">
        <f t="shared" si="1"/>
        <v>2028adoppala</v>
      </c>
    </row>
    <row r="919">
      <c r="A919" s="22" t="s">
        <v>2235</v>
      </c>
      <c r="B919" s="22" t="s">
        <v>2229</v>
      </c>
      <c r="C919" s="22" t="s">
        <v>995</v>
      </c>
      <c r="D919" s="50" t="str">
        <f t="shared" si="1"/>
        <v>2028srangara</v>
      </c>
    </row>
    <row r="920">
      <c r="A920" s="22" t="s">
        <v>2236</v>
      </c>
      <c r="B920" s="22" t="s">
        <v>2229</v>
      </c>
      <c r="C920" s="22" t="s">
        <v>852</v>
      </c>
      <c r="D920" s="50" t="str">
        <f t="shared" si="1"/>
        <v>2027rgao</v>
      </c>
    </row>
    <row r="921">
      <c r="A921" s="22" t="s">
        <v>2237</v>
      </c>
      <c r="B921" s="22" t="s">
        <v>2229</v>
      </c>
      <c r="C921" s="22" t="s">
        <v>858</v>
      </c>
      <c r="D921" s="50" t="str">
        <f t="shared" si="1"/>
        <v>2027asachdev</v>
      </c>
    </row>
    <row r="922">
      <c r="A922" s="22" t="s">
        <v>2238</v>
      </c>
      <c r="B922" s="22" t="s">
        <v>2229</v>
      </c>
      <c r="C922" s="22" t="s">
        <v>947</v>
      </c>
      <c r="D922" s="50" t="str">
        <f t="shared" si="1"/>
        <v>2028syan</v>
      </c>
    </row>
    <row r="923">
      <c r="A923" s="22" t="s">
        <v>2239</v>
      </c>
      <c r="B923" s="22" t="s">
        <v>2229</v>
      </c>
      <c r="C923" s="22" t="s">
        <v>1222</v>
      </c>
      <c r="D923" s="50" t="str">
        <f t="shared" si="1"/>
        <v>2025rkumaran</v>
      </c>
    </row>
    <row r="924">
      <c r="A924" s="22" t="s">
        <v>2240</v>
      </c>
      <c r="B924" s="22" t="s">
        <v>2229</v>
      </c>
      <c r="C924" s="22" t="s">
        <v>988</v>
      </c>
      <c r="D924" s="50" t="str">
        <f t="shared" si="1"/>
        <v>2028efeldman</v>
      </c>
    </row>
    <row r="925">
      <c r="A925" s="22" t="s">
        <v>2241</v>
      </c>
      <c r="B925" s="22" t="s">
        <v>2229</v>
      </c>
      <c r="C925" s="22" t="s">
        <v>983</v>
      </c>
      <c r="D925" s="50" t="str">
        <f t="shared" si="1"/>
        <v>2028elin</v>
      </c>
    </row>
    <row r="926">
      <c r="A926" s="22" t="s">
        <v>2242</v>
      </c>
      <c r="B926" s="22" t="s">
        <v>2229</v>
      </c>
      <c r="C926" s="22" t="s">
        <v>959</v>
      </c>
      <c r="D926" s="50" t="str">
        <f t="shared" si="1"/>
        <v>2028bjonuzaj</v>
      </c>
    </row>
    <row r="927">
      <c r="A927" s="22" t="s">
        <v>2243</v>
      </c>
      <c r="B927" s="22" t="s">
        <v>2229</v>
      </c>
      <c r="C927" s="22" t="s">
        <v>961</v>
      </c>
      <c r="D927" s="50" t="str">
        <f t="shared" si="1"/>
        <v>2028tdeng</v>
      </c>
    </row>
    <row r="928">
      <c r="A928" s="22" t="s">
        <v>2244</v>
      </c>
      <c r="B928" s="22" t="s">
        <v>2229</v>
      </c>
      <c r="C928" s="22" t="s">
        <v>813</v>
      </c>
      <c r="D928" s="50" t="str">
        <f t="shared" si="1"/>
        <v>2027vrayavar</v>
      </c>
    </row>
    <row r="929">
      <c r="A929" s="22" t="s">
        <v>2245</v>
      </c>
      <c r="B929" s="22" t="s">
        <v>2229</v>
      </c>
      <c r="C929" s="22" t="s">
        <v>948</v>
      </c>
      <c r="D929" s="50" t="str">
        <f t="shared" si="1"/>
        <v>2028adeevi</v>
      </c>
    </row>
    <row r="930">
      <c r="A930" s="22" t="s">
        <v>2246</v>
      </c>
      <c r="B930" s="22" t="s">
        <v>2229</v>
      </c>
      <c r="C930" s="22" t="s">
        <v>996</v>
      </c>
      <c r="D930" s="50" t="str">
        <f t="shared" si="1"/>
        <v>2028ana</v>
      </c>
    </row>
    <row r="931">
      <c r="A931" s="22" t="s">
        <v>2247</v>
      </c>
      <c r="B931" s="22" t="s">
        <v>2229</v>
      </c>
      <c r="C931" s="22" t="s">
        <v>784</v>
      </c>
      <c r="D931" s="50" t="str">
        <f t="shared" si="1"/>
        <v>2027mthathin</v>
      </c>
    </row>
    <row r="932">
      <c r="A932" s="22" t="s">
        <v>2248</v>
      </c>
      <c r="B932" s="22" t="s">
        <v>2229</v>
      </c>
      <c r="C932" s="22" t="s">
        <v>975</v>
      </c>
      <c r="D932" s="50" t="str">
        <f t="shared" si="1"/>
        <v>2027eshan</v>
      </c>
    </row>
    <row r="933">
      <c r="A933" s="22" t="s">
        <v>2249</v>
      </c>
      <c r="B933" s="22" t="s">
        <v>2229</v>
      </c>
      <c r="C933" s="22" t="s">
        <v>823</v>
      </c>
      <c r="D933" s="50" t="str">
        <f t="shared" si="1"/>
        <v>2027spark</v>
      </c>
    </row>
    <row r="934">
      <c r="A934" s="22" t="s">
        <v>2250</v>
      </c>
      <c r="B934" s="22" t="s">
        <v>2229</v>
      </c>
      <c r="C934" s="22" t="s">
        <v>1017</v>
      </c>
      <c r="D934" s="50" t="str">
        <f t="shared" si="1"/>
        <v>2028sli</v>
      </c>
    </row>
    <row r="935">
      <c r="A935" s="22" t="s">
        <v>2251</v>
      </c>
      <c r="B935" s="22" t="s">
        <v>2229</v>
      </c>
      <c r="C935" s="22" t="s">
        <v>822</v>
      </c>
      <c r="D935" s="50" t="str">
        <f t="shared" si="1"/>
        <v>2027skuncha</v>
      </c>
    </row>
    <row r="936">
      <c r="A936" s="22" t="s">
        <v>2252</v>
      </c>
      <c r="B936" s="22" t="s">
        <v>2229</v>
      </c>
      <c r="C936" s="22" t="s">
        <v>662</v>
      </c>
      <c r="D936" s="50" t="str">
        <f t="shared" si="1"/>
        <v>2026rwang</v>
      </c>
    </row>
    <row r="937">
      <c r="A937" s="22" t="s">
        <v>2253</v>
      </c>
      <c r="B937" s="22" t="s">
        <v>2254</v>
      </c>
      <c r="C937" s="22" t="s">
        <v>662</v>
      </c>
      <c r="D937" s="50" t="str">
        <f t="shared" si="1"/>
        <v>2026rwang</v>
      </c>
    </row>
    <row r="938">
      <c r="A938" s="22" t="s">
        <v>2255</v>
      </c>
      <c r="B938" s="22" t="s">
        <v>2229</v>
      </c>
      <c r="C938" s="22" t="s">
        <v>808</v>
      </c>
      <c r="D938" s="50" t="str">
        <f t="shared" si="1"/>
        <v>2027sbisht</v>
      </c>
    </row>
    <row r="939">
      <c r="A939" s="22" t="s">
        <v>2256</v>
      </c>
      <c r="B939" s="22" t="s">
        <v>2229</v>
      </c>
      <c r="C939" s="22" t="s">
        <v>688</v>
      </c>
      <c r="D939" s="50" t="str">
        <f t="shared" si="1"/>
        <v>2026cmorimot</v>
      </c>
    </row>
    <row r="940">
      <c r="A940" s="22" t="s">
        <v>2257</v>
      </c>
      <c r="B940" s="22" t="s">
        <v>2229</v>
      </c>
      <c r="C940" s="22" t="s">
        <v>806</v>
      </c>
      <c r="D940" s="50" t="str">
        <f t="shared" si="1"/>
        <v>2026jma</v>
      </c>
    </row>
    <row r="941">
      <c r="A941" s="22" t="s">
        <v>2258</v>
      </c>
      <c r="B941" s="22" t="s">
        <v>2229</v>
      </c>
      <c r="C941" s="22" t="s">
        <v>792</v>
      </c>
      <c r="D941" s="50" t="str">
        <f t="shared" si="1"/>
        <v>2026pkissele</v>
      </c>
    </row>
    <row r="942">
      <c r="A942" s="22" t="s">
        <v>2259</v>
      </c>
      <c r="B942" s="22" t="s">
        <v>2229</v>
      </c>
      <c r="C942" s="22" t="s">
        <v>770</v>
      </c>
      <c r="D942" s="50" t="str">
        <f t="shared" si="1"/>
        <v>2027bko</v>
      </c>
    </row>
    <row r="943">
      <c r="A943" s="22" t="s">
        <v>2260</v>
      </c>
      <c r="B943" s="22" t="s">
        <v>2229</v>
      </c>
      <c r="C943" s="22" t="s">
        <v>669</v>
      </c>
      <c r="D943" s="50" t="str">
        <f t="shared" si="1"/>
        <v>2026sshen</v>
      </c>
    </row>
    <row r="944">
      <c r="A944" s="22" t="s">
        <v>2261</v>
      </c>
      <c r="B944" s="22" t="s">
        <v>2229</v>
      </c>
      <c r="C944" s="22" t="s">
        <v>829</v>
      </c>
      <c r="D944" s="50" t="str">
        <f t="shared" si="1"/>
        <v>2027agao</v>
      </c>
    </row>
    <row r="945">
      <c r="A945" s="22" t="s">
        <v>2262</v>
      </c>
      <c r="B945" s="22" t="s">
        <v>2254</v>
      </c>
      <c r="C945" s="22" t="s">
        <v>806</v>
      </c>
      <c r="D945" s="50" t="str">
        <f t="shared" si="1"/>
        <v>2026jma</v>
      </c>
    </row>
    <row r="946">
      <c r="A946" s="22" t="s">
        <v>2263</v>
      </c>
      <c r="B946" s="22" t="s">
        <v>2254</v>
      </c>
      <c r="C946" s="22" t="s">
        <v>829</v>
      </c>
      <c r="D946" s="50" t="str">
        <f t="shared" si="1"/>
        <v>2027agao</v>
      </c>
    </row>
    <row r="947">
      <c r="A947" s="22" t="s">
        <v>2264</v>
      </c>
      <c r="B947" s="22" t="s">
        <v>2254</v>
      </c>
      <c r="C947" s="22" t="s">
        <v>935</v>
      </c>
      <c r="D947" s="50" t="str">
        <f t="shared" si="1"/>
        <v>2028szhang</v>
      </c>
    </row>
    <row r="948">
      <c r="A948" s="22" t="s">
        <v>2265</v>
      </c>
      <c r="B948" s="22" t="s">
        <v>2254</v>
      </c>
      <c r="C948" s="22" t="s">
        <v>688</v>
      </c>
      <c r="D948" s="50" t="str">
        <f t="shared" si="1"/>
        <v>2026cmorimot</v>
      </c>
    </row>
    <row r="949">
      <c r="A949" s="22" t="s">
        <v>2266</v>
      </c>
      <c r="B949" s="22" t="s">
        <v>2254</v>
      </c>
      <c r="C949" s="22" t="s">
        <v>959</v>
      </c>
      <c r="D949" s="50" t="str">
        <f t="shared" si="1"/>
        <v>2028bjonuzaj</v>
      </c>
    </row>
    <row r="950">
      <c r="A950" s="22" t="s">
        <v>2267</v>
      </c>
      <c r="B950" s="22" t="s">
        <v>2229</v>
      </c>
      <c r="C950" s="22" t="s">
        <v>932</v>
      </c>
      <c r="D950" s="50" t="str">
        <f t="shared" si="1"/>
        <v>2028rzhao</v>
      </c>
    </row>
    <row r="951">
      <c r="A951" s="22" t="s">
        <v>2268</v>
      </c>
      <c r="B951" s="22" t="s">
        <v>2254</v>
      </c>
      <c r="C951" s="22" t="s">
        <v>852</v>
      </c>
      <c r="D951" s="50" t="str">
        <f t="shared" si="1"/>
        <v>2027rgao</v>
      </c>
    </row>
    <row r="952">
      <c r="A952" s="22" t="s">
        <v>2269</v>
      </c>
      <c r="B952" s="22" t="s">
        <v>2229</v>
      </c>
      <c r="C952" s="22" t="s">
        <v>980</v>
      </c>
      <c r="D952" s="50" t="str">
        <f t="shared" si="1"/>
        <v>2028hzhou</v>
      </c>
    </row>
    <row r="953">
      <c r="A953" s="22" t="s">
        <v>2270</v>
      </c>
      <c r="B953" s="22" t="s">
        <v>2254</v>
      </c>
      <c r="C953" s="22" t="s">
        <v>813</v>
      </c>
      <c r="D953" s="50" t="str">
        <f t="shared" si="1"/>
        <v>2027vrayavar</v>
      </c>
    </row>
    <row r="954">
      <c r="A954" s="22" t="s">
        <v>2271</v>
      </c>
      <c r="B954" s="22" t="s">
        <v>2229</v>
      </c>
      <c r="C954" s="22" t="s">
        <v>818</v>
      </c>
      <c r="D954" s="50" t="str">
        <f t="shared" si="1"/>
        <v>2027ayan</v>
      </c>
    </row>
    <row r="955">
      <c r="A955" s="22" t="s">
        <v>2272</v>
      </c>
      <c r="B955" s="22" t="s">
        <v>2229</v>
      </c>
      <c r="C955" s="22" t="s">
        <v>997</v>
      </c>
      <c r="D955" s="50" t="str">
        <f t="shared" si="1"/>
        <v>2028jchan</v>
      </c>
    </row>
    <row r="956">
      <c r="A956" s="22" t="s">
        <v>2273</v>
      </c>
      <c r="B956" s="22" t="s">
        <v>2254</v>
      </c>
      <c r="C956" s="22" t="s">
        <v>983</v>
      </c>
      <c r="D956" s="50" t="str">
        <f t="shared" si="1"/>
        <v>2028elin</v>
      </c>
    </row>
    <row r="957">
      <c r="A957" s="22" t="s">
        <v>2274</v>
      </c>
      <c r="B957" s="22" t="s">
        <v>2229</v>
      </c>
      <c r="C957" s="22" t="s">
        <v>690</v>
      </c>
      <c r="D957" s="50" t="str">
        <f t="shared" si="1"/>
        <v>2026rsingh2</v>
      </c>
    </row>
    <row r="958">
      <c r="A958" s="22" t="s">
        <v>2275</v>
      </c>
      <c r="B958" s="22" t="s">
        <v>2254</v>
      </c>
      <c r="C958" s="22" t="s">
        <v>980</v>
      </c>
      <c r="D958" s="50" t="str">
        <f t="shared" si="1"/>
        <v>2028hzhou</v>
      </c>
    </row>
    <row r="959">
      <c r="A959" s="22" t="s">
        <v>2276</v>
      </c>
      <c r="B959" s="22" t="s">
        <v>2229</v>
      </c>
      <c r="C959" s="22" t="s">
        <v>785</v>
      </c>
      <c r="D959" s="50" t="str">
        <f t="shared" si="1"/>
        <v>2027pdu</v>
      </c>
    </row>
    <row r="960">
      <c r="A960" s="22" t="s">
        <v>2277</v>
      </c>
      <c r="B960" s="22" t="s">
        <v>2254</v>
      </c>
      <c r="C960" s="22" t="s">
        <v>997</v>
      </c>
      <c r="D960" s="50" t="str">
        <f t="shared" si="1"/>
        <v>2028jchan</v>
      </c>
    </row>
    <row r="961">
      <c r="A961" s="22" t="s">
        <v>2278</v>
      </c>
      <c r="B961" s="22" t="s">
        <v>2254</v>
      </c>
      <c r="C961" s="22" t="s">
        <v>722</v>
      </c>
      <c r="D961" s="50" t="str">
        <f t="shared" si="1"/>
        <v>2026jkim</v>
      </c>
    </row>
    <row r="962">
      <c r="A962" s="22" t="s">
        <v>2279</v>
      </c>
      <c r="B962" s="22" t="s">
        <v>2229</v>
      </c>
      <c r="C962" s="22" t="s">
        <v>958</v>
      </c>
      <c r="D962" s="50" t="str">
        <f t="shared" si="1"/>
        <v>2028asomired</v>
      </c>
    </row>
    <row r="963">
      <c r="A963" s="22" t="s">
        <v>2280</v>
      </c>
      <c r="B963" s="22" t="s">
        <v>2254</v>
      </c>
      <c r="C963" s="22" t="s">
        <v>952</v>
      </c>
      <c r="D963" s="50" t="str">
        <f t="shared" si="1"/>
        <v>2028mlin</v>
      </c>
    </row>
    <row r="964">
      <c r="A964" s="22" t="s">
        <v>2281</v>
      </c>
      <c r="B964" s="22" t="s">
        <v>2229</v>
      </c>
      <c r="C964" s="22" t="s">
        <v>952</v>
      </c>
      <c r="D964" s="50" t="str">
        <f t="shared" si="1"/>
        <v>2028mlin</v>
      </c>
    </row>
    <row r="965">
      <c r="A965" s="22" t="s">
        <v>2282</v>
      </c>
      <c r="B965" s="22" t="s">
        <v>2229</v>
      </c>
      <c r="C965" s="22" t="s">
        <v>972</v>
      </c>
      <c r="D965" s="50" t="str">
        <f t="shared" si="1"/>
        <v>2028dsubedi</v>
      </c>
    </row>
    <row r="966">
      <c r="A966" s="22" t="s">
        <v>2283</v>
      </c>
      <c r="B966" s="22" t="s">
        <v>2229</v>
      </c>
      <c r="C966" s="22" t="s">
        <v>965</v>
      </c>
      <c r="D966" s="50" t="str">
        <f t="shared" si="1"/>
        <v>2028athota</v>
      </c>
    </row>
    <row r="967">
      <c r="A967" s="22" t="s">
        <v>2284</v>
      </c>
      <c r="B967" s="22" t="s">
        <v>2229</v>
      </c>
      <c r="C967" s="22" t="s">
        <v>756</v>
      </c>
      <c r="D967" s="50" t="str">
        <f t="shared" si="1"/>
        <v>2026abaradhi</v>
      </c>
    </row>
    <row r="968">
      <c r="A968" s="22" t="s">
        <v>2285</v>
      </c>
      <c r="B968" s="22" t="s">
        <v>2254</v>
      </c>
      <c r="C968" s="22" t="s">
        <v>1263</v>
      </c>
      <c r="D968" s="50" t="str">
        <f t="shared" si="1"/>
        <v>2025jkim</v>
      </c>
    </row>
    <row r="969">
      <c r="A969" s="22" t="s">
        <v>2286</v>
      </c>
      <c r="B969" s="22" t="s">
        <v>2229</v>
      </c>
      <c r="C969" s="22" t="s">
        <v>1263</v>
      </c>
      <c r="D969" s="50" t="str">
        <f t="shared" si="1"/>
        <v>2025jkim</v>
      </c>
    </row>
    <row r="970">
      <c r="A970" s="22" t="s">
        <v>2287</v>
      </c>
      <c r="B970" s="22" t="s">
        <v>2229</v>
      </c>
      <c r="C970" s="22" t="s">
        <v>830</v>
      </c>
      <c r="D970" s="50" t="str">
        <f t="shared" si="1"/>
        <v>2027rguo</v>
      </c>
    </row>
    <row r="971">
      <c r="A971" s="22" t="s">
        <v>2288</v>
      </c>
      <c r="B971" s="22" t="s">
        <v>2254</v>
      </c>
      <c r="C971" s="22" t="s">
        <v>830</v>
      </c>
      <c r="D971" s="50" t="str">
        <f t="shared" si="1"/>
        <v>2027rguo</v>
      </c>
    </row>
    <row r="972">
      <c r="A972" s="22" t="s">
        <v>2289</v>
      </c>
      <c r="B972" s="22" t="s">
        <v>2229</v>
      </c>
      <c r="C972" s="22" t="s">
        <v>968</v>
      </c>
      <c r="D972" s="50" t="str">
        <f t="shared" si="1"/>
        <v>2028lmeng</v>
      </c>
    </row>
    <row r="973">
      <c r="A973" s="22" t="s">
        <v>2290</v>
      </c>
      <c r="B973" s="22" t="s">
        <v>2229</v>
      </c>
      <c r="C973" s="22" t="s">
        <v>967</v>
      </c>
      <c r="D973" s="50" t="str">
        <f t="shared" si="1"/>
        <v>2028asu</v>
      </c>
    </row>
    <row r="974">
      <c r="A974" s="22" t="s">
        <v>2291</v>
      </c>
      <c r="B974" s="22" t="s">
        <v>2254</v>
      </c>
      <c r="C974" s="22" t="s">
        <v>690</v>
      </c>
      <c r="D974" s="50" t="str">
        <f t="shared" si="1"/>
        <v>2026rsingh2</v>
      </c>
    </row>
    <row r="975">
      <c r="A975" s="22" t="s">
        <v>2292</v>
      </c>
      <c r="B975" s="22" t="s">
        <v>2254</v>
      </c>
      <c r="C975" s="22" t="s">
        <v>967</v>
      </c>
      <c r="D975" s="50" t="str">
        <f t="shared" si="1"/>
        <v>2028asu</v>
      </c>
    </row>
    <row r="976">
      <c r="A976" s="22" t="s">
        <v>2293</v>
      </c>
      <c r="B976" s="22" t="s">
        <v>2229</v>
      </c>
      <c r="C976" s="22" t="s">
        <v>924</v>
      </c>
      <c r="D976" s="50" t="str">
        <f t="shared" si="1"/>
        <v>2028relias</v>
      </c>
    </row>
    <row r="977">
      <c r="A977" s="22" t="s">
        <v>2294</v>
      </c>
      <c r="B977" s="22" t="s">
        <v>2254</v>
      </c>
      <c r="C977" s="22" t="s">
        <v>785</v>
      </c>
      <c r="D977" s="50" t="str">
        <f t="shared" si="1"/>
        <v>2027pdu</v>
      </c>
    </row>
    <row r="978">
      <c r="A978" s="22" t="s">
        <v>2295</v>
      </c>
      <c r="B978" s="22" t="s">
        <v>2254</v>
      </c>
      <c r="C978" s="22" t="s">
        <v>970</v>
      </c>
      <c r="D978" s="50" t="str">
        <f t="shared" si="1"/>
        <v>2027mbu</v>
      </c>
    </row>
    <row r="979">
      <c r="A979" s="22" t="s">
        <v>2296</v>
      </c>
      <c r="B979" s="22" t="s">
        <v>2229</v>
      </c>
      <c r="C979" s="22" t="s">
        <v>801</v>
      </c>
      <c r="D979" s="50" t="str">
        <f t="shared" si="1"/>
        <v>2027jlee1</v>
      </c>
    </row>
    <row r="980">
      <c r="A980" s="22" t="s">
        <v>2297</v>
      </c>
      <c r="B980" s="22" t="s">
        <v>2229</v>
      </c>
      <c r="C980" s="22" t="s">
        <v>777</v>
      </c>
      <c r="D980" s="50" t="str">
        <f t="shared" si="1"/>
        <v>2027esombhat</v>
      </c>
    </row>
    <row r="981">
      <c r="A981" s="22" t="s">
        <v>2298</v>
      </c>
      <c r="B981" s="22" t="s">
        <v>2229</v>
      </c>
      <c r="C981" s="22" t="s">
        <v>660</v>
      </c>
      <c r="D981" s="50" t="str">
        <f t="shared" si="1"/>
        <v>2026mzhao</v>
      </c>
    </row>
    <row r="982">
      <c r="A982" s="22" t="s">
        <v>2299</v>
      </c>
      <c r="B982" s="22" t="s">
        <v>2229</v>
      </c>
      <c r="C982" s="22" t="s">
        <v>957</v>
      </c>
      <c r="D982" s="50" t="str">
        <f t="shared" si="1"/>
        <v>2028aliu</v>
      </c>
    </row>
    <row r="983">
      <c r="A983" s="22" t="s">
        <v>2300</v>
      </c>
      <c r="B983" s="22" t="s">
        <v>2229</v>
      </c>
      <c r="C983" s="22" t="s">
        <v>814</v>
      </c>
      <c r="D983" s="50" t="str">
        <f t="shared" si="1"/>
        <v>2027vcao</v>
      </c>
    </row>
    <row r="984">
      <c r="A984" s="22" t="s">
        <v>2301</v>
      </c>
      <c r="B984" s="22" t="s">
        <v>2254</v>
      </c>
      <c r="C984" s="22" t="s">
        <v>756</v>
      </c>
      <c r="D984" s="50" t="str">
        <f t="shared" si="1"/>
        <v>2026abaradhi</v>
      </c>
    </row>
    <row r="985">
      <c r="A985" s="22" t="s">
        <v>2302</v>
      </c>
      <c r="B985" s="22" t="s">
        <v>2254</v>
      </c>
      <c r="C985" s="22" t="s">
        <v>924</v>
      </c>
      <c r="D985" s="50" t="str">
        <f t="shared" si="1"/>
        <v>2028relias</v>
      </c>
    </row>
    <row r="986">
      <c r="A986" s="22" t="s">
        <v>2303</v>
      </c>
      <c r="B986" s="22" t="s">
        <v>2254</v>
      </c>
      <c r="C986" s="22" t="s">
        <v>1241</v>
      </c>
      <c r="D986" s="50" t="str">
        <f t="shared" si="1"/>
        <v>2025jyoo</v>
      </c>
    </row>
    <row r="987">
      <c r="A987" s="22" t="s">
        <v>2304</v>
      </c>
      <c r="B987" s="22" t="s">
        <v>2254</v>
      </c>
      <c r="C987" s="22" t="s">
        <v>995</v>
      </c>
      <c r="D987" s="50" t="str">
        <f t="shared" si="1"/>
        <v>2028srangara</v>
      </c>
    </row>
    <row r="988">
      <c r="A988" s="22" t="s">
        <v>2305</v>
      </c>
      <c r="B988" s="22" t="s">
        <v>2254</v>
      </c>
      <c r="C988" s="22" t="s">
        <v>801</v>
      </c>
      <c r="D988" s="50" t="str">
        <f t="shared" si="1"/>
        <v>2027jlee1</v>
      </c>
    </row>
    <row r="989">
      <c r="A989" s="22" t="s">
        <v>2306</v>
      </c>
      <c r="B989" s="22" t="s">
        <v>2254</v>
      </c>
      <c r="C989" s="22" t="s">
        <v>660</v>
      </c>
      <c r="D989" s="50" t="str">
        <f t="shared" si="1"/>
        <v>2026mzhao</v>
      </c>
    </row>
    <row r="990">
      <c r="A990" s="22" t="s">
        <v>2307</v>
      </c>
      <c r="B990" s="22" t="s">
        <v>2254</v>
      </c>
      <c r="C990" s="22" t="s">
        <v>968</v>
      </c>
      <c r="D990" s="50" t="str">
        <f t="shared" si="1"/>
        <v>2028lmeng</v>
      </c>
    </row>
    <row r="991">
      <c r="A991" s="22" t="s">
        <v>2308</v>
      </c>
      <c r="B991" s="22" t="s">
        <v>2254</v>
      </c>
      <c r="C991" s="22" t="s">
        <v>984</v>
      </c>
      <c r="D991" s="50" t="str">
        <f t="shared" si="1"/>
        <v>2028sari</v>
      </c>
    </row>
    <row r="992">
      <c r="A992" s="22" t="s">
        <v>2309</v>
      </c>
      <c r="B992" s="22" t="s">
        <v>2254</v>
      </c>
      <c r="C992" s="22" t="s">
        <v>957</v>
      </c>
      <c r="D992" s="50" t="str">
        <f t="shared" si="1"/>
        <v>2028aliu</v>
      </c>
    </row>
    <row r="993">
      <c r="A993" s="22" t="s">
        <v>2310</v>
      </c>
      <c r="B993" s="22" t="s">
        <v>2229</v>
      </c>
      <c r="C993" s="22" t="s">
        <v>951</v>
      </c>
      <c r="D993" s="50" t="str">
        <f t="shared" si="1"/>
        <v>2028yli</v>
      </c>
    </row>
    <row r="994">
      <c r="A994" s="22" t="s">
        <v>2311</v>
      </c>
      <c r="B994" s="22" t="s">
        <v>2254</v>
      </c>
      <c r="C994" s="22" t="s">
        <v>1002</v>
      </c>
      <c r="D994" s="50" t="str">
        <f t="shared" si="1"/>
        <v>2028dduong</v>
      </c>
    </row>
    <row r="995">
      <c r="A995" s="22" t="s">
        <v>2312</v>
      </c>
      <c r="B995" s="22" t="s">
        <v>2254</v>
      </c>
      <c r="C995" s="22" t="s">
        <v>971</v>
      </c>
      <c r="D995" s="50" t="str">
        <f t="shared" si="1"/>
        <v>2028gagilan</v>
      </c>
    </row>
    <row r="996">
      <c r="A996" s="22" t="s">
        <v>2313</v>
      </c>
      <c r="B996" s="22" t="s">
        <v>2254</v>
      </c>
      <c r="C996" s="22" t="s">
        <v>951</v>
      </c>
      <c r="D996" s="50" t="str">
        <f t="shared" si="1"/>
        <v>2028yli</v>
      </c>
    </row>
    <row r="997">
      <c r="A997" s="22" t="s">
        <v>2314</v>
      </c>
      <c r="B997" s="22" t="s">
        <v>2254</v>
      </c>
      <c r="C997" s="22" t="s">
        <v>941</v>
      </c>
      <c r="D997" s="50" t="str">
        <f t="shared" si="1"/>
        <v>2028dbhooma</v>
      </c>
    </row>
    <row r="998">
      <c r="A998" s="22" t="s">
        <v>2315</v>
      </c>
      <c r="B998" s="22" t="s">
        <v>2254</v>
      </c>
      <c r="C998" s="22" t="s">
        <v>1282</v>
      </c>
      <c r="D998" s="50" t="str">
        <f t="shared" si="1"/>
        <v>2025mzhang</v>
      </c>
    </row>
    <row r="999">
      <c r="A999" s="22" t="s">
        <v>2316</v>
      </c>
      <c r="B999" s="22" t="s">
        <v>2254</v>
      </c>
      <c r="C999" s="22" t="s">
        <v>1008</v>
      </c>
      <c r="D999" s="50" t="str">
        <f t="shared" si="1"/>
        <v>2028apokhrel</v>
      </c>
    </row>
    <row r="1000">
      <c r="A1000" s="22" t="s">
        <v>2317</v>
      </c>
      <c r="B1000" s="22" t="s">
        <v>2254</v>
      </c>
      <c r="C1000" s="22" t="s">
        <v>816</v>
      </c>
      <c r="D1000" s="50" t="str">
        <f t="shared" si="1"/>
        <v>2027achu</v>
      </c>
    </row>
    <row r="1001">
      <c r="A1001" s="22" t="s">
        <v>2318</v>
      </c>
      <c r="B1001" s="22" t="s">
        <v>2254</v>
      </c>
      <c r="C1001" s="22" t="s">
        <v>947</v>
      </c>
      <c r="D1001" s="50" t="str">
        <f t="shared" si="1"/>
        <v>2028syan</v>
      </c>
    </row>
    <row r="1002">
      <c r="A1002" s="22" t="s">
        <v>2319</v>
      </c>
      <c r="B1002" s="22" t="s">
        <v>2229</v>
      </c>
      <c r="C1002" s="22" t="s">
        <v>926</v>
      </c>
      <c r="D1002" s="50" t="str">
        <f t="shared" si="1"/>
        <v>2027rbala</v>
      </c>
    </row>
    <row r="1003">
      <c r="A1003" s="22" t="s">
        <v>2320</v>
      </c>
      <c r="B1003" s="22" t="s">
        <v>2254</v>
      </c>
      <c r="C1003" s="22" t="s">
        <v>1004</v>
      </c>
      <c r="D1003" s="50" t="str">
        <f t="shared" si="1"/>
        <v>2028osazhyn</v>
      </c>
    </row>
    <row r="1004">
      <c r="A1004" s="22" t="s">
        <v>2321</v>
      </c>
      <c r="B1004" s="22" t="s">
        <v>2229</v>
      </c>
      <c r="C1004" s="22" t="s">
        <v>1005</v>
      </c>
      <c r="D1004" s="50" t="str">
        <f t="shared" si="1"/>
        <v>2028agupta</v>
      </c>
    </row>
    <row r="1005">
      <c r="A1005" s="22" t="s">
        <v>2322</v>
      </c>
      <c r="B1005" s="22" t="s">
        <v>2254</v>
      </c>
      <c r="C1005" s="22" t="s">
        <v>665</v>
      </c>
      <c r="D1005" s="50" t="str">
        <f t="shared" si="1"/>
        <v>2026achen</v>
      </c>
    </row>
    <row r="1006">
      <c r="A1006" s="22" t="s">
        <v>2323</v>
      </c>
      <c r="B1006" s="22" t="s">
        <v>2229</v>
      </c>
      <c r="C1006" s="22" t="s">
        <v>788</v>
      </c>
      <c r="D1006" s="50" t="str">
        <f t="shared" si="1"/>
        <v>2027itennyso</v>
      </c>
    </row>
    <row r="1007">
      <c r="A1007" s="22" t="s">
        <v>2324</v>
      </c>
      <c r="B1007" s="22" t="s">
        <v>2254</v>
      </c>
      <c r="C1007" s="22" t="s">
        <v>788</v>
      </c>
      <c r="D1007" s="50" t="str">
        <f t="shared" si="1"/>
        <v>2027itennyso</v>
      </c>
    </row>
    <row r="1008">
      <c r="A1008" s="22" t="s">
        <v>2325</v>
      </c>
      <c r="B1008" s="22" t="s">
        <v>2229</v>
      </c>
      <c r="C1008" s="22" t="s">
        <v>1255</v>
      </c>
      <c r="D1008" s="50" t="str">
        <f t="shared" si="1"/>
        <v>2025apagidi</v>
      </c>
    </row>
    <row r="1009">
      <c r="A1009" s="22" t="s">
        <v>2326</v>
      </c>
      <c r="B1009" s="22" t="s">
        <v>2254</v>
      </c>
      <c r="C1009" s="22" t="s">
        <v>954</v>
      </c>
      <c r="D1009" s="50" t="str">
        <f t="shared" si="1"/>
        <v>2028ssurapan</v>
      </c>
    </row>
    <row r="1010">
      <c r="A1010" s="22" t="s">
        <v>2327</v>
      </c>
      <c r="B1010" s="22" t="s">
        <v>2254</v>
      </c>
      <c r="C1010" s="22" t="s">
        <v>964</v>
      </c>
      <c r="D1010" s="50" t="str">
        <f t="shared" si="1"/>
        <v>2028ldober</v>
      </c>
    </row>
    <row r="1011">
      <c r="A1011" s="22" t="s">
        <v>2328</v>
      </c>
      <c r="B1011" s="22" t="s">
        <v>2254</v>
      </c>
      <c r="C1011" s="22" t="s">
        <v>919</v>
      </c>
      <c r="D1011" s="50" t="str">
        <f t="shared" si="1"/>
        <v>2027ekim</v>
      </c>
    </row>
    <row r="1012">
      <c r="A1012" s="22" t="s">
        <v>2329</v>
      </c>
      <c r="B1012" s="22" t="s">
        <v>2254</v>
      </c>
      <c r="C1012" s="22" t="s">
        <v>989</v>
      </c>
      <c r="D1012" s="50" t="str">
        <f t="shared" si="1"/>
        <v>2028pmishra</v>
      </c>
    </row>
    <row r="1013">
      <c r="A1013" s="22" t="s">
        <v>2330</v>
      </c>
      <c r="B1013" s="22" t="s">
        <v>2254</v>
      </c>
      <c r="C1013" s="22" t="s">
        <v>881</v>
      </c>
      <c r="D1013" s="50" t="str">
        <f t="shared" si="1"/>
        <v>2027aliu</v>
      </c>
    </row>
    <row r="1014">
      <c r="A1014" s="22" t="s">
        <v>2331</v>
      </c>
      <c r="B1014" s="22" t="s">
        <v>2229</v>
      </c>
      <c r="C1014" s="22" t="s">
        <v>956</v>
      </c>
      <c r="D1014" s="50" t="str">
        <f t="shared" si="1"/>
        <v>2028vlee</v>
      </c>
    </row>
    <row r="1015">
      <c r="A1015" s="22" t="s">
        <v>2332</v>
      </c>
      <c r="B1015" s="22" t="s">
        <v>2254</v>
      </c>
      <c r="C1015" s="22" t="s">
        <v>659</v>
      </c>
      <c r="D1015" s="50" t="str">
        <f t="shared" si="1"/>
        <v>2026exie</v>
      </c>
    </row>
    <row r="1016">
      <c r="A1016" s="22" t="s">
        <v>2333</v>
      </c>
      <c r="B1016" s="22" t="s">
        <v>2254</v>
      </c>
      <c r="C1016" s="22" t="s">
        <v>916</v>
      </c>
      <c r="D1016" s="50" t="str">
        <f t="shared" si="1"/>
        <v>2027sahmadza</v>
      </c>
    </row>
    <row r="1017">
      <c r="A1017" s="22" t="s">
        <v>2334</v>
      </c>
      <c r="B1017" s="22" t="s">
        <v>2254</v>
      </c>
      <c r="C1017" s="22" t="s">
        <v>960</v>
      </c>
      <c r="D1017" s="50" t="str">
        <f t="shared" si="1"/>
        <v>2028srao</v>
      </c>
    </row>
    <row r="1018">
      <c r="A1018" s="22" t="s">
        <v>2335</v>
      </c>
      <c r="B1018" s="22" t="s">
        <v>2254</v>
      </c>
      <c r="C1018" s="22" t="s">
        <v>731</v>
      </c>
      <c r="D1018" s="50" t="str">
        <f t="shared" si="1"/>
        <v>2026dchoi</v>
      </c>
    </row>
    <row r="1019">
      <c r="A1019" s="22" t="s">
        <v>2336</v>
      </c>
      <c r="B1019" s="22" t="s">
        <v>2254</v>
      </c>
      <c r="C1019" s="22" t="s">
        <v>975</v>
      </c>
      <c r="D1019" s="50" t="str">
        <f t="shared" si="1"/>
        <v>2027eshan</v>
      </c>
    </row>
    <row r="1020">
      <c r="A1020" s="22" t="s">
        <v>2337</v>
      </c>
      <c r="B1020" s="22" t="s">
        <v>2254</v>
      </c>
      <c r="C1020" s="22" t="s">
        <v>670</v>
      </c>
      <c r="D1020" s="50" t="str">
        <f t="shared" si="1"/>
        <v>2026elee</v>
      </c>
    </row>
    <row r="1021">
      <c r="A1021" s="22" t="s">
        <v>2338</v>
      </c>
      <c r="B1021" s="22" t="s">
        <v>2254</v>
      </c>
      <c r="C1021" s="22" t="s">
        <v>1026</v>
      </c>
      <c r="D1021" s="50" t="str">
        <f t="shared" si="1"/>
        <v>2028egu</v>
      </c>
    </row>
    <row r="1022">
      <c r="A1022" s="22" t="s">
        <v>2339</v>
      </c>
      <c r="B1022" s="22" t="s">
        <v>2340</v>
      </c>
      <c r="C1022" s="22" t="s">
        <v>929</v>
      </c>
      <c r="D1022" s="50" t="str">
        <f t="shared" si="1"/>
        <v>2028dhe</v>
      </c>
    </row>
    <row r="1023">
      <c r="A1023" s="22" t="s">
        <v>2341</v>
      </c>
      <c r="B1023" s="22" t="s">
        <v>2340</v>
      </c>
      <c r="C1023" s="22" t="s">
        <v>830</v>
      </c>
      <c r="D1023" s="50" t="str">
        <f t="shared" si="1"/>
        <v>2027rguo</v>
      </c>
    </row>
    <row r="1024">
      <c r="A1024" s="22" t="s">
        <v>2342</v>
      </c>
      <c r="B1024" s="22" t="s">
        <v>2340</v>
      </c>
      <c r="C1024" s="22" t="s">
        <v>823</v>
      </c>
      <c r="D1024" s="50" t="str">
        <f t="shared" si="1"/>
        <v>2027spark</v>
      </c>
    </row>
    <row r="1025">
      <c r="A1025" s="22" t="s">
        <v>2343</v>
      </c>
      <c r="B1025" s="22" t="s">
        <v>2340</v>
      </c>
      <c r="C1025" s="22" t="s">
        <v>785</v>
      </c>
      <c r="D1025" s="50" t="str">
        <f t="shared" si="1"/>
        <v>2027pdu</v>
      </c>
    </row>
    <row r="1026">
      <c r="A1026" s="22" t="s">
        <v>2344</v>
      </c>
      <c r="B1026" s="22" t="s">
        <v>2340</v>
      </c>
      <c r="C1026" s="22" t="s">
        <v>808</v>
      </c>
      <c r="D1026" s="50" t="str">
        <f t="shared" si="1"/>
        <v>2027sbisht</v>
      </c>
    </row>
    <row r="1027">
      <c r="A1027" s="22" t="s">
        <v>2345</v>
      </c>
      <c r="B1027" s="22" t="s">
        <v>2340</v>
      </c>
      <c r="C1027" s="22" t="s">
        <v>688</v>
      </c>
      <c r="D1027" s="50" t="str">
        <f t="shared" si="1"/>
        <v>2026cmorimot</v>
      </c>
    </row>
    <row r="1028">
      <c r="A1028" s="22" t="s">
        <v>2346</v>
      </c>
      <c r="B1028" s="22" t="s">
        <v>2340</v>
      </c>
      <c r="C1028" s="22" t="s">
        <v>854</v>
      </c>
      <c r="D1028" s="50" t="str">
        <f t="shared" si="1"/>
        <v>2027hqin</v>
      </c>
    </row>
    <row r="1029">
      <c r="A1029" s="22" t="s">
        <v>2347</v>
      </c>
      <c r="B1029" s="22" t="s">
        <v>2340</v>
      </c>
      <c r="C1029" s="22" t="s">
        <v>764</v>
      </c>
      <c r="D1029" s="50" t="str">
        <f t="shared" si="1"/>
        <v>2027zizzi</v>
      </c>
    </row>
    <row r="1030">
      <c r="A1030" s="22" t="s">
        <v>2348</v>
      </c>
      <c r="B1030" s="22" t="s">
        <v>2340</v>
      </c>
      <c r="C1030" s="22" t="s">
        <v>984</v>
      </c>
      <c r="D1030" s="50" t="str">
        <f t="shared" si="1"/>
        <v>2028sari</v>
      </c>
    </row>
    <row r="1031">
      <c r="A1031" s="22" t="s">
        <v>2349</v>
      </c>
      <c r="B1031" s="22" t="s">
        <v>2340</v>
      </c>
      <c r="C1031" s="22" t="s">
        <v>957</v>
      </c>
      <c r="D1031" s="50" t="str">
        <f t="shared" si="1"/>
        <v>2028aliu</v>
      </c>
    </row>
    <row r="1032">
      <c r="A1032" s="22" t="s">
        <v>2350</v>
      </c>
      <c r="B1032" s="22" t="s">
        <v>2340</v>
      </c>
      <c r="C1032" s="22" t="s">
        <v>975</v>
      </c>
      <c r="D1032" s="50" t="str">
        <f t="shared" si="1"/>
        <v>2027eshan</v>
      </c>
    </row>
    <row r="1033">
      <c r="A1033" s="22" t="s">
        <v>2351</v>
      </c>
      <c r="B1033" s="22" t="s">
        <v>2340</v>
      </c>
      <c r="C1033" s="22" t="s">
        <v>965</v>
      </c>
      <c r="D1033" s="50" t="str">
        <f t="shared" si="1"/>
        <v>2028athota</v>
      </c>
    </row>
    <row r="1034">
      <c r="A1034" s="22" t="s">
        <v>2352</v>
      </c>
      <c r="B1034" s="22" t="s">
        <v>2340</v>
      </c>
      <c r="C1034" s="22" t="s">
        <v>931</v>
      </c>
      <c r="D1034" s="50" t="str">
        <f t="shared" si="1"/>
        <v>2027pyoo</v>
      </c>
    </row>
    <row r="1035">
      <c r="A1035" s="22" t="s">
        <v>2353</v>
      </c>
      <c r="B1035" s="22" t="s">
        <v>2340</v>
      </c>
      <c r="C1035" s="22" t="s">
        <v>690</v>
      </c>
      <c r="D1035" s="50" t="str">
        <f t="shared" si="1"/>
        <v>2026rsingh2</v>
      </c>
    </row>
    <row r="1036">
      <c r="A1036" s="22" t="s">
        <v>2354</v>
      </c>
      <c r="B1036" s="22" t="s">
        <v>2340</v>
      </c>
      <c r="C1036" s="22" t="s">
        <v>934</v>
      </c>
      <c r="D1036" s="50" t="str">
        <f t="shared" si="1"/>
        <v>2028bhan</v>
      </c>
    </row>
    <row r="1037">
      <c r="A1037" s="22" t="s">
        <v>2355</v>
      </c>
      <c r="B1037" s="22" t="s">
        <v>2340</v>
      </c>
      <c r="C1037" s="22" t="s">
        <v>779</v>
      </c>
      <c r="D1037" s="50" t="str">
        <f t="shared" si="1"/>
        <v>2027jdurr</v>
      </c>
    </row>
    <row r="1038">
      <c r="A1038" s="22" t="s">
        <v>2356</v>
      </c>
      <c r="B1038" s="22" t="s">
        <v>2340</v>
      </c>
      <c r="C1038" s="22" t="s">
        <v>816</v>
      </c>
      <c r="D1038" s="50" t="str">
        <f t="shared" si="1"/>
        <v>2027achu</v>
      </c>
    </row>
    <row r="1039">
      <c r="A1039" s="22" t="s">
        <v>2357</v>
      </c>
      <c r="B1039" s="22" t="s">
        <v>2340</v>
      </c>
      <c r="C1039" s="22" t="s">
        <v>669</v>
      </c>
      <c r="D1039" s="50" t="str">
        <f t="shared" si="1"/>
        <v>2026sshen</v>
      </c>
    </row>
    <row r="1040">
      <c r="A1040" s="22" t="s">
        <v>2358</v>
      </c>
      <c r="B1040" s="22" t="s">
        <v>2340</v>
      </c>
      <c r="C1040" s="22" t="s">
        <v>770</v>
      </c>
      <c r="D1040" s="50" t="str">
        <f t="shared" si="1"/>
        <v>2027bko</v>
      </c>
    </row>
    <row r="1041">
      <c r="A1041" s="22" t="s">
        <v>2359</v>
      </c>
      <c r="B1041" s="22" t="s">
        <v>2340</v>
      </c>
      <c r="C1041" s="22" t="s">
        <v>932</v>
      </c>
      <c r="D1041" s="50" t="str">
        <f t="shared" si="1"/>
        <v>2028rzhao</v>
      </c>
    </row>
    <row r="1042">
      <c r="A1042" s="22" t="s">
        <v>2360</v>
      </c>
      <c r="B1042" s="22" t="s">
        <v>2340</v>
      </c>
      <c r="C1042" s="22" t="s">
        <v>935</v>
      </c>
      <c r="D1042" s="50" t="str">
        <f t="shared" si="1"/>
        <v>2028szhang</v>
      </c>
    </row>
    <row r="1043">
      <c r="A1043" s="22" t="s">
        <v>2361</v>
      </c>
      <c r="B1043" s="22" t="s">
        <v>2340</v>
      </c>
      <c r="C1043" s="22" t="s">
        <v>788</v>
      </c>
      <c r="D1043" s="50" t="str">
        <f t="shared" si="1"/>
        <v>2027itennyso</v>
      </c>
    </row>
    <row r="1044">
      <c r="A1044" s="22" t="s">
        <v>2362</v>
      </c>
      <c r="B1044" s="22" t="s">
        <v>2340</v>
      </c>
      <c r="C1044" s="22" t="s">
        <v>977</v>
      </c>
      <c r="D1044" s="50" t="str">
        <f t="shared" si="1"/>
        <v>2027eqiu</v>
      </c>
    </row>
    <row r="1045">
      <c r="A1045" s="22" t="s">
        <v>2363</v>
      </c>
      <c r="B1045" s="22" t="s">
        <v>2340</v>
      </c>
      <c r="C1045" s="22" t="s">
        <v>1333</v>
      </c>
      <c r="D1045" s="50" t="str">
        <f t="shared" si="1"/>
        <v>2025mburch</v>
      </c>
    </row>
    <row r="1046">
      <c r="A1046" s="22" t="s">
        <v>2364</v>
      </c>
      <c r="B1046" s="22" t="s">
        <v>2340</v>
      </c>
      <c r="C1046" s="22" t="s">
        <v>947</v>
      </c>
      <c r="D1046" s="50" t="str">
        <f t="shared" si="1"/>
        <v>2028syan</v>
      </c>
    </row>
    <row r="1047">
      <c r="A1047" s="22" t="s">
        <v>2365</v>
      </c>
      <c r="B1047" s="22" t="s">
        <v>2340</v>
      </c>
      <c r="C1047" s="22" t="s">
        <v>961</v>
      </c>
      <c r="D1047" s="50" t="str">
        <f t="shared" si="1"/>
        <v>2028tdeng</v>
      </c>
    </row>
    <row r="1048">
      <c r="A1048" s="22" t="s">
        <v>2366</v>
      </c>
      <c r="B1048" s="22" t="s">
        <v>2340</v>
      </c>
      <c r="C1048" s="22" t="s">
        <v>942</v>
      </c>
      <c r="D1048" s="50" t="str">
        <f t="shared" si="1"/>
        <v>2028che</v>
      </c>
    </row>
    <row r="1049">
      <c r="A1049" s="22" t="s">
        <v>2367</v>
      </c>
      <c r="B1049" s="22" t="s">
        <v>2340</v>
      </c>
      <c r="C1049" s="22" t="s">
        <v>777</v>
      </c>
      <c r="D1049" s="50" t="str">
        <f t="shared" si="1"/>
        <v>2027esombhat</v>
      </c>
    </row>
    <row r="1050">
      <c r="A1050" s="22" t="s">
        <v>2368</v>
      </c>
      <c r="B1050" s="22" t="s">
        <v>2340</v>
      </c>
      <c r="C1050" s="22" t="s">
        <v>668</v>
      </c>
      <c r="D1050" s="50" t="str">
        <f t="shared" si="1"/>
        <v>2026ludeshi</v>
      </c>
    </row>
    <row r="1051">
      <c r="A1051" s="22" t="s">
        <v>2369</v>
      </c>
      <c r="B1051" s="22" t="s">
        <v>2370</v>
      </c>
      <c r="C1051" s="22" t="s">
        <v>1356</v>
      </c>
      <c r="D1051" s="50" t="str">
        <f t="shared" si="1"/>
        <v>2025avijayra</v>
      </c>
    </row>
    <row r="1052">
      <c r="A1052" s="22" t="s">
        <v>2371</v>
      </c>
      <c r="B1052" s="22" t="s">
        <v>2372</v>
      </c>
      <c r="C1052" s="22" t="s">
        <v>925</v>
      </c>
      <c r="D1052" s="50" t="str">
        <f t="shared" si="1"/>
        <v>2028dhwang</v>
      </c>
    </row>
    <row r="1053">
      <c r="A1053" s="22" t="s">
        <v>2373</v>
      </c>
      <c r="B1053" s="22" t="s">
        <v>2372</v>
      </c>
      <c r="C1053" s="22" t="s">
        <v>961</v>
      </c>
      <c r="D1053" s="50" t="str">
        <f t="shared" si="1"/>
        <v>2028tdeng</v>
      </c>
    </row>
    <row r="1054">
      <c r="A1054" s="22" t="s">
        <v>2374</v>
      </c>
      <c r="B1054" s="22" t="s">
        <v>2372</v>
      </c>
      <c r="C1054" s="22" t="s">
        <v>926</v>
      </c>
      <c r="D1054" s="50" t="str">
        <f t="shared" si="1"/>
        <v>2027rbala</v>
      </c>
    </row>
    <row r="1055">
      <c r="A1055" s="22" t="s">
        <v>2375</v>
      </c>
      <c r="B1055" s="22" t="s">
        <v>2372</v>
      </c>
      <c r="C1055" s="22" t="s">
        <v>670</v>
      </c>
      <c r="D1055" s="50" t="str">
        <f t="shared" si="1"/>
        <v>2026elee</v>
      </c>
    </row>
    <row r="1056">
      <c r="A1056" s="22" t="s">
        <v>2376</v>
      </c>
      <c r="B1056" s="22" t="s">
        <v>2372</v>
      </c>
      <c r="C1056" s="22" t="s">
        <v>981</v>
      </c>
      <c r="D1056" s="50" t="str">
        <f t="shared" si="1"/>
        <v>2027ikim</v>
      </c>
    </row>
    <row r="1057">
      <c r="A1057" s="22" t="s">
        <v>2377</v>
      </c>
      <c r="B1057" s="22" t="s">
        <v>2372</v>
      </c>
      <c r="C1057" s="22" t="s">
        <v>1031</v>
      </c>
      <c r="D1057" s="50" t="str">
        <f t="shared" si="1"/>
        <v>2028mayyalas</v>
      </c>
    </row>
    <row r="1058">
      <c r="A1058" s="22" t="s">
        <v>2378</v>
      </c>
      <c r="B1058" s="22" t="s">
        <v>2372</v>
      </c>
      <c r="C1058" s="22" t="s">
        <v>939</v>
      </c>
      <c r="D1058" s="50" t="str">
        <f t="shared" si="1"/>
        <v>2027apesalad</v>
      </c>
    </row>
    <row r="1059">
      <c r="A1059" s="22" t="s">
        <v>2379</v>
      </c>
      <c r="B1059" s="22" t="s">
        <v>2372</v>
      </c>
      <c r="C1059" s="22" t="s">
        <v>995</v>
      </c>
      <c r="D1059" s="50" t="str">
        <f t="shared" si="1"/>
        <v>2028srangara</v>
      </c>
    </row>
    <row r="1060">
      <c r="A1060" s="22" t="s">
        <v>2380</v>
      </c>
      <c r="B1060" s="22" t="s">
        <v>2372</v>
      </c>
      <c r="C1060" s="22" t="s">
        <v>808</v>
      </c>
      <c r="D1060" s="50" t="str">
        <f t="shared" si="1"/>
        <v>2027sbisht</v>
      </c>
    </row>
    <row r="1061">
      <c r="A1061" s="22" t="s">
        <v>2381</v>
      </c>
      <c r="B1061" s="22" t="s">
        <v>2372</v>
      </c>
      <c r="C1061" s="22" t="s">
        <v>825</v>
      </c>
      <c r="D1061" s="50" t="str">
        <f t="shared" si="1"/>
        <v>2027tdao</v>
      </c>
    </row>
    <row r="1062">
      <c r="A1062" s="22" t="s">
        <v>2382</v>
      </c>
      <c r="B1062" s="22" t="s">
        <v>2372</v>
      </c>
      <c r="C1062" s="22" t="s">
        <v>823</v>
      </c>
      <c r="D1062" s="50" t="str">
        <f t="shared" si="1"/>
        <v>2027spark</v>
      </c>
    </row>
    <row r="1063">
      <c r="A1063" s="22" t="s">
        <v>2383</v>
      </c>
      <c r="B1063" s="22" t="s">
        <v>2372</v>
      </c>
      <c r="C1063" s="22" t="s">
        <v>975</v>
      </c>
      <c r="D1063" s="50" t="str">
        <f t="shared" si="1"/>
        <v>2027eshan</v>
      </c>
    </row>
    <row r="1064">
      <c r="A1064" s="22" t="s">
        <v>2384</v>
      </c>
      <c r="B1064" s="22" t="s">
        <v>2372</v>
      </c>
      <c r="C1064" s="22" t="s">
        <v>814</v>
      </c>
      <c r="D1064" s="50" t="str">
        <f t="shared" si="1"/>
        <v>2027vcao</v>
      </c>
    </row>
    <row r="1065">
      <c r="A1065" s="22" t="s">
        <v>2385</v>
      </c>
      <c r="B1065" s="22" t="s">
        <v>2372</v>
      </c>
      <c r="C1065" s="22" t="s">
        <v>1225</v>
      </c>
      <c r="D1065" s="50" t="str">
        <f t="shared" si="1"/>
        <v>2025ywang</v>
      </c>
    </row>
    <row r="1066">
      <c r="A1066" s="22" t="s">
        <v>2386</v>
      </c>
      <c r="B1066" s="22" t="s">
        <v>2372</v>
      </c>
      <c r="C1066" s="22" t="s">
        <v>775</v>
      </c>
      <c r="D1066" s="50" t="str">
        <f t="shared" si="1"/>
        <v>2027cchen</v>
      </c>
    </row>
    <row r="1067">
      <c r="A1067" s="22" t="s">
        <v>2387</v>
      </c>
      <c r="B1067" s="22" t="s">
        <v>2372</v>
      </c>
      <c r="C1067" s="22" t="s">
        <v>789</v>
      </c>
      <c r="D1067" s="50" t="str">
        <f t="shared" si="1"/>
        <v>2027tho</v>
      </c>
    </row>
    <row r="1068">
      <c r="A1068" s="22" t="s">
        <v>2388</v>
      </c>
      <c r="B1068" s="22" t="s">
        <v>2372</v>
      </c>
      <c r="C1068" s="22" t="s">
        <v>830</v>
      </c>
      <c r="D1068" s="50" t="str">
        <f t="shared" si="1"/>
        <v>2027rguo</v>
      </c>
    </row>
    <row r="1069">
      <c r="A1069" s="22" t="s">
        <v>2389</v>
      </c>
      <c r="B1069" s="22" t="s">
        <v>2372</v>
      </c>
      <c r="C1069" s="22" t="s">
        <v>959</v>
      </c>
      <c r="D1069" s="50" t="str">
        <f t="shared" si="1"/>
        <v>2028bjonuzaj</v>
      </c>
    </row>
    <row r="1070">
      <c r="A1070" s="22" t="s">
        <v>2390</v>
      </c>
      <c r="B1070" s="22" t="s">
        <v>2372</v>
      </c>
      <c r="C1070" s="22" t="s">
        <v>944</v>
      </c>
      <c r="D1070" s="50" t="str">
        <f t="shared" si="1"/>
        <v>2028zrasti</v>
      </c>
    </row>
    <row r="1071">
      <c r="A1071" s="22" t="s">
        <v>2391</v>
      </c>
      <c r="B1071" s="22" t="s">
        <v>2372</v>
      </c>
      <c r="C1071" s="22" t="s">
        <v>934</v>
      </c>
      <c r="D1071" s="50" t="str">
        <f t="shared" si="1"/>
        <v>2028bhan</v>
      </c>
    </row>
    <row r="1072">
      <c r="A1072" s="22" t="s">
        <v>2392</v>
      </c>
      <c r="B1072" s="22" t="s">
        <v>2372</v>
      </c>
      <c r="C1072" s="22" t="s">
        <v>967</v>
      </c>
      <c r="D1072" s="50" t="str">
        <f t="shared" si="1"/>
        <v>2028asu</v>
      </c>
    </row>
    <row r="1073">
      <c r="A1073" s="22" t="s">
        <v>2393</v>
      </c>
      <c r="B1073" s="22" t="s">
        <v>2372</v>
      </c>
      <c r="C1073" s="22" t="s">
        <v>949</v>
      </c>
      <c r="D1073" s="50" t="str">
        <f t="shared" si="1"/>
        <v>2028jli1</v>
      </c>
    </row>
    <row r="1074">
      <c r="A1074" s="22" t="s">
        <v>2394</v>
      </c>
      <c r="B1074" s="22" t="s">
        <v>2372</v>
      </c>
      <c r="C1074" s="22" t="s">
        <v>919</v>
      </c>
      <c r="D1074" s="50" t="str">
        <f t="shared" si="1"/>
        <v>2027ekim</v>
      </c>
    </row>
    <row r="1075">
      <c r="A1075" s="22" t="s">
        <v>2395</v>
      </c>
      <c r="B1075" s="22" t="s">
        <v>2372</v>
      </c>
      <c r="C1075" s="22" t="s">
        <v>667</v>
      </c>
      <c r="D1075" s="50" t="str">
        <f t="shared" si="1"/>
        <v>2026iharchic</v>
      </c>
    </row>
    <row r="1076">
      <c r="A1076" s="22" t="s">
        <v>2396</v>
      </c>
      <c r="B1076" s="22" t="s">
        <v>2372</v>
      </c>
      <c r="C1076" s="22" t="s">
        <v>764</v>
      </c>
      <c r="D1076" s="50" t="str">
        <f t="shared" si="1"/>
        <v>2027zizzi</v>
      </c>
    </row>
    <row r="1077">
      <c r="A1077" s="22" t="s">
        <v>2397</v>
      </c>
      <c r="B1077" s="22" t="s">
        <v>2372</v>
      </c>
      <c r="C1077" s="22" t="s">
        <v>1047</v>
      </c>
      <c r="D1077" s="50" t="str">
        <f t="shared" si="1"/>
        <v>#N/A</v>
      </c>
    </row>
    <row r="1078">
      <c r="A1078" s="22" t="s">
        <v>2398</v>
      </c>
      <c r="B1078" s="22" t="s">
        <v>2372</v>
      </c>
      <c r="C1078" s="22" t="s">
        <v>962</v>
      </c>
      <c r="D1078" s="50" t="str">
        <f t="shared" si="1"/>
        <v>2027sbitar</v>
      </c>
    </row>
    <row r="1079">
      <c r="A1079" s="22" t="s">
        <v>2399</v>
      </c>
      <c r="B1079" s="22" t="s">
        <v>2372</v>
      </c>
      <c r="C1079" s="22" t="s">
        <v>980</v>
      </c>
      <c r="D1079" s="50" t="str">
        <f t="shared" si="1"/>
        <v>2028hzhou</v>
      </c>
    </row>
    <row r="1080">
      <c r="A1080" s="22" t="s">
        <v>2400</v>
      </c>
      <c r="B1080" s="22" t="s">
        <v>2372</v>
      </c>
      <c r="C1080" s="22" t="s">
        <v>881</v>
      </c>
      <c r="D1080" s="50" t="str">
        <f t="shared" si="1"/>
        <v>2027aliu</v>
      </c>
    </row>
    <row r="1081">
      <c r="A1081" s="22" t="s">
        <v>2401</v>
      </c>
      <c r="B1081" s="22" t="s">
        <v>2372</v>
      </c>
      <c r="C1081" s="22" t="s">
        <v>1052</v>
      </c>
      <c r="D1081" s="50" t="str">
        <f t="shared" si="1"/>
        <v>#N/A</v>
      </c>
    </row>
    <row r="1082">
      <c r="A1082" s="22" t="s">
        <v>2402</v>
      </c>
      <c r="B1082" s="22" t="s">
        <v>2372</v>
      </c>
      <c r="C1082" s="22" t="s">
        <v>813</v>
      </c>
      <c r="D1082" s="50" t="str">
        <f t="shared" si="1"/>
        <v>2027vrayavar</v>
      </c>
    </row>
    <row r="1083">
      <c r="A1083" s="22" t="s">
        <v>2403</v>
      </c>
      <c r="B1083" s="22" t="s">
        <v>2372</v>
      </c>
      <c r="C1083" s="22" t="s">
        <v>688</v>
      </c>
      <c r="D1083" s="50" t="str">
        <f t="shared" si="1"/>
        <v>2026cmorimot</v>
      </c>
    </row>
    <row r="1084">
      <c r="A1084" s="22" t="s">
        <v>2404</v>
      </c>
      <c r="B1084" s="22" t="s">
        <v>2372</v>
      </c>
      <c r="C1084" s="22" t="s">
        <v>812</v>
      </c>
      <c r="D1084" s="50" t="str">
        <f t="shared" si="1"/>
        <v>2027dganeshk</v>
      </c>
    </row>
    <row r="1085">
      <c r="A1085" s="22" t="s">
        <v>2405</v>
      </c>
      <c r="B1085" s="22" t="s">
        <v>2372</v>
      </c>
      <c r="C1085" s="22" t="s">
        <v>812</v>
      </c>
      <c r="D1085" s="50" t="str">
        <f t="shared" si="1"/>
        <v>2027dganeshk</v>
      </c>
    </row>
    <row r="1086">
      <c r="A1086" s="22" t="s">
        <v>2406</v>
      </c>
      <c r="B1086" s="22" t="s">
        <v>2372</v>
      </c>
      <c r="C1086" s="22" t="s">
        <v>963</v>
      </c>
      <c r="D1086" s="50" t="str">
        <f t="shared" si="1"/>
        <v>2028aangirek</v>
      </c>
    </row>
    <row r="1087">
      <c r="A1087" s="22" t="s">
        <v>2407</v>
      </c>
      <c r="B1087" s="22" t="s">
        <v>2372</v>
      </c>
      <c r="C1087" s="22" t="s">
        <v>756</v>
      </c>
      <c r="D1087" s="50" t="str">
        <f t="shared" si="1"/>
        <v>2026abaradhi</v>
      </c>
    </row>
    <row r="1088">
      <c r="A1088" s="22" t="s">
        <v>2408</v>
      </c>
      <c r="B1088" s="22" t="s">
        <v>2372</v>
      </c>
      <c r="C1088" s="22" t="s">
        <v>785</v>
      </c>
      <c r="D1088" s="50" t="str">
        <f t="shared" si="1"/>
        <v>2027pdu</v>
      </c>
    </row>
    <row r="1089">
      <c r="A1089" s="22" t="s">
        <v>2409</v>
      </c>
      <c r="B1089" s="22" t="s">
        <v>2372</v>
      </c>
      <c r="C1089" s="22" t="s">
        <v>947</v>
      </c>
      <c r="D1089" s="50" t="str">
        <f t="shared" si="1"/>
        <v>2028syan</v>
      </c>
    </row>
    <row r="1090">
      <c r="A1090" s="22" t="s">
        <v>2410</v>
      </c>
      <c r="B1090" s="22" t="s">
        <v>2372</v>
      </c>
      <c r="C1090" s="22" t="s">
        <v>669</v>
      </c>
      <c r="D1090" s="50" t="str">
        <f t="shared" si="1"/>
        <v>2026sshen</v>
      </c>
    </row>
    <row r="1091">
      <c r="A1091" s="22" t="s">
        <v>2411</v>
      </c>
      <c r="B1091" s="22" t="s">
        <v>2370</v>
      </c>
      <c r="C1091" s="22" t="s">
        <v>662</v>
      </c>
      <c r="D1091" s="50" t="str">
        <f t="shared" si="1"/>
        <v>2026rwang</v>
      </c>
    </row>
    <row r="1092">
      <c r="A1092" s="22" t="s">
        <v>2412</v>
      </c>
      <c r="B1092" s="22" t="s">
        <v>2372</v>
      </c>
      <c r="C1092" s="22" t="s">
        <v>662</v>
      </c>
      <c r="D1092" s="50" t="str">
        <f t="shared" si="1"/>
        <v>2026rwang</v>
      </c>
    </row>
    <row r="1093">
      <c r="A1093" s="22" t="s">
        <v>2413</v>
      </c>
      <c r="B1093" s="22" t="s">
        <v>2372</v>
      </c>
      <c r="C1093" s="22" t="s">
        <v>816</v>
      </c>
      <c r="D1093" s="50" t="str">
        <f t="shared" si="1"/>
        <v>2027achu</v>
      </c>
    </row>
    <row r="1094">
      <c r="A1094" s="22" t="s">
        <v>2414</v>
      </c>
      <c r="B1094" s="22" t="s">
        <v>2372</v>
      </c>
      <c r="C1094" s="22" t="s">
        <v>1004</v>
      </c>
      <c r="D1094" s="50" t="str">
        <f t="shared" si="1"/>
        <v>2028osazhyn</v>
      </c>
    </row>
    <row r="1095">
      <c r="A1095" s="22" t="s">
        <v>2415</v>
      </c>
      <c r="B1095" s="22" t="s">
        <v>2372</v>
      </c>
      <c r="C1095" s="22" t="s">
        <v>1263</v>
      </c>
      <c r="D1095" s="50" t="str">
        <f t="shared" si="1"/>
        <v>2025jkim</v>
      </c>
    </row>
    <row r="1096">
      <c r="A1096" s="22" t="s">
        <v>2416</v>
      </c>
      <c r="B1096" s="22" t="s">
        <v>2372</v>
      </c>
      <c r="C1096" s="22" t="s">
        <v>1222</v>
      </c>
      <c r="D1096" s="50" t="str">
        <f t="shared" si="1"/>
        <v>2025rkumaran</v>
      </c>
    </row>
    <row r="1097">
      <c r="A1097" s="22" t="s">
        <v>2417</v>
      </c>
      <c r="B1097" s="22" t="s">
        <v>2372</v>
      </c>
      <c r="C1097" s="22" t="s">
        <v>779</v>
      </c>
      <c r="D1097" s="50" t="str">
        <f t="shared" si="1"/>
        <v>2027jdurr</v>
      </c>
    </row>
    <row r="1098">
      <c r="A1098" s="22" t="s">
        <v>2418</v>
      </c>
      <c r="B1098" s="22" t="s">
        <v>2372</v>
      </c>
      <c r="C1098" s="22" t="s">
        <v>690</v>
      </c>
      <c r="D1098" s="50" t="str">
        <f t="shared" si="1"/>
        <v>2026rsingh2</v>
      </c>
    </row>
    <row r="1099">
      <c r="A1099" s="22" t="s">
        <v>2419</v>
      </c>
      <c r="B1099" s="22" t="s">
        <v>2372</v>
      </c>
      <c r="C1099" s="22" t="s">
        <v>1239</v>
      </c>
      <c r="D1099" s="50" t="str">
        <f t="shared" si="1"/>
        <v>2025alee1</v>
      </c>
    </row>
    <row r="1100">
      <c r="A1100" s="22" t="s">
        <v>2420</v>
      </c>
      <c r="B1100" s="22" t="s">
        <v>2372</v>
      </c>
      <c r="C1100" s="22" t="s">
        <v>1241</v>
      </c>
      <c r="D1100" s="50" t="str">
        <f t="shared" si="1"/>
        <v>2025jyoo</v>
      </c>
    </row>
    <row r="1101">
      <c r="A1101" s="22" t="s">
        <v>2421</v>
      </c>
      <c r="B1101" s="22" t="s">
        <v>2372</v>
      </c>
      <c r="C1101" s="22" t="s">
        <v>774</v>
      </c>
      <c r="D1101" s="50" t="str">
        <f t="shared" si="1"/>
        <v>2027ltrachte</v>
      </c>
    </row>
    <row r="1102">
      <c r="A1102" s="22" t="s">
        <v>2422</v>
      </c>
      <c r="B1102" s="22" t="s">
        <v>2372</v>
      </c>
      <c r="C1102" s="22" t="s">
        <v>852</v>
      </c>
      <c r="D1102" s="50" t="str">
        <f t="shared" si="1"/>
        <v>2027rgao</v>
      </c>
    </row>
    <row r="1103">
      <c r="A1103" s="22" t="s">
        <v>2423</v>
      </c>
      <c r="B1103" s="22" t="s">
        <v>2372</v>
      </c>
      <c r="C1103" s="22" t="s">
        <v>856</v>
      </c>
      <c r="D1103" s="50" t="str">
        <f t="shared" si="1"/>
        <v>2027smahmud</v>
      </c>
    </row>
    <row r="1104">
      <c r="A1104" s="22" t="s">
        <v>2424</v>
      </c>
      <c r="B1104" s="22" t="s">
        <v>2372</v>
      </c>
      <c r="C1104" s="22" t="s">
        <v>777</v>
      </c>
      <c r="D1104" s="50" t="str">
        <f t="shared" si="1"/>
        <v>2027esombhat</v>
      </c>
    </row>
    <row r="1105">
      <c r="A1105" s="22" t="s">
        <v>2425</v>
      </c>
      <c r="B1105" s="22" t="s">
        <v>2372</v>
      </c>
      <c r="C1105" s="22" t="s">
        <v>685</v>
      </c>
      <c r="D1105" s="50" t="str">
        <f t="shared" si="1"/>
        <v>2026akrishna</v>
      </c>
    </row>
    <row r="1106">
      <c r="A1106" s="22" t="s">
        <v>2426</v>
      </c>
      <c r="B1106" s="22" t="s">
        <v>2372</v>
      </c>
      <c r="C1106" s="22" t="s">
        <v>1255</v>
      </c>
      <c r="D1106" s="50" t="str">
        <f t="shared" si="1"/>
        <v>2025apagidi</v>
      </c>
    </row>
    <row r="1107">
      <c r="A1107" s="22" t="s">
        <v>2427</v>
      </c>
      <c r="B1107" s="22" t="s">
        <v>2372</v>
      </c>
      <c r="C1107" s="22" t="s">
        <v>1230</v>
      </c>
      <c r="D1107" s="50" t="str">
        <f t="shared" si="1"/>
        <v>2025jhao</v>
      </c>
    </row>
    <row r="1108">
      <c r="A1108" s="22" t="s">
        <v>2428</v>
      </c>
      <c r="B1108" s="22" t="s">
        <v>2429</v>
      </c>
      <c r="C1108" s="22" t="s">
        <v>814</v>
      </c>
      <c r="D1108" s="50" t="str">
        <f t="shared" si="1"/>
        <v>2027vcao</v>
      </c>
    </row>
    <row r="1109">
      <c r="A1109" s="22" t="s">
        <v>2430</v>
      </c>
      <c r="B1109" s="22" t="s">
        <v>2429</v>
      </c>
      <c r="C1109" s="22" t="s">
        <v>785</v>
      </c>
      <c r="D1109" s="50" t="str">
        <f t="shared" si="1"/>
        <v>2027pdu</v>
      </c>
    </row>
    <row r="1110">
      <c r="A1110" s="22" t="s">
        <v>2431</v>
      </c>
      <c r="B1110" s="22" t="s">
        <v>2429</v>
      </c>
      <c r="C1110" s="22" t="s">
        <v>830</v>
      </c>
      <c r="D1110" s="50" t="str">
        <f t="shared" si="1"/>
        <v>2027rguo</v>
      </c>
    </row>
    <row r="1111">
      <c r="A1111" s="22" t="s">
        <v>2432</v>
      </c>
      <c r="B1111" s="22" t="s">
        <v>2429</v>
      </c>
      <c r="C1111" s="22" t="s">
        <v>929</v>
      </c>
      <c r="D1111" s="50" t="str">
        <f t="shared" si="1"/>
        <v>2028dhe</v>
      </c>
    </row>
    <row r="1112">
      <c r="A1112" s="22" t="s">
        <v>2433</v>
      </c>
      <c r="B1112" s="22" t="s">
        <v>2429</v>
      </c>
      <c r="C1112" s="22" t="s">
        <v>934</v>
      </c>
      <c r="D1112" s="50" t="str">
        <f t="shared" si="1"/>
        <v>2028bhan</v>
      </c>
    </row>
    <row r="1113">
      <c r="A1113" s="22" t="s">
        <v>2434</v>
      </c>
      <c r="B1113" s="22" t="s">
        <v>2429</v>
      </c>
      <c r="C1113" s="22" t="s">
        <v>662</v>
      </c>
      <c r="D1113" s="50" t="str">
        <f t="shared" si="1"/>
        <v>2026rwang</v>
      </c>
    </row>
    <row r="1114">
      <c r="A1114" s="22" t="s">
        <v>2435</v>
      </c>
      <c r="B1114" s="22" t="s">
        <v>2429</v>
      </c>
      <c r="C1114" s="22" t="s">
        <v>995</v>
      </c>
      <c r="D1114" s="50" t="str">
        <f t="shared" si="1"/>
        <v>2028srangara</v>
      </c>
    </row>
    <row r="1115">
      <c r="A1115" s="22" t="s">
        <v>2436</v>
      </c>
      <c r="B1115" s="22" t="s">
        <v>2429</v>
      </c>
      <c r="C1115" s="22" t="s">
        <v>988</v>
      </c>
      <c r="D1115" s="50" t="str">
        <f t="shared" si="1"/>
        <v>2028efeldman</v>
      </c>
    </row>
    <row r="1116">
      <c r="A1116" s="22" t="s">
        <v>2437</v>
      </c>
      <c r="B1116" s="22" t="s">
        <v>2429</v>
      </c>
      <c r="C1116" s="22" t="s">
        <v>1282</v>
      </c>
      <c r="D1116" s="50" t="str">
        <f t="shared" si="1"/>
        <v>2025mzhang</v>
      </c>
    </row>
    <row r="1117">
      <c r="A1117" s="22" t="s">
        <v>2438</v>
      </c>
      <c r="B1117" s="22" t="s">
        <v>2429</v>
      </c>
      <c r="C1117" s="22" t="s">
        <v>690</v>
      </c>
      <c r="D1117" s="50" t="str">
        <f t="shared" si="1"/>
        <v>2026rsingh2</v>
      </c>
    </row>
    <row r="1118">
      <c r="A1118" s="22" t="s">
        <v>2439</v>
      </c>
      <c r="B1118" s="22" t="s">
        <v>2429</v>
      </c>
      <c r="C1118" s="22" t="s">
        <v>806</v>
      </c>
      <c r="D1118" s="50" t="str">
        <f t="shared" si="1"/>
        <v>2026jma</v>
      </c>
    </row>
    <row r="1119">
      <c r="A1119" s="22" t="s">
        <v>2440</v>
      </c>
      <c r="B1119" s="22" t="s">
        <v>2429</v>
      </c>
      <c r="C1119" s="22" t="s">
        <v>808</v>
      </c>
      <c r="D1119" s="50" t="str">
        <f t="shared" si="1"/>
        <v>2027sbisht</v>
      </c>
    </row>
    <row r="1120">
      <c r="A1120" s="22" t="s">
        <v>2441</v>
      </c>
      <c r="B1120" s="22" t="s">
        <v>2429</v>
      </c>
      <c r="C1120" s="22" t="s">
        <v>779</v>
      </c>
      <c r="D1120" s="50" t="str">
        <f t="shared" si="1"/>
        <v>2027jdurr</v>
      </c>
    </row>
    <row r="1121">
      <c r="A1121" s="22" t="s">
        <v>2442</v>
      </c>
      <c r="B1121" s="22" t="s">
        <v>2429</v>
      </c>
      <c r="C1121" s="22" t="s">
        <v>953</v>
      </c>
      <c r="D1121" s="50" t="str">
        <f t="shared" si="1"/>
        <v>2027eguo</v>
      </c>
    </row>
    <row r="1122">
      <c r="A1122" s="22" t="s">
        <v>2443</v>
      </c>
      <c r="B1122" s="22" t="s">
        <v>2429</v>
      </c>
      <c r="C1122" s="22" t="s">
        <v>935</v>
      </c>
      <c r="D1122" s="50" t="str">
        <f t="shared" si="1"/>
        <v>2028szhang</v>
      </c>
    </row>
    <row r="1123">
      <c r="A1123" s="22" t="s">
        <v>2444</v>
      </c>
      <c r="B1123" s="22" t="s">
        <v>2429</v>
      </c>
      <c r="C1123" s="22" t="s">
        <v>980</v>
      </c>
      <c r="D1123" s="50" t="str">
        <f t="shared" si="1"/>
        <v>2028hzhou</v>
      </c>
    </row>
    <row r="1124">
      <c r="A1124" s="22" t="s">
        <v>2445</v>
      </c>
      <c r="B1124" s="22" t="s">
        <v>2429</v>
      </c>
      <c r="C1124" s="22" t="s">
        <v>931</v>
      </c>
      <c r="D1124" s="50" t="str">
        <f t="shared" si="1"/>
        <v>2027pyoo</v>
      </c>
    </row>
    <row r="1125">
      <c r="A1125" s="22" t="s">
        <v>2446</v>
      </c>
      <c r="B1125" s="22" t="s">
        <v>2429</v>
      </c>
      <c r="C1125" s="22" t="s">
        <v>967</v>
      </c>
      <c r="D1125" s="50" t="str">
        <f t="shared" si="1"/>
        <v>2028asu</v>
      </c>
    </row>
    <row r="1126">
      <c r="A1126" s="22" t="s">
        <v>2447</v>
      </c>
      <c r="B1126" s="22" t="s">
        <v>2429</v>
      </c>
      <c r="C1126" s="22" t="s">
        <v>867</v>
      </c>
      <c r="D1126" s="50" t="str">
        <f t="shared" si="1"/>
        <v>2027kyang</v>
      </c>
    </row>
    <row r="1127">
      <c r="A1127" s="22" t="s">
        <v>2448</v>
      </c>
      <c r="B1127" s="22" t="s">
        <v>2429</v>
      </c>
      <c r="C1127" s="22" t="s">
        <v>665</v>
      </c>
      <c r="D1127" s="50" t="str">
        <f t="shared" si="1"/>
        <v>2026achen</v>
      </c>
    </row>
    <row r="1128">
      <c r="A1128" s="22" t="s">
        <v>2449</v>
      </c>
      <c r="B1128" s="22" t="s">
        <v>2429</v>
      </c>
      <c r="C1128" s="22" t="s">
        <v>947</v>
      </c>
      <c r="D1128" s="50" t="str">
        <f t="shared" si="1"/>
        <v>2028syan</v>
      </c>
    </row>
    <row r="1129">
      <c r="A1129" s="22" t="s">
        <v>2450</v>
      </c>
      <c r="B1129" s="22" t="s">
        <v>2429</v>
      </c>
      <c r="C1129" s="22" t="s">
        <v>936</v>
      </c>
      <c r="D1129" s="50" t="str">
        <f t="shared" si="1"/>
        <v>2028ylin</v>
      </c>
    </row>
    <row r="1130">
      <c r="A1130" s="22" t="s">
        <v>2451</v>
      </c>
      <c r="B1130" s="22" t="s">
        <v>2429</v>
      </c>
      <c r="C1130" s="22" t="s">
        <v>1002</v>
      </c>
      <c r="D1130" s="50" t="str">
        <f t="shared" si="1"/>
        <v>2028dduong</v>
      </c>
    </row>
    <row r="1131">
      <c r="A1131" s="22" t="s">
        <v>2452</v>
      </c>
      <c r="B1131" s="22" t="s">
        <v>2429</v>
      </c>
      <c r="C1131" s="22" t="s">
        <v>950</v>
      </c>
      <c r="D1131" s="50" t="str">
        <f t="shared" si="1"/>
        <v>2028dvladimi</v>
      </c>
    </row>
    <row r="1132">
      <c r="A1132" s="22" t="s">
        <v>2453</v>
      </c>
      <c r="B1132" s="22" t="s">
        <v>2429</v>
      </c>
      <c r="C1132" s="22" t="s">
        <v>669</v>
      </c>
      <c r="D1132" s="50" t="str">
        <f t="shared" si="1"/>
        <v>2026sshen</v>
      </c>
    </row>
    <row r="1133">
      <c r="A1133" s="22" t="s">
        <v>2454</v>
      </c>
      <c r="B1133" s="22" t="s">
        <v>2429</v>
      </c>
      <c r="C1133" s="22" t="s">
        <v>854</v>
      </c>
      <c r="D1133" s="50" t="str">
        <f t="shared" si="1"/>
        <v>2027hqin</v>
      </c>
    </row>
    <row r="1134">
      <c r="A1134" s="22" t="s">
        <v>2455</v>
      </c>
      <c r="B1134" s="22" t="s">
        <v>2429</v>
      </c>
      <c r="C1134" s="22" t="s">
        <v>944</v>
      </c>
      <c r="D1134" s="50" t="str">
        <f t="shared" si="1"/>
        <v>2028zrasti</v>
      </c>
    </row>
    <row r="1135">
      <c r="A1135" s="22" t="s">
        <v>2456</v>
      </c>
      <c r="B1135" s="22" t="s">
        <v>2429</v>
      </c>
      <c r="C1135" s="22" t="s">
        <v>709</v>
      </c>
      <c r="D1135" s="50" t="str">
        <f t="shared" si="1"/>
        <v>2026swettimu</v>
      </c>
    </row>
    <row r="1136">
      <c r="A1136" s="22" t="s">
        <v>2457</v>
      </c>
      <c r="B1136" s="22" t="s">
        <v>2429</v>
      </c>
      <c r="C1136" s="22" t="s">
        <v>1333</v>
      </c>
      <c r="D1136" s="50" t="str">
        <f t="shared" si="1"/>
        <v>2025mburch</v>
      </c>
    </row>
    <row r="1137">
      <c r="A1137" s="22" t="s">
        <v>2458</v>
      </c>
      <c r="B1137" s="22" t="s">
        <v>2429</v>
      </c>
      <c r="C1137" s="22" t="s">
        <v>756</v>
      </c>
      <c r="D1137" s="50" t="str">
        <f t="shared" si="1"/>
        <v>2026abaradhi</v>
      </c>
    </row>
    <row r="1138">
      <c r="A1138" s="22" t="s">
        <v>2459</v>
      </c>
      <c r="B1138" s="22" t="s">
        <v>2429</v>
      </c>
      <c r="C1138" s="22" t="s">
        <v>977</v>
      </c>
      <c r="D1138" s="50" t="str">
        <f t="shared" si="1"/>
        <v>2027eqiu</v>
      </c>
    </row>
    <row r="1139">
      <c r="A1139" s="22" t="s">
        <v>2460</v>
      </c>
      <c r="B1139" s="22" t="s">
        <v>2429</v>
      </c>
      <c r="C1139" s="22" t="s">
        <v>948</v>
      </c>
      <c r="D1139" s="50" t="str">
        <f t="shared" si="1"/>
        <v>2028adeevi</v>
      </c>
    </row>
    <row r="1140">
      <c r="A1140" s="22" t="s">
        <v>2461</v>
      </c>
      <c r="B1140" s="22" t="s">
        <v>2429</v>
      </c>
      <c r="C1140" s="22" t="s">
        <v>1020</v>
      </c>
      <c r="D1140" s="50" t="str">
        <f t="shared" si="1"/>
        <v>2028dmichett</v>
      </c>
    </row>
    <row r="1141">
      <c r="A1141" s="22" t="s">
        <v>2462</v>
      </c>
      <c r="B1141" s="22" t="s">
        <v>2429</v>
      </c>
      <c r="C1141" s="22" t="s">
        <v>822</v>
      </c>
      <c r="D1141" s="50" t="str">
        <f t="shared" si="1"/>
        <v>2027skuncha</v>
      </c>
    </row>
    <row r="1142">
      <c r="A1142" s="22" t="s">
        <v>2463</v>
      </c>
      <c r="B1142" s="22" t="s">
        <v>2429</v>
      </c>
      <c r="C1142" s="22" t="s">
        <v>1241</v>
      </c>
      <c r="D1142" s="50" t="str">
        <f t="shared" si="1"/>
        <v>2025jyoo</v>
      </c>
    </row>
    <row r="1143">
      <c r="A1143" s="22" t="s">
        <v>2464</v>
      </c>
      <c r="B1143" s="22" t="s">
        <v>2429</v>
      </c>
      <c r="C1143" s="22" t="s">
        <v>961</v>
      </c>
      <c r="D1143" s="50" t="str">
        <f t="shared" si="1"/>
        <v>2028tdeng</v>
      </c>
    </row>
    <row r="1144">
      <c r="A1144" s="22" t="s">
        <v>2465</v>
      </c>
      <c r="B1144" s="22" t="s">
        <v>2429</v>
      </c>
      <c r="C1144" s="22" t="s">
        <v>957</v>
      </c>
      <c r="D1144" s="50" t="str">
        <f t="shared" si="1"/>
        <v>2028aliu</v>
      </c>
    </row>
    <row r="1145">
      <c r="A1145" s="22" t="s">
        <v>2466</v>
      </c>
      <c r="B1145" s="22" t="s">
        <v>2429</v>
      </c>
      <c r="C1145" s="22" t="s">
        <v>1013</v>
      </c>
      <c r="D1145" s="50" t="str">
        <f t="shared" si="1"/>
        <v>2028gkeeler</v>
      </c>
    </row>
    <row r="1146">
      <c r="A1146" s="22" t="s">
        <v>2467</v>
      </c>
      <c r="B1146" s="22" t="s">
        <v>2429</v>
      </c>
      <c r="C1146" s="22" t="s">
        <v>688</v>
      </c>
      <c r="D1146" s="50" t="str">
        <f t="shared" si="1"/>
        <v>2026cmorimot</v>
      </c>
    </row>
    <row r="1147">
      <c r="A1147" s="22" t="s">
        <v>2468</v>
      </c>
      <c r="B1147" s="22" t="s">
        <v>2429</v>
      </c>
      <c r="C1147" s="22" t="s">
        <v>946</v>
      </c>
      <c r="D1147" s="50" t="str">
        <f t="shared" si="1"/>
        <v>2028ykang</v>
      </c>
    </row>
    <row r="1148">
      <c r="A1148" s="22" t="s">
        <v>2469</v>
      </c>
      <c r="B1148" s="22" t="s">
        <v>2429</v>
      </c>
      <c r="C1148" s="22" t="s">
        <v>951</v>
      </c>
      <c r="D1148" s="50" t="str">
        <f t="shared" si="1"/>
        <v>2028yli</v>
      </c>
    </row>
    <row r="1149">
      <c r="A1149" s="22" t="s">
        <v>2470</v>
      </c>
      <c r="B1149" s="22" t="s">
        <v>2429</v>
      </c>
      <c r="C1149" s="22" t="s">
        <v>1021</v>
      </c>
      <c r="D1149" s="50" t="str">
        <f t="shared" si="1"/>
        <v>2028ezhang1</v>
      </c>
    </row>
    <row r="1150">
      <c r="A1150" s="22" t="s">
        <v>2471</v>
      </c>
      <c r="B1150" s="22" t="s">
        <v>2429</v>
      </c>
      <c r="C1150" s="22" t="s">
        <v>798</v>
      </c>
      <c r="D1150" s="50" t="str">
        <f t="shared" si="1"/>
        <v>2026than</v>
      </c>
    </row>
    <row r="1151">
      <c r="A1151" s="22" t="s">
        <v>2472</v>
      </c>
      <c r="B1151" s="22" t="s">
        <v>2429</v>
      </c>
      <c r="C1151" s="22" t="s">
        <v>1026</v>
      </c>
      <c r="D1151" s="50" t="str">
        <f t="shared" si="1"/>
        <v>2028egu</v>
      </c>
    </row>
    <row r="1152">
      <c r="A1152" s="22" t="s">
        <v>2473</v>
      </c>
      <c r="B1152" s="22" t="s">
        <v>2429</v>
      </c>
      <c r="C1152" s="22" t="s">
        <v>1010</v>
      </c>
      <c r="D1152" s="50" t="str">
        <f t="shared" si="1"/>
        <v>2027achakrav</v>
      </c>
    </row>
    <row r="1153">
      <c r="A1153" s="22" t="s">
        <v>2474</v>
      </c>
      <c r="B1153" s="22" t="s">
        <v>2429</v>
      </c>
      <c r="C1153" s="22" t="s">
        <v>1053</v>
      </c>
      <c r="D1153" s="50" t="str">
        <f t="shared" si="1"/>
        <v>#N/A</v>
      </c>
    </row>
    <row r="1154">
      <c r="A1154" s="22" t="s">
        <v>2475</v>
      </c>
      <c r="B1154" s="22" t="s">
        <v>2429</v>
      </c>
      <c r="C1154" s="22" t="s">
        <v>775</v>
      </c>
      <c r="D1154" s="50" t="str">
        <f t="shared" si="1"/>
        <v>2027cchen</v>
      </c>
    </row>
    <row r="1155">
      <c r="A1155" s="22" t="s">
        <v>2476</v>
      </c>
      <c r="B1155" s="22" t="s">
        <v>2429</v>
      </c>
      <c r="C1155" s="22" t="s">
        <v>696</v>
      </c>
      <c r="D1155" s="50" t="str">
        <f t="shared" si="1"/>
        <v>2026rdu</v>
      </c>
    </row>
    <row r="1156">
      <c r="A1156" s="22" t="s">
        <v>2477</v>
      </c>
      <c r="B1156" s="22" t="s">
        <v>2429</v>
      </c>
      <c r="C1156" s="22" t="s">
        <v>969</v>
      </c>
      <c r="D1156" s="50" t="str">
        <f t="shared" si="1"/>
        <v>2028ahuang</v>
      </c>
    </row>
    <row r="1157">
      <c r="A1157" s="22" t="s">
        <v>2478</v>
      </c>
      <c r="B1157" s="22" t="s">
        <v>2429</v>
      </c>
      <c r="C1157" s="22" t="s">
        <v>968</v>
      </c>
      <c r="D1157" s="50" t="str">
        <f t="shared" si="1"/>
        <v>2028lmeng</v>
      </c>
    </row>
    <row r="1158">
      <c r="A1158" s="22" t="s">
        <v>2479</v>
      </c>
      <c r="B1158" s="22" t="s">
        <v>2429</v>
      </c>
      <c r="C1158" s="22" t="s">
        <v>1230</v>
      </c>
      <c r="D1158" s="50" t="str">
        <f t="shared" si="1"/>
        <v>2025jhao</v>
      </c>
    </row>
    <row r="1159">
      <c r="A1159" s="22" t="s">
        <v>2480</v>
      </c>
      <c r="B1159" s="22" t="s">
        <v>2429</v>
      </c>
      <c r="C1159" s="22" t="s">
        <v>939</v>
      </c>
      <c r="D1159" s="50" t="str">
        <f t="shared" si="1"/>
        <v>2027apesalad</v>
      </c>
    </row>
    <row r="1160">
      <c r="A1160" s="22" t="s">
        <v>2481</v>
      </c>
      <c r="B1160" s="22" t="s">
        <v>2429</v>
      </c>
      <c r="C1160" s="22" t="s">
        <v>843</v>
      </c>
      <c r="D1160" s="50" t="str">
        <f t="shared" si="1"/>
        <v>2027vraj</v>
      </c>
    </row>
    <row r="1161">
      <c r="A1161" s="22" t="s">
        <v>2482</v>
      </c>
      <c r="B1161" s="22" t="s">
        <v>2429</v>
      </c>
      <c r="C1161" s="22" t="s">
        <v>833</v>
      </c>
      <c r="D1161" s="50" t="str">
        <f t="shared" si="1"/>
        <v>2026lzhu</v>
      </c>
    </row>
    <row r="1162">
      <c r="A1162" s="22" t="s">
        <v>2483</v>
      </c>
      <c r="B1162" s="22" t="s">
        <v>2429</v>
      </c>
      <c r="C1162" s="22" t="s">
        <v>1035</v>
      </c>
      <c r="D1162" s="50" t="str">
        <f t="shared" si="1"/>
        <v>2028rdamodar</v>
      </c>
    </row>
    <row r="1163">
      <c r="A1163" s="22" t="s">
        <v>2484</v>
      </c>
      <c r="B1163" s="22" t="s">
        <v>2429</v>
      </c>
      <c r="C1163" s="22" t="s">
        <v>852</v>
      </c>
      <c r="D1163" s="50" t="str">
        <f t="shared" si="1"/>
        <v>2027rgao</v>
      </c>
    </row>
    <row r="1164">
      <c r="A1164" s="22" t="s">
        <v>2485</v>
      </c>
      <c r="B1164" s="22" t="s">
        <v>2429</v>
      </c>
      <c r="C1164" s="22" t="s">
        <v>919</v>
      </c>
      <c r="D1164" s="50" t="str">
        <f t="shared" si="1"/>
        <v>2027ekim</v>
      </c>
    </row>
    <row r="1165">
      <c r="A1165" s="22" t="s">
        <v>2486</v>
      </c>
      <c r="B1165" s="22" t="s">
        <v>2429</v>
      </c>
      <c r="C1165" s="22" t="s">
        <v>1054</v>
      </c>
      <c r="D1165" s="50" t="str">
        <f t="shared" si="1"/>
        <v>#N/A</v>
      </c>
    </row>
    <row r="1166">
      <c r="A1166" s="22" t="s">
        <v>2487</v>
      </c>
      <c r="B1166" s="22" t="s">
        <v>2429</v>
      </c>
      <c r="C1166" s="22" t="s">
        <v>975</v>
      </c>
      <c r="D1166" s="50" t="str">
        <f t="shared" si="1"/>
        <v>2027eshan</v>
      </c>
    </row>
    <row r="1167">
      <c r="A1167" s="22" t="s">
        <v>2488</v>
      </c>
      <c r="B1167" s="22" t="s">
        <v>2429</v>
      </c>
      <c r="C1167" s="22" t="s">
        <v>1055</v>
      </c>
      <c r="D1167" s="50" t="str">
        <f t="shared" si="1"/>
        <v>#N/A</v>
      </c>
    </row>
    <row r="1168">
      <c r="A1168" s="22" t="s">
        <v>2489</v>
      </c>
      <c r="B1168" s="22" t="s">
        <v>2429</v>
      </c>
      <c r="C1168" s="22" t="s">
        <v>970</v>
      </c>
      <c r="D1168" s="50" t="str">
        <f t="shared" si="1"/>
        <v>2027mbu</v>
      </c>
    </row>
    <row r="1169">
      <c r="A1169" s="22" t="s">
        <v>2490</v>
      </c>
      <c r="B1169" s="22" t="s">
        <v>2429</v>
      </c>
      <c r="C1169" s="22" t="s">
        <v>1007</v>
      </c>
      <c r="D1169" s="50" t="str">
        <f t="shared" si="1"/>
        <v>2028zzahid</v>
      </c>
    </row>
    <row r="1170">
      <c r="A1170" s="22" t="s">
        <v>2491</v>
      </c>
      <c r="B1170" s="22" t="s">
        <v>2429</v>
      </c>
      <c r="C1170" s="22" t="s">
        <v>789</v>
      </c>
      <c r="D1170" s="50" t="str">
        <f t="shared" si="1"/>
        <v>2027tho</v>
      </c>
    </row>
    <row r="1171">
      <c r="A1171" s="22" t="s">
        <v>2492</v>
      </c>
      <c r="B1171" s="22" t="s">
        <v>2429</v>
      </c>
      <c r="C1171" s="22" t="s">
        <v>842</v>
      </c>
      <c r="D1171" s="50" t="str">
        <f t="shared" si="1"/>
        <v>2027hzanbrak</v>
      </c>
    </row>
    <row r="1172">
      <c r="A1172" s="22" t="s">
        <v>2493</v>
      </c>
      <c r="B1172" s="22" t="s">
        <v>2429</v>
      </c>
      <c r="C1172" s="22" t="s">
        <v>1222</v>
      </c>
      <c r="D1172" s="50" t="str">
        <f t="shared" si="1"/>
        <v>2025rkumaran</v>
      </c>
    </row>
    <row r="1173">
      <c r="A1173" s="22" t="s">
        <v>2494</v>
      </c>
      <c r="B1173" s="22" t="s">
        <v>2429</v>
      </c>
      <c r="C1173" s="22" t="s">
        <v>1290</v>
      </c>
      <c r="D1173" s="50" t="str">
        <f t="shared" si="1"/>
        <v>2025achon</v>
      </c>
    </row>
    <row r="1174">
      <c r="A1174" s="22" t="s">
        <v>2495</v>
      </c>
      <c r="B1174" s="22" t="s">
        <v>2429</v>
      </c>
      <c r="C1174" s="22" t="s">
        <v>1223</v>
      </c>
      <c r="D1174" s="50" t="str">
        <f t="shared" si="1"/>
        <v>2025mkrishna</v>
      </c>
    </row>
    <row r="1175">
      <c r="A1175" s="22" t="s">
        <v>2496</v>
      </c>
      <c r="B1175" s="22" t="s">
        <v>2497</v>
      </c>
      <c r="C1175" s="22" t="s">
        <v>833</v>
      </c>
      <c r="D1175" s="50" t="str">
        <f t="shared" si="1"/>
        <v>2026lzhu</v>
      </c>
    </row>
    <row r="1176">
      <c r="A1176" s="22" t="s">
        <v>2498</v>
      </c>
      <c r="B1176" s="22" t="s">
        <v>2497</v>
      </c>
      <c r="C1176" s="22" t="s">
        <v>806</v>
      </c>
      <c r="D1176" s="50" t="str">
        <f t="shared" si="1"/>
        <v>2026jma</v>
      </c>
    </row>
    <row r="1177">
      <c r="A1177" s="22" t="s">
        <v>2499</v>
      </c>
      <c r="B1177" s="22" t="s">
        <v>2497</v>
      </c>
      <c r="C1177" s="22" t="s">
        <v>926</v>
      </c>
      <c r="D1177" s="50" t="str">
        <f t="shared" si="1"/>
        <v>2027rbala</v>
      </c>
    </row>
    <row r="1178">
      <c r="A1178" s="22" t="s">
        <v>2500</v>
      </c>
      <c r="B1178" s="22" t="s">
        <v>2429</v>
      </c>
      <c r="C1178" s="22" t="s">
        <v>732</v>
      </c>
      <c r="D1178" s="50" t="str">
        <f t="shared" si="1"/>
        <v>2026ejaldint</v>
      </c>
    </row>
    <row r="1179">
      <c r="A1179" s="22" t="s">
        <v>2501</v>
      </c>
      <c r="B1179" s="22" t="s">
        <v>2497</v>
      </c>
      <c r="C1179" s="22" t="s">
        <v>688</v>
      </c>
      <c r="D1179" s="50" t="str">
        <f t="shared" si="1"/>
        <v>2026cmorimot</v>
      </c>
    </row>
    <row r="1180">
      <c r="A1180" s="22" t="s">
        <v>2502</v>
      </c>
      <c r="B1180" s="22" t="s">
        <v>2497</v>
      </c>
      <c r="C1180" s="22" t="s">
        <v>732</v>
      </c>
      <c r="D1180" s="50" t="str">
        <f t="shared" si="1"/>
        <v>2026ejaldint</v>
      </c>
    </row>
    <row r="1181">
      <c r="A1181" s="22" t="s">
        <v>2503</v>
      </c>
      <c r="B1181" s="22" t="s">
        <v>2497</v>
      </c>
      <c r="C1181" s="22" t="s">
        <v>756</v>
      </c>
      <c r="D1181" s="50" t="str">
        <f t="shared" si="1"/>
        <v>2026abaradhi</v>
      </c>
    </row>
    <row r="1182">
      <c r="A1182" s="22" t="s">
        <v>2504</v>
      </c>
      <c r="B1182" s="22" t="s">
        <v>2497</v>
      </c>
      <c r="C1182" s="22" t="s">
        <v>1004</v>
      </c>
      <c r="D1182" s="50" t="str">
        <f t="shared" si="1"/>
        <v>2028osazhyn</v>
      </c>
    </row>
    <row r="1183">
      <c r="A1183" s="22" t="s">
        <v>2505</v>
      </c>
      <c r="B1183" s="22" t="s">
        <v>2497</v>
      </c>
      <c r="C1183" s="22" t="s">
        <v>947</v>
      </c>
      <c r="D1183" s="50" t="str">
        <f t="shared" si="1"/>
        <v>2028syan</v>
      </c>
    </row>
    <row r="1184">
      <c r="A1184" s="22" t="s">
        <v>2506</v>
      </c>
      <c r="B1184" s="22" t="s">
        <v>2497</v>
      </c>
      <c r="C1184" s="22" t="s">
        <v>1010</v>
      </c>
      <c r="D1184" s="50" t="str">
        <f t="shared" si="1"/>
        <v>2027achakrav</v>
      </c>
    </row>
    <row r="1185">
      <c r="A1185" s="22" t="s">
        <v>2507</v>
      </c>
      <c r="B1185" s="22" t="s">
        <v>2497</v>
      </c>
      <c r="C1185" s="22" t="s">
        <v>798</v>
      </c>
      <c r="D1185" s="50" t="str">
        <f t="shared" si="1"/>
        <v>2026than</v>
      </c>
    </row>
    <row r="1186">
      <c r="A1186" s="22" t="s">
        <v>2508</v>
      </c>
      <c r="B1186" s="22" t="s">
        <v>2497</v>
      </c>
      <c r="C1186" s="22" t="s">
        <v>667</v>
      </c>
      <c r="D1186" s="50" t="str">
        <f t="shared" si="1"/>
        <v>2026iharchic</v>
      </c>
    </row>
    <row r="1187">
      <c r="A1187" s="22" t="s">
        <v>2509</v>
      </c>
      <c r="B1187" s="22" t="s">
        <v>2497</v>
      </c>
      <c r="C1187" s="22" t="s">
        <v>977</v>
      </c>
      <c r="D1187" s="50" t="str">
        <f t="shared" si="1"/>
        <v>2027eqiu</v>
      </c>
    </row>
    <row r="1188">
      <c r="A1188" s="22" t="s">
        <v>2510</v>
      </c>
      <c r="B1188" s="22" t="s">
        <v>2497</v>
      </c>
      <c r="C1188" s="22" t="s">
        <v>959</v>
      </c>
      <c r="D1188" s="50" t="str">
        <f t="shared" si="1"/>
        <v>2028bjonuzaj</v>
      </c>
    </row>
    <row r="1189">
      <c r="A1189" s="22" t="s">
        <v>2511</v>
      </c>
      <c r="B1189" s="22" t="s">
        <v>2497</v>
      </c>
      <c r="C1189" s="22" t="s">
        <v>968</v>
      </c>
      <c r="D1189" s="50" t="str">
        <f t="shared" si="1"/>
        <v>2028lmeng</v>
      </c>
    </row>
    <row r="1190">
      <c r="A1190" s="22" t="s">
        <v>2512</v>
      </c>
      <c r="B1190" s="22" t="s">
        <v>2497</v>
      </c>
      <c r="C1190" s="22" t="s">
        <v>935</v>
      </c>
      <c r="D1190" s="50" t="str">
        <f t="shared" si="1"/>
        <v>2028szhang</v>
      </c>
    </row>
    <row r="1191">
      <c r="A1191" s="22" t="s">
        <v>2513</v>
      </c>
      <c r="B1191" s="22" t="s">
        <v>2497</v>
      </c>
      <c r="C1191" s="22" t="s">
        <v>980</v>
      </c>
      <c r="D1191" s="50" t="str">
        <f t="shared" si="1"/>
        <v>2028hzhou</v>
      </c>
    </row>
    <row r="1192">
      <c r="A1192" s="22" t="s">
        <v>2514</v>
      </c>
      <c r="B1192" s="22" t="s">
        <v>2497</v>
      </c>
      <c r="C1192" s="22" t="s">
        <v>949</v>
      </c>
      <c r="D1192" s="50" t="str">
        <f t="shared" si="1"/>
        <v>2028jli1</v>
      </c>
    </row>
    <row r="1193">
      <c r="A1193" s="22" t="s">
        <v>2515</v>
      </c>
      <c r="B1193" s="22" t="s">
        <v>2497</v>
      </c>
      <c r="C1193" s="22" t="s">
        <v>997</v>
      </c>
      <c r="D1193" s="50" t="str">
        <f t="shared" si="1"/>
        <v>2028jchan</v>
      </c>
    </row>
    <row r="1194">
      <c r="A1194" s="22" t="s">
        <v>2516</v>
      </c>
      <c r="B1194" s="22" t="s">
        <v>2497</v>
      </c>
      <c r="C1194" s="22" t="s">
        <v>772</v>
      </c>
      <c r="D1194" s="50" t="str">
        <f t="shared" si="1"/>
        <v>2027fyeboah</v>
      </c>
    </row>
    <row r="1195">
      <c r="A1195" s="22" t="s">
        <v>2517</v>
      </c>
      <c r="B1195" s="22" t="s">
        <v>2497</v>
      </c>
      <c r="C1195" s="22" t="s">
        <v>1047</v>
      </c>
      <c r="D1195" s="50" t="str">
        <f t="shared" si="1"/>
        <v>#N/A</v>
      </c>
    </row>
    <row r="1196">
      <c r="A1196" s="22" t="s">
        <v>2518</v>
      </c>
      <c r="B1196" s="22" t="s">
        <v>2497</v>
      </c>
      <c r="C1196" s="22" t="s">
        <v>989</v>
      </c>
      <c r="D1196" s="50" t="str">
        <f t="shared" si="1"/>
        <v>2028pmishra</v>
      </c>
    </row>
    <row r="1197">
      <c r="A1197" s="22" t="s">
        <v>2519</v>
      </c>
      <c r="B1197" s="22" t="s">
        <v>2497</v>
      </c>
      <c r="C1197" s="22" t="s">
        <v>954</v>
      </c>
      <c r="D1197" s="50" t="str">
        <f t="shared" si="1"/>
        <v>2028ssurapan</v>
      </c>
    </row>
    <row r="1198">
      <c r="A1198" s="22" t="s">
        <v>2520</v>
      </c>
      <c r="B1198" s="22" t="s">
        <v>2497</v>
      </c>
      <c r="C1198" s="22" t="s">
        <v>963</v>
      </c>
      <c r="D1198" s="50" t="str">
        <f t="shared" si="1"/>
        <v>2028aangirek</v>
      </c>
    </row>
    <row r="1199">
      <c r="A1199" s="22" t="s">
        <v>2521</v>
      </c>
      <c r="B1199" s="22" t="s">
        <v>2497</v>
      </c>
      <c r="C1199" s="22" t="s">
        <v>951</v>
      </c>
      <c r="D1199" s="50" t="str">
        <f t="shared" si="1"/>
        <v>2028yli</v>
      </c>
    </row>
    <row r="1200">
      <c r="A1200" s="22" t="s">
        <v>2522</v>
      </c>
      <c r="B1200" s="22" t="s">
        <v>2497</v>
      </c>
      <c r="C1200" s="22" t="s">
        <v>956</v>
      </c>
      <c r="D1200" s="50" t="str">
        <f t="shared" si="1"/>
        <v>2028vlee</v>
      </c>
    </row>
    <row r="1201">
      <c r="A1201" s="22" t="s">
        <v>2523</v>
      </c>
      <c r="B1201" s="22" t="s">
        <v>2497</v>
      </c>
      <c r="C1201" s="22" t="s">
        <v>936</v>
      </c>
      <c r="D1201" s="50" t="str">
        <f t="shared" si="1"/>
        <v>2028ylin</v>
      </c>
    </row>
    <row r="1202">
      <c r="A1202" s="22" t="s">
        <v>2524</v>
      </c>
      <c r="B1202" s="22" t="s">
        <v>2497</v>
      </c>
      <c r="C1202" s="22" t="s">
        <v>1021</v>
      </c>
      <c r="D1202" s="50" t="str">
        <f t="shared" si="1"/>
        <v>2028ezhang1</v>
      </c>
    </row>
    <row r="1203">
      <c r="A1203" s="22" t="s">
        <v>2525</v>
      </c>
      <c r="B1203" s="22" t="s">
        <v>2497</v>
      </c>
      <c r="C1203" s="22" t="s">
        <v>1016</v>
      </c>
      <c r="D1203" s="50" t="str">
        <f t="shared" si="1"/>
        <v>2028krudinsk</v>
      </c>
    </row>
    <row r="1204">
      <c r="A1204" s="22" t="s">
        <v>2526</v>
      </c>
      <c r="B1204" s="22" t="s">
        <v>2497</v>
      </c>
      <c r="C1204" s="22" t="s">
        <v>946</v>
      </c>
      <c r="D1204" s="50" t="str">
        <f t="shared" si="1"/>
        <v>2028ykang</v>
      </c>
    </row>
    <row r="1205">
      <c r="A1205" s="22" t="s">
        <v>2527</v>
      </c>
      <c r="B1205" s="22" t="s">
        <v>2497</v>
      </c>
      <c r="C1205" s="22" t="s">
        <v>934</v>
      </c>
      <c r="D1205" s="50" t="str">
        <f t="shared" si="1"/>
        <v>2028bhan</v>
      </c>
    </row>
    <row r="1206">
      <c r="A1206" s="22" t="s">
        <v>2528</v>
      </c>
      <c r="B1206" s="22" t="s">
        <v>2497</v>
      </c>
      <c r="C1206" s="22" t="s">
        <v>991</v>
      </c>
      <c r="D1206" s="50" t="str">
        <f t="shared" si="1"/>
        <v>2028glee</v>
      </c>
    </row>
    <row r="1207">
      <c r="A1207" s="22" t="s">
        <v>2529</v>
      </c>
      <c r="B1207" s="22" t="s">
        <v>2497</v>
      </c>
      <c r="C1207" s="22" t="s">
        <v>944</v>
      </c>
      <c r="D1207" s="50" t="str">
        <f t="shared" si="1"/>
        <v>2028zrasti</v>
      </c>
    </row>
    <row r="1208">
      <c r="A1208" s="22" t="s">
        <v>2530</v>
      </c>
      <c r="B1208" s="22" t="s">
        <v>2497</v>
      </c>
      <c r="C1208" s="22" t="s">
        <v>1282</v>
      </c>
      <c r="D1208" s="50" t="str">
        <f t="shared" si="1"/>
        <v>2025mzhang</v>
      </c>
    </row>
    <row r="1209">
      <c r="A1209" s="22" t="s">
        <v>2531</v>
      </c>
      <c r="B1209" s="22" t="s">
        <v>2497</v>
      </c>
      <c r="C1209" s="22" t="s">
        <v>843</v>
      </c>
      <c r="D1209" s="50" t="str">
        <f t="shared" si="1"/>
        <v>2027vraj</v>
      </c>
    </row>
    <row r="1210">
      <c r="A1210" s="22" t="s">
        <v>2532</v>
      </c>
      <c r="B1210" s="22" t="s">
        <v>2497</v>
      </c>
      <c r="C1210" s="22" t="s">
        <v>953</v>
      </c>
      <c r="D1210" s="50" t="str">
        <f t="shared" si="1"/>
        <v>2027eguo</v>
      </c>
    </row>
    <row r="1211">
      <c r="A1211" s="22" t="s">
        <v>2533</v>
      </c>
      <c r="B1211" s="22" t="s">
        <v>2497</v>
      </c>
      <c r="C1211" s="22" t="s">
        <v>967</v>
      </c>
      <c r="D1211" s="50" t="str">
        <f t="shared" si="1"/>
        <v>2028asu</v>
      </c>
    </row>
    <row r="1212">
      <c r="A1212" s="22" t="s">
        <v>2534</v>
      </c>
      <c r="B1212" s="22" t="s">
        <v>2497</v>
      </c>
      <c r="C1212" s="22" t="s">
        <v>775</v>
      </c>
      <c r="D1212" s="50" t="str">
        <f t="shared" si="1"/>
        <v>2027cchen</v>
      </c>
    </row>
    <row r="1213">
      <c r="A1213" s="22" t="s">
        <v>2535</v>
      </c>
      <c r="B1213" s="22" t="s">
        <v>2497</v>
      </c>
      <c r="C1213" s="22" t="s">
        <v>789</v>
      </c>
      <c r="D1213" s="50" t="str">
        <f t="shared" si="1"/>
        <v>2027tho</v>
      </c>
    </row>
    <row r="1214">
      <c r="A1214" s="22" t="s">
        <v>2536</v>
      </c>
      <c r="B1214" s="22" t="s">
        <v>2497</v>
      </c>
      <c r="C1214" s="22" t="s">
        <v>984</v>
      </c>
      <c r="D1214" s="50" t="str">
        <f t="shared" si="1"/>
        <v>2028sari</v>
      </c>
    </row>
    <row r="1215">
      <c r="A1215" s="22" t="s">
        <v>2537</v>
      </c>
      <c r="B1215" s="22" t="s">
        <v>2429</v>
      </c>
      <c r="C1215" s="22" t="s">
        <v>764</v>
      </c>
      <c r="D1215" s="50" t="str">
        <f t="shared" si="1"/>
        <v>2027zizzi</v>
      </c>
    </row>
    <row r="1216">
      <c r="A1216" s="22" t="s">
        <v>2538</v>
      </c>
      <c r="B1216" s="22" t="s">
        <v>2429</v>
      </c>
      <c r="C1216" s="22" t="s">
        <v>1239</v>
      </c>
      <c r="D1216" s="50" t="str">
        <f t="shared" si="1"/>
        <v>2025alee1</v>
      </c>
    </row>
    <row r="1217">
      <c r="A1217" s="22" t="s">
        <v>2539</v>
      </c>
      <c r="B1217" s="22" t="s">
        <v>2497</v>
      </c>
      <c r="C1217" s="22" t="s">
        <v>764</v>
      </c>
      <c r="D1217" s="50" t="str">
        <f t="shared" si="1"/>
        <v>2027zizzi</v>
      </c>
    </row>
    <row r="1218">
      <c r="A1218" s="22" t="s">
        <v>2540</v>
      </c>
      <c r="B1218" s="22" t="s">
        <v>2497</v>
      </c>
      <c r="C1218" s="22" t="s">
        <v>1241</v>
      </c>
      <c r="D1218" s="50" t="str">
        <f t="shared" si="1"/>
        <v>2025jyoo</v>
      </c>
    </row>
    <row r="1219">
      <c r="A1219" s="22" t="s">
        <v>2541</v>
      </c>
      <c r="B1219" s="22" t="s">
        <v>2497</v>
      </c>
      <c r="C1219" s="22" t="s">
        <v>662</v>
      </c>
      <c r="D1219" s="50" t="str">
        <f t="shared" si="1"/>
        <v>2026rwang</v>
      </c>
    </row>
    <row r="1220">
      <c r="A1220" s="22" t="s">
        <v>2542</v>
      </c>
      <c r="B1220" s="22" t="s">
        <v>2497</v>
      </c>
      <c r="C1220" s="22" t="s">
        <v>825</v>
      </c>
      <c r="D1220" s="50" t="str">
        <f t="shared" si="1"/>
        <v>2027tdao</v>
      </c>
    </row>
    <row r="1221">
      <c r="A1221" s="22" t="s">
        <v>2543</v>
      </c>
      <c r="B1221" s="22" t="s">
        <v>2497</v>
      </c>
      <c r="C1221" s="22" t="s">
        <v>785</v>
      </c>
      <c r="D1221" s="50" t="str">
        <f t="shared" si="1"/>
        <v>2027pdu</v>
      </c>
    </row>
    <row r="1222">
      <c r="A1222" s="22" t="s">
        <v>2544</v>
      </c>
      <c r="B1222" s="22" t="s">
        <v>2497</v>
      </c>
      <c r="C1222" s="22" t="s">
        <v>1239</v>
      </c>
      <c r="D1222" s="50" t="str">
        <f t="shared" si="1"/>
        <v>2025alee1</v>
      </c>
    </row>
    <row r="1223">
      <c r="A1223" s="22" t="s">
        <v>2545</v>
      </c>
      <c r="B1223" s="22" t="s">
        <v>2497</v>
      </c>
      <c r="C1223" s="22" t="s">
        <v>852</v>
      </c>
      <c r="D1223" s="50" t="str">
        <f t="shared" si="1"/>
        <v>2027rgao</v>
      </c>
    </row>
    <row r="1224">
      <c r="A1224" s="22" t="s">
        <v>2546</v>
      </c>
      <c r="B1224" s="22" t="s">
        <v>2497</v>
      </c>
      <c r="C1224" s="22" t="s">
        <v>970</v>
      </c>
      <c r="D1224" s="50" t="str">
        <f t="shared" si="1"/>
        <v>2027mbu</v>
      </c>
    </row>
    <row r="1225">
      <c r="A1225" s="22" t="s">
        <v>2547</v>
      </c>
      <c r="B1225" s="22" t="s">
        <v>2497</v>
      </c>
      <c r="C1225" s="22" t="s">
        <v>854</v>
      </c>
      <c r="D1225" s="50" t="str">
        <f t="shared" si="1"/>
        <v>2027hqin</v>
      </c>
    </row>
    <row r="1226">
      <c r="A1226" s="22" t="s">
        <v>2548</v>
      </c>
      <c r="B1226" s="22" t="s">
        <v>2497</v>
      </c>
      <c r="C1226" s="22" t="s">
        <v>1222</v>
      </c>
      <c r="D1226" s="50" t="str">
        <f t="shared" si="1"/>
        <v>2025rkumaran</v>
      </c>
    </row>
    <row r="1227">
      <c r="A1227" s="22" t="s">
        <v>2549</v>
      </c>
      <c r="B1227" s="22" t="s">
        <v>2497</v>
      </c>
      <c r="C1227" s="22" t="s">
        <v>777</v>
      </c>
      <c r="D1227" s="50" t="str">
        <f t="shared" si="1"/>
        <v>2027esombhat</v>
      </c>
    </row>
    <row r="1228">
      <c r="A1228" s="22" t="s">
        <v>2550</v>
      </c>
      <c r="B1228" s="22" t="s">
        <v>2497</v>
      </c>
      <c r="C1228" s="22" t="s">
        <v>814</v>
      </c>
      <c r="D1228" s="50" t="str">
        <f t="shared" si="1"/>
        <v>2027vcao</v>
      </c>
    </row>
    <row r="1229">
      <c r="A1229" s="22" t="s">
        <v>2551</v>
      </c>
      <c r="B1229" s="22" t="s">
        <v>2497</v>
      </c>
      <c r="C1229" s="22" t="s">
        <v>779</v>
      </c>
      <c r="D1229" s="50" t="str">
        <f t="shared" si="1"/>
        <v>2027jdurr</v>
      </c>
    </row>
    <row r="1230">
      <c r="A1230" s="22" t="s">
        <v>2552</v>
      </c>
      <c r="B1230" s="22" t="s">
        <v>2429</v>
      </c>
      <c r="C1230" s="22" t="s">
        <v>777</v>
      </c>
      <c r="D1230" s="50" t="str">
        <f t="shared" si="1"/>
        <v>2027esombhat</v>
      </c>
    </row>
    <row r="1231">
      <c r="A1231" s="22" t="s">
        <v>2553</v>
      </c>
      <c r="B1231" s="22" t="s">
        <v>2497</v>
      </c>
      <c r="C1231" s="22" t="s">
        <v>1056</v>
      </c>
      <c r="D1231" s="50" t="str">
        <f t="shared" si="1"/>
        <v>#N/A</v>
      </c>
    </row>
    <row r="1232">
      <c r="A1232" s="22" t="s">
        <v>2554</v>
      </c>
      <c r="B1232" s="22" t="s">
        <v>2497</v>
      </c>
      <c r="C1232" s="22" t="s">
        <v>1258</v>
      </c>
      <c r="D1232" s="50" t="str">
        <f t="shared" si="1"/>
        <v>2025rzhang1</v>
      </c>
    </row>
    <row r="1233">
      <c r="A1233" s="22" t="s">
        <v>2555</v>
      </c>
      <c r="B1233" s="22" t="s">
        <v>2497</v>
      </c>
      <c r="C1233" s="22" t="s">
        <v>961</v>
      </c>
      <c r="D1233" s="50" t="str">
        <f t="shared" si="1"/>
        <v>2028tdeng</v>
      </c>
    </row>
    <row r="1234">
      <c r="A1234" s="22" t="s">
        <v>2556</v>
      </c>
      <c r="B1234" s="22" t="s">
        <v>2497</v>
      </c>
      <c r="C1234" s="22" t="s">
        <v>961</v>
      </c>
      <c r="D1234" s="50" t="str">
        <f t="shared" si="1"/>
        <v>2028tdeng</v>
      </c>
    </row>
    <row r="1235">
      <c r="A1235" s="22" t="s">
        <v>2557</v>
      </c>
      <c r="B1235" s="22" t="s">
        <v>2429</v>
      </c>
      <c r="C1235" s="22" t="s">
        <v>856</v>
      </c>
      <c r="D1235" s="50" t="str">
        <f t="shared" si="1"/>
        <v>2027smahmud</v>
      </c>
    </row>
    <row r="1236">
      <c r="A1236" s="22" t="s">
        <v>2558</v>
      </c>
      <c r="B1236" s="22" t="s">
        <v>2497</v>
      </c>
      <c r="C1236" s="22" t="s">
        <v>856</v>
      </c>
      <c r="D1236" s="50" t="str">
        <f t="shared" si="1"/>
        <v>2027smahmud</v>
      </c>
    </row>
    <row r="1237">
      <c r="A1237" s="22" t="s">
        <v>2559</v>
      </c>
      <c r="B1237" s="22" t="s">
        <v>2497</v>
      </c>
      <c r="C1237" s="22" t="s">
        <v>1057</v>
      </c>
      <c r="D1237" s="50" t="str">
        <f t="shared" si="1"/>
        <v>#N/A</v>
      </c>
    </row>
    <row r="1238">
      <c r="A1238" s="22" t="s">
        <v>2560</v>
      </c>
      <c r="B1238" s="22" t="s">
        <v>2497</v>
      </c>
      <c r="C1238" s="22" t="s">
        <v>670</v>
      </c>
      <c r="D1238" s="50" t="str">
        <f t="shared" si="1"/>
        <v>2026elee</v>
      </c>
    </row>
    <row r="1239">
      <c r="A1239" s="22" t="s">
        <v>2561</v>
      </c>
      <c r="B1239" s="22" t="s">
        <v>2497</v>
      </c>
      <c r="C1239" s="22" t="s">
        <v>1026</v>
      </c>
      <c r="D1239" s="50" t="str">
        <f t="shared" si="1"/>
        <v>2028egu</v>
      </c>
    </row>
    <row r="1240">
      <c r="A1240" s="22" t="s">
        <v>2562</v>
      </c>
      <c r="B1240" s="22" t="s">
        <v>2497</v>
      </c>
      <c r="C1240" s="22" t="s">
        <v>924</v>
      </c>
      <c r="D1240" s="50" t="str">
        <f t="shared" si="1"/>
        <v>2028relias</v>
      </c>
    </row>
    <row r="1241">
      <c r="A1241" s="22" t="s">
        <v>2563</v>
      </c>
      <c r="B1241" s="22" t="s">
        <v>2497</v>
      </c>
      <c r="C1241" s="22" t="s">
        <v>995</v>
      </c>
      <c r="D1241" s="50" t="str">
        <f t="shared" si="1"/>
        <v>2028srangara</v>
      </c>
    </row>
    <row r="1242">
      <c r="A1242" s="22" t="s">
        <v>2564</v>
      </c>
      <c r="B1242" s="22" t="s">
        <v>2497</v>
      </c>
      <c r="C1242" s="22" t="s">
        <v>975</v>
      </c>
      <c r="D1242" s="50" t="str">
        <f t="shared" si="1"/>
        <v>2027eshan</v>
      </c>
    </row>
    <row r="1243">
      <c r="A1243" s="22" t="s">
        <v>2565</v>
      </c>
      <c r="B1243" s="22" t="s">
        <v>2497</v>
      </c>
      <c r="C1243" s="22" t="s">
        <v>931</v>
      </c>
      <c r="D1243" s="50" t="str">
        <f t="shared" si="1"/>
        <v>2027pyoo</v>
      </c>
    </row>
    <row r="1244">
      <c r="A1244" s="22" t="s">
        <v>2566</v>
      </c>
      <c r="B1244" s="22" t="s">
        <v>2567</v>
      </c>
      <c r="C1244" s="22" t="s">
        <v>961</v>
      </c>
      <c r="D1244" s="50" t="str">
        <f t="shared" si="1"/>
        <v>2028tdeng</v>
      </c>
    </row>
    <row r="1245">
      <c r="A1245" s="22" t="s">
        <v>2568</v>
      </c>
      <c r="B1245" s="22" t="s">
        <v>2567</v>
      </c>
      <c r="C1245" s="22" t="s">
        <v>988</v>
      </c>
      <c r="D1245" s="50" t="str">
        <f t="shared" si="1"/>
        <v>2028efeldman</v>
      </c>
    </row>
    <row r="1246">
      <c r="A1246" s="22" t="s">
        <v>2569</v>
      </c>
      <c r="B1246" s="22" t="s">
        <v>2567</v>
      </c>
      <c r="C1246" s="22" t="s">
        <v>942</v>
      </c>
      <c r="D1246" s="50" t="str">
        <f t="shared" si="1"/>
        <v>2028che</v>
      </c>
    </row>
    <row r="1247">
      <c r="A1247" s="22" t="s">
        <v>2570</v>
      </c>
      <c r="B1247" s="22" t="s">
        <v>2567</v>
      </c>
      <c r="C1247" s="22" t="s">
        <v>980</v>
      </c>
      <c r="D1247" s="50" t="str">
        <f t="shared" si="1"/>
        <v>2028hzhou</v>
      </c>
    </row>
    <row r="1248">
      <c r="A1248" s="22" t="s">
        <v>2571</v>
      </c>
      <c r="B1248" s="22" t="s">
        <v>2567</v>
      </c>
      <c r="C1248" s="22" t="s">
        <v>847</v>
      </c>
      <c r="D1248" s="50" t="str">
        <f t="shared" si="1"/>
        <v>2027mtaher</v>
      </c>
    </row>
    <row r="1249">
      <c r="A1249" s="22" t="s">
        <v>2572</v>
      </c>
      <c r="B1249" s="22" t="s">
        <v>2567</v>
      </c>
      <c r="C1249" s="22" t="s">
        <v>830</v>
      </c>
      <c r="D1249" s="50" t="str">
        <f t="shared" si="1"/>
        <v>2027rguo</v>
      </c>
    </row>
    <row r="1250">
      <c r="A1250" s="22" t="s">
        <v>2573</v>
      </c>
      <c r="B1250" s="22" t="s">
        <v>2567</v>
      </c>
      <c r="C1250" s="22" t="s">
        <v>1333</v>
      </c>
      <c r="D1250" s="50" t="str">
        <f t="shared" si="1"/>
        <v>2025mburch</v>
      </c>
    </row>
    <row r="1251">
      <c r="A1251" s="22" t="s">
        <v>2574</v>
      </c>
      <c r="B1251" s="22" t="s">
        <v>2567</v>
      </c>
      <c r="C1251" s="22" t="s">
        <v>814</v>
      </c>
      <c r="D1251" s="50" t="str">
        <f t="shared" si="1"/>
        <v>2027vcao</v>
      </c>
    </row>
    <row r="1252">
      <c r="A1252" s="22" t="s">
        <v>2575</v>
      </c>
      <c r="B1252" s="22" t="s">
        <v>2567</v>
      </c>
      <c r="C1252" s="22" t="s">
        <v>929</v>
      </c>
      <c r="D1252" s="50" t="str">
        <f t="shared" si="1"/>
        <v>2028dhe</v>
      </c>
    </row>
    <row r="1253">
      <c r="A1253" s="22" t="s">
        <v>2576</v>
      </c>
      <c r="B1253" s="22" t="s">
        <v>2567</v>
      </c>
      <c r="C1253" s="22" t="s">
        <v>809</v>
      </c>
      <c r="D1253" s="50" t="str">
        <f t="shared" si="1"/>
        <v>2027sjain</v>
      </c>
    </row>
    <row r="1254">
      <c r="A1254" s="22" t="s">
        <v>2577</v>
      </c>
      <c r="B1254" s="22" t="s">
        <v>2567</v>
      </c>
      <c r="C1254" s="22" t="s">
        <v>919</v>
      </c>
      <c r="D1254" s="50" t="str">
        <f t="shared" si="1"/>
        <v>2027ekim</v>
      </c>
    </row>
    <row r="1255">
      <c r="A1255" s="22" t="s">
        <v>2578</v>
      </c>
      <c r="B1255" s="22" t="s">
        <v>2567</v>
      </c>
      <c r="C1255" s="22" t="s">
        <v>934</v>
      </c>
      <c r="D1255" s="50" t="str">
        <f t="shared" si="1"/>
        <v>2028bhan</v>
      </c>
    </row>
    <row r="1256">
      <c r="A1256" s="22" t="s">
        <v>2579</v>
      </c>
      <c r="B1256" s="22" t="s">
        <v>2567</v>
      </c>
      <c r="C1256" s="22" t="s">
        <v>959</v>
      </c>
      <c r="D1256" s="50" t="str">
        <f t="shared" si="1"/>
        <v>2028bjonuzaj</v>
      </c>
    </row>
    <row r="1257">
      <c r="A1257" s="22" t="s">
        <v>2580</v>
      </c>
      <c r="B1257" s="22" t="s">
        <v>2567</v>
      </c>
      <c r="C1257" s="22" t="s">
        <v>975</v>
      </c>
      <c r="D1257" s="50" t="str">
        <f t="shared" si="1"/>
        <v>2027eshan</v>
      </c>
    </row>
    <row r="1258">
      <c r="A1258" s="22" t="s">
        <v>2581</v>
      </c>
      <c r="B1258" s="22" t="s">
        <v>2567</v>
      </c>
      <c r="C1258" s="22" t="s">
        <v>947</v>
      </c>
      <c r="D1258" s="50" t="str">
        <f t="shared" si="1"/>
        <v>2028syan</v>
      </c>
    </row>
    <row r="1259">
      <c r="A1259" s="22" t="s">
        <v>2582</v>
      </c>
      <c r="B1259" s="22" t="s">
        <v>2567</v>
      </c>
      <c r="C1259" s="22" t="s">
        <v>825</v>
      </c>
      <c r="D1259" s="50" t="str">
        <f t="shared" si="1"/>
        <v>2027tdao</v>
      </c>
    </row>
    <row r="1260">
      <c r="A1260" s="22" t="s">
        <v>2583</v>
      </c>
      <c r="B1260" s="22" t="s">
        <v>2567</v>
      </c>
      <c r="C1260" s="22" t="s">
        <v>878</v>
      </c>
      <c r="D1260" s="50" t="str">
        <f t="shared" si="1"/>
        <v>2027nliang</v>
      </c>
    </row>
    <row r="1261">
      <c r="A1261" s="22" t="s">
        <v>2584</v>
      </c>
      <c r="B1261" s="22" t="s">
        <v>2567</v>
      </c>
      <c r="C1261" s="22" t="s">
        <v>967</v>
      </c>
      <c r="D1261" s="50" t="str">
        <f t="shared" si="1"/>
        <v>2028asu</v>
      </c>
    </row>
    <row r="1262">
      <c r="A1262" s="22" t="s">
        <v>2585</v>
      </c>
      <c r="B1262" s="22" t="s">
        <v>2567</v>
      </c>
      <c r="C1262" s="22" t="s">
        <v>764</v>
      </c>
      <c r="D1262" s="50" t="str">
        <f t="shared" si="1"/>
        <v>2027zizzi</v>
      </c>
    </row>
    <row r="1263">
      <c r="A1263" s="22" t="s">
        <v>2586</v>
      </c>
      <c r="B1263" s="22" t="s">
        <v>2567</v>
      </c>
      <c r="C1263" s="22" t="s">
        <v>785</v>
      </c>
      <c r="D1263" s="50" t="str">
        <f t="shared" si="1"/>
        <v>2027pdu</v>
      </c>
    </row>
    <row r="1264">
      <c r="A1264" s="22" t="s">
        <v>2587</v>
      </c>
      <c r="B1264" s="22" t="s">
        <v>2567</v>
      </c>
      <c r="C1264" s="22" t="s">
        <v>816</v>
      </c>
      <c r="D1264" s="50" t="str">
        <f t="shared" si="1"/>
        <v>2027achu</v>
      </c>
    </row>
    <row r="1265">
      <c r="A1265" s="22" t="s">
        <v>2588</v>
      </c>
      <c r="B1265" s="22" t="s">
        <v>2567</v>
      </c>
      <c r="C1265" s="22" t="s">
        <v>1241</v>
      </c>
      <c r="D1265" s="50" t="str">
        <f t="shared" si="1"/>
        <v>2025jyoo</v>
      </c>
    </row>
    <row r="1266">
      <c r="A1266" s="22" t="s">
        <v>2589</v>
      </c>
      <c r="B1266" s="22" t="s">
        <v>2567</v>
      </c>
      <c r="C1266" s="22" t="s">
        <v>777</v>
      </c>
      <c r="D1266" s="50" t="str">
        <f t="shared" si="1"/>
        <v>2027esombhat</v>
      </c>
    </row>
    <row r="1267">
      <c r="A1267" s="22" t="s">
        <v>2590</v>
      </c>
      <c r="B1267" s="22" t="s">
        <v>2567</v>
      </c>
      <c r="C1267" s="22" t="s">
        <v>1222</v>
      </c>
      <c r="D1267" s="50" t="str">
        <f t="shared" si="1"/>
        <v>2025rkumaran</v>
      </c>
    </row>
    <row r="1268">
      <c r="A1268" s="22" t="s">
        <v>2591</v>
      </c>
      <c r="B1268" s="22" t="s">
        <v>2567</v>
      </c>
      <c r="C1268" s="22" t="s">
        <v>829</v>
      </c>
      <c r="D1268" s="50" t="str">
        <f t="shared" si="1"/>
        <v>2027agao</v>
      </c>
    </row>
    <row r="1269">
      <c r="A1269" s="22" t="s">
        <v>2592</v>
      </c>
      <c r="B1269" s="22" t="s">
        <v>2567</v>
      </c>
      <c r="C1269" s="22" t="s">
        <v>842</v>
      </c>
      <c r="D1269" s="50" t="str">
        <f t="shared" si="1"/>
        <v>2027hzanbrak</v>
      </c>
    </row>
    <row r="1270">
      <c r="A1270" s="22" t="s">
        <v>2593</v>
      </c>
      <c r="B1270" s="22" t="s">
        <v>2567</v>
      </c>
      <c r="C1270" s="22" t="s">
        <v>984</v>
      </c>
      <c r="D1270" s="50" t="str">
        <f t="shared" si="1"/>
        <v>2028sari</v>
      </c>
    </row>
    <row r="1271">
      <c r="A1271" s="22" t="s">
        <v>2594</v>
      </c>
      <c r="B1271" s="22" t="s">
        <v>2567</v>
      </c>
      <c r="C1271" s="22" t="s">
        <v>939</v>
      </c>
      <c r="D1271" s="50" t="str">
        <f t="shared" si="1"/>
        <v>2027apesalad</v>
      </c>
    </row>
    <row r="1272">
      <c r="A1272" s="22" t="s">
        <v>2595</v>
      </c>
      <c r="B1272" s="22" t="s">
        <v>2567</v>
      </c>
      <c r="C1272" s="22" t="s">
        <v>1356</v>
      </c>
      <c r="D1272" s="50" t="str">
        <f t="shared" si="1"/>
        <v>2025avijayra</v>
      </c>
    </row>
    <row r="1273">
      <c r="A1273" s="22" t="s">
        <v>2596</v>
      </c>
      <c r="B1273" s="22" t="s">
        <v>2567</v>
      </c>
      <c r="C1273" s="22" t="s">
        <v>856</v>
      </c>
      <c r="D1273" s="50" t="str">
        <f t="shared" si="1"/>
        <v>2027smahmud</v>
      </c>
    </row>
    <row r="1274">
      <c r="A1274" s="22" t="s">
        <v>2597</v>
      </c>
      <c r="B1274" s="22" t="s">
        <v>2567</v>
      </c>
      <c r="C1274" s="22" t="s">
        <v>965</v>
      </c>
      <c r="D1274" s="50" t="str">
        <f t="shared" si="1"/>
        <v>2028athota</v>
      </c>
    </row>
    <row r="1275">
      <c r="A1275" s="22" t="s">
        <v>2598</v>
      </c>
      <c r="B1275" s="22" t="s">
        <v>2567</v>
      </c>
      <c r="C1275" s="22" t="s">
        <v>935</v>
      </c>
      <c r="D1275" s="50" t="str">
        <f t="shared" si="1"/>
        <v>2028szhang</v>
      </c>
    </row>
    <row r="1276">
      <c r="A1276" s="22" t="s">
        <v>2599</v>
      </c>
      <c r="B1276" s="22" t="s">
        <v>2567</v>
      </c>
      <c r="C1276" s="22" t="s">
        <v>956</v>
      </c>
      <c r="D1276" s="50" t="str">
        <f t="shared" si="1"/>
        <v>2028vlee</v>
      </c>
    </row>
    <row r="1277">
      <c r="A1277" s="22" t="s">
        <v>2600</v>
      </c>
      <c r="B1277" s="22" t="s">
        <v>2567</v>
      </c>
      <c r="C1277" s="22" t="s">
        <v>1060</v>
      </c>
      <c r="D1277" s="50" t="str">
        <f t="shared" si="1"/>
        <v>#N/A</v>
      </c>
    </row>
    <row r="1278">
      <c r="A1278" s="22" t="s">
        <v>2601</v>
      </c>
      <c r="B1278" s="22" t="s">
        <v>2567</v>
      </c>
      <c r="C1278" s="22" t="s">
        <v>995</v>
      </c>
      <c r="D1278" s="50" t="str">
        <f t="shared" si="1"/>
        <v>2028srangara</v>
      </c>
    </row>
    <row r="1279">
      <c r="A1279" s="22" t="s">
        <v>2602</v>
      </c>
      <c r="B1279" s="22" t="s">
        <v>2567</v>
      </c>
      <c r="C1279" s="22" t="s">
        <v>944</v>
      </c>
      <c r="D1279" s="50" t="str">
        <f t="shared" si="1"/>
        <v>2028zrasti</v>
      </c>
    </row>
    <row r="1280">
      <c r="A1280" s="22" t="s">
        <v>2603</v>
      </c>
      <c r="B1280" s="22" t="s">
        <v>2567</v>
      </c>
      <c r="C1280" s="22" t="s">
        <v>950</v>
      </c>
      <c r="D1280" s="50" t="str">
        <f t="shared" si="1"/>
        <v>2028dvladimi</v>
      </c>
    </row>
    <row r="1281">
      <c r="A1281" s="22" t="s">
        <v>2604</v>
      </c>
      <c r="B1281" s="22" t="s">
        <v>2567</v>
      </c>
      <c r="C1281" s="22" t="s">
        <v>951</v>
      </c>
      <c r="D1281" s="50" t="str">
        <f t="shared" si="1"/>
        <v>2028yli</v>
      </c>
    </row>
    <row r="1282">
      <c r="A1282" s="22" t="s">
        <v>2605</v>
      </c>
      <c r="B1282" s="22" t="s">
        <v>2567</v>
      </c>
      <c r="C1282" s="22" t="s">
        <v>822</v>
      </c>
      <c r="D1282" s="50" t="str">
        <f t="shared" si="1"/>
        <v>2027skuncha</v>
      </c>
    </row>
    <row r="1283">
      <c r="A1283" s="22" t="s">
        <v>2606</v>
      </c>
      <c r="B1283" s="22" t="s">
        <v>2567</v>
      </c>
      <c r="C1283" s="22" t="s">
        <v>1008</v>
      </c>
      <c r="D1283" s="50" t="str">
        <f t="shared" si="1"/>
        <v>2028apokhrel</v>
      </c>
    </row>
    <row r="1284">
      <c r="A1284" s="22" t="s">
        <v>2607</v>
      </c>
      <c r="B1284" s="22" t="s">
        <v>2567</v>
      </c>
      <c r="C1284" s="22" t="s">
        <v>789</v>
      </c>
      <c r="D1284" s="50" t="str">
        <f t="shared" si="1"/>
        <v>2027tho</v>
      </c>
    </row>
    <row r="1285">
      <c r="A1285" s="22" t="s">
        <v>2608</v>
      </c>
      <c r="B1285" s="22" t="s">
        <v>2567</v>
      </c>
      <c r="C1285" s="22" t="s">
        <v>1230</v>
      </c>
      <c r="D1285" s="50" t="str">
        <f t="shared" si="1"/>
        <v>2025jhao</v>
      </c>
    </row>
    <row r="1286">
      <c r="A1286" s="22" t="s">
        <v>2609</v>
      </c>
      <c r="B1286" s="22" t="s">
        <v>2567</v>
      </c>
      <c r="C1286" s="22" t="s">
        <v>932</v>
      </c>
      <c r="D1286" s="50" t="str">
        <f t="shared" si="1"/>
        <v>2028rzhao</v>
      </c>
    </row>
    <row r="1287">
      <c r="A1287" s="22" t="s">
        <v>2610</v>
      </c>
      <c r="B1287" s="22" t="s">
        <v>2567</v>
      </c>
      <c r="C1287" s="22" t="s">
        <v>1011</v>
      </c>
      <c r="D1287" s="50" t="str">
        <f t="shared" si="1"/>
        <v>2028palladu</v>
      </c>
    </row>
    <row r="1288">
      <c r="A1288" s="22" t="s">
        <v>2611</v>
      </c>
      <c r="B1288" s="22" t="s">
        <v>2567</v>
      </c>
      <c r="C1288" s="22" t="s">
        <v>931</v>
      </c>
      <c r="D1288" s="50" t="str">
        <f t="shared" si="1"/>
        <v>2027pyoo</v>
      </c>
    </row>
    <row r="1289">
      <c r="A1289" s="22" t="s">
        <v>2612</v>
      </c>
      <c r="B1289" s="22" t="s">
        <v>2567</v>
      </c>
      <c r="C1289" s="22" t="s">
        <v>953</v>
      </c>
      <c r="D1289" s="50" t="str">
        <f t="shared" si="1"/>
        <v>2027eguo</v>
      </c>
    </row>
    <row r="1290">
      <c r="A1290" s="22" t="s">
        <v>2613</v>
      </c>
      <c r="B1290" s="22" t="s">
        <v>2567</v>
      </c>
      <c r="C1290" s="22" t="s">
        <v>1005</v>
      </c>
      <c r="D1290" s="50" t="str">
        <f t="shared" si="1"/>
        <v>2028agupta</v>
      </c>
    </row>
    <row r="1291">
      <c r="A1291" s="22" t="s">
        <v>2614</v>
      </c>
      <c r="B1291" s="22" t="s">
        <v>2567</v>
      </c>
      <c r="C1291" s="22" t="s">
        <v>1061</v>
      </c>
      <c r="D1291" s="50" t="str">
        <f t="shared" si="1"/>
        <v>#N/A</v>
      </c>
    </row>
    <row r="1292">
      <c r="A1292" s="22" t="s">
        <v>2615</v>
      </c>
      <c r="B1292" s="22" t="s">
        <v>2567</v>
      </c>
      <c r="C1292" s="22" t="s">
        <v>1263</v>
      </c>
      <c r="D1292" s="50" t="str">
        <f t="shared" si="1"/>
        <v>2025jkim</v>
      </c>
    </row>
    <row r="1293">
      <c r="A1293" s="22" t="s">
        <v>2616</v>
      </c>
      <c r="B1293" s="22" t="s">
        <v>2567</v>
      </c>
      <c r="C1293" s="22" t="s">
        <v>1255</v>
      </c>
      <c r="D1293" s="50" t="str">
        <f t="shared" si="1"/>
        <v>2025apagidi</v>
      </c>
    </row>
    <row r="1294">
      <c r="A1294" s="22" t="s">
        <v>2617</v>
      </c>
      <c r="B1294" s="22" t="s">
        <v>2567</v>
      </c>
      <c r="C1294" s="22" t="s">
        <v>818</v>
      </c>
      <c r="D1294" s="50" t="str">
        <f t="shared" si="1"/>
        <v>2027ayan</v>
      </c>
    </row>
    <row r="1295">
      <c r="A1295" s="22" t="s">
        <v>2618</v>
      </c>
      <c r="B1295" s="22" t="s">
        <v>2567</v>
      </c>
      <c r="C1295" s="22" t="s">
        <v>852</v>
      </c>
      <c r="D1295" s="50" t="str">
        <f t="shared" si="1"/>
        <v>2027rgao</v>
      </c>
    </row>
    <row r="1296">
      <c r="A1296" s="22" t="s">
        <v>2619</v>
      </c>
      <c r="B1296" s="22" t="s">
        <v>2567</v>
      </c>
      <c r="C1296" s="22" t="s">
        <v>1239</v>
      </c>
      <c r="D1296" s="50" t="str">
        <f t="shared" si="1"/>
        <v>2025alee1</v>
      </c>
    </row>
    <row r="1297">
      <c r="A1297" s="22" t="s">
        <v>2620</v>
      </c>
      <c r="B1297" s="22" t="s">
        <v>2567</v>
      </c>
      <c r="C1297" s="22" t="s">
        <v>788</v>
      </c>
      <c r="D1297" s="50" t="str">
        <f t="shared" si="1"/>
        <v>2027itennyso</v>
      </c>
    </row>
    <row r="1298">
      <c r="A1298" s="22" t="s">
        <v>2621</v>
      </c>
      <c r="B1298" s="22" t="s">
        <v>2567</v>
      </c>
      <c r="C1298" s="22" t="s">
        <v>808</v>
      </c>
      <c r="D1298" s="50" t="str">
        <f t="shared" si="1"/>
        <v>2027sbisht</v>
      </c>
    </row>
    <row r="1299">
      <c r="A1299" s="22" t="s">
        <v>2622</v>
      </c>
      <c r="B1299" s="22" t="s">
        <v>2567</v>
      </c>
      <c r="C1299" s="22" t="s">
        <v>1058</v>
      </c>
      <c r="D1299" s="50" t="str">
        <f t="shared" si="1"/>
        <v>#N/A</v>
      </c>
    </row>
    <row r="1300">
      <c r="A1300" s="22" t="s">
        <v>2623</v>
      </c>
      <c r="B1300" s="22" t="s">
        <v>2567</v>
      </c>
      <c r="C1300" s="22" t="s">
        <v>972</v>
      </c>
      <c r="D1300" s="50" t="str">
        <f t="shared" si="1"/>
        <v>2028dsubedi</v>
      </c>
    </row>
    <row r="1301">
      <c r="A1301" s="22" t="s">
        <v>2624</v>
      </c>
      <c r="B1301" s="22" t="s">
        <v>2567</v>
      </c>
      <c r="C1301" s="22" t="s">
        <v>948</v>
      </c>
      <c r="D1301" s="50" t="str">
        <f t="shared" si="1"/>
        <v>2028adeevi</v>
      </c>
    </row>
    <row r="1302">
      <c r="A1302" s="22" t="s">
        <v>2625</v>
      </c>
      <c r="B1302" s="22" t="s">
        <v>2567</v>
      </c>
      <c r="C1302" s="22" t="s">
        <v>968</v>
      </c>
      <c r="D1302" s="50" t="str">
        <f t="shared" si="1"/>
        <v>2028lmeng</v>
      </c>
    </row>
    <row r="1303">
      <c r="A1303" s="22" t="s">
        <v>2626</v>
      </c>
      <c r="B1303" s="22" t="s">
        <v>2627</v>
      </c>
      <c r="C1303" s="22" t="s">
        <v>1230</v>
      </c>
      <c r="D1303" s="50" t="str">
        <f t="shared" si="1"/>
        <v>2025jhao</v>
      </c>
    </row>
    <row r="1304">
      <c r="A1304" s="22" t="s">
        <v>2628</v>
      </c>
      <c r="B1304" s="22" t="s">
        <v>2627</v>
      </c>
      <c r="C1304" s="22" t="s">
        <v>947</v>
      </c>
      <c r="D1304" s="50" t="str">
        <f t="shared" si="1"/>
        <v>2028syan</v>
      </c>
    </row>
    <row r="1305">
      <c r="A1305" s="22" t="s">
        <v>2629</v>
      </c>
      <c r="B1305" s="22" t="s">
        <v>2627</v>
      </c>
      <c r="C1305" s="22" t="s">
        <v>764</v>
      </c>
      <c r="D1305" s="50" t="str">
        <f t="shared" si="1"/>
        <v>2027zizzi</v>
      </c>
    </row>
    <row r="1306">
      <c r="A1306" s="22" t="s">
        <v>2630</v>
      </c>
      <c r="B1306" s="22" t="s">
        <v>2627</v>
      </c>
      <c r="C1306" s="22" t="s">
        <v>825</v>
      </c>
      <c r="D1306" s="50" t="str">
        <f t="shared" si="1"/>
        <v>2027tdao</v>
      </c>
    </row>
    <row r="1307">
      <c r="A1307" s="22" t="s">
        <v>2631</v>
      </c>
      <c r="B1307" s="22" t="s">
        <v>2627</v>
      </c>
      <c r="C1307" s="22" t="s">
        <v>1258</v>
      </c>
      <c r="D1307" s="50" t="str">
        <f t="shared" si="1"/>
        <v>2025rzhang1</v>
      </c>
    </row>
    <row r="1308">
      <c r="A1308" s="22" t="s">
        <v>2632</v>
      </c>
      <c r="B1308" s="22" t="s">
        <v>2627</v>
      </c>
      <c r="C1308" s="22" t="s">
        <v>852</v>
      </c>
      <c r="D1308" s="50" t="str">
        <f t="shared" si="1"/>
        <v>2027rgao</v>
      </c>
    </row>
    <row r="1309">
      <c r="A1309" s="22" t="s">
        <v>2633</v>
      </c>
      <c r="B1309" s="22" t="s">
        <v>2627</v>
      </c>
      <c r="C1309" s="22" t="s">
        <v>890</v>
      </c>
      <c r="D1309" s="50" t="str">
        <f t="shared" si="1"/>
        <v>2027dkumar</v>
      </c>
    </row>
    <row r="1310">
      <c r="A1310" s="22" t="s">
        <v>2634</v>
      </c>
      <c r="B1310" s="22" t="s">
        <v>2627</v>
      </c>
      <c r="C1310" s="22" t="s">
        <v>768</v>
      </c>
      <c r="D1310" s="50" t="str">
        <f t="shared" si="1"/>
        <v>2027aanurag</v>
      </c>
    </row>
    <row r="1311">
      <c r="A1311" s="22" t="s">
        <v>2635</v>
      </c>
      <c r="B1311" s="22" t="s">
        <v>2627</v>
      </c>
      <c r="C1311" s="22" t="s">
        <v>869</v>
      </c>
      <c r="D1311" s="50" t="str">
        <f t="shared" si="1"/>
        <v>2027akode</v>
      </c>
    </row>
    <row r="1312">
      <c r="A1312" s="22" t="s">
        <v>2636</v>
      </c>
      <c r="B1312" s="22" t="s">
        <v>2627</v>
      </c>
      <c r="C1312" s="22" t="s">
        <v>959</v>
      </c>
      <c r="D1312" s="50" t="str">
        <f t="shared" si="1"/>
        <v>2028bjonuzaj</v>
      </c>
    </row>
    <row r="1313">
      <c r="A1313" s="22" t="s">
        <v>2637</v>
      </c>
      <c r="B1313" s="22" t="s">
        <v>2627</v>
      </c>
      <c r="C1313" s="22" t="s">
        <v>934</v>
      </c>
      <c r="D1313" s="50" t="str">
        <f t="shared" si="1"/>
        <v>2028bhan</v>
      </c>
    </row>
    <row r="1314">
      <c r="A1314" s="22" t="s">
        <v>2638</v>
      </c>
      <c r="B1314" s="22" t="s">
        <v>2627</v>
      </c>
      <c r="C1314" s="22" t="s">
        <v>1222</v>
      </c>
      <c r="D1314" s="50" t="str">
        <f t="shared" si="1"/>
        <v>2025rkumaran</v>
      </c>
    </row>
    <row r="1315">
      <c r="A1315" s="22" t="s">
        <v>2639</v>
      </c>
      <c r="B1315" s="22" t="s">
        <v>2627</v>
      </c>
      <c r="C1315" s="22" t="s">
        <v>1290</v>
      </c>
      <c r="D1315" s="50" t="str">
        <f t="shared" si="1"/>
        <v>2025achon</v>
      </c>
    </row>
    <row r="1316">
      <c r="A1316" s="22" t="s">
        <v>2640</v>
      </c>
      <c r="B1316" s="22" t="s">
        <v>2627</v>
      </c>
      <c r="C1316" s="22" t="s">
        <v>1282</v>
      </c>
      <c r="D1316" s="50" t="str">
        <f t="shared" si="1"/>
        <v>2025mzhang</v>
      </c>
    </row>
    <row r="1317">
      <c r="A1317" s="22" t="s">
        <v>2641</v>
      </c>
      <c r="B1317" s="22" t="s">
        <v>2627</v>
      </c>
      <c r="C1317" s="22" t="s">
        <v>789</v>
      </c>
      <c r="D1317" s="50" t="str">
        <f t="shared" si="1"/>
        <v>2027tho</v>
      </c>
    </row>
    <row r="1318">
      <c r="A1318" s="22" t="s">
        <v>2642</v>
      </c>
      <c r="B1318" s="22" t="s">
        <v>2627</v>
      </c>
      <c r="C1318" s="22" t="s">
        <v>965</v>
      </c>
      <c r="D1318" s="50" t="str">
        <f t="shared" si="1"/>
        <v>2028athota</v>
      </c>
    </row>
    <row r="1319">
      <c r="A1319" s="22" t="s">
        <v>2643</v>
      </c>
      <c r="B1319" s="22" t="s">
        <v>2627</v>
      </c>
      <c r="C1319" s="22" t="s">
        <v>996</v>
      </c>
      <c r="D1319" s="50" t="str">
        <f t="shared" si="1"/>
        <v>2028ana</v>
      </c>
    </row>
    <row r="1320">
      <c r="A1320" s="22" t="s">
        <v>2644</v>
      </c>
      <c r="B1320" s="22" t="s">
        <v>2627</v>
      </c>
      <c r="C1320" s="22" t="s">
        <v>968</v>
      </c>
      <c r="D1320" s="50" t="str">
        <f t="shared" si="1"/>
        <v>2028lmeng</v>
      </c>
    </row>
    <row r="1321">
      <c r="A1321" s="22" t="s">
        <v>2645</v>
      </c>
      <c r="B1321" s="22" t="s">
        <v>2627</v>
      </c>
      <c r="C1321" s="22" t="s">
        <v>1263</v>
      </c>
      <c r="D1321" s="50" t="str">
        <f t="shared" si="1"/>
        <v>2025jkim</v>
      </c>
    </row>
    <row r="1322">
      <c r="A1322" s="22" t="s">
        <v>2646</v>
      </c>
      <c r="B1322" s="22" t="s">
        <v>2627</v>
      </c>
      <c r="C1322" s="22" t="s">
        <v>1051</v>
      </c>
      <c r="D1322" s="50" t="str">
        <f t="shared" si="1"/>
        <v>#N/A</v>
      </c>
    </row>
    <row r="1323">
      <c r="A1323" s="22" t="s">
        <v>2647</v>
      </c>
      <c r="B1323" s="22" t="s">
        <v>2627</v>
      </c>
      <c r="C1323" s="22" t="s">
        <v>925</v>
      </c>
      <c r="D1323" s="50" t="str">
        <f t="shared" si="1"/>
        <v>2028dhwang</v>
      </c>
    </row>
    <row r="1324">
      <c r="A1324" s="22" t="s">
        <v>2648</v>
      </c>
      <c r="B1324" s="22" t="s">
        <v>2627</v>
      </c>
      <c r="C1324" s="22" t="s">
        <v>1006</v>
      </c>
      <c r="D1324" s="50" t="str">
        <f t="shared" si="1"/>
        <v>2028dkhiev</v>
      </c>
    </row>
    <row r="1325">
      <c r="A1325" s="22" t="s">
        <v>2649</v>
      </c>
      <c r="B1325" s="22" t="s">
        <v>2627</v>
      </c>
      <c r="C1325" s="22" t="s">
        <v>1333</v>
      </c>
      <c r="D1325" s="50" t="str">
        <f t="shared" si="1"/>
        <v>2025mburch</v>
      </c>
    </row>
    <row r="1326">
      <c r="A1326" s="22" t="s">
        <v>2650</v>
      </c>
      <c r="B1326" s="22" t="s">
        <v>2627</v>
      </c>
      <c r="C1326" s="22" t="s">
        <v>813</v>
      </c>
      <c r="D1326" s="50" t="str">
        <f t="shared" si="1"/>
        <v>2027vrayavar</v>
      </c>
    </row>
    <row r="1327">
      <c r="A1327" s="22" t="s">
        <v>2651</v>
      </c>
      <c r="B1327" s="22" t="s">
        <v>2627</v>
      </c>
      <c r="C1327" s="22" t="s">
        <v>970</v>
      </c>
      <c r="D1327" s="50" t="str">
        <f t="shared" si="1"/>
        <v>2027mbu</v>
      </c>
    </row>
    <row r="1328">
      <c r="A1328" s="22" t="s">
        <v>2652</v>
      </c>
      <c r="B1328" s="22" t="s">
        <v>2627</v>
      </c>
      <c r="C1328" s="22" t="s">
        <v>1026</v>
      </c>
      <c r="D1328" s="50" t="str">
        <f t="shared" si="1"/>
        <v>2028egu</v>
      </c>
    </row>
    <row r="1329">
      <c r="A1329" s="22" t="s">
        <v>2653</v>
      </c>
      <c r="B1329" s="22" t="s">
        <v>2627</v>
      </c>
      <c r="C1329" s="22" t="s">
        <v>785</v>
      </c>
      <c r="D1329" s="50" t="str">
        <f t="shared" si="1"/>
        <v>2027pdu</v>
      </c>
    </row>
    <row r="1330">
      <c r="A1330" s="22" t="s">
        <v>2654</v>
      </c>
      <c r="B1330" s="22" t="s">
        <v>2627</v>
      </c>
      <c r="C1330" s="22" t="s">
        <v>932</v>
      </c>
      <c r="D1330" s="50" t="str">
        <f t="shared" si="1"/>
        <v>2028rzhao</v>
      </c>
    </row>
    <row r="1331">
      <c r="A1331" s="22" t="s">
        <v>2655</v>
      </c>
      <c r="B1331" s="22" t="s">
        <v>2627</v>
      </c>
      <c r="C1331" s="22" t="s">
        <v>980</v>
      </c>
      <c r="D1331" s="50" t="str">
        <f t="shared" si="1"/>
        <v>2028hzhou</v>
      </c>
    </row>
    <row r="1332">
      <c r="A1332" s="22" t="s">
        <v>2656</v>
      </c>
      <c r="B1332" s="22" t="s">
        <v>2627</v>
      </c>
      <c r="C1332" s="22" t="s">
        <v>1002</v>
      </c>
      <c r="D1332" s="50" t="str">
        <f t="shared" si="1"/>
        <v>2028dduong</v>
      </c>
    </row>
    <row r="1333">
      <c r="A1333" s="22" t="s">
        <v>2657</v>
      </c>
      <c r="B1333" s="22" t="s">
        <v>2627</v>
      </c>
      <c r="C1333" s="22" t="s">
        <v>830</v>
      </c>
      <c r="D1333" s="50" t="str">
        <f t="shared" si="1"/>
        <v>2027rguo</v>
      </c>
    </row>
    <row r="1334">
      <c r="A1334" s="22" t="s">
        <v>2658</v>
      </c>
      <c r="B1334" s="22" t="s">
        <v>2627</v>
      </c>
      <c r="C1334" s="22" t="s">
        <v>975</v>
      </c>
      <c r="D1334" s="50" t="str">
        <f t="shared" si="1"/>
        <v>2027eshan</v>
      </c>
    </row>
    <row r="1335">
      <c r="A1335" s="22" t="s">
        <v>2659</v>
      </c>
      <c r="B1335" s="22" t="s">
        <v>2627</v>
      </c>
      <c r="C1335" s="22" t="s">
        <v>814</v>
      </c>
      <c r="D1335" s="50" t="str">
        <f t="shared" si="1"/>
        <v>2027vcao</v>
      </c>
    </row>
    <row r="1336">
      <c r="A1336" s="22" t="s">
        <v>2660</v>
      </c>
      <c r="B1336" s="22" t="s">
        <v>2627</v>
      </c>
      <c r="C1336" s="22" t="s">
        <v>963</v>
      </c>
      <c r="D1336" s="50" t="str">
        <f t="shared" si="1"/>
        <v>2028aangirek</v>
      </c>
    </row>
    <row r="1337">
      <c r="A1337" s="22" t="s">
        <v>2661</v>
      </c>
      <c r="B1337" s="22" t="s">
        <v>2627</v>
      </c>
      <c r="C1337" s="22" t="s">
        <v>951</v>
      </c>
      <c r="D1337" s="50" t="str">
        <f t="shared" si="1"/>
        <v>2028yli</v>
      </c>
    </row>
    <row r="1338">
      <c r="A1338" s="22" t="s">
        <v>2662</v>
      </c>
      <c r="B1338" s="22" t="s">
        <v>2627</v>
      </c>
      <c r="C1338" s="22" t="s">
        <v>953</v>
      </c>
      <c r="D1338" s="50" t="str">
        <f t="shared" si="1"/>
        <v>2027eguo</v>
      </c>
    </row>
    <row r="1339">
      <c r="A1339" s="22" t="s">
        <v>2663</v>
      </c>
      <c r="B1339" s="22" t="s">
        <v>2627</v>
      </c>
      <c r="C1339" s="22" t="s">
        <v>929</v>
      </c>
      <c r="D1339" s="50" t="str">
        <f t="shared" si="1"/>
        <v>2028dhe</v>
      </c>
    </row>
    <row r="1340">
      <c r="A1340" s="22" t="s">
        <v>2664</v>
      </c>
      <c r="B1340" s="22" t="s">
        <v>2627</v>
      </c>
      <c r="C1340" s="22" t="s">
        <v>961</v>
      </c>
      <c r="D1340" s="50" t="str">
        <f t="shared" si="1"/>
        <v>2028tdeng</v>
      </c>
    </row>
    <row r="1341">
      <c r="A1341" s="22" t="s">
        <v>2665</v>
      </c>
      <c r="B1341" s="22" t="s">
        <v>2627</v>
      </c>
      <c r="C1341" s="22" t="s">
        <v>1255</v>
      </c>
      <c r="D1341" s="50" t="str">
        <f t="shared" si="1"/>
        <v>2025apagidi</v>
      </c>
    </row>
    <row r="1342">
      <c r="A1342" s="22" t="s">
        <v>2666</v>
      </c>
      <c r="B1342" s="22" t="s">
        <v>2627</v>
      </c>
      <c r="C1342" s="22" t="s">
        <v>856</v>
      </c>
      <c r="D1342" s="50" t="str">
        <f t="shared" si="1"/>
        <v>2027smahmud</v>
      </c>
    </row>
    <row r="1343">
      <c r="A1343" s="22" t="s">
        <v>2667</v>
      </c>
      <c r="B1343" s="22" t="s">
        <v>2627</v>
      </c>
      <c r="C1343" s="22" t="s">
        <v>935</v>
      </c>
      <c r="D1343" s="50" t="str">
        <f t="shared" si="1"/>
        <v>2028szhang</v>
      </c>
    </row>
    <row r="1344">
      <c r="A1344" s="22" t="s">
        <v>2668</v>
      </c>
      <c r="B1344" s="22" t="s">
        <v>2627</v>
      </c>
      <c r="C1344" s="22" t="s">
        <v>1239</v>
      </c>
      <c r="D1344" s="50" t="str">
        <f t="shared" si="1"/>
        <v>2025alee1</v>
      </c>
    </row>
    <row r="1345">
      <c r="A1345" s="22" t="s">
        <v>2669</v>
      </c>
      <c r="B1345" s="22" t="s">
        <v>2670</v>
      </c>
      <c r="C1345" s="22" t="s">
        <v>929</v>
      </c>
      <c r="D1345" s="50" t="str">
        <f t="shared" si="1"/>
        <v>2028dhe</v>
      </c>
    </row>
    <row r="1346">
      <c r="A1346" s="22" t="s">
        <v>2671</v>
      </c>
      <c r="B1346" s="22" t="s">
        <v>2670</v>
      </c>
      <c r="C1346" s="22" t="s">
        <v>1002</v>
      </c>
      <c r="D1346" s="50" t="str">
        <f t="shared" si="1"/>
        <v>2028dduong</v>
      </c>
    </row>
    <row r="1347">
      <c r="A1347" s="22" t="s">
        <v>2672</v>
      </c>
      <c r="B1347" s="22" t="s">
        <v>2670</v>
      </c>
      <c r="C1347" s="22" t="s">
        <v>808</v>
      </c>
      <c r="D1347" s="50" t="str">
        <f t="shared" si="1"/>
        <v>2027sbisht</v>
      </c>
    </row>
    <row r="1348">
      <c r="A1348" s="22" t="s">
        <v>2673</v>
      </c>
      <c r="B1348" s="22" t="s">
        <v>2670</v>
      </c>
      <c r="C1348" s="22" t="s">
        <v>667</v>
      </c>
      <c r="D1348" s="50" t="str">
        <f t="shared" si="1"/>
        <v>2026iharchic</v>
      </c>
    </row>
    <row r="1349">
      <c r="A1349" s="22" t="s">
        <v>2674</v>
      </c>
      <c r="B1349" s="22" t="s">
        <v>2670</v>
      </c>
      <c r="C1349" s="22" t="s">
        <v>785</v>
      </c>
      <c r="D1349" s="50" t="str">
        <f t="shared" si="1"/>
        <v>2027pdu</v>
      </c>
    </row>
    <row r="1350">
      <c r="A1350" s="22" t="s">
        <v>2675</v>
      </c>
      <c r="B1350" s="22" t="s">
        <v>2670</v>
      </c>
      <c r="C1350" s="22" t="s">
        <v>950</v>
      </c>
      <c r="D1350" s="50" t="str">
        <f t="shared" si="1"/>
        <v>2028dvladimi</v>
      </c>
    </row>
    <row r="1351">
      <c r="A1351" s="22" t="s">
        <v>2676</v>
      </c>
      <c r="B1351" s="22" t="s">
        <v>2670</v>
      </c>
      <c r="C1351" s="22" t="s">
        <v>931</v>
      </c>
      <c r="D1351" s="50" t="str">
        <f t="shared" si="1"/>
        <v>2027pyoo</v>
      </c>
    </row>
    <row r="1352">
      <c r="A1352" s="22" t="s">
        <v>2677</v>
      </c>
      <c r="B1352" s="22" t="s">
        <v>2670</v>
      </c>
      <c r="C1352" s="22" t="s">
        <v>662</v>
      </c>
      <c r="D1352" s="50" t="str">
        <f t="shared" si="1"/>
        <v>2026rwang</v>
      </c>
    </row>
    <row r="1353">
      <c r="A1353" s="22" t="s">
        <v>2678</v>
      </c>
      <c r="B1353" s="22" t="s">
        <v>2670</v>
      </c>
      <c r="C1353" s="22" t="s">
        <v>984</v>
      </c>
      <c r="D1353" s="50" t="str">
        <f t="shared" si="1"/>
        <v>2028sari</v>
      </c>
    </row>
    <row r="1354">
      <c r="A1354" s="22" t="s">
        <v>2679</v>
      </c>
      <c r="B1354" s="22" t="s">
        <v>2680</v>
      </c>
      <c r="C1354" s="22" t="s">
        <v>806</v>
      </c>
      <c r="D1354" s="50" t="str">
        <f t="shared" si="1"/>
        <v>2026jma</v>
      </c>
    </row>
    <row r="1355">
      <c r="A1355" s="22" t="s">
        <v>2681</v>
      </c>
      <c r="B1355" s="22" t="s">
        <v>2680</v>
      </c>
      <c r="C1355" s="22" t="s">
        <v>1225</v>
      </c>
      <c r="D1355" s="50" t="str">
        <f t="shared" si="1"/>
        <v>2025ywang</v>
      </c>
    </row>
    <row r="1356">
      <c r="A1356" s="22" t="s">
        <v>2682</v>
      </c>
      <c r="B1356" s="22" t="s">
        <v>2680</v>
      </c>
      <c r="C1356" s="22" t="s">
        <v>764</v>
      </c>
      <c r="D1356" s="50" t="str">
        <f t="shared" si="1"/>
        <v>2027zizzi</v>
      </c>
    </row>
    <row r="1357">
      <c r="A1357" s="22" t="s">
        <v>2683</v>
      </c>
      <c r="B1357" s="22" t="s">
        <v>2680</v>
      </c>
      <c r="C1357" s="22" t="s">
        <v>995</v>
      </c>
      <c r="D1357" s="50" t="str">
        <f t="shared" si="1"/>
        <v>2028srangara</v>
      </c>
    </row>
    <row r="1358">
      <c r="A1358" s="22" t="s">
        <v>2684</v>
      </c>
      <c r="B1358" s="22" t="s">
        <v>2680</v>
      </c>
      <c r="C1358" s="22" t="s">
        <v>1018</v>
      </c>
      <c r="D1358" s="50" t="str">
        <f t="shared" si="1"/>
        <v>2028abhatt</v>
      </c>
    </row>
    <row r="1359">
      <c r="A1359" s="22" t="s">
        <v>2685</v>
      </c>
      <c r="B1359" s="22" t="s">
        <v>2680</v>
      </c>
      <c r="C1359" s="22" t="s">
        <v>770</v>
      </c>
      <c r="D1359" s="50" t="str">
        <f t="shared" si="1"/>
        <v>2027bko</v>
      </c>
    </row>
    <row r="1360">
      <c r="A1360" s="22" t="s">
        <v>2686</v>
      </c>
      <c r="B1360" s="22" t="s">
        <v>2680</v>
      </c>
      <c r="C1360" s="22" t="s">
        <v>808</v>
      </c>
      <c r="D1360" s="50" t="str">
        <f t="shared" si="1"/>
        <v>2027sbisht</v>
      </c>
    </row>
    <row r="1361">
      <c r="A1361" s="22" t="s">
        <v>2687</v>
      </c>
      <c r="B1361" s="22" t="s">
        <v>2680</v>
      </c>
      <c r="C1361" s="22" t="s">
        <v>959</v>
      </c>
      <c r="D1361" s="50" t="str">
        <f t="shared" si="1"/>
        <v>2028bjonuzaj</v>
      </c>
    </row>
    <row r="1362">
      <c r="A1362" s="22" t="s">
        <v>2688</v>
      </c>
      <c r="B1362" s="22" t="s">
        <v>2680</v>
      </c>
      <c r="C1362" s="22" t="s">
        <v>789</v>
      </c>
      <c r="D1362" s="50" t="str">
        <f t="shared" si="1"/>
        <v>2027tho</v>
      </c>
    </row>
    <row r="1363">
      <c r="A1363" s="22" t="s">
        <v>2689</v>
      </c>
      <c r="B1363" s="22" t="s">
        <v>2680</v>
      </c>
      <c r="C1363" s="22" t="s">
        <v>814</v>
      </c>
      <c r="D1363" s="50" t="str">
        <f t="shared" si="1"/>
        <v>2027vcao</v>
      </c>
    </row>
    <row r="1364">
      <c r="A1364" s="22" t="s">
        <v>2690</v>
      </c>
      <c r="B1364" s="22" t="s">
        <v>2680</v>
      </c>
      <c r="C1364" s="22" t="s">
        <v>688</v>
      </c>
      <c r="D1364" s="50" t="str">
        <f t="shared" si="1"/>
        <v>2026cmorimot</v>
      </c>
    </row>
    <row r="1365">
      <c r="A1365" s="22" t="s">
        <v>2691</v>
      </c>
      <c r="B1365" s="22" t="s">
        <v>2680</v>
      </c>
      <c r="C1365" s="22" t="s">
        <v>833</v>
      </c>
      <c r="D1365" s="50" t="str">
        <f t="shared" si="1"/>
        <v>2026lzhu</v>
      </c>
    </row>
    <row r="1366">
      <c r="A1366" s="22" t="s">
        <v>2692</v>
      </c>
      <c r="B1366" s="22" t="s">
        <v>2680</v>
      </c>
      <c r="C1366" s="22" t="s">
        <v>777</v>
      </c>
      <c r="D1366" s="50" t="str">
        <f t="shared" si="1"/>
        <v>2027esombhat</v>
      </c>
    </row>
    <row r="1367">
      <c r="A1367" s="22" t="s">
        <v>2693</v>
      </c>
      <c r="B1367" s="22" t="s">
        <v>2680</v>
      </c>
      <c r="C1367" s="22" t="s">
        <v>1223</v>
      </c>
      <c r="D1367" s="50" t="str">
        <f t="shared" si="1"/>
        <v>2025mkrishna</v>
      </c>
    </row>
    <row r="1368">
      <c r="A1368" s="22" t="s">
        <v>2694</v>
      </c>
      <c r="B1368" s="22" t="s">
        <v>2680</v>
      </c>
      <c r="C1368" s="22" t="s">
        <v>856</v>
      </c>
      <c r="D1368" s="50" t="str">
        <f t="shared" si="1"/>
        <v>2027smahmud</v>
      </c>
    </row>
    <row r="1369">
      <c r="A1369" s="22" t="s">
        <v>2695</v>
      </c>
      <c r="B1369" s="22" t="s">
        <v>2680</v>
      </c>
      <c r="C1369" s="22" t="s">
        <v>788</v>
      </c>
      <c r="D1369" s="50" t="str">
        <f t="shared" si="1"/>
        <v>2027itennyso</v>
      </c>
    </row>
    <row r="1370">
      <c r="A1370" s="22" t="s">
        <v>2696</v>
      </c>
      <c r="B1370" s="22" t="s">
        <v>2680</v>
      </c>
      <c r="C1370" s="22" t="s">
        <v>785</v>
      </c>
      <c r="D1370" s="50" t="str">
        <f t="shared" si="1"/>
        <v>2027pdu</v>
      </c>
    </row>
    <row r="1371">
      <c r="A1371" s="22" t="s">
        <v>2697</v>
      </c>
      <c r="B1371" s="22" t="s">
        <v>2680</v>
      </c>
      <c r="C1371" s="22" t="s">
        <v>867</v>
      </c>
      <c r="D1371" s="50" t="str">
        <f t="shared" si="1"/>
        <v>2027kyang</v>
      </c>
    </row>
    <row r="1372">
      <c r="A1372" s="22" t="s">
        <v>2698</v>
      </c>
      <c r="B1372" s="22" t="s">
        <v>2680</v>
      </c>
      <c r="C1372" s="22" t="s">
        <v>961</v>
      </c>
      <c r="D1372" s="50" t="str">
        <f t="shared" si="1"/>
        <v>2028tdeng</v>
      </c>
    </row>
    <row r="1373">
      <c r="A1373" s="22" t="s">
        <v>2699</v>
      </c>
      <c r="B1373" s="22" t="s">
        <v>2680</v>
      </c>
      <c r="C1373" s="22" t="s">
        <v>669</v>
      </c>
      <c r="D1373" s="50" t="str">
        <f t="shared" si="1"/>
        <v>2026sshen</v>
      </c>
    </row>
    <row r="1374">
      <c r="A1374" s="22" t="s">
        <v>2700</v>
      </c>
      <c r="B1374" s="22" t="s">
        <v>2680</v>
      </c>
      <c r="C1374" s="22" t="s">
        <v>988</v>
      </c>
      <c r="D1374" s="50" t="str">
        <f t="shared" si="1"/>
        <v>2028efeldman</v>
      </c>
    </row>
    <row r="1375">
      <c r="A1375" s="22" t="s">
        <v>2701</v>
      </c>
      <c r="B1375" s="22" t="s">
        <v>2680</v>
      </c>
      <c r="C1375" s="22" t="s">
        <v>956</v>
      </c>
      <c r="D1375" s="50" t="str">
        <f t="shared" si="1"/>
        <v>2028vlee</v>
      </c>
    </row>
    <row r="1376">
      <c r="A1376" s="22" t="s">
        <v>2702</v>
      </c>
      <c r="B1376" s="22" t="s">
        <v>2680</v>
      </c>
      <c r="C1376" s="22" t="s">
        <v>965</v>
      </c>
      <c r="D1376" s="50" t="str">
        <f t="shared" si="1"/>
        <v>2028athota</v>
      </c>
    </row>
    <row r="1377">
      <c r="A1377" s="22" t="s">
        <v>2703</v>
      </c>
      <c r="B1377" s="22" t="s">
        <v>2680</v>
      </c>
      <c r="C1377" s="22" t="s">
        <v>1059</v>
      </c>
      <c r="D1377" s="50" t="str">
        <f t="shared" si="1"/>
        <v>#N/A</v>
      </c>
    </row>
    <row r="1378">
      <c r="A1378" s="22" t="s">
        <v>2704</v>
      </c>
      <c r="B1378" s="22" t="s">
        <v>2680</v>
      </c>
      <c r="C1378" s="22" t="s">
        <v>969</v>
      </c>
      <c r="D1378" s="50" t="str">
        <f t="shared" si="1"/>
        <v>2028ahuang</v>
      </c>
    </row>
    <row r="1379">
      <c r="A1379" s="22" t="s">
        <v>2705</v>
      </c>
      <c r="B1379" s="22" t="s">
        <v>2680</v>
      </c>
      <c r="C1379" s="22" t="s">
        <v>919</v>
      </c>
      <c r="D1379" s="50" t="str">
        <f t="shared" si="1"/>
        <v>2027ekim</v>
      </c>
    </row>
    <row r="1380">
      <c r="A1380" s="22" t="s">
        <v>2706</v>
      </c>
      <c r="B1380" s="22" t="s">
        <v>2680</v>
      </c>
      <c r="C1380" s="22" t="s">
        <v>1333</v>
      </c>
      <c r="D1380" s="50" t="str">
        <f t="shared" si="1"/>
        <v>2025mburch</v>
      </c>
    </row>
    <row r="1381">
      <c r="A1381" s="22" t="s">
        <v>2707</v>
      </c>
      <c r="B1381" s="22" t="s">
        <v>2680</v>
      </c>
      <c r="C1381" s="22" t="s">
        <v>756</v>
      </c>
      <c r="D1381" s="50" t="str">
        <f t="shared" si="1"/>
        <v>2026abaradhi</v>
      </c>
    </row>
    <row r="1382">
      <c r="A1382" s="22" t="s">
        <v>2708</v>
      </c>
      <c r="B1382" s="22" t="s">
        <v>2680</v>
      </c>
      <c r="C1382" s="22" t="s">
        <v>960</v>
      </c>
      <c r="D1382" s="50" t="str">
        <f t="shared" si="1"/>
        <v>2028srao</v>
      </c>
    </row>
    <row r="1383">
      <c r="A1383" s="22" t="s">
        <v>2709</v>
      </c>
      <c r="B1383" s="22" t="s">
        <v>2680</v>
      </c>
      <c r="C1383" s="22" t="s">
        <v>934</v>
      </c>
      <c r="D1383" s="50" t="str">
        <f t="shared" si="1"/>
        <v>2028bhan</v>
      </c>
    </row>
    <row r="1384">
      <c r="A1384" s="22" t="s">
        <v>2710</v>
      </c>
      <c r="B1384" s="22" t="s">
        <v>2680</v>
      </c>
      <c r="C1384" s="22" t="s">
        <v>822</v>
      </c>
      <c r="D1384" s="50" t="str">
        <f t="shared" si="1"/>
        <v>2027skuncha</v>
      </c>
    </row>
    <row r="1385">
      <c r="A1385" s="22" t="s">
        <v>2711</v>
      </c>
      <c r="B1385" s="22" t="s">
        <v>2680</v>
      </c>
      <c r="C1385" s="22" t="s">
        <v>976</v>
      </c>
      <c r="D1385" s="50" t="str">
        <f t="shared" si="1"/>
        <v>2028asun</v>
      </c>
    </row>
    <row r="1386">
      <c r="A1386" s="22" t="s">
        <v>2712</v>
      </c>
      <c r="B1386" s="22" t="s">
        <v>2680</v>
      </c>
      <c r="C1386" s="22" t="s">
        <v>935</v>
      </c>
      <c r="D1386" s="50" t="str">
        <f t="shared" si="1"/>
        <v>2028szhang</v>
      </c>
    </row>
    <row r="1387">
      <c r="A1387" s="22" t="s">
        <v>2713</v>
      </c>
      <c r="B1387" s="22" t="s">
        <v>2680</v>
      </c>
      <c r="C1387" s="22" t="s">
        <v>951</v>
      </c>
      <c r="D1387" s="50" t="str">
        <f t="shared" si="1"/>
        <v>2028yli</v>
      </c>
    </row>
    <row r="1388">
      <c r="A1388" s="22" t="s">
        <v>2714</v>
      </c>
      <c r="B1388" s="22" t="s">
        <v>2680</v>
      </c>
      <c r="C1388" s="22" t="s">
        <v>1006</v>
      </c>
      <c r="D1388" s="50" t="str">
        <f t="shared" si="1"/>
        <v>2028dkhiev</v>
      </c>
    </row>
    <row r="1389">
      <c r="A1389" s="22" t="s">
        <v>2715</v>
      </c>
      <c r="B1389" s="22" t="s">
        <v>2680</v>
      </c>
      <c r="C1389" s="22" t="s">
        <v>967</v>
      </c>
      <c r="D1389" s="50" t="str">
        <f t="shared" si="1"/>
        <v>2028asu</v>
      </c>
    </row>
    <row r="1390">
      <c r="A1390" s="22" t="s">
        <v>2716</v>
      </c>
      <c r="B1390" s="22" t="s">
        <v>2680</v>
      </c>
      <c r="C1390" s="22" t="s">
        <v>980</v>
      </c>
      <c r="D1390" s="50" t="str">
        <f t="shared" si="1"/>
        <v>2028hzhou</v>
      </c>
    </row>
    <row r="1391">
      <c r="A1391" s="22" t="s">
        <v>2717</v>
      </c>
      <c r="B1391" s="22" t="s">
        <v>2680</v>
      </c>
      <c r="C1391" s="22" t="s">
        <v>1005</v>
      </c>
      <c r="D1391" s="50" t="str">
        <f t="shared" si="1"/>
        <v>2028agupta</v>
      </c>
    </row>
    <row r="1392">
      <c r="A1392" s="22" t="s">
        <v>2718</v>
      </c>
      <c r="B1392" s="22" t="s">
        <v>2680</v>
      </c>
      <c r="C1392" s="22" t="s">
        <v>667</v>
      </c>
      <c r="D1392" s="50" t="str">
        <f t="shared" si="1"/>
        <v>2026iharchic</v>
      </c>
    </row>
    <row r="1393">
      <c r="A1393" s="22" t="s">
        <v>2719</v>
      </c>
      <c r="B1393" s="22" t="s">
        <v>2680</v>
      </c>
      <c r="C1393" s="22" t="s">
        <v>830</v>
      </c>
      <c r="D1393" s="50" t="str">
        <f t="shared" si="1"/>
        <v>2027rguo</v>
      </c>
    </row>
    <row r="1394">
      <c r="A1394" s="22" t="s">
        <v>2720</v>
      </c>
      <c r="B1394" s="22" t="s">
        <v>2680</v>
      </c>
      <c r="C1394" s="22" t="s">
        <v>950</v>
      </c>
      <c r="D1394" s="50" t="str">
        <f t="shared" si="1"/>
        <v>2028dvladimi</v>
      </c>
    </row>
    <row r="1395">
      <c r="A1395" s="22" t="s">
        <v>2721</v>
      </c>
      <c r="B1395" s="22" t="s">
        <v>2680</v>
      </c>
      <c r="C1395" s="22" t="s">
        <v>709</v>
      </c>
      <c r="D1395" s="50" t="str">
        <f t="shared" si="1"/>
        <v>2026swettimu</v>
      </c>
    </row>
    <row r="1396">
      <c r="A1396" s="22" t="s">
        <v>2722</v>
      </c>
      <c r="B1396" s="22" t="s">
        <v>2680</v>
      </c>
      <c r="C1396" s="22" t="s">
        <v>932</v>
      </c>
      <c r="D1396" s="50" t="str">
        <f t="shared" si="1"/>
        <v>2028rzhao</v>
      </c>
    </row>
    <row r="1397">
      <c r="A1397" s="22" t="s">
        <v>2723</v>
      </c>
      <c r="B1397" s="22" t="s">
        <v>2680</v>
      </c>
      <c r="C1397" s="22" t="s">
        <v>1356</v>
      </c>
      <c r="D1397" s="50" t="str">
        <f t="shared" si="1"/>
        <v>2025avijayra</v>
      </c>
    </row>
    <row r="1398">
      <c r="A1398" s="22" t="s">
        <v>2724</v>
      </c>
      <c r="B1398" s="22" t="s">
        <v>2680</v>
      </c>
      <c r="C1398" s="22" t="s">
        <v>1239</v>
      </c>
      <c r="D1398" s="50" t="str">
        <f t="shared" si="1"/>
        <v>2025alee1</v>
      </c>
    </row>
    <row r="1399">
      <c r="A1399" s="22" t="s">
        <v>2725</v>
      </c>
      <c r="B1399" s="22" t="s">
        <v>2726</v>
      </c>
      <c r="C1399" s="22" t="s">
        <v>1239</v>
      </c>
      <c r="D1399" s="50" t="str">
        <f t="shared" si="1"/>
        <v>2025alee1</v>
      </c>
    </row>
    <row r="1400">
      <c r="A1400" s="22" t="s">
        <v>2727</v>
      </c>
      <c r="B1400" s="22" t="s">
        <v>2680</v>
      </c>
      <c r="C1400" s="22" t="s">
        <v>1230</v>
      </c>
      <c r="D1400" s="50" t="str">
        <f t="shared" si="1"/>
        <v>2025jhao</v>
      </c>
    </row>
    <row r="1401">
      <c r="A1401" s="22" t="s">
        <v>2728</v>
      </c>
      <c r="B1401" s="22" t="s">
        <v>2680</v>
      </c>
      <c r="C1401" s="22" t="s">
        <v>953</v>
      </c>
      <c r="D1401" s="50" t="str">
        <f t="shared" si="1"/>
        <v>2027eguo</v>
      </c>
    </row>
    <row r="1402">
      <c r="A1402" s="22" t="s">
        <v>2729</v>
      </c>
      <c r="B1402" s="22" t="s">
        <v>2726</v>
      </c>
      <c r="C1402" s="22" t="s">
        <v>764</v>
      </c>
      <c r="D1402" s="50" t="str">
        <f t="shared" si="1"/>
        <v>2027zizzi</v>
      </c>
    </row>
    <row r="1403">
      <c r="A1403" s="22" t="s">
        <v>2730</v>
      </c>
      <c r="B1403" s="22" t="s">
        <v>2726</v>
      </c>
      <c r="C1403" s="22" t="s">
        <v>838</v>
      </c>
      <c r="D1403" s="50" t="str">
        <f t="shared" si="1"/>
        <v>2027jzhang</v>
      </c>
    </row>
    <row r="1404">
      <c r="A1404" s="22" t="s">
        <v>2731</v>
      </c>
      <c r="B1404" s="22" t="s">
        <v>2726</v>
      </c>
      <c r="C1404" s="22" t="s">
        <v>688</v>
      </c>
      <c r="D1404" s="50" t="str">
        <f t="shared" si="1"/>
        <v>2026cmorimot</v>
      </c>
    </row>
    <row r="1405">
      <c r="A1405" s="22" t="s">
        <v>2732</v>
      </c>
      <c r="B1405" s="22" t="s">
        <v>2726</v>
      </c>
      <c r="C1405" s="22" t="s">
        <v>779</v>
      </c>
      <c r="D1405" s="50" t="str">
        <f t="shared" si="1"/>
        <v>2027jdurr</v>
      </c>
    </row>
    <row r="1406">
      <c r="A1406" s="22" t="s">
        <v>2733</v>
      </c>
      <c r="B1406" s="22" t="s">
        <v>2726</v>
      </c>
      <c r="C1406" s="22" t="s">
        <v>662</v>
      </c>
      <c r="D1406" s="50" t="str">
        <f t="shared" si="1"/>
        <v>2026rwang</v>
      </c>
    </row>
    <row r="1407">
      <c r="A1407" s="22" t="s">
        <v>2734</v>
      </c>
      <c r="B1407" s="22" t="s">
        <v>2726</v>
      </c>
      <c r="C1407" s="22" t="s">
        <v>788</v>
      </c>
      <c r="D1407" s="50" t="str">
        <f t="shared" si="1"/>
        <v>2027itennyso</v>
      </c>
    </row>
    <row r="1408">
      <c r="A1408" s="22" t="s">
        <v>2735</v>
      </c>
      <c r="B1408" s="22" t="s">
        <v>2726</v>
      </c>
      <c r="C1408" s="22" t="s">
        <v>881</v>
      </c>
      <c r="D1408" s="50" t="str">
        <f t="shared" si="1"/>
        <v>2027aliu</v>
      </c>
    </row>
    <row r="1409">
      <c r="A1409" s="22" t="s">
        <v>2736</v>
      </c>
      <c r="B1409" s="22" t="s">
        <v>2726</v>
      </c>
      <c r="C1409" s="22" t="s">
        <v>977</v>
      </c>
      <c r="D1409" s="50" t="str">
        <f t="shared" si="1"/>
        <v>2027eqiu</v>
      </c>
    </row>
    <row r="1410">
      <c r="A1410" s="22" t="s">
        <v>2737</v>
      </c>
      <c r="B1410" s="22" t="s">
        <v>2726</v>
      </c>
      <c r="C1410" s="22" t="s">
        <v>961</v>
      </c>
      <c r="D1410" s="50" t="str">
        <f t="shared" si="1"/>
        <v>2028tdeng</v>
      </c>
    </row>
    <row r="1411">
      <c r="A1411" s="22" t="s">
        <v>2738</v>
      </c>
      <c r="B1411" s="22" t="s">
        <v>2726</v>
      </c>
      <c r="C1411" s="22" t="s">
        <v>809</v>
      </c>
      <c r="D1411" s="50" t="str">
        <f t="shared" si="1"/>
        <v>2027sjain</v>
      </c>
    </row>
    <row r="1412">
      <c r="A1412" s="22" t="s">
        <v>2739</v>
      </c>
      <c r="B1412" s="22" t="s">
        <v>2726</v>
      </c>
      <c r="C1412" s="22" t="s">
        <v>814</v>
      </c>
      <c r="D1412" s="50" t="str">
        <f t="shared" si="1"/>
        <v>2027vcao</v>
      </c>
    </row>
    <row r="1413">
      <c r="A1413" s="22" t="s">
        <v>2740</v>
      </c>
      <c r="B1413" s="22" t="s">
        <v>2726</v>
      </c>
      <c r="C1413" s="22" t="s">
        <v>934</v>
      </c>
      <c r="D1413" s="50" t="str">
        <f t="shared" si="1"/>
        <v>2028bhan</v>
      </c>
    </row>
    <row r="1414">
      <c r="A1414" s="22" t="s">
        <v>2741</v>
      </c>
      <c r="B1414" s="22" t="s">
        <v>2726</v>
      </c>
      <c r="C1414" s="22" t="s">
        <v>1263</v>
      </c>
      <c r="D1414" s="50" t="str">
        <f t="shared" si="1"/>
        <v>2025jkim</v>
      </c>
    </row>
    <row r="1415">
      <c r="A1415" s="22" t="s">
        <v>2742</v>
      </c>
      <c r="B1415" s="22" t="s">
        <v>2726</v>
      </c>
      <c r="C1415" s="22" t="s">
        <v>1282</v>
      </c>
      <c r="D1415" s="50" t="str">
        <f t="shared" si="1"/>
        <v>2025mzhang</v>
      </c>
    </row>
    <row r="1416">
      <c r="A1416" s="22" t="s">
        <v>2743</v>
      </c>
      <c r="B1416" s="22" t="s">
        <v>2726</v>
      </c>
      <c r="C1416" s="22" t="s">
        <v>951</v>
      </c>
      <c r="D1416" s="50" t="str">
        <f t="shared" si="1"/>
        <v>2028yli</v>
      </c>
    </row>
    <row r="1417">
      <c r="A1417" s="22" t="s">
        <v>2744</v>
      </c>
      <c r="B1417" s="22" t="s">
        <v>2680</v>
      </c>
      <c r="C1417" s="22" t="s">
        <v>816</v>
      </c>
      <c r="D1417" s="50" t="str">
        <f t="shared" si="1"/>
        <v>2027achu</v>
      </c>
    </row>
    <row r="1418">
      <c r="A1418" s="22" t="s">
        <v>2745</v>
      </c>
      <c r="B1418" s="22" t="s">
        <v>2726</v>
      </c>
      <c r="C1418" s="22" t="s">
        <v>997</v>
      </c>
      <c r="D1418" s="50" t="str">
        <f t="shared" si="1"/>
        <v>2028jchan</v>
      </c>
    </row>
    <row r="1419">
      <c r="A1419" s="22" t="s">
        <v>2746</v>
      </c>
      <c r="B1419" s="22" t="s">
        <v>2726</v>
      </c>
      <c r="C1419" s="22" t="s">
        <v>981</v>
      </c>
      <c r="D1419" s="50" t="str">
        <f t="shared" si="1"/>
        <v>2027ikim</v>
      </c>
    </row>
    <row r="1420">
      <c r="A1420" s="22" t="s">
        <v>2747</v>
      </c>
      <c r="B1420" s="22" t="s">
        <v>2726</v>
      </c>
      <c r="C1420" s="22" t="s">
        <v>685</v>
      </c>
      <c r="D1420" s="50" t="str">
        <f t="shared" si="1"/>
        <v>2026akrishna</v>
      </c>
    </row>
    <row r="1421">
      <c r="A1421" s="22" t="s">
        <v>2748</v>
      </c>
      <c r="B1421" s="22" t="s">
        <v>2726</v>
      </c>
      <c r="C1421" s="22" t="s">
        <v>988</v>
      </c>
      <c r="D1421" s="50" t="str">
        <f t="shared" si="1"/>
        <v>2028efeldman</v>
      </c>
    </row>
    <row r="1422">
      <c r="A1422" s="22" t="s">
        <v>2749</v>
      </c>
      <c r="B1422" s="22" t="s">
        <v>2726</v>
      </c>
      <c r="C1422" s="22" t="s">
        <v>926</v>
      </c>
      <c r="D1422" s="50" t="str">
        <f t="shared" si="1"/>
        <v>2027rbala</v>
      </c>
    </row>
    <row r="1423">
      <c r="A1423" s="22" t="s">
        <v>2750</v>
      </c>
      <c r="B1423" s="22" t="s">
        <v>2726</v>
      </c>
      <c r="C1423" s="22" t="s">
        <v>959</v>
      </c>
      <c r="D1423" s="50" t="str">
        <f t="shared" si="1"/>
        <v>2028bjonuzaj</v>
      </c>
    </row>
    <row r="1424">
      <c r="A1424" s="22" t="s">
        <v>2751</v>
      </c>
      <c r="B1424" s="22" t="s">
        <v>2726</v>
      </c>
      <c r="C1424" s="22" t="s">
        <v>830</v>
      </c>
      <c r="D1424" s="50" t="str">
        <f t="shared" si="1"/>
        <v>2027rguo</v>
      </c>
    </row>
    <row r="1425">
      <c r="A1425" s="22" t="s">
        <v>2752</v>
      </c>
      <c r="B1425" s="22" t="s">
        <v>2726</v>
      </c>
      <c r="C1425" s="22" t="s">
        <v>756</v>
      </c>
      <c r="D1425" s="50" t="str">
        <f t="shared" si="1"/>
        <v>2026abaradhi</v>
      </c>
    </row>
    <row r="1426">
      <c r="A1426" s="22" t="s">
        <v>2753</v>
      </c>
      <c r="B1426" s="22" t="s">
        <v>2726</v>
      </c>
      <c r="C1426" s="22" t="s">
        <v>825</v>
      </c>
      <c r="D1426" s="50" t="str">
        <f t="shared" si="1"/>
        <v>2027tdao</v>
      </c>
    </row>
    <row r="1427">
      <c r="A1427" s="22" t="s">
        <v>2754</v>
      </c>
      <c r="B1427" s="22" t="s">
        <v>2726</v>
      </c>
      <c r="C1427" s="22" t="s">
        <v>963</v>
      </c>
      <c r="D1427" s="50" t="str">
        <f t="shared" si="1"/>
        <v>2028aangirek</v>
      </c>
    </row>
    <row r="1428">
      <c r="A1428" s="22" t="s">
        <v>2755</v>
      </c>
      <c r="B1428" s="22" t="s">
        <v>2726</v>
      </c>
      <c r="C1428" s="22" t="s">
        <v>785</v>
      </c>
      <c r="D1428" s="50" t="str">
        <f t="shared" si="1"/>
        <v>2027pdu</v>
      </c>
    </row>
    <row r="1429">
      <c r="A1429" s="22" t="s">
        <v>2756</v>
      </c>
      <c r="B1429" s="22" t="s">
        <v>2726</v>
      </c>
      <c r="C1429" s="22" t="s">
        <v>919</v>
      </c>
      <c r="D1429" s="50" t="str">
        <f t="shared" si="1"/>
        <v>2027ekim</v>
      </c>
    </row>
    <row r="1430">
      <c r="A1430" s="22" t="s">
        <v>2757</v>
      </c>
      <c r="B1430" s="22" t="s">
        <v>2726</v>
      </c>
      <c r="C1430" s="22" t="s">
        <v>950</v>
      </c>
      <c r="D1430" s="50" t="str">
        <f t="shared" si="1"/>
        <v>2028dvladimi</v>
      </c>
    </row>
    <row r="1431">
      <c r="A1431" s="22" t="s">
        <v>2758</v>
      </c>
      <c r="B1431" s="22" t="s">
        <v>2726</v>
      </c>
      <c r="C1431" s="22" t="s">
        <v>947</v>
      </c>
      <c r="D1431" s="50" t="str">
        <f t="shared" si="1"/>
        <v>2028syan</v>
      </c>
    </row>
    <row r="1432">
      <c r="A1432" s="22" t="s">
        <v>2759</v>
      </c>
      <c r="B1432" s="22" t="s">
        <v>2726</v>
      </c>
      <c r="C1432" s="22" t="s">
        <v>935</v>
      </c>
      <c r="D1432" s="50" t="str">
        <f t="shared" si="1"/>
        <v>2028szhang</v>
      </c>
    </row>
    <row r="1433">
      <c r="A1433" s="22" t="s">
        <v>2760</v>
      </c>
      <c r="B1433" s="22" t="s">
        <v>2726</v>
      </c>
      <c r="C1433" s="22" t="s">
        <v>929</v>
      </c>
      <c r="D1433" s="50" t="str">
        <f t="shared" si="1"/>
        <v>2028dhe</v>
      </c>
    </row>
    <row r="1434">
      <c r="A1434" s="22" t="s">
        <v>2761</v>
      </c>
      <c r="B1434" s="22" t="s">
        <v>2726</v>
      </c>
      <c r="C1434" s="22" t="s">
        <v>816</v>
      </c>
      <c r="D1434" s="50" t="str">
        <f t="shared" si="1"/>
        <v>2027achu</v>
      </c>
    </row>
    <row r="1435">
      <c r="A1435" s="22" t="s">
        <v>2762</v>
      </c>
      <c r="B1435" s="22" t="s">
        <v>2726</v>
      </c>
      <c r="C1435" s="22" t="s">
        <v>944</v>
      </c>
      <c r="D1435" s="50" t="str">
        <f t="shared" si="1"/>
        <v>2028zrasti</v>
      </c>
    </row>
    <row r="1436">
      <c r="A1436" s="22" t="s">
        <v>2763</v>
      </c>
      <c r="B1436" s="22" t="s">
        <v>2726</v>
      </c>
      <c r="C1436" s="22" t="s">
        <v>669</v>
      </c>
      <c r="D1436" s="50" t="str">
        <f t="shared" si="1"/>
        <v>2026sshen</v>
      </c>
    </row>
    <row r="1437">
      <c r="A1437" s="22" t="s">
        <v>2764</v>
      </c>
      <c r="B1437" s="22" t="s">
        <v>2726</v>
      </c>
      <c r="C1437" s="22" t="s">
        <v>980</v>
      </c>
      <c r="D1437" s="50" t="str">
        <f t="shared" si="1"/>
        <v>2028hzhou</v>
      </c>
    </row>
    <row r="1438">
      <c r="A1438" s="22" t="s">
        <v>2765</v>
      </c>
      <c r="B1438" s="22" t="s">
        <v>2726</v>
      </c>
      <c r="C1438" s="22" t="s">
        <v>1008</v>
      </c>
      <c r="D1438" s="50" t="str">
        <f t="shared" si="1"/>
        <v>2028apokhrel</v>
      </c>
    </row>
    <row r="1439">
      <c r="A1439" s="22" t="s">
        <v>2766</v>
      </c>
      <c r="B1439" s="22" t="s">
        <v>2726</v>
      </c>
      <c r="C1439" s="22" t="s">
        <v>983</v>
      </c>
      <c r="D1439" s="50" t="str">
        <f t="shared" si="1"/>
        <v>2028elin</v>
      </c>
    </row>
    <row r="1440">
      <c r="A1440" s="22" t="s">
        <v>2767</v>
      </c>
      <c r="B1440" s="22" t="s">
        <v>2726</v>
      </c>
      <c r="C1440" s="22" t="s">
        <v>1026</v>
      </c>
      <c r="D1440" s="50" t="str">
        <f t="shared" si="1"/>
        <v>2028egu</v>
      </c>
    </row>
    <row r="1441">
      <c r="A1441" s="22" t="s">
        <v>2768</v>
      </c>
      <c r="B1441" s="22" t="s">
        <v>2726</v>
      </c>
      <c r="C1441" s="22" t="s">
        <v>843</v>
      </c>
      <c r="D1441" s="50" t="str">
        <f t="shared" si="1"/>
        <v>2027vraj</v>
      </c>
    </row>
    <row r="1442">
      <c r="A1442" s="22" t="s">
        <v>2769</v>
      </c>
      <c r="B1442" s="22" t="s">
        <v>2726</v>
      </c>
      <c r="C1442" s="22" t="s">
        <v>960</v>
      </c>
      <c r="D1442" s="50" t="str">
        <f t="shared" si="1"/>
        <v>2028srao</v>
      </c>
    </row>
    <row r="1443">
      <c r="A1443" s="22" t="s">
        <v>2770</v>
      </c>
      <c r="B1443" s="22" t="s">
        <v>2726</v>
      </c>
      <c r="C1443" s="22" t="s">
        <v>856</v>
      </c>
      <c r="D1443" s="50" t="str">
        <f t="shared" si="1"/>
        <v>2027smahmud</v>
      </c>
    </row>
    <row r="1444">
      <c r="A1444" s="22" t="s">
        <v>2771</v>
      </c>
      <c r="B1444" s="22" t="s">
        <v>2726</v>
      </c>
      <c r="C1444" s="22" t="s">
        <v>936</v>
      </c>
      <c r="D1444" s="50" t="str">
        <f t="shared" si="1"/>
        <v>2028ylin</v>
      </c>
    </row>
    <row r="1445">
      <c r="A1445" s="22" t="s">
        <v>2772</v>
      </c>
      <c r="B1445" s="22" t="s">
        <v>2726</v>
      </c>
      <c r="C1445" s="22" t="s">
        <v>808</v>
      </c>
      <c r="D1445" s="50" t="str">
        <f t="shared" si="1"/>
        <v>2027sbisht</v>
      </c>
    </row>
    <row r="1446">
      <c r="A1446" s="22" t="s">
        <v>2773</v>
      </c>
      <c r="B1446" s="22" t="s">
        <v>2726</v>
      </c>
      <c r="C1446" s="22" t="s">
        <v>1002</v>
      </c>
      <c r="D1446" s="50" t="str">
        <f t="shared" si="1"/>
        <v>2028dduong</v>
      </c>
    </row>
    <row r="1447">
      <c r="A1447" s="22" t="s">
        <v>2774</v>
      </c>
      <c r="B1447" s="22" t="s">
        <v>2726</v>
      </c>
      <c r="C1447" s="22" t="s">
        <v>932</v>
      </c>
      <c r="D1447" s="50" t="str">
        <f t="shared" si="1"/>
        <v>2028rzhao</v>
      </c>
    </row>
    <row r="1448">
      <c r="A1448" s="22" t="s">
        <v>2775</v>
      </c>
      <c r="B1448" s="22" t="s">
        <v>2726</v>
      </c>
      <c r="C1448" s="22" t="s">
        <v>995</v>
      </c>
      <c r="D1448" s="50" t="str">
        <f t="shared" si="1"/>
        <v>2028srangara</v>
      </c>
    </row>
    <row r="1449">
      <c r="A1449" s="22" t="s">
        <v>2776</v>
      </c>
      <c r="B1449" s="22" t="s">
        <v>2726</v>
      </c>
      <c r="C1449" s="22" t="s">
        <v>965</v>
      </c>
      <c r="D1449" s="50" t="str">
        <f t="shared" si="1"/>
        <v>2028athota</v>
      </c>
    </row>
    <row r="1450">
      <c r="A1450" s="22" t="s">
        <v>2777</v>
      </c>
      <c r="B1450" s="22" t="s">
        <v>2726</v>
      </c>
      <c r="C1450" s="22" t="s">
        <v>966</v>
      </c>
      <c r="D1450" s="50" t="str">
        <f t="shared" si="1"/>
        <v>2028adoppala</v>
      </c>
    </row>
    <row r="1451">
      <c r="A1451" s="22" t="s">
        <v>2778</v>
      </c>
      <c r="B1451" s="22" t="s">
        <v>2726</v>
      </c>
      <c r="C1451" s="22" t="s">
        <v>1005</v>
      </c>
      <c r="D1451" s="50" t="str">
        <f t="shared" si="1"/>
        <v>2028agupta</v>
      </c>
    </row>
    <row r="1452">
      <c r="A1452" s="22" t="s">
        <v>2779</v>
      </c>
      <c r="B1452" s="22" t="s">
        <v>2726</v>
      </c>
      <c r="C1452" s="22" t="s">
        <v>954</v>
      </c>
      <c r="D1452" s="50" t="str">
        <f t="shared" si="1"/>
        <v>2028ssurapan</v>
      </c>
    </row>
    <row r="1453">
      <c r="A1453" s="22" t="s">
        <v>2780</v>
      </c>
      <c r="B1453" s="22" t="s">
        <v>2726</v>
      </c>
      <c r="C1453" s="22" t="s">
        <v>854</v>
      </c>
      <c r="D1453" s="50" t="str">
        <f t="shared" si="1"/>
        <v>2027hqin</v>
      </c>
    </row>
    <row r="1454">
      <c r="A1454" s="22" t="s">
        <v>2781</v>
      </c>
      <c r="B1454" s="22" t="s">
        <v>2726</v>
      </c>
      <c r="C1454" s="22" t="s">
        <v>847</v>
      </c>
      <c r="D1454" s="50" t="str">
        <f t="shared" si="1"/>
        <v>2027mtaher</v>
      </c>
    </row>
    <row r="1455">
      <c r="A1455" s="22" t="s">
        <v>2782</v>
      </c>
      <c r="B1455" s="22" t="s">
        <v>2726</v>
      </c>
      <c r="C1455" s="22" t="s">
        <v>852</v>
      </c>
      <c r="D1455" s="50" t="str">
        <f t="shared" si="1"/>
        <v>2027rgao</v>
      </c>
    </row>
    <row r="1456">
      <c r="A1456" s="22" t="s">
        <v>2783</v>
      </c>
      <c r="B1456" s="22" t="s">
        <v>2726</v>
      </c>
      <c r="C1456" s="22" t="s">
        <v>732</v>
      </c>
      <c r="D1456" s="50" t="str">
        <f t="shared" si="1"/>
        <v>2026ejaldint</v>
      </c>
    </row>
    <row r="1457">
      <c r="A1457" s="22" t="s">
        <v>2784</v>
      </c>
      <c r="B1457" s="22" t="s">
        <v>2726</v>
      </c>
      <c r="C1457" s="22" t="s">
        <v>1230</v>
      </c>
      <c r="D1457" s="50" t="str">
        <f t="shared" si="1"/>
        <v>2025jhao</v>
      </c>
    </row>
    <row r="1458">
      <c r="A1458" s="22" t="s">
        <v>2785</v>
      </c>
      <c r="B1458" s="22" t="s">
        <v>2726</v>
      </c>
      <c r="C1458" s="22" t="s">
        <v>967</v>
      </c>
      <c r="D1458" s="50" t="str">
        <f t="shared" si="1"/>
        <v>2028asu</v>
      </c>
    </row>
  </sheetData>
  <drawing r:id="rId1"/>
</worksheet>
</file>